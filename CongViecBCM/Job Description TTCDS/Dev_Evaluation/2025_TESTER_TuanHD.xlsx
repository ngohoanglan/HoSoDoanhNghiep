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LANNGO_PROJECTS\GPKD\HoSoDoanhNghiep\CongViecBCM\Job Description TTCDS\Dev_Evaluation\"/>
    </mc:Choice>
  </mc:AlternateContent>
  <bookViews>
    <workbookView xWindow="0" yWindow="0" windowWidth="28800" windowHeight="12000"/>
  </bookViews>
  <sheets>
    <sheet name="Tester Evaluation" sheetId="1" r:id="rId1"/>
  </sheets>
  <calcPr calcId="162913"/>
</workbook>
</file>

<file path=xl/calcChain.xml><?xml version="1.0" encoding="utf-8"?>
<calcChain xmlns="http://schemas.openxmlformats.org/spreadsheetml/2006/main">
  <c r="E7" i="1" l="1"/>
  <c r="E8" i="1"/>
  <c r="E9" i="1"/>
  <c r="E10" i="1"/>
  <c r="E11" i="1"/>
  <c r="E12" i="1"/>
  <c r="E13" i="1"/>
  <c r="E14" i="1"/>
  <c r="E15" i="1"/>
  <c r="E16" i="1"/>
  <c r="E17" i="1"/>
  <c r="E18" i="1"/>
  <c r="E19" i="1"/>
  <c r="E20" i="1"/>
  <c r="E21" i="1"/>
  <c r="E22" i="1"/>
  <c r="E23" i="1"/>
  <c r="E6" i="1"/>
  <c r="C25" i="1"/>
  <c r="E25" i="1" l="1"/>
  <c r="E26" i="1" s="1"/>
  <c r="E27" i="1" s="1"/>
</calcChain>
</file>

<file path=xl/sharedStrings.xml><?xml version="1.0" encoding="utf-8"?>
<sst xmlns="http://schemas.openxmlformats.org/spreadsheetml/2006/main" count="45" uniqueCount="45">
  <si>
    <t>PHIẾU ĐÁNH GIÁ TESTER / QA - SINGLE SHEET</t>
  </si>
  <si>
    <t>STT</t>
  </si>
  <si>
    <t>Kỹ năng / Skill (Tester)</t>
  </si>
  <si>
    <t>Trọng số (%)</t>
  </si>
  <si>
    <t>Điểm (1–3)</t>
  </si>
  <si>
    <t>Điểm quy đổi</t>
  </si>
  <si>
    <t>Ghi chú</t>
  </si>
  <si>
    <t>Hiểu yêu cầu và nghiệp vụ cần kiểm thử</t>
  </si>
  <si>
    <t>Phân tích yêu cầu và thiết kế test case / test scenario</t>
  </si>
  <si>
    <t>Thực hiện kiểm thử chức năng (manual testing)</t>
  </si>
  <si>
    <t>Kiểm thử hồi quy (regression) và xác nhận fix lỗi</t>
  </si>
  <si>
    <t>Kiểm thử tích hợp / end-to-end giữa các hệ thống</t>
  </si>
  <si>
    <t>Kiểm thử API (REST, SOAP, v.v.) và dữ liệu liên quan</t>
  </si>
  <si>
    <t>Ghi nhận, phân tích và báo cáo kết quả kiểm thử</t>
  </si>
  <si>
    <t>Viết tài liệu kiểm thử (test plan, test report, checklist)</t>
  </si>
  <si>
    <t>Giao tiếp và phối hợp với Dev, PO/BA và các bên liên quan</t>
  </si>
  <si>
    <t>Tham gia và tuân thủ quy trình Agile/Scrum (planning, refinement, review, retro)</t>
  </si>
  <si>
    <t>Tư duy logic, chú ý chi tiết và mindset chất lượng</t>
  </si>
  <si>
    <t>Sử dụng công cụ hỗ trợ kiểm thử (Excel, công cụ test management, SQL cơ bản)</t>
  </si>
  <si>
    <t>Thiết kế chiến lược kiểm thử cho dự án / module (test strategy, test approach)</t>
  </si>
  <si>
    <t>Tự động hóa kiểm thử (test automation) – viết và duy trì script</t>
  </si>
  <si>
    <t>Kiểm thử hiệu năng, bảo mật hoặc các kiểm thử phi chức năng nâng cao khác</t>
  </si>
  <si>
    <t>Đề xuất và triển khai cải tiến quy trình kiểm thử / chất lượng</t>
  </si>
  <si>
    <t>Hướng dẫn, kèm cặp và review công việc cho các Tester khác</t>
  </si>
  <si>
    <t>Tổng trọng số:</t>
  </si>
  <si>
    <t>Tổng điểm (theo trọng số):</t>
  </si>
  <si>
    <t>Điểm % (0–100):</t>
  </si>
  <si>
    <t>Gợi ý phân loại level (Tester1–Tester4):</t>
  </si>
  <si>
    <t>Ghi chú:</t>
  </si>
  <si>
    <t>Điểm đánh giá:</t>
  </si>
  <si>
    <t>1 = Có kiến thức cơ bản; Biết một số kỹ thuật/quy trình quen thuộc để áp dụng; Có khả năng thực hiện các công việc đơn giản hoặc thường xuyên theo sự phân công.</t>
  </si>
  <si>
    <t>2 = Có kiến thức trung bình; Biết nhiều kỹ thuật/phương pháp và có thể chọn cách phù hợp nhất để áp dụng; Có khả năng xác định vấn đề, giải quyết vấn đề phức tạp; Có thể huấn luyện và chỉ đạo người khác trong công việc chung.</t>
  </si>
  <si>
    <t>3 = Có kiến thức nâng cao; Biết nhiều kỹ thuật/phương pháp và có thể bắt đầu cách tiếp cận tương đối mới; Có khả năng xác định vấn đề, giải quyết vấn đề phức tạp; Có thể lãnh đạo và quản lý Nhóm hoặc dự án/chương trình để hoàn thành các nhiệm vụ rất phức tạp.</t>
  </si>
  <si>
    <t>- Điểm quy đổi = (Điểm / 3) × Trọng số. Tổng điểm tối đa ≈ 100 nếu tất cả kỹ năng đạt tốt.</t>
  </si>
  <si>
    <t>- Ngưỡng gợi ý Tester1–Tester4 (có thể điều chỉnh): &lt;60=Tester1; 60–69=Tester2; 70–79=Tester3; ≥80=Tester4.</t>
  </si>
  <si>
    <t>Hướng dẫn sử dụng tóm tắt:</t>
  </si>
  <si>
    <t>B1: Điền Họ tên, Level hiện tại (Tester1–Tester4), Kỳ đánh giá.</t>
  </si>
  <si>
    <t>B2: Với từng kỹ năng, chấm Điểm 1–3 dựa trên yêu cầu thực tế và mô tả chi tiết ở phần Điểm đánh giá.</t>
  </si>
  <si>
    <t>B3: Kiểm tra 'Tổng trọng số' ≈ 100 (trừ khi bạn chủ động sửa trọng số).</t>
  </si>
  <si>
    <t>B4: Xem 'Tổng điểm', 'Điểm %' và 'Gợi ý phân loại level (Tester1–Tester4)' để tham khảo đề xuất level.</t>
  </si>
  <si>
    <t>B5: Kết hợp kết quả này với đánh giá định tính (thái độ, vai trò dự án, mức độ chủ động và tinh thần trách nhiệm) trước khi ra quyết định chính thức.</t>
  </si>
  <si>
    <t>Họ tên: Huỳnh Đoàn Tuấn</t>
  </si>
  <si>
    <t>Sử dụng công cụ quản lý lỗi và quản lý test</t>
  </si>
  <si>
    <t>Level hiện tại (Tester1–Tester4):1</t>
  </si>
  <si>
    <t>Kỳ đánh giá:2025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</si>
</sst>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4"/>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s>
  <fills count="4">
    <fill>
      <patternFill patternType="none"/>
    </fill>
    <fill>
      <patternFill patternType="gray125"/>
    </fill>
    <fill>
      <patternFill patternType="solid">
        <fgColor rgb="FFD9E1F2"/>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0" xfId="0" applyFont="1"/>
    <xf numFmtId="0" fontId="2" fillId="2" borderId="1" xfId="0" applyFont="1" applyFill="1" applyBorder="1"/>
    <xf numFmtId="0" fontId="0" fillId="0" borderId="1" xfId="0" applyBorder="1"/>
    <xf numFmtId="0" fontId="0" fillId="0" borderId="1" xfId="0" applyBorder="1" applyAlignment="1">
      <alignment wrapText="1"/>
    </xf>
    <xf numFmtId="0" fontId="3" fillId="0" borderId="0" xfId="0" applyFont="1"/>
    <xf numFmtId="0" fontId="4" fillId="0" borderId="0" xfId="0" applyFont="1"/>
    <xf numFmtId="0" fontId="2" fillId="0" borderId="1" xfId="0" applyFont="1" applyBorder="1"/>
    <xf numFmtId="0" fontId="2" fillId="0" borderId="0" xfId="0" applyFont="1"/>
    <xf numFmtId="0" fontId="4" fillId="0" borderId="1" xfId="0" applyFont="1" applyBorder="1"/>
    <xf numFmtId="0" fontId="0" fillId="0" borderId="0" xfId="0" applyAlignment="1">
      <alignment horizontal="left" vertical="top" wrapText="1"/>
    </xf>
    <xf numFmtId="0" fontId="0" fillId="0" borderId="0" xfId="0" applyAlignment="1">
      <alignment horizontal="left" wrapText="1"/>
    </xf>
    <xf numFmtId="0" fontId="3" fillId="3"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
  <sheetViews>
    <sheetView tabSelected="1" workbookViewId="0">
      <selection activeCell="D25" sqref="D25"/>
    </sheetView>
  </sheetViews>
  <sheetFormatPr defaultRowHeight="15" x14ac:dyDescent="0.25"/>
  <cols>
    <col min="1" max="1" width="6.7109375" customWidth="1"/>
    <col min="2" max="2" width="70.7109375" customWidth="1"/>
    <col min="3" max="3" width="12.7109375" customWidth="1"/>
    <col min="4" max="4" width="36.5703125" bestFit="1" customWidth="1"/>
    <col min="5" max="5" width="16.7109375" customWidth="1"/>
    <col min="6" max="6" width="30.7109375" customWidth="1"/>
  </cols>
  <sheetData>
    <row r="1" spans="1:6" ht="18.75" x14ac:dyDescent="0.3">
      <c r="A1" s="1" t="s">
        <v>0</v>
      </c>
    </row>
    <row r="3" spans="1:6" x14ac:dyDescent="0.25">
      <c r="A3" t="s">
        <v>41</v>
      </c>
      <c r="D3" t="s">
        <v>43</v>
      </c>
      <c r="F3" t="s">
        <v>44</v>
      </c>
    </row>
    <row r="5" spans="1:6" x14ac:dyDescent="0.25">
      <c r="A5" s="2" t="s">
        <v>1</v>
      </c>
      <c r="B5" s="2" t="s">
        <v>2</v>
      </c>
      <c r="C5" s="2" t="s">
        <v>3</v>
      </c>
      <c r="D5" s="2" t="s">
        <v>4</v>
      </c>
      <c r="E5" s="2" t="s">
        <v>5</v>
      </c>
      <c r="F5" s="2" t="s">
        <v>6</v>
      </c>
    </row>
    <row r="6" spans="1:6" x14ac:dyDescent="0.25">
      <c r="A6" s="3">
        <v>1</v>
      </c>
      <c r="B6" s="4" t="s">
        <v>7</v>
      </c>
      <c r="C6" s="3">
        <v>7</v>
      </c>
      <c r="D6" s="3">
        <v>2</v>
      </c>
      <c r="E6" s="3">
        <f>ROUND(IF(D6="","",D6/3*C6),1)</f>
        <v>4.7</v>
      </c>
      <c r="F6" s="3"/>
    </row>
    <row r="7" spans="1:6" x14ac:dyDescent="0.25">
      <c r="A7" s="3">
        <v>2</v>
      </c>
      <c r="B7" s="4" t="s">
        <v>8</v>
      </c>
      <c r="C7" s="3">
        <v>7</v>
      </c>
      <c r="D7" s="3">
        <v>2</v>
      </c>
      <c r="E7" s="3">
        <f t="shared" ref="E7:E23" si="0">ROUND(IF(D7="","",D7/3*C7),1)</f>
        <v>4.7</v>
      </c>
      <c r="F7" s="3"/>
    </row>
    <row r="8" spans="1:6" x14ac:dyDescent="0.25">
      <c r="A8" s="3">
        <v>3</v>
      </c>
      <c r="B8" s="4" t="s">
        <v>9</v>
      </c>
      <c r="C8" s="3">
        <v>7</v>
      </c>
      <c r="D8" s="3">
        <v>2</v>
      </c>
      <c r="E8" s="3">
        <f t="shared" si="0"/>
        <v>4.7</v>
      </c>
      <c r="F8" s="3"/>
    </row>
    <row r="9" spans="1:6" x14ac:dyDescent="0.25">
      <c r="A9" s="3">
        <v>4</v>
      </c>
      <c r="B9" s="4" t="s">
        <v>10</v>
      </c>
      <c r="C9" s="3">
        <v>7</v>
      </c>
      <c r="D9" s="3">
        <v>1</v>
      </c>
      <c r="E9" s="3">
        <f t="shared" si="0"/>
        <v>2.2999999999999998</v>
      </c>
      <c r="F9" s="3"/>
    </row>
    <row r="10" spans="1:6" x14ac:dyDescent="0.25">
      <c r="A10" s="3">
        <v>5</v>
      </c>
      <c r="B10" s="4" t="s">
        <v>42</v>
      </c>
      <c r="C10" s="3">
        <v>7</v>
      </c>
      <c r="D10" s="3">
        <v>2</v>
      </c>
      <c r="E10" s="3">
        <f t="shared" si="0"/>
        <v>4.7</v>
      </c>
      <c r="F10" s="3"/>
    </row>
    <row r="11" spans="1:6" x14ac:dyDescent="0.25">
      <c r="A11" s="3">
        <v>6</v>
      </c>
      <c r="B11" s="4" t="s">
        <v>11</v>
      </c>
      <c r="C11" s="3">
        <v>7</v>
      </c>
      <c r="D11" s="3">
        <v>2</v>
      </c>
      <c r="E11" s="3">
        <f t="shared" si="0"/>
        <v>4.7</v>
      </c>
      <c r="F11" s="3"/>
    </row>
    <row r="12" spans="1:6" x14ac:dyDescent="0.25">
      <c r="A12" s="3">
        <v>7</v>
      </c>
      <c r="B12" s="4" t="s">
        <v>12</v>
      </c>
      <c r="C12" s="3">
        <v>7</v>
      </c>
      <c r="D12" s="3">
        <v>1</v>
      </c>
      <c r="E12" s="3">
        <f t="shared" si="0"/>
        <v>2.2999999999999998</v>
      </c>
      <c r="F12" s="3"/>
    </row>
    <row r="13" spans="1:6" x14ac:dyDescent="0.25">
      <c r="A13" s="3">
        <v>8</v>
      </c>
      <c r="B13" s="4" t="s">
        <v>13</v>
      </c>
      <c r="C13" s="3">
        <v>6</v>
      </c>
      <c r="D13" s="3">
        <v>2</v>
      </c>
      <c r="E13" s="3">
        <f t="shared" si="0"/>
        <v>4</v>
      </c>
      <c r="F13" s="3"/>
    </row>
    <row r="14" spans="1:6" x14ac:dyDescent="0.25">
      <c r="A14" s="3">
        <v>9</v>
      </c>
      <c r="B14" s="4" t="s">
        <v>14</v>
      </c>
      <c r="C14" s="3">
        <v>5</v>
      </c>
      <c r="D14" s="3">
        <v>2</v>
      </c>
      <c r="E14" s="3">
        <f t="shared" si="0"/>
        <v>3.3</v>
      </c>
      <c r="F14" s="3"/>
    </row>
    <row r="15" spans="1:6" x14ac:dyDescent="0.25">
      <c r="A15" s="3">
        <v>10</v>
      </c>
      <c r="B15" s="4" t="s">
        <v>15</v>
      </c>
      <c r="C15" s="3">
        <v>5</v>
      </c>
      <c r="D15" s="3">
        <v>2</v>
      </c>
      <c r="E15" s="3">
        <f t="shared" si="0"/>
        <v>3.3</v>
      </c>
      <c r="F15" s="3"/>
    </row>
    <row r="16" spans="1:6" ht="30" x14ac:dyDescent="0.25">
      <c r="A16" s="3">
        <v>11</v>
      </c>
      <c r="B16" s="4" t="s">
        <v>16</v>
      </c>
      <c r="C16" s="3">
        <v>5</v>
      </c>
      <c r="D16" s="3">
        <v>2</v>
      </c>
      <c r="E16" s="3">
        <f t="shared" si="0"/>
        <v>3.3</v>
      </c>
      <c r="F16" s="3"/>
    </row>
    <row r="17" spans="1:6" x14ac:dyDescent="0.25">
      <c r="A17" s="3">
        <v>12</v>
      </c>
      <c r="B17" s="4" t="s">
        <v>17</v>
      </c>
      <c r="C17" s="3">
        <v>5</v>
      </c>
      <c r="D17" s="3">
        <v>2</v>
      </c>
      <c r="E17" s="3">
        <f t="shared" si="0"/>
        <v>3.3</v>
      </c>
      <c r="F17" s="3"/>
    </row>
    <row r="18" spans="1:6" ht="30" x14ac:dyDescent="0.25">
      <c r="A18" s="3">
        <v>13</v>
      </c>
      <c r="B18" s="4" t="s">
        <v>18</v>
      </c>
      <c r="C18" s="3">
        <v>5</v>
      </c>
      <c r="D18" s="3">
        <v>2</v>
      </c>
      <c r="E18" s="3">
        <f t="shared" si="0"/>
        <v>3.3</v>
      </c>
      <c r="F18" s="3"/>
    </row>
    <row r="19" spans="1:6" ht="30" x14ac:dyDescent="0.25">
      <c r="A19" s="3">
        <v>14</v>
      </c>
      <c r="B19" s="4" t="s">
        <v>19</v>
      </c>
      <c r="C19" s="3">
        <v>4</v>
      </c>
      <c r="D19" s="3">
        <v>1</v>
      </c>
      <c r="E19" s="3">
        <f t="shared" si="0"/>
        <v>1.3</v>
      </c>
      <c r="F19" s="3"/>
    </row>
    <row r="20" spans="1:6" x14ac:dyDescent="0.25">
      <c r="A20" s="3">
        <v>15</v>
      </c>
      <c r="B20" s="4" t="s">
        <v>20</v>
      </c>
      <c r="C20" s="3">
        <v>4</v>
      </c>
      <c r="D20" s="3">
        <v>1</v>
      </c>
      <c r="E20" s="3">
        <f t="shared" si="0"/>
        <v>1.3</v>
      </c>
      <c r="F20" s="3"/>
    </row>
    <row r="21" spans="1:6" x14ac:dyDescent="0.25">
      <c r="A21" s="3">
        <v>16</v>
      </c>
      <c r="B21" s="4" t="s">
        <v>21</v>
      </c>
      <c r="C21" s="3">
        <v>4</v>
      </c>
      <c r="D21" s="3">
        <v>1</v>
      </c>
      <c r="E21" s="3">
        <f t="shared" si="0"/>
        <v>1.3</v>
      </c>
      <c r="F21" s="3"/>
    </row>
    <row r="22" spans="1:6" x14ac:dyDescent="0.25">
      <c r="A22" s="3">
        <v>17</v>
      </c>
      <c r="B22" s="4" t="s">
        <v>22</v>
      </c>
      <c r="C22" s="3">
        <v>4</v>
      </c>
      <c r="D22" s="3">
        <v>1</v>
      </c>
      <c r="E22" s="3">
        <f t="shared" si="0"/>
        <v>1.3</v>
      </c>
      <c r="F22" s="3"/>
    </row>
    <row r="23" spans="1:6" x14ac:dyDescent="0.25">
      <c r="A23" s="3">
        <v>18</v>
      </c>
      <c r="B23" s="4" t="s">
        <v>23</v>
      </c>
      <c r="C23" s="3">
        <v>4</v>
      </c>
      <c r="D23" s="3">
        <v>1</v>
      </c>
      <c r="E23" s="3">
        <f t="shared" si="0"/>
        <v>1.3</v>
      </c>
      <c r="F23" s="3"/>
    </row>
    <row r="25" spans="1:6" x14ac:dyDescent="0.25">
      <c r="B25" s="6" t="s">
        <v>24</v>
      </c>
      <c r="C25" s="7">
        <f>SUM(C6:C23)</f>
        <v>100</v>
      </c>
      <c r="D25" s="9" t="s">
        <v>25</v>
      </c>
      <c r="E25" s="7">
        <f>SUM(E6:E23)</f>
        <v>55.099999999999973</v>
      </c>
    </row>
    <row r="26" spans="1:6" x14ac:dyDescent="0.25">
      <c r="B26" s="8"/>
      <c r="C26" s="7"/>
      <c r="D26" s="9" t="s">
        <v>26</v>
      </c>
      <c r="E26" s="7">
        <f>IF(C25=0,"",E25/C25*100)</f>
        <v>55.099999999999973</v>
      </c>
    </row>
    <row r="27" spans="1:6" x14ac:dyDescent="0.25">
      <c r="B27" s="8"/>
      <c r="C27" s="7"/>
      <c r="D27" s="9" t="s">
        <v>27</v>
      </c>
      <c r="E27" s="7" t="str">
        <f>IF(E26="","",IF(E26&gt;=80,"Đề xuất Tester4",IF(E26&gt;=70,"Đề xuất Tester3",IF(E26&gt;=60,"Đề xuất Tester2","Đề xuất Tester1"))))</f>
        <v>Đề xuất Tester1</v>
      </c>
    </row>
    <row r="28" spans="1:6" x14ac:dyDescent="0.25">
      <c r="B28" s="8"/>
      <c r="C28" s="8"/>
      <c r="D28" s="8"/>
      <c r="E28" s="8"/>
    </row>
    <row r="29" spans="1:6" x14ac:dyDescent="0.25">
      <c r="A29" s="12" t="s">
        <v>28</v>
      </c>
      <c r="B29" s="12"/>
      <c r="C29" s="12"/>
      <c r="D29" s="12"/>
      <c r="E29" s="12"/>
      <c r="F29" s="12"/>
    </row>
    <row r="30" spans="1:6" ht="45" customHeight="1" x14ac:dyDescent="0.25">
      <c r="A30" s="11" t="s">
        <v>29</v>
      </c>
      <c r="B30" s="11"/>
      <c r="C30" s="11"/>
      <c r="D30" s="11"/>
      <c r="E30" s="11"/>
      <c r="F30" s="11"/>
    </row>
    <row r="31" spans="1:6" ht="18.75" customHeight="1" x14ac:dyDescent="0.25">
      <c r="A31" s="10" t="s">
        <v>30</v>
      </c>
      <c r="B31" s="10"/>
      <c r="C31" s="10"/>
      <c r="D31" s="10"/>
      <c r="E31" s="10"/>
      <c r="F31" s="10"/>
    </row>
    <row r="32" spans="1:6" ht="33" customHeight="1" x14ac:dyDescent="0.25">
      <c r="A32" s="10" t="s">
        <v>31</v>
      </c>
      <c r="B32" s="10"/>
      <c r="C32" s="10"/>
      <c r="D32" s="10"/>
      <c r="E32" s="10"/>
      <c r="F32" s="10"/>
    </row>
    <row r="33" spans="1:6" ht="30" customHeight="1" x14ac:dyDescent="0.25">
      <c r="A33" s="10" t="s">
        <v>32</v>
      </c>
      <c r="B33" s="10"/>
      <c r="C33" s="10"/>
      <c r="D33" s="10"/>
      <c r="E33" s="10"/>
      <c r="F33" s="10"/>
    </row>
    <row r="35" spans="1:6" ht="22.5" customHeight="1" x14ac:dyDescent="0.25">
      <c r="A35" s="10" t="s">
        <v>33</v>
      </c>
      <c r="B35" s="10"/>
      <c r="C35" s="10"/>
      <c r="D35" s="10"/>
      <c r="E35" s="10"/>
      <c r="F35" s="10"/>
    </row>
    <row r="36" spans="1:6" ht="21" customHeight="1" x14ac:dyDescent="0.25">
      <c r="A36" s="10" t="s">
        <v>34</v>
      </c>
      <c r="B36" s="10"/>
      <c r="C36" s="10"/>
      <c r="D36" s="10"/>
      <c r="E36" s="10"/>
      <c r="F36" s="10"/>
    </row>
    <row r="38" spans="1:6" x14ac:dyDescent="0.25">
      <c r="A38" s="5" t="s">
        <v>35</v>
      </c>
    </row>
    <row r="39" spans="1:6" ht="29.25" customHeight="1" x14ac:dyDescent="0.25">
      <c r="A39" s="11" t="s">
        <v>36</v>
      </c>
      <c r="B39" s="11"/>
      <c r="C39" s="11"/>
      <c r="D39" s="11"/>
      <c r="E39" s="11"/>
      <c r="F39" s="11"/>
    </row>
    <row r="40" spans="1:6" ht="18.75" customHeight="1" x14ac:dyDescent="0.25">
      <c r="A40" s="10" t="s">
        <v>37</v>
      </c>
      <c r="B40" s="10"/>
      <c r="C40" s="10"/>
      <c r="D40" s="10"/>
      <c r="E40" s="10"/>
      <c r="F40" s="10"/>
    </row>
    <row r="41" spans="1:6" ht="20.25" customHeight="1" x14ac:dyDescent="0.25">
      <c r="A41" s="10" t="s">
        <v>38</v>
      </c>
      <c r="B41" s="10"/>
      <c r="C41" s="10"/>
      <c r="D41" s="10"/>
      <c r="E41" s="10"/>
      <c r="F41" s="10"/>
    </row>
    <row r="42" spans="1:6" ht="19.5" customHeight="1" x14ac:dyDescent="0.25">
      <c r="A42" s="10" t="s">
        <v>39</v>
      </c>
      <c r="B42" s="10"/>
      <c r="C42" s="10"/>
      <c r="D42" s="10"/>
      <c r="E42" s="10"/>
      <c r="F42" s="10"/>
    </row>
    <row r="43" spans="1:6" ht="17.25" customHeight="1" x14ac:dyDescent="0.25">
      <c r="A43" s="10" t="s">
        <v>40</v>
      </c>
      <c r="B43" s="10"/>
      <c r="C43" s="10"/>
      <c r="D43" s="10"/>
      <c r="E43" s="10"/>
      <c r="F43" s="10"/>
    </row>
  </sheetData>
  <mergeCells count="12">
    <mergeCell ref="A43:F43"/>
    <mergeCell ref="A29:F29"/>
    <mergeCell ref="A30:F30"/>
    <mergeCell ref="A31:F31"/>
    <mergeCell ref="A32:F32"/>
    <mergeCell ref="A33:F33"/>
    <mergeCell ref="A35:F35"/>
    <mergeCell ref="A36:F36"/>
    <mergeCell ref="A39:F39"/>
    <mergeCell ref="A40:F40"/>
    <mergeCell ref="A41:F41"/>
    <mergeCell ref="A42:F42"/>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Tester Evaluation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2025-12-16T09:02:48Z</dcterms:created>
  <dcterms:modified xsi:type="dcterms:W3CDTF">2025-12-17T00:50:30Z</dcterms:modified>
</cp:coreProperties>
</file>