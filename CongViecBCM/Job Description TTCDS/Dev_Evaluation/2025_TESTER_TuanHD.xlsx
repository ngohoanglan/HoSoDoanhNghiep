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0" yWindow="0" windowWidth="28800" windowHeight="12000"/>
  </bookViews>
  <sheets>
    <sheet name="TESTER" sheetId="1" r:id="rId1"/>
  </sheets>
  <calcPr calcId="162913"/>
</workbook>
</file>

<file path=xl/calcChain.xml><?xml version="1.0" encoding="utf-8"?>
<calcChain xmlns="http://schemas.openxmlformats.org/spreadsheetml/2006/main">
  <c r="E7" i="1" l="1"/>
  <c r="E8" i="1"/>
  <c r="E9" i="1"/>
  <c r="E10" i="1"/>
  <c r="E11" i="1"/>
  <c r="E12" i="1"/>
  <c r="E13" i="1"/>
  <c r="E14" i="1"/>
  <c r="E15" i="1"/>
  <c r="E16" i="1"/>
  <c r="E17" i="1"/>
  <c r="E18" i="1"/>
  <c r="E19" i="1"/>
  <c r="E20" i="1"/>
  <c r="E21" i="1"/>
  <c r="E22" i="1"/>
  <c r="E23" i="1"/>
  <c r="E6" i="1"/>
  <c r="C25" i="1"/>
  <c r="E25" i="1" l="1"/>
  <c r="E26" i="1" s="1"/>
  <c r="E27" i="1" s="1"/>
</calcChain>
</file>

<file path=xl/sharedStrings.xml><?xml version="1.0" encoding="utf-8"?>
<sst xmlns="http://schemas.openxmlformats.org/spreadsheetml/2006/main" count="45" uniqueCount="45">
  <si>
    <t>PHIẾU ĐÁNH GIÁ TESTER / QA - SINGLE SHEET</t>
  </si>
  <si>
    <t>STT</t>
  </si>
  <si>
    <t>Kỹ năng / Skill (Tester)</t>
  </si>
  <si>
    <t>Trọng số (%)</t>
  </si>
  <si>
    <t>Điểm (1–3)</t>
  </si>
  <si>
    <t>Điểm quy đổi</t>
  </si>
  <si>
    <t>Ghi chú</t>
  </si>
  <si>
    <t>Hiểu yêu cầu và nghiệp vụ cần kiểm thử</t>
  </si>
  <si>
    <t>Phân tích yêu cầu và thiết kế test case / test scenario</t>
  </si>
  <si>
    <t>Thực hiện kiểm thử chức năng (manual testing)</t>
  </si>
  <si>
    <t>Kiểm thử hồi quy (regression) và xác nhận fix lỗi</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</si>
  <si>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</si>
  <si>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</si>
  <si>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</si>
  <si>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</si>
  <si>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</si>
  <si>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</si>
  <si>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</si>
  <si>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</si>
  <si>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</si>
  <si>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</si>
  <si>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</si>
  <si>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</si>
  <si>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</si>
  <si>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Tổng trọng số:</t>
  </si>
  <si>
    <t>Tổng điểm (theo trọng số):</t>
  </si>
  <si>
    <t>Điểm % (0–100):</t>
  </si>
  <si>
    <t>Gợi ý phân loại level (Tester1–Tester4):</t>
  </si>
  <si>
    <t>Ghi chú:</t>
  </si>
  <si>
    <t>Điểm đánh giá:</t>
  </si>
  <si>
    <t>1 = Có kiến thức cơ bản; Biết một số kỹ thuật/quy trình quen thuộc để áp dụng; Có khả năng thực hiện các công việc đơn giản hoặc thường xuyên theo sự phân công.</t>
  </si>
  <si>
    <t>2 = Có kiến thức trung bình; Biết nhiều kỹ thuật/phương pháp và có thể chọn cách phù hợp nhất để áp dụng; Có khả năng xác định vấn đề, giải quyết vấn đề phức tạp; Có thể huấn luyện và chỉ đạo người khác trong công việc chung.</t>
  </si>
  <si>
    <t>3 = Có kiến thức nâng cao; Biết nhiều kỹ thuật/phương pháp và có thể bắt đầu cách tiếp cận tương đối mới; Có khả năng xác định vấn đề, giải quyết vấn đề phức tạp; Có thể lãnh đạo và quản lý Nhóm hoặc dự án/chương trình để hoàn thành các nhiệm vụ rất phức tạp.</t>
  </si>
  <si>
    <t>- Điểm quy đổi = (Điểm / 3) × Trọng số. Tổng điểm tối đa ≈ 100 nếu tất cả kỹ năng đạt tốt.</t>
  </si>
  <si>
    <t>- Ngưỡng gợi ý Tester1–Tester4 (có thể điều chỉnh): &lt;60=Tester1; 60–69=Tester2; 70–79=Tester3; ≥80=Tester4.</t>
  </si>
  <si>
    <t>Hướng dẫn sử dụng tóm tắt:</t>
  </si>
  <si>
    <t>B1: Điền Họ tên, Level hiện tại (Tester1–Tester4), Kỳ đánh giá.</t>
  </si>
  <si>
    <t>B2: Với từng kỹ năng, chấm Điểm 1–3 dựa trên yêu cầu thực tế và mô tả chi tiết ở phần Điểm đánh giá.</t>
  </si>
  <si>
    <t>B3: Kiểm tra 'Tổng trọng số' ≈ 100 (trừ khi bạn chủ động sửa trọng số).</t>
  </si>
  <si>
    <t>B4: Xem 'Tổng điểm', 'Điểm %' và 'Gợi ý phân loại level (Tester1–Tester4)' để tham khảo đề xuất level.</t>
  </si>
  <si>
    <t>B5: Kết hợp kết quả này với đánh giá định tính (thái độ, vai trò dự án, mức độ chủ động và tinh thần trách nhiệm) trước khi ra quyết định chính thức.</t>
  </si>
  <si>
    <t>Họ tên: Huỳnh Đoàn Tuấn</t>
  </si>
  <si>
    <t>Sử dụng công cụ quản lý lỗi và quản lý test</t>
  </si>
  <si>
    <t>Level hiện tại (Tester1–Tester4):1</t>
  </si>
  <si>
    <t>Kỳ đánh giá:2025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</si>
</sst>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4"/>
      <color theme="1"/>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s>
  <fills count="4">
    <fill>
      <patternFill patternType="none"/>
    </fill>
    <fill>
      <patternFill patternType="gray125"/>
    </fill>
    <fill>
      <patternFill patternType="solid">
        <fgColor rgb="FFD9E1F2"/>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xf numFmtId="0" fontId="2" fillId="2" borderId="1" xfId="0" applyFont="1" applyFill="1" applyBorder="1"/>
    <xf numFmtId="0" fontId="0" fillId="0" borderId="1" xfId="0" applyBorder="1"/>
    <xf numFmtId="0" fontId="0" fillId="0" borderId="1" xfId="0" applyBorder="1" applyAlignment="1">
      <alignment wrapText="1"/>
    </xf>
    <xf numFmtId="0" fontId="3" fillId="0" borderId="0" xfId="0" applyFont="1"/>
    <xf numFmtId="0" fontId="4" fillId="0" borderId="0" xfId="0" applyFont="1"/>
    <xf numFmtId="0" fontId="2" fillId="0" borderId="1" xfId="0" applyFont="1" applyBorder="1"/>
    <xf numFmtId="0" fontId="2" fillId="0" borderId="0" xfId="0" applyFont="1"/>
    <xf numFmtId="0" fontId="4" fillId="0" borderId="1" xfId="0" applyFont="1" applyBorder="1"/>
    <xf numFmtId="0" fontId="0" fillId="0" borderId="0" xfId="0" applyAlignment="1">
      <alignment horizontal="left" vertical="top" wrapText="1"/>
    </xf>
    <xf numFmtId="0" fontId="3" fillId="3" borderId="0" xfId="0" applyFont="1" applyFill="1" applyAlignment="1">
      <alignment horizontal="center"/>
    </xf>
    <xf numFmtId="0" fontId="0" fillId="0" borderId="0" xfId="0"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3"/>
  <sheetViews>
    <sheetView tabSelected="1" topLeftCell="C19" workbookViewId="0">
      <selection activeCell="D24" sqref="D24"/>
    </sheetView>
  </sheetViews>
  <sheetFormatPr defaultRowHeight="15" x14ac:dyDescent="0.25"/>
  <cols>
    <col min="1" max="1" width="6.7109375" customWidth="1"/>
    <col min="2" max="2" width="70.7109375" customWidth="1"/>
    <col min="3" max="3" width="12.7109375" customWidth="1"/>
    <col min="4" max="4" width="36.5703125" bestFit="1" customWidth="1"/>
    <col min="5" max="5" width="20" bestFit="1" customWidth="1"/>
    <col min="6" max="6" width="30.7109375" customWidth="1"/>
  </cols>
  <sheetData>
    <row r="1" spans="1:6" ht="18.75" x14ac:dyDescent="0.3">
      <c r="A1" s="1" t="s">
        <v>0</v>
      </c>
    </row>
    <row r="3" spans="1:6" x14ac:dyDescent="0.25">
      <c r="A3" t="s">
        <v>41</v>
      </c>
      <c r="D3" t="s">
        <v>43</v>
      </c>
      <c r="F3" t="s">
        <v>44</v>
      </c>
    </row>
    <row r="5" spans="1:6" x14ac:dyDescent="0.25">
      <c r="A5" s="2" t="s">
        <v>1</v>
      </c>
      <c r="B5" s="2" t="s">
        <v>2</v>
      </c>
      <c r="C5" s="2" t="s">
        <v>3</v>
      </c>
      <c r="D5" s="2" t="s">
        <v>4</v>
      </c>
      <c r="E5" s="2" t="s">
        <v>5</v>
      </c>
      <c r="F5" s="2" t="s">
        <v>6</v>
      </c>
    </row>
    <row r="6" spans="1:6" x14ac:dyDescent="0.25">
      <c r="A6" s="3">
        <v>1</v>
      </c>
      <c r="B6" s="4" t="s">
        <v>7</v>
      </c>
      <c r="C6" s="3">
        <v>7</v>
      </c>
      <c r="D6" s="3">
        <v>2</v>
      </c>
      <c r="E6" s="3">
        <f>ROUND(IF(D6="","",D6/3*C6),1)</f>
        <v>4.7</v>
      </c>
      <c r="F6" s="3"/>
    </row>
    <row r="7" spans="1:6" x14ac:dyDescent="0.25">
      <c r="A7" s="3">
        <v>2</v>
      </c>
      <c r="B7" s="4" t="s">
        <v>8</v>
      </c>
      <c r="C7" s="3">
        <v>7</v>
      </c>
      <c r="D7" s="3">
        <v>2</v>
      </c>
      <c r="E7" s="3">
        <f t="shared" ref="E7:E23" si="0">ROUND(IF(D7="","",D7/3*C7),1)</f>
        <v>4.7</v>
      </c>
      <c r="F7" s="3"/>
    </row>
    <row r="8" spans="1:6" x14ac:dyDescent="0.25">
      <c r="A8" s="3">
        <v>3</v>
      </c>
      <c r="B8" s="4" t="s">
        <v>9</v>
      </c>
      <c r="C8" s="3">
        <v>7</v>
      </c>
      <c r="D8" s="3">
        <v>2</v>
      </c>
      <c r="E8" s="3">
        <f t="shared" si="0"/>
        <v>4.7</v>
      </c>
      <c r="F8" s="3"/>
    </row>
    <row r="9" spans="1:6" x14ac:dyDescent="0.25">
      <c r="A9" s="3">
        <v>4</v>
      </c>
      <c r="B9" s="4" t="s">
        <v>10</v>
      </c>
      <c r="C9" s="3">
        <v>7</v>
      </c>
      <c r="D9" s="3">
        <v>1</v>
      </c>
      <c r="E9" s="3">
        <f t="shared" si="0"/>
        <v>2.2999999999999998</v>
      </c>
      <c r="F9" s="3"/>
    </row>
    <row r="10" spans="1:6" x14ac:dyDescent="0.25">
      <c r="A10" s="3">
        <v>5</v>
      </c>
      <c r="B10" s="4" t="s">
        <v>42</v>
      </c>
      <c r="C10" s="3">
        <v>7</v>
      </c>
      <c r="D10" s="3">
        <v>2</v>
      </c>
      <c r="E10" s="3">
        <f t="shared" si="0"/>
        <v>4.7</v>
      </c>
      <c r="F10" s="3"/>
    </row>
    <row r="11" spans="1:6" x14ac:dyDescent="0.25">
      <c r="A11" s="3">
        <v>6</v>
      </c>
      <c r="B11" s="4" t="s">
        <v>11</v>
      </c>
      <c r="C11" s="3">
        <v>7</v>
      </c>
      <c r="D11" s="3">
        <v>2</v>
      </c>
      <c r="E11" s="3">
        <f t="shared" si="0"/>
        <v>4.7</v>
      </c>
      <c r="F11" s="3"/>
    </row>
    <row r="12" spans="1:6" x14ac:dyDescent="0.25">
      <c r="A12" s="3">
        <v>7</v>
      </c>
      <c r="B12" s="4" t="s">
        <v>12</v>
      </c>
      <c r="C12" s="3">
        <v>7</v>
      </c>
      <c r="D12" s="3">
        <v>1</v>
      </c>
      <c r="E12" s="3">
        <f t="shared" si="0"/>
        <v>2.2999999999999998</v>
      </c>
      <c r="F12" s="3"/>
    </row>
    <row r="13" spans="1:6" x14ac:dyDescent="0.25">
      <c r="A13" s="3">
        <v>8</v>
      </c>
      <c r="B13" s="4" t="s">
        <v>13</v>
      </c>
      <c r="C13" s="3">
        <v>6</v>
      </c>
      <c r="D13" s="3">
        <v>2</v>
      </c>
      <c r="E13" s="3">
        <f t="shared" si="0"/>
        <v>4</v>
      </c>
      <c r="F13" s="3"/>
    </row>
    <row r="14" spans="1:6" x14ac:dyDescent="0.25">
      <c r="A14" s="3">
        <v>9</v>
      </c>
      <c r="B14" s="4" t="s">
        <v>14</v>
      </c>
      <c r="C14" s="3">
        <v>5</v>
      </c>
      <c r="D14" s="3">
        <v>2</v>
      </c>
      <c r="E14" s="3">
        <f t="shared" si="0"/>
        <v>3.3</v>
      </c>
      <c r="F14" s="3"/>
    </row>
    <row r="15" spans="1:6" x14ac:dyDescent="0.25">
      <c r="A15" s="3">
        <v>10</v>
      </c>
      <c r="B15" s="4" t="s">
        <v>15</v>
      </c>
      <c r="C15" s="3">
        <v>5</v>
      </c>
      <c r="D15" s="3">
        <v>2</v>
      </c>
      <c r="E15" s="3">
        <f t="shared" si="0"/>
        <v>3.3</v>
      </c>
      <c r="F15" s="3"/>
    </row>
    <row r="16" spans="1:6" ht="30" x14ac:dyDescent="0.25">
      <c r="A16" s="3">
        <v>11</v>
      </c>
      <c r="B16" s="4" t="s">
        <v>16</v>
      </c>
      <c r="C16" s="3">
        <v>5</v>
      </c>
      <c r="D16" s="3">
        <v>2</v>
      </c>
      <c r="E16" s="3">
        <f t="shared" si="0"/>
        <v>3.3</v>
      </c>
      <c r="F16" s="3"/>
    </row>
    <row r="17" spans="1:6" x14ac:dyDescent="0.25">
      <c r="A17" s="3">
        <v>12</v>
      </c>
      <c r="B17" s="4" t="s">
        <v>17</v>
      </c>
      <c r="C17" s="3">
        <v>5</v>
      </c>
      <c r="D17" s="3">
        <v>2</v>
      </c>
      <c r="E17" s="3">
        <f t="shared" si="0"/>
        <v>3.3</v>
      </c>
      <c r="F17" s="3"/>
    </row>
    <row r="18" spans="1:6" ht="30" x14ac:dyDescent="0.25">
      <c r="A18" s="3">
        <v>13</v>
      </c>
      <c r="B18" s="4" t="s">
        <v>18</v>
      </c>
      <c r="C18" s="3">
        <v>5</v>
      </c>
      <c r="D18" s="3">
        <v>2</v>
      </c>
      <c r="E18" s="3">
        <f t="shared" si="0"/>
        <v>3.3</v>
      </c>
      <c r="F18" s="3"/>
    </row>
    <row r="19" spans="1:6" ht="30" x14ac:dyDescent="0.25">
      <c r="A19" s="3">
        <v>14</v>
      </c>
      <c r="B19" s="4" t="s">
        <v>19</v>
      </c>
      <c r="C19" s="3">
        <v>4</v>
      </c>
      <c r="D19" s="3">
        <v>1</v>
      </c>
      <c r="E19" s="3">
        <f t="shared" si="0"/>
        <v>1.3</v>
      </c>
      <c r="F19" s="3"/>
    </row>
    <row r="20" spans="1:6" x14ac:dyDescent="0.25">
      <c r="A20" s="3">
        <v>15</v>
      </c>
      <c r="B20" s="4" t="s">
        <v>20</v>
      </c>
      <c r="C20" s="3">
        <v>4</v>
      </c>
      <c r="D20" s="3">
        <v>1</v>
      </c>
      <c r="E20" s="3">
        <f t="shared" si="0"/>
        <v>1.3</v>
      </c>
      <c r="F20" s="3"/>
    </row>
    <row r="21" spans="1:6" x14ac:dyDescent="0.25">
      <c r="A21" s="3">
        <v>16</v>
      </c>
      <c r="B21" s="4" t="s">
        <v>21</v>
      </c>
      <c r="C21" s="3">
        <v>4</v>
      </c>
      <c r="D21" s="3">
        <v>1</v>
      </c>
      <c r="E21" s="3">
        <f t="shared" si="0"/>
        <v>1.3</v>
      </c>
      <c r="F21" s="3"/>
    </row>
    <row r="22" spans="1:6" x14ac:dyDescent="0.25">
      <c r="A22" s="3">
        <v>17</v>
      </c>
      <c r="B22" s="4" t="s">
        <v>22</v>
      </c>
      <c r="C22" s="3">
        <v>4</v>
      </c>
      <c r="D22" s="3">
        <v>1</v>
      </c>
      <c r="E22" s="3">
        <f t="shared" si="0"/>
        <v>1.3</v>
      </c>
      <c r="F22" s="3"/>
    </row>
    <row r="23" spans="1:6" x14ac:dyDescent="0.25">
      <c r="A23" s="3">
        <v>18</v>
      </c>
      <c r="B23" s="4" t="s">
        <v>23</v>
      </c>
      <c r="C23" s="3">
        <v>4</v>
      </c>
      <c r="D23" s="3">
        <v>1</v>
      </c>
      <c r="E23" s="3">
        <f t="shared" si="0"/>
        <v>1.3</v>
      </c>
      <c r="F23" s="3"/>
    </row>
    <row r="25" spans="1:6" x14ac:dyDescent="0.25">
      <c r="B25" s="6" t="s">
        <v>24</v>
      </c>
      <c r="C25" s="7">
        <f>SUM(C6:C23)</f>
        <v>100</v>
      </c>
      <c r="D25" s="9" t="s">
        <v>25</v>
      </c>
      <c r="E25" s="7">
        <f>SUM(E6:E23)</f>
        <v>55.099999999999973</v>
      </c>
    </row>
    <row r="26" spans="1:6" x14ac:dyDescent="0.25">
      <c r="B26" s="8"/>
      <c r="C26" s="7"/>
      <c r="D26" s="9" t="s">
        <v>26</v>
      </c>
      <c r="E26" s="7">
        <f>IF(C25=0,"",E25/C25*100)</f>
        <v>55.099999999999973</v>
      </c>
    </row>
    <row r="27" spans="1:6" x14ac:dyDescent="0.25">
      <c r="B27" s="8"/>
      <c r="C27" s="7"/>
      <c r="D27" s="9" t="s">
        <v>27</v>
      </c>
      <c r="E27" s="7" t="str">
        <f>IF(E26="","",IF(E26&gt;=80,"Tester 4",IF(E26&gt;=70,"Tester 3",IF(E26&gt;=60,"Tester 2","Tester 1 "))))</f>
        <v xml:space="preserve">Tester 1 </v>
      </c>
    </row>
    <row r="28" spans="1:6" x14ac:dyDescent="0.25">
      <c r="B28" s="8"/>
      <c r="C28" s="8"/>
      <c r="D28" s="8"/>
      <c r="E28" s="8"/>
    </row>
    <row r="29" spans="1:6" x14ac:dyDescent="0.25">
      <c r="A29" s="11" t="s">
        <v>28</v>
      </c>
      <c r="B29" s="11"/>
      <c r="C29" s="11"/>
      <c r="D29" s="11"/>
      <c r="E29" s="11"/>
      <c r="F29" s="11"/>
    </row>
    <row r="30" spans="1:6" ht="45" customHeight="1" x14ac:dyDescent="0.25">
      <c r="A30" s="12" t="s">
        <v>29</v>
      </c>
      <c r="B30" s="12"/>
      <c r="C30" s="12"/>
      <c r="D30" s="12"/>
      <c r="E30" s="12"/>
      <c r="F30" s="12"/>
    </row>
    <row r="31" spans="1:6" ht="18.75" customHeight="1" x14ac:dyDescent="0.25">
      <c r="A31" s="10" t="s">
        <v>30</v>
      </c>
      <c r="B31" s="10"/>
      <c r="C31" s="10"/>
      <c r="D31" s="10"/>
      <c r="E31" s="10"/>
      <c r="F31" s="10"/>
    </row>
    <row r="32" spans="1:6" ht="33" customHeight="1" x14ac:dyDescent="0.25">
      <c r="A32" s="10" t="s">
        <v>31</v>
      </c>
      <c r="B32" s="10"/>
      <c r="C32" s="10"/>
      <c r="D32" s="10"/>
      <c r="E32" s="10"/>
      <c r="F32" s="10"/>
    </row>
    <row r="33" spans="1:6" ht="30" customHeight="1" x14ac:dyDescent="0.25">
      <c r="A33" s="10" t="s">
        <v>32</v>
      </c>
      <c r="B33" s="10"/>
      <c r="C33" s="10"/>
      <c r="D33" s="10"/>
      <c r="E33" s="10"/>
      <c r="F33" s="10"/>
    </row>
    <row r="35" spans="1:6" ht="22.5" customHeight="1" x14ac:dyDescent="0.25">
      <c r="A35" s="10" t="s">
        <v>33</v>
      </c>
      <c r="B35" s="10"/>
      <c r="C35" s="10"/>
      <c r="D35" s="10"/>
      <c r="E35" s="10"/>
      <c r="F35" s="10"/>
    </row>
    <row r="36" spans="1:6" ht="21" customHeight="1" x14ac:dyDescent="0.25">
      <c r="A36" s="10" t="s">
        <v>34</v>
      </c>
      <c r="B36" s="10"/>
      <c r="C36" s="10"/>
      <c r="D36" s="10"/>
      <c r="E36" s="10"/>
      <c r="F36" s="10"/>
    </row>
    <row r="38" spans="1:6" x14ac:dyDescent="0.25">
      <c r="A38" s="5" t="s">
        <v>35</v>
      </c>
    </row>
    <row r="39" spans="1:6" ht="29.25" customHeight="1" x14ac:dyDescent="0.25">
      <c r="A39" s="12" t="s">
        <v>36</v>
      </c>
      <c r="B39" s="12"/>
      <c r="C39" s="12"/>
      <c r="D39" s="12"/>
      <c r="E39" s="12"/>
      <c r="F39" s="12"/>
    </row>
    <row r="40" spans="1:6" ht="18.75" customHeight="1" x14ac:dyDescent="0.25">
      <c r="A40" s="10" t="s">
        <v>37</v>
      </c>
      <c r="B40" s="10"/>
      <c r="C40" s="10"/>
      <c r="D40" s="10"/>
      <c r="E40" s="10"/>
      <c r="F40" s="10"/>
    </row>
    <row r="41" spans="1:6" ht="20.25" customHeight="1" x14ac:dyDescent="0.25">
      <c r="A41" s="10" t="s">
        <v>38</v>
      </c>
      <c r="B41" s="10"/>
      <c r="C41" s="10"/>
      <c r="D41" s="10"/>
      <c r="E41" s="10"/>
      <c r="F41" s="10"/>
    </row>
    <row r="42" spans="1:6" ht="19.5" customHeight="1" x14ac:dyDescent="0.25">
      <c r="A42" s="10" t="s">
        <v>39</v>
      </c>
      <c r="B42" s="10"/>
      <c r="C42" s="10"/>
      <c r="D42" s="10"/>
      <c r="E42" s="10"/>
      <c r="F42" s="10"/>
    </row>
    <row r="43" spans="1:6" ht="17.25" customHeight="1" x14ac:dyDescent="0.25">
      <c r="A43" s="10" t="s">
        <v>40</v>
      </c>
      <c r="B43" s="10"/>
      <c r="C43" s="10"/>
      <c r="D43" s="10"/>
      <c r="E43" s="10"/>
      <c r="F43" s="10"/>
    </row>
  </sheetData>
  <mergeCells count="12">
    <mergeCell ref="A43:F43"/>
    <mergeCell ref="A29:F29"/>
    <mergeCell ref="A30:F30"/>
    <mergeCell ref="A31:F31"/>
    <mergeCell ref="A32:F32"/>
    <mergeCell ref="A33:F33"/>
    <mergeCell ref="A35:F35"/>
    <mergeCell ref="A36:F36"/>
    <mergeCell ref="A39:F39"/>
    <mergeCell ref="A40:F40"/>
    <mergeCell ref="A41:F41"/>
    <mergeCell ref="A42:F42"/>
  </mergeCells>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2025-12-16T09:02:48Z</dcterms:created>
  <dcterms:modified xsi:type="dcterms:W3CDTF">2025-12-17T02:32:14Z</dcterms:modified>
</cp:coreProperties>
</file>