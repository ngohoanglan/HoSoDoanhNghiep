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LANNGO_PROJECTS\GPKD\HoSoDoanhNghiep\CongViecBCM\Job Description TTCDS\Dev_Evaluation\"/>
    </mc:Choice>
  </mc:AlternateContent>
  <bookViews>
    <workbookView xWindow="0" yWindow="0" windowWidth="28800" windowHeight="12300"/>
  </bookViews>
  <sheets>
    <sheet name="DevOps Evaluation" sheetId="1" r:id="rId1"/>
  </sheets>
  <calcPr calcId="162913"/>
</workbook>
</file>

<file path=xl/calcChain.xml><?xml version="1.0" encoding="utf-8"?>
<calcChain xmlns="http://schemas.openxmlformats.org/spreadsheetml/2006/main">
  <c r="E27" i="1" l="1"/>
  <c r="E7" i="1"/>
  <c r="E8" i="1"/>
  <c r="E9" i="1"/>
  <c r="E10" i="1"/>
  <c r="E11" i="1"/>
  <c r="E12" i="1"/>
  <c r="E13" i="1"/>
  <c r="E14" i="1"/>
  <c r="E15" i="1"/>
  <c r="E16" i="1"/>
  <c r="E17" i="1"/>
  <c r="E18" i="1"/>
  <c r="E19" i="1"/>
  <c r="E20" i="1"/>
  <c r="E21" i="1"/>
  <c r="E22" i="1"/>
  <c r="E23" i="1"/>
  <c r="E6" i="1"/>
  <c r="C25" i="1"/>
  <c r="E25" i="1" l="1"/>
  <c r="E26" i="1" s="1"/>
</calcChain>
</file>

<file path=xl/sharedStrings.xml><?xml version="1.0" encoding="utf-8"?>
<sst xmlns="http://schemas.openxmlformats.org/spreadsheetml/2006/main" count="45" uniqueCount="45">
  <si>
    <t>PHIẾU ĐÁNH GIÁ DEVOPS ENGINEER - SINGLE SHEET</t>
  </si>
  <si>
    <t>STT</t>
  </si>
  <si>
    <t>Kỹ năng / Skill (DevOps Engineer)</t>
  </si>
  <si>
    <t>Trọng số (%)</t>
  </si>
  <si>
    <t>Điểm (1–3)</t>
  </si>
  <si>
    <t>Điểm quy đổi</t>
  </si>
  <si>
    <t>Ghi chú</t>
  </si>
  <si>
    <t>Hiểu biết nền tảng về hệ điều hành, mạng và kiến trúc hệ thống</t>
  </si>
  <si>
    <t>Quản lý máy chủ, container và môi trường chạy ứng dụng (VM, Docker, v.v.)</t>
  </si>
  <si>
    <t>Thiết lập và vận hành pipeline CI/CD</t>
  </si>
  <si>
    <t>Giám sát hệ thống (monitoring) và logging</t>
  </si>
  <si>
    <t>Bảo mật cơ bản trong triển khai và vận hành (DevSecOps cơ bản)</t>
  </si>
  <si>
    <t>Quản lý cấu hình và biến môi trường cho các môi trường (dev/test/prod)</t>
  </si>
  <si>
    <t>Xử lý sự cố và khắc phục sự cố (incident handling &amp; troubleshooting)</t>
  </si>
  <si>
    <t>Làm việc với hạ tầng cloud/on-prem (máy ảo, storage, load balancer, v.v.)</t>
  </si>
  <si>
    <t>Tự động hóa bằng script (Bash, PowerShell, Python, v.v.)</t>
  </si>
  <si>
    <t>Quản lý mã nguồn và quy trình nhánh (Git, branching strategy)</t>
  </si>
  <si>
    <t>Phối hợp với Dev, Tester, PO/BA trong quá trình phát triển và triển khai</t>
  </si>
  <si>
    <t>Viết tài liệu vận hành, runbook và hướng dẫn sử dụng hệ thống</t>
  </si>
  <si>
    <t>Thiết kế kiến trúc CI/CD và quy trình release cho nhiều hệ thống</t>
  </si>
  <si>
    <t>Thiết kế kiến trúc quan sát tổng thể (monitoring, logging, alerting) cho hệ thống</t>
  </si>
  <si>
    <t>Thiết kế và tối ưu chi phí hạ tầng (scaling, tối ưu tài nguyên)</t>
  </si>
  <si>
    <t>Quản lý bảo mật, tuân thủ và phân quyền truy cập (IAM, secret management)</t>
  </si>
  <si>
    <t>Dẫn dắt đội ngũ về thực hành DevOps/SRE và cải tiến quy trình liên tục</t>
  </si>
  <si>
    <t>Tổng trọng số:</t>
  </si>
  <si>
    <t>Tổng điểm (theo trọng số):</t>
  </si>
  <si>
    <t>Điểm % (0–100):</t>
  </si>
  <si>
    <t>Gợi ý phân loại level (DevOps1–DevOps4):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</si>
  <si>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</si>
  <si>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</si>
  <si>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</si>
  <si>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</si>
  <si>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</si>
  <si>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</si>
  <si>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DevOps1–DevOps4 (có thể điều chỉnh): &lt;60=DevOps1; 60–69=DevOps2; 70–79=DevOps3; ≥80=DevOps4.</t>
  </si>
  <si>
    <t>Hướng dẫn sử dụng tóm tắt:</t>
  </si>
  <si>
    <t>B1: Điền Họ tên, Level hiện tại (DevOps1–DevOps4),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</si>
  <si>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</si>
  <si>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</si>
  <si>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(DevOps1–DevOps4)' để tham khảo đề xuất level.</t>
  </si>
  <si>
    <t>B5: Kết hợp kết quả này với đánh giá định tính (thái độ, vai trò dự án, mức độ chủ động và tinh thần trách nhiệm) trước khi ra quyết định chính thức.</t>
  </si>
  <si>
    <t>Họ tên: Lê Thanh Dũng</t>
  </si>
  <si>
    <t>Kỳ đánh giá:2025</t>
  </si>
  <si>
    <t>Level hiện tại (DevOps1–DevOps4):DevOps2</t>
  </si>
  <si>
    <t>Kiến thức Hạ tầng như mã (Infrastructure as Code – IaC)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</si>
</sst>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rgb="FFD9E1F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2" fillId="0" borderId="1" xfId="0" applyFont="1" applyBorder="1"/>
    <xf numFmtId="0" fontId="4" fillId="0" borderId="1" xfId="0" applyFont="1" applyBorder="1"/>
    <xf numFmtId="0" fontId="4" fillId="0" borderId="0" xfId="0" applyFont="1"/>
    <xf numFmtId="0" fontId="3" fillId="3" borderId="0" xfId="0" applyFont="1" applyFill="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topLeftCell="A12" workbookViewId="0">
      <selection activeCell="E28" sqref="E28"/>
    </sheetView>
  </sheetViews>
  <sheetFormatPr defaultRowHeight="15" x14ac:dyDescent="0.25"/>
  <cols>
    <col min="1" max="1" width="6.7109375" customWidth="1"/>
    <col min="2" max="2" width="75.7109375" customWidth="1"/>
    <col min="3" max="3" width="12.7109375" customWidth="1"/>
    <col min="4" max="4" width="14.7109375" customWidth="1"/>
    <col min="5" max="5" width="16.7109375" customWidth="1"/>
    <col min="6" max="6" width="30.7109375" customWidth="1"/>
  </cols>
  <sheetData>
    <row r="1" spans="1:6" ht="18.75" x14ac:dyDescent="0.3">
      <c r="A1" s="1" t="s">
        <v>0</v>
      </c>
    </row>
    <row r="3" spans="1:6" x14ac:dyDescent="0.25">
      <c r="A3" t="s">
        <v>41</v>
      </c>
      <c r="D3" t="s">
        <v>43</v>
      </c>
      <c r="F3" t="s">
        <v>42</v>
      </c>
    </row>
    <row r="5" spans="1:6" x14ac:dyDescent="0.25">
      <c r="A5" s="2" t="s">
        <v>1</v>
      </c>
      <c r="B5" s="2" t="s">
        <v>2</v>
      </c>
      <c r="C5" s="2" t="s">
        <v>3</v>
      </c>
      <c r="D5" s="2" t="s">
        <v>4</v>
      </c>
      <c r="E5" s="2" t="s">
        <v>5</v>
      </c>
      <c r="F5" s="2" t="s">
        <v>6</v>
      </c>
    </row>
    <row r="6" spans="1:6" x14ac:dyDescent="0.25">
      <c r="A6" s="3">
        <v>1</v>
      </c>
      <c r="B6" s="4" t="s">
        <v>7</v>
      </c>
      <c r="C6" s="3">
        <v>7</v>
      </c>
      <c r="D6" s="3">
        <v>2</v>
      </c>
      <c r="E6" s="3">
        <f>ROUND(IF(D6="","",D6/3*C6),1)</f>
        <v>4.7</v>
      </c>
      <c r="F6" s="3"/>
    </row>
    <row r="7" spans="1:6" x14ac:dyDescent="0.25">
      <c r="A7" s="3">
        <v>2</v>
      </c>
      <c r="B7" s="4" t="s">
        <v>8</v>
      </c>
      <c r="C7" s="3">
        <v>7</v>
      </c>
      <c r="D7" s="3">
        <v>2</v>
      </c>
      <c r="E7" s="3">
        <f t="shared" ref="E7:E23" si="0">ROUND(IF(D7="","",D7/3*C7),1)</f>
        <v>4.7</v>
      </c>
      <c r="F7" s="3"/>
    </row>
    <row r="8" spans="1:6" x14ac:dyDescent="0.25">
      <c r="A8" s="3">
        <v>3</v>
      </c>
      <c r="B8" s="4" t="s">
        <v>9</v>
      </c>
      <c r="C8" s="3">
        <v>7</v>
      </c>
      <c r="D8" s="3">
        <v>3</v>
      </c>
      <c r="E8" s="3">
        <f t="shared" si="0"/>
        <v>7</v>
      </c>
      <c r="F8" s="3"/>
    </row>
    <row r="9" spans="1:6" x14ac:dyDescent="0.25">
      <c r="A9" s="3">
        <v>4</v>
      </c>
      <c r="B9" s="4" t="s">
        <v>10</v>
      </c>
      <c r="C9" s="3">
        <v>7</v>
      </c>
      <c r="D9" s="3">
        <v>3</v>
      </c>
      <c r="E9" s="3">
        <f t="shared" si="0"/>
        <v>7</v>
      </c>
      <c r="F9" s="3"/>
    </row>
    <row r="10" spans="1:6" x14ac:dyDescent="0.25">
      <c r="A10" s="3">
        <v>5</v>
      </c>
      <c r="B10" s="4" t="s">
        <v>44</v>
      </c>
      <c r="C10" s="3">
        <v>7</v>
      </c>
      <c r="D10" s="3">
        <v>2</v>
      </c>
      <c r="E10" s="3">
        <f t="shared" si="0"/>
        <v>4.7</v>
      </c>
      <c r="F10" s="3"/>
    </row>
    <row r="11" spans="1:6" x14ac:dyDescent="0.25">
      <c r="A11" s="3">
        <v>6</v>
      </c>
      <c r="B11" s="4" t="s">
        <v>11</v>
      </c>
      <c r="C11" s="3">
        <v>7</v>
      </c>
      <c r="D11" s="3">
        <v>2</v>
      </c>
      <c r="E11" s="3">
        <f t="shared" si="0"/>
        <v>4.7</v>
      </c>
      <c r="F11" s="3"/>
    </row>
    <row r="12" spans="1:6" x14ac:dyDescent="0.25">
      <c r="A12" s="3">
        <v>7</v>
      </c>
      <c r="B12" s="4" t="s">
        <v>12</v>
      </c>
      <c r="C12" s="3">
        <v>7</v>
      </c>
      <c r="D12" s="3">
        <v>2</v>
      </c>
      <c r="E12" s="3">
        <f t="shared" si="0"/>
        <v>4.7</v>
      </c>
      <c r="F12" s="3"/>
    </row>
    <row r="13" spans="1:6" x14ac:dyDescent="0.25">
      <c r="A13" s="3">
        <v>8</v>
      </c>
      <c r="B13" s="4" t="s">
        <v>13</v>
      </c>
      <c r="C13" s="3">
        <v>6</v>
      </c>
      <c r="D13" s="3">
        <v>2</v>
      </c>
      <c r="E13" s="3">
        <f t="shared" si="0"/>
        <v>4</v>
      </c>
      <c r="F13" s="3"/>
    </row>
    <row r="14" spans="1:6" x14ac:dyDescent="0.25">
      <c r="A14" s="3">
        <v>9</v>
      </c>
      <c r="B14" s="4" t="s">
        <v>14</v>
      </c>
      <c r="C14" s="3">
        <v>5</v>
      </c>
      <c r="D14" s="3">
        <v>2</v>
      </c>
      <c r="E14" s="3">
        <f t="shared" si="0"/>
        <v>3.3</v>
      </c>
      <c r="F14" s="3"/>
    </row>
    <row r="15" spans="1:6" x14ac:dyDescent="0.25">
      <c r="A15" s="3">
        <v>10</v>
      </c>
      <c r="B15" s="4" t="s">
        <v>15</v>
      </c>
      <c r="C15" s="3">
        <v>5</v>
      </c>
      <c r="D15" s="3">
        <v>2</v>
      </c>
      <c r="E15" s="3">
        <f t="shared" si="0"/>
        <v>3.3</v>
      </c>
      <c r="F15" s="3"/>
    </row>
    <row r="16" spans="1:6" x14ac:dyDescent="0.25">
      <c r="A16" s="3">
        <v>11</v>
      </c>
      <c r="B16" s="4" t="s">
        <v>16</v>
      </c>
      <c r="C16" s="3">
        <v>5</v>
      </c>
      <c r="D16" s="3">
        <v>2</v>
      </c>
      <c r="E16" s="3">
        <f t="shared" si="0"/>
        <v>3.3</v>
      </c>
      <c r="F16" s="3"/>
    </row>
    <row r="17" spans="1:6" x14ac:dyDescent="0.25">
      <c r="A17" s="3">
        <v>12</v>
      </c>
      <c r="B17" s="4" t="s">
        <v>17</v>
      </c>
      <c r="C17" s="3">
        <v>5</v>
      </c>
      <c r="D17" s="3">
        <v>2</v>
      </c>
      <c r="E17" s="3">
        <f t="shared" si="0"/>
        <v>3.3</v>
      </c>
      <c r="F17" s="3"/>
    </row>
    <row r="18" spans="1:6" x14ac:dyDescent="0.25">
      <c r="A18" s="3">
        <v>13</v>
      </c>
      <c r="B18" s="4" t="s">
        <v>18</v>
      </c>
      <c r="C18" s="3">
        <v>5</v>
      </c>
      <c r="D18" s="3">
        <v>1</v>
      </c>
      <c r="E18" s="3">
        <f t="shared" si="0"/>
        <v>1.7</v>
      </c>
      <c r="F18" s="3"/>
    </row>
    <row r="19" spans="1:6" x14ac:dyDescent="0.25">
      <c r="A19" s="3">
        <v>14</v>
      </c>
      <c r="B19" s="4" t="s">
        <v>19</v>
      </c>
      <c r="C19" s="3">
        <v>4</v>
      </c>
      <c r="D19" s="3">
        <v>3</v>
      </c>
      <c r="E19" s="3">
        <f t="shared" si="0"/>
        <v>4</v>
      </c>
      <c r="F19" s="3"/>
    </row>
    <row r="20" spans="1:6" x14ac:dyDescent="0.25">
      <c r="A20" s="3">
        <v>15</v>
      </c>
      <c r="B20" s="4" t="s">
        <v>20</v>
      </c>
      <c r="C20" s="3">
        <v>4</v>
      </c>
      <c r="D20" s="3">
        <v>2</v>
      </c>
      <c r="E20" s="3">
        <f t="shared" si="0"/>
        <v>2.7</v>
      </c>
      <c r="F20" s="3"/>
    </row>
    <row r="21" spans="1:6" x14ac:dyDescent="0.25">
      <c r="A21" s="3">
        <v>16</v>
      </c>
      <c r="B21" s="4" t="s">
        <v>21</v>
      </c>
      <c r="C21" s="3">
        <v>4</v>
      </c>
      <c r="D21" s="3">
        <v>1</v>
      </c>
      <c r="E21" s="3">
        <f t="shared" si="0"/>
        <v>1.3</v>
      </c>
      <c r="F21" s="3"/>
    </row>
    <row r="22" spans="1:6" x14ac:dyDescent="0.25">
      <c r="A22" s="3">
        <v>17</v>
      </c>
      <c r="B22" s="4" t="s">
        <v>22</v>
      </c>
      <c r="C22" s="3">
        <v>4</v>
      </c>
      <c r="D22" s="3">
        <v>2</v>
      </c>
      <c r="E22" s="3">
        <f t="shared" si="0"/>
        <v>2.7</v>
      </c>
      <c r="F22" s="3"/>
    </row>
    <row r="23" spans="1:6" x14ac:dyDescent="0.25">
      <c r="A23" s="3">
        <v>18</v>
      </c>
      <c r="B23" s="4" t="s">
        <v>23</v>
      </c>
      <c r="C23" s="3">
        <v>4</v>
      </c>
      <c r="D23" s="3">
        <v>1</v>
      </c>
      <c r="E23" s="3">
        <f t="shared" si="0"/>
        <v>1.3</v>
      </c>
      <c r="F23" s="3"/>
    </row>
    <row r="25" spans="1:6" x14ac:dyDescent="0.25">
      <c r="B25" s="8" t="s">
        <v>24</v>
      </c>
      <c r="C25" s="6">
        <f>SUM(C6:C23)</f>
        <v>100</v>
      </c>
      <c r="D25" s="7" t="s">
        <v>25</v>
      </c>
      <c r="E25" s="6">
        <f>SUM(E6:E23)</f>
        <v>68.399999999999991</v>
      </c>
    </row>
    <row r="26" spans="1:6" x14ac:dyDescent="0.25">
      <c r="C26" s="6"/>
      <c r="D26" s="7" t="s">
        <v>26</v>
      </c>
      <c r="E26" s="6">
        <f>IF(C25=0,"",E25/C25*100)</f>
        <v>68.399999999999991</v>
      </c>
    </row>
    <row r="27" spans="1:6" x14ac:dyDescent="0.25">
      <c r="C27" s="6"/>
      <c r="D27" s="7" t="s">
        <v>27</v>
      </c>
      <c r="E27" s="6" t="str">
        <f>IF(E26="","",IF(E26&gt;=80,"DevOps 4",IF(E26&gt;=70,"DevOps 3",IF(E26&gt;=60,"DevOps 2","DevOps 1"))))</f>
        <v>DevOps 2</v>
      </c>
    </row>
    <row r="29" spans="1:6" x14ac:dyDescent="0.25">
      <c r="A29" s="9" t="s">
        <v>28</v>
      </c>
      <c r="B29" s="9"/>
      <c r="C29" s="9"/>
      <c r="D29" s="9"/>
      <c r="E29" s="9"/>
      <c r="F29" s="9"/>
    </row>
    <row r="30" spans="1:6" ht="20.25" customHeight="1" x14ac:dyDescent="0.25">
      <c r="A30" s="10" t="s">
        <v>29</v>
      </c>
      <c r="B30" s="10"/>
      <c r="C30" s="10"/>
      <c r="D30" s="10"/>
      <c r="E30" s="10"/>
      <c r="F30" s="10"/>
    </row>
    <row r="31" spans="1:6" ht="19.5" customHeight="1" x14ac:dyDescent="0.25">
      <c r="A31" s="10" t="s">
        <v>30</v>
      </c>
      <c r="B31" s="10"/>
      <c r="C31" s="10"/>
      <c r="D31" s="10"/>
      <c r="E31" s="10"/>
      <c r="F31" s="10"/>
    </row>
    <row r="32" spans="1:6" ht="30.75" customHeight="1" x14ac:dyDescent="0.25">
      <c r="A32" s="10" t="s">
        <v>31</v>
      </c>
      <c r="B32" s="10"/>
      <c r="C32" s="10"/>
      <c r="D32" s="10"/>
      <c r="E32" s="10"/>
      <c r="F32" s="10"/>
    </row>
    <row r="33" spans="1:6" ht="34.5" customHeight="1" x14ac:dyDescent="0.25">
      <c r="A33" s="10" t="s">
        <v>32</v>
      </c>
      <c r="B33" s="10"/>
      <c r="C33" s="10"/>
      <c r="D33" s="10"/>
      <c r="E33" s="10"/>
      <c r="F33" s="10"/>
    </row>
    <row r="35" spans="1:6" ht="18" customHeight="1" x14ac:dyDescent="0.25">
      <c r="A35" s="10" t="s">
        <v>33</v>
      </c>
      <c r="B35" s="10"/>
      <c r="C35" s="10"/>
      <c r="D35" s="10"/>
      <c r="E35" s="10"/>
      <c r="F35" s="10"/>
    </row>
    <row r="36" spans="1:6" ht="19.5" customHeight="1" x14ac:dyDescent="0.25">
      <c r="A36" s="10" t="s">
        <v>34</v>
      </c>
      <c r="B36" s="10"/>
      <c r="C36" s="10"/>
      <c r="D36" s="10"/>
      <c r="E36" s="10"/>
      <c r="F36" s="10"/>
    </row>
    <row r="38" spans="1:6" x14ac:dyDescent="0.25">
      <c r="A38" s="5" t="s">
        <v>35</v>
      </c>
    </row>
    <row r="39" spans="1:6" ht="22.5" customHeight="1" x14ac:dyDescent="0.25">
      <c r="A39" s="10" t="s">
        <v>36</v>
      </c>
      <c r="B39" s="10"/>
      <c r="C39" s="10"/>
      <c r="D39" s="10"/>
      <c r="E39" s="10"/>
      <c r="F39" s="10"/>
    </row>
    <row r="40" spans="1:6" ht="20.25" customHeight="1" x14ac:dyDescent="0.25">
      <c r="A40" s="10" t="s">
        <v>37</v>
      </c>
      <c r="B40" s="10"/>
      <c r="C40" s="10"/>
      <c r="D40" s="10"/>
      <c r="E40" s="10"/>
      <c r="F40" s="10"/>
    </row>
    <row r="41" spans="1:6" ht="15.75" customHeight="1" x14ac:dyDescent="0.25">
      <c r="A41" s="10" t="s">
        <v>38</v>
      </c>
      <c r="B41" s="10"/>
      <c r="C41" s="10"/>
      <c r="D41" s="10"/>
      <c r="E41" s="10"/>
      <c r="F41" s="10"/>
    </row>
    <row r="42" spans="1:6" ht="18" customHeight="1" x14ac:dyDescent="0.25">
      <c r="A42" s="10" t="s">
        <v>39</v>
      </c>
      <c r="B42" s="10"/>
      <c r="C42" s="10"/>
      <c r="D42" s="10"/>
      <c r="E42" s="10"/>
      <c r="F42" s="10"/>
    </row>
    <row r="43" spans="1:6" ht="24" customHeight="1" x14ac:dyDescent="0.25">
      <c r="A43" s="10" t="s">
        <v>40</v>
      </c>
      <c r="B43" s="10"/>
      <c r="C43" s="10"/>
      <c r="D43" s="10"/>
      <c r="E43" s="10"/>
      <c r="F43" s="10"/>
    </row>
  </sheetData>
  <mergeCells count="12">
    <mergeCell ref="A36:F36"/>
    <mergeCell ref="A39:F39"/>
    <mergeCell ref="A40:F40"/>
    <mergeCell ref="A41:F41"/>
    <mergeCell ref="A42:F42"/>
    <mergeCell ref="A43:F43"/>
    <mergeCell ref="A29:F29"/>
    <mergeCell ref="A30:F30"/>
    <mergeCell ref="A31:F31"/>
    <mergeCell ref="A32:F32"/>
    <mergeCell ref="A33:F33"/>
    <mergeCell ref="A35:F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DevOps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2025-12-17T07:10:20Z</dcterms:created>
  <dcterms:modified xsi:type="dcterms:W3CDTF">2025-12-17T07:19:34Z</dcterms:modified>
</cp:coreProperties>
</file>