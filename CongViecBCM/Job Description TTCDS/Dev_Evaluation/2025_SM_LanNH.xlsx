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LANNGO_PROJECTS\GPKD\HoSoDoanhNghiep\CongViecBCM\Job Description TTCDS\Dev_Evaluation\"/>
    </mc:Choice>
  </mc:AlternateContent>
  <bookViews>
    <workbookView xWindow="0" yWindow="0" windowWidth="28800" windowHeight="12300"/>
  </bookViews>
  <sheets>
    <sheet name="Scrum Master Evaluation" sheetId="1" r:id="rId1"/>
  </sheets>
  <calcPr calcId="162913"/>
</workbook>
</file>

<file path=xl/calcChain.xml><?xml version="1.0" encoding="utf-8"?>
<calcChain xmlns="http://schemas.openxmlformats.org/spreadsheetml/2006/main">
  <c r="E27" i="1" l="1"/>
  <c r="E7" i="1"/>
  <c r="E8" i="1"/>
  <c r="E9" i="1"/>
  <c r="E10" i="1"/>
  <c r="E11" i="1"/>
  <c r="E12" i="1"/>
  <c r="E13" i="1"/>
  <c r="E14" i="1"/>
  <c r="E15" i="1"/>
  <c r="E16" i="1"/>
  <c r="E17" i="1"/>
  <c r="E18" i="1"/>
  <c r="E19" i="1"/>
  <c r="E20" i="1"/>
  <c r="E21" i="1"/>
  <c r="E22" i="1"/>
  <c r="E23" i="1"/>
  <c r="E6" i="1"/>
  <c r="C25" i="1"/>
  <c r="E25" i="1" l="1"/>
  <c r="E26" i="1" s="1"/>
</calcChain>
</file>

<file path=xl/sharedStrings.xml><?xml version="1.0" encoding="utf-8"?>
<sst xmlns="http://schemas.openxmlformats.org/spreadsheetml/2006/main" count="45" uniqueCount="45">
  <si>
    <t>PHIẾU ĐÁNH GIÁ SCRUM MASTER - SINGLE SHEET</t>
  </si>
  <si>
    <t>STT</t>
  </si>
  <si>
    <t>Kỹ năng / Skill (Scrum Master)</t>
  </si>
  <si>
    <t>Trọng số (%)</t>
  </si>
  <si>
    <t>Điểm (1–3)</t>
  </si>
  <si>
    <t>Điểm quy đổi</t>
  </si>
  <si>
    <t>Ghi chú</t>
  </si>
  <si>
    <t>Hiểu rõ nguyên lý và giá trị Agile, Scrum</t>
  </si>
  <si>
    <t>Nắm vững vai trò, sự kiện và artefact trong Scrum</t>
  </si>
  <si>
    <t>Lập kế hoạch Sprint và hỗ trợ xây dựng Sprint Goal</t>
  </si>
  <si>
    <t>Dẫn dắt Daily Scrum hiệu quả</t>
  </si>
  <si>
    <t>Dẫn dắt Sprint Review và kết nối với Stakeholder</t>
  </si>
  <si>
    <t>Dẫn dắt Sprint Retrospective và thúc đẩy cải tiến liên tục</t>
  </si>
  <si>
    <t>Bảo vệ team khỏi gián đoạn và quản lý impediments</t>
  </si>
  <si>
    <t>Theo dõi và sử dụng các chỉ số (velocity, burndown, lead time, v.v.) để hỗ trợ team</t>
  </si>
  <si>
    <t>Kỹ năng facilitation (workshop, họp, thảo luận nhóm)</t>
  </si>
  <si>
    <t>Kỹ năng giao tiếp và lắng nghe với Dev, PO, Business và lãnh đạo</t>
  </si>
  <si>
    <t>Hỗ trợ Product Owner trong quản lý và refinement Product Backlog</t>
  </si>
  <si>
    <t>Coaching team về tự tổ chức và tự quản lý</t>
  </si>
  <si>
    <t>Quản lý xung đột và xây dựng môi trường làm việc tin cậy</t>
  </si>
  <si>
    <t>Huấn luyện tổ chức về Agile/Scrum (training nội bộ, chia sẻ kiến thức)</t>
  </si>
  <si>
    <t>Dẫn dắt nhiều team Scrum hoặc Scrum of Scrums</t>
  </si>
  <si>
    <t>Tham gia thiết kế và hoàn thiện quy trình phát triển sản phẩm ở cấp tổ chức</t>
  </si>
  <si>
    <t>Đo lường và cải tiến mức độ trưởng thành Agile của team/đơn vị</t>
  </si>
  <si>
    <t>Thúc đẩy văn hóa học hỏi, cải tiến và cộng tác liên phòng ban</t>
  </si>
  <si>
    <t>Tổng trọng số:</t>
  </si>
  <si>
    <t>Tổng điểm (theo trọng số):</t>
  </si>
  <si>
    <t>Điểm % (0–100):</t>
  </si>
  <si>
    <t>Gợi ý phân loại level (SM1–SM4):</t>
  </si>
  <si>
    <t>Ghi chú:</t>
  </si>
  <si>
    <t>Điểm đánh giá:</t>
  </si>
  <si>
    <t>1 = Có kiến thức cơ bản; Biết một số kỹ thuật/quy trình quen thuộc để áp dụng; Có khả năng thực hiện các công việc đơn giản hoặc thường xuyên theo sự phân công.</t>
  </si>
  <si>
    <t>2 = Có kiến thức trung bình; Biết nhiều kỹ thuật/phương pháp và có thể chọn cách phù hợp nhất để áp dụng; Có khả năng xác định vấn đề, giải quyết vấn đề phức tạp; Có thể huấn luyện và chỉ đạo người khác trong công việc chung.</t>
  </si>
  <si>
    <t>3 = Có kiến thức nâng cao; Biết nhiều kỹ thuật/phương pháp và có thể bắt đầu cách tiếp cận tương đối mới; Có khả năng xác định vấn đề, giải quyết vấn đề phức tạp; Có thể lãnh đạo và quản lý Nhóm hoặc dự án/chương trình để hoàn thành các nhiệm vụ rất phức tạp.</t>
  </si>
  <si>
    <t>- Điểm quy đổi = (Điểm / 3) × Trọng số. Tổng điểm tối đa ≈ 100 nếu tất cả kỹ năng đạt tốt.</t>
  </si>
  <si>
    <t>- Ngưỡng gợi ý SM1–SM4 (có thể điều chỉnh): &lt;60=SM1; 60–69=SM2; 70–79=SM3; ≥80=SM4.</t>
  </si>
  <si>
    <t>Hướng dẫn sử dụng tóm tắt:</t>
  </si>
  <si>
    <t>B1: Điền Họ tên, Level hiện tại (SM1–SM4), Kỳ đánh giá.</t>
  </si>
  <si>
    <t>B2: Với từng kỹ năng, chấm Điểm 1–3 dựa trên yêu cầu thực tế và mô tả chi tiết ở phần Điểm đánh giá.</t>
  </si>
  <si>
    <t>B3: Kiểm tra 'Tổng trọng số' ≈ 100 (trừ khi bạn chủ động sửa trọng số).</t>
  </si>
  <si>
    <t>B4: Xem 'Tổng điểm', 'Điểm %' và 'Gợi ý phân loại level (SM1–SM4)' để tham khảo đề xuất level.</t>
  </si>
  <si>
    <t>B5: Kết hợp kết quả này với đánh giá định tính (thái độ, vai trò dự án, mức độ chủ động và tinh thần trách nhiệm) trước khi ra quyết định chính thức.</t>
  </si>
  <si>
    <t>Họ tên: Ngô Hoàng Lân</t>
  </si>
  <si>
    <t>Level hiện tại (SM1–SM4):SM2</t>
  </si>
  <si>
    <t>Kỳ đánh giá:2025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</si>
</sst>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4"/>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s>
  <fills count="4">
    <fill>
      <patternFill patternType="none"/>
    </fill>
    <fill>
      <patternFill patternType="gray125"/>
    </fill>
    <fill>
      <patternFill patternType="solid">
        <fgColor rgb="FFD9E1F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2" fillId="2" borderId="1" xfId="0" applyFont="1" applyFill="1" applyBorder="1"/>
    <xf numFmtId="0" fontId="0" fillId="0" borderId="1" xfId="0" applyBorder="1"/>
    <xf numFmtId="0" fontId="0" fillId="0" borderId="1" xfId="0" applyBorder="1" applyAlignment="1">
      <alignment wrapText="1"/>
    </xf>
    <xf numFmtId="0" fontId="3" fillId="0" borderId="0" xfId="0" applyFont="1"/>
    <xf numFmtId="0" fontId="4" fillId="0" borderId="0" xfId="0" applyFont="1"/>
    <xf numFmtId="0" fontId="2" fillId="0" borderId="1" xfId="0" applyFont="1" applyBorder="1"/>
    <xf numFmtId="0" fontId="2" fillId="0" borderId="0" xfId="0" applyFont="1"/>
    <xf numFmtId="0" fontId="4" fillId="0" borderId="1" xfId="0" applyFont="1" applyBorder="1"/>
    <xf numFmtId="0" fontId="3" fillId="3" borderId="0" xfId="0" applyFont="1" applyFill="1"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tabSelected="1" workbookViewId="0">
      <selection activeCell="E28" sqref="E28"/>
    </sheetView>
  </sheetViews>
  <sheetFormatPr defaultRowHeight="15" x14ac:dyDescent="0.25"/>
  <cols>
    <col min="1" max="1" width="6.7109375" customWidth="1"/>
    <col min="2" max="2" width="75.7109375" customWidth="1"/>
    <col min="3" max="3" width="12.7109375" customWidth="1"/>
    <col min="4" max="4" width="14.7109375" customWidth="1"/>
    <col min="5" max="5" width="16.7109375" customWidth="1"/>
    <col min="6" max="6" width="30.7109375" customWidth="1"/>
  </cols>
  <sheetData>
    <row r="1" spans="1:6" ht="18.75" x14ac:dyDescent="0.3">
      <c r="A1" s="1" t="s">
        <v>0</v>
      </c>
    </row>
    <row r="3" spans="1:6" x14ac:dyDescent="0.25">
      <c r="A3" t="s">
        <v>42</v>
      </c>
      <c r="D3" t="s">
        <v>43</v>
      </c>
      <c r="F3" t="s">
        <v>44</v>
      </c>
    </row>
    <row r="5" spans="1:6" x14ac:dyDescent="0.25">
      <c r="A5" s="2" t="s">
        <v>1</v>
      </c>
      <c r="B5" s="2" t="s">
        <v>2</v>
      </c>
      <c r="C5" s="2" t="s">
        <v>3</v>
      </c>
      <c r="D5" s="2" t="s">
        <v>4</v>
      </c>
      <c r="E5" s="2" t="s">
        <v>5</v>
      </c>
      <c r="F5" s="2" t="s">
        <v>6</v>
      </c>
    </row>
    <row r="6" spans="1:6" x14ac:dyDescent="0.25">
      <c r="A6" s="3">
        <v>1</v>
      </c>
      <c r="B6" s="4" t="s">
        <v>7</v>
      </c>
      <c r="C6" s="3">
        <v>7</v>
      </c>
      <c r="D6" s="3">
        <v>3</v>
      </c>
      <c r="E6" s="3">
        <f>ROUND(IF(D6="","",D6/3*C6),1)</f>
        <v>7</v>
      </c>
      <c r="F6" s="3"/>
    </row>
    <row r="7" spans="1:6" x14ac:dyDescent="0.25">
      <c r="A7" s="3">
        <v>2</v>
      </c>
      <c r="B7" s="4" t="s">
        <v>8</v>
      </c>
      <c r="C7" s="3">
        <v>7</v>
      </c>
      <c r="D7" s="3">
        <v>3</v>
      </c>
      <c r="E7" s="3">
        <f t="shared" ref="E7:E23" si="0">ROUND(IF(D7="","",D7/3*C7),1)</f>
        <v>7</v>
      </c>
      <c r="F7" s="3"/>
    </row>
    <row r="8" spans="1:6" x14ac:dyDescent="0.25">
      <c r="A8" s="3">
        <v>3</v>
      </c>
      <c r="B8" s="4" t="s">
        <v>9</v>
      </c>
      <c r="C8" s="3">
        <v>7</v>
      </c>
      <c r="D8" s="3">
        <v>2</v>
      </c>
      <c r="E8" s="3">
        <f t="shared" si="0"/>
        <v>4.7</v>
      </c>
      <c r="F8" s="3"/>
    </row>
    <row r="9" spans="1:6" x14ac:dyDescent="0.25">
      <c r="A9" s="3">
        <v>4</v>
      </c>
      <c r="B9" s="4" t="s">
        <v>10</v>
      </c>
      <c r="C9" s="3">
        <v>7</v>
      </c>
      <c r="D9" s="3">
        <v>2</v>
      </c>
      <c r="E9" s="3">
        <f t="shared" si="0"/>
        <v>4.7</v>
      </c>
      <c r="F9" s="3"/>
    </row>
    <row r="10" spans="1:6" x14ac:dyDescent="0.25">
      <c r="A10" s="3">
        <v>5</v>
      </c>
      <c r="B10" s="4" t="s">
        <v>11</v>
      </c>
      <c r="C10" s="3">
        <v>7</v>
      </c>
      <c r="D10" s="3">
        <v>2</v>
      </c>
      <c r="E10" s="3">
        <f t="shared" si="0"/>
        <v>4.7</v>
      </c>
      <c r="F10" s="3"/>
    </row>
    <row r="11" spans="1:6" x14ac:dyDescent="0.25">
      <c r="A11" s="3">
        <v>6</v>
      </c>
      <c r="B11" s="4" t="s">
        <v>12</v>
      </c>
      <c r="C11" s="3">
        <v>7</v>
      </c>
      <c r="D11" s="3">
        <v>2</v>
      </c>
      <c r="E11" s="3">
        <f t="shared" si="0"/>
        <v>4.7</v>
      </c>
      <c r="F11" s="3"/>
    </row>
    <row r="12" spans="1:6" x14ac:dyDescent="0.25">
      <c r="A12" s="3">
        <v>7</v>
      </c>
      <c r="B12" s="4" t="s">
        <v>13</v>
      </c>
      <c r="C12" s="3">
        <v>7</v>
      </c>
      <c r="D12" s="3">
        <v>2</v>
      </c>
      <c r="E12" s="3">
        <f t="shared" si="0"/>
        <v>4.7</v>
      </c>
      <c r="F12" s="3"/>
    </row>
    <row r="13" spans="1:6" x14ac:dyDescent="0.25">
      <c r="A13" s="3">
        <v>8</v>
      </c>
      <c r="B13" s="4" t="s">
        <v>14</v>
      </c>
      <c r="C13" s="3">
        <v>6</v>
      </c>
      <c r="D13" s="3">
        <v>1</v>
      </c>
      <c r="E13" s="3">
        <f t="shared" si="0"/>
        <v>2</v>
      </c>
      <c r="F13" s="3"/>
    </row>
    <row r="14" spans="1:6" x14ac:dyDescent="0.25">
      <c r="A14" s="3">
        <v>9</v>
      </c>
      <c r="B14" s="4" t="s">
        <v>15</v>
      </c>
      <c r="C14" s="3">
        <v>5</v>
      </c>
      <c r="D14" s="3">
        <v>2</v>
      </c>
      <c r="E14" s="3">
        <f t="shared" si="0"/>
        <v>3.3</v>
      </c>
      <c r="F14" s="3"/>
    </row>
    <row r="15" spans="1:6" x14ac:dyDescent="0.25">
      <c r="A15" s="3">
        <v>10</v>
      </c>
      <c r="B15" s="4" t="s">
        <v>16</v>
      </c>
      <c r="C15" s="3">
        <v>5</v>
      </c>
      <c r="D15" s="3">
        <v>2</v>
      </c>
      <c r="E15" s="3">
        <f t="shared" si="0"/>
        <v>3.3</v>
      </c>
      <c r="F15" s="3"/>
    </row>
    <row r="16" spans="1:6" x14ac:dyDescent="0.25">
      <c r="A16" s="3">
        <v>11</v>
      </c>
      <c r="B16" s="4" t="s">
        <v>17</v>
      </c>
      <c r="C16" s="3">
        <v>5</v>
      </c>
      <c r="D16" s="3">
        <v>2</v>
      </c>
      <c r="E16" s="3">
        <f t="shared" si="0"/>
        <v>3.3</v>
      </c>
      <c r="F16" s="3"/>
    </row>
    <row r="17" spans="1:6" x14ac:dyDescent="0.25">
      <c r="A17" s="3">
        <v>12</v>
      </c>
      <c r="B17" s="4" t="s">
        <v>18</v>
      </c>
      <c r="C17" s="3">
        <v>5</v>
      </c>
      <c r="D17" s="3">
        <v>3</v>
      </c>
      <c r="E17" s="3">
        <f t="shared" si="0"/>
        <v>5</v>
      </c>
      <c r="F17" s="3"/>
    </row>
    <row r="18" spans="1:6" x14ac:dyDescent="0.25">
      <c r="A18" s="3">
        <v>13</v>
      </c>
      <c r="B18" s="4" t="s">
        <v>19</v>
      </c>
      <c r="C18" s="3">
        <v>5</v>
      </c>
      <c r="D18" s="3">
        <v>2</v>
      </c>
      <c r="E18" s="3">
        <f t="shared" si="0"/>
        <v>3.3</v>
      </c>
      <c r="F18" s="3"/>
    </row>
    <row r="19" spans="1:6" x14ac:dyDescent="0.25">
      <c r="A19" s="3">
        <v>14</v>
      </c>
      <c r="B19" s="4" t="s">
        <v>20</v>
      </c>
      <c r="C19" s="3">
        <v>4</v>
      </c>
      <c r="D19" s="3">
        <v>3</v>
      </c>
      <c r="E19" s="3">
        <f t="shared" si="0"/>
        <v>4</v>
      </c>
      <c r="F19" s="3"/>
    </row>
    <row r="20" spans="1:6" x14ac:dyDescent="0.25">
      <c r="A20" s="3">
        <v>15</v>
      </c>
      <c r="B20" s="4" t="s">
        <v>21</v>
      </c>
      <c r="C20" s="3">
        <v>4</v>
      </c>
      <c r="D20" s="3">
        <v>2</v>
      </c>
      <c r="E20" s="3">
        <f t="shared" si="0"/>
        <v>2.7</v>
      </c>
      <c r="F20" s="3"/>
    </row>
    <row r="21" spans="1:6" x14ac:dyDescent="0.25">
      <c r="A21" s="3">
        <v>16</v>
      </c>
      <c r="B21" s="4" t="s">
        <v>22</v>
      </c>
      <c r="C21" s="3">
        <v>4</v>
      </c>
      <c r="D21" s="3">
        <v>1</v>
      </c>
      <c r="E21" s="3">
        <f t="shared" si="0"/>
        <v>1.3</v>
      </c>
      <c r="F21" s="3"/>
    </row>
    <row r="22" spans="1:6" x14ac:dyDescent="0.25">
      <c r="A22" s="3">
        <v>17</v>
      </c>
      <c r="B22" s="4" t="s">
        <v>23</v>
      </c>
      <c r="C22" s="3">
        <v>4</v>
      </c>
      <c r="D22" s="3">
        <v>1</v>
      </c>
      <c r="E22" s="3">
        <f t="shared" si="0"/>
        <v>1.3</v>
      </c>
      <c r="F22" s="3"/>
    </row>
    <row r="23" spans="1:6" x14ac:dyDescent="0.25">
      <c r="A23" s="3">
        <v>18</v>
      </c>
      <c r="B23" s="4" t="s">
        <v>24</v>
      </c>
      <c r="C23" s="3">
        <v>4</v>
      </c>
      <c r="D23" s="3">
        <v>2</v>
      </c>
      <c r="E23" s="3">
        <f t="shared" si="0"/>
        <v>2.7</v>
      </c>
      <c r="F23" s="3"/>
    </row>
    <row r="25" spans="1:6" x14ac:dyDescent="0.25">
      <c r="B25" s="6" t="s">
        <v>25</v>
      </c>
      <c r="C25" s="7">
        <f>SUM(C6:C23)</f>
        <v>100</v>
      </c>
      <c r="D25" s="9" t="s">
        <v>26</v>
      </c>
      <c r="E25" s="7">
        <f>SUM(E6:E23)</f>
        <v>69.699999999999989</v>
      </c>
    </row>
    <row r="26" spans="1:6" x14ac:dyDescent="0.25">
      <c r="B26" s="8"/>
      <c r="C26" s="7"/>
      <c r="D26" s="9" t="s">
        <v>27</v>
      </c>
      <c r="E26" s="7">
        <f>IF(C25=0,"",E25/C25*100)</f>
        <v>69.699999999999989</v>
      </c>
    </row>
    <row r="27" spans="1:6" x14ac:dyDescent="0.25">
      <c r="B27" s="8"/>
      <c r="C27" s="7"/>
      <c r="D27" s="9" t="s">
        <v>28</v>
      </c>
      <c r="E27" s="7" t="str">
        <f>IF(E26="","",IF(E26&gt;=80,"Scrum Master 4",IF(E26&gt;=70,"Scrum Master 3",IF(E26&gt;=60,"Scrum Master 2","Scrum Master 1"))))</f>
        <v>Scrum Master 2</v>
      </c>
    </row>
    <row r="29" spans="1:6" x14ac:dyDescent="0.25">
      <c r="A29" s="10" t="s">
        <v>29</v>
      </c>
      <c r="B29" s="10"/>
      <c r="C29" s="10"/>
      <c r="D29" s="10"/>
      <c r="E29" s="10"/>
      <c r="F29" s="10"/>
    </row>
    <row r="30" spans="1:6" ht="18" customHeight="1" x14ac:dyDescent="0.25">
      <c r="A30" s="11" t="s">
        <v>30</v>
      </c>
      <c r="B30" s="11"/>
      <c r="C30" s="11"/>
      <c r="D30" s="11"/>
      <c r="E30" s="11"/>
      <c r="F30" s="11"/>
    </row>
    <row r="31" spans="1:6" ht="22.5" customHeight="1" x14ac:dyDescent="0.25">
      <c r="A31" s="11" t="s">
        <v>31</v>
      </c>
      <c r="B31" s="11"/>
      <c r="C31" s="11"/>
      <c r="D31" s="11"/>
      <c r="E31" s="11"/>
      <c r="F31" s="11"/>
    </row>
    <row r="32" spans="1:6" ht="32.25" customHeight="1" x14ac:dyDescent="0.25">
      <c r="A32" s="11" t="s">
        <v>32</v>
      </c>
      <c r="B32" s="11"/>
      <c r="C32" s="11"/>
      <c r="D32" s="11"/>
      <c r="E32" s="11"/>
      <c r="F32" s="11"/>
    </row>
    <row r="33" spans="1:6" ht="33" customHeight="1" x14ac:dyDescent="0.25">
      <c r="A33" s="11" t="s">
        <v>33</v>
      </c>
      <c r="B33" s="11"/>
      <c r="C33" s="11"/>
      <c r="D33" s="11"/>
      <c r="E33" s="11"/>
      <c r="F33" s="11"/>
    </row>
    <row r="35" spans="1:6" ht="21.75" customHeight="1" x14ac:dyDescent="0.25">
      <c r="A35" s="11" t="s">
        <v>34</v>
      </c>
      <c r="B35" s="11"/>
      <c r="C35" s="11"/>
      <c r="D35" s="11"/>
      <c r="E35" s="11"/>
      <c r="F35" s="11"/>
    </row>
    <row r="36" spans="1:6" ht="17.25" customHeight="1" x14ac:dyDescent="0.25">
      <c r="A36" s="11" t="s">
        <v>35</v>
      </c>
      <c r="B36" s="11"/>
      <c r="C36" s="11"/>
      <c r="D36" s="11"/>
      <c r="E36" s="11"/>
      <c r="F36" s="11"/>
    </row>
    <row r="38" spans="1:6" x14ac:dyDescent="0.25">
      <c r="A38" s="5" t="s">
        <v>36</v>
      </c>
    </row>
    <row r="39" spans="1:6" ht="19.5" customHeight="1" x14ac:dyDescent="0.25">
      <c r="A39" s="11" t="s">
        <v>37</v>
      </c>
      <c r="B39" s="11"/>
      <c r="C39" s="11"/>
      <c r="D39" s="11"/>
      <c r="E39" s="11"/>
      <c r="F39" s="11"/>
    </row>
    <row r="40" spans="1:6" ht="21.75" customHeight="1" x14ac:dyDescent="0.25">
      <c r="A40" s="11" t="s">
        <v>38</v>
      </c>
      <c r="B40" s="11"/>
      <c r="C40" s="11"/>
      <c r="D40" s="11"/>
      <c r="E40" s="11"/>
      <c r="F40" s="11"/>
    </row>
    <row r="41" spans="1:6" ht="20.25" customHeight="1" x14ac:dyDescent="0.25">
      <c r="A41" s="11" t="s">
        <v>39</v>
      </c>
      <c r="B41" s="11"/>
      <c r="C41" s="11"/>
      <c r="D41" s="11"/>
      <c r="E41" s="11"/>
      <c r="F41" s="11"/>
    </row>
    <row r="42" spans="1:6" ht="24" customHeight="1" x14ac:dyDescent="0.25">
      <c r="A42" s="11" t="s">
        <v>40</v>
      </c>
      <c r="B42" s="11"/>
      <c r="C42" s="11"/>
      <c r="D42" s="11"/>
      <c r="E42" s="11"/>
      <c r="F42" s="11"/>
    </row>
    <row r="43" spans="1:6" ht="27.75" customHeight="1" x14ac:dyDescent="0.25">
      <c r="A43" s="11" t="s">
        <v>41</v>
      </c>
      <c r="B43" s="11"/>
      <c r="C43" s="11"/>
      <c r="D43" s="11"/>
      <c r="E43" s="11"/>
      <c r="F43" s="11"/>
    </row>
  </sheetData>
  <mergeCells count="12">
    <mergeCell ref="A36:F36"/>
    <mergeCell ref="A39:F39"/>
    <mergeCell ref="A40:F40"/>
    <mergeCell ref="A41:F41"/>
    <mergeCell ref="A42:F42"/>
    <mergeCell ref="A43:F43"/>
    <mergeCell ref="A29:F29"/>
    <mergeCell ref="A30:F30"/>
    <mergeCell ref="A31:F31"/>
    <mergeCell ref="A32:F32"/>
    <mergeCell ref="A33:F33"/>
    <mergeCell ref="A35:F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Scrum Master 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2025-12-17T07:32:58Z</dcterms:created>
  <dcterms:modified xsi:type="dcterms:W3CDTF">2025-12-17T07:43:48Z</dcterms:modified>
</cp:coreProperties>
</file>