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C24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4" i="1" l="1"/>
  <c r="E25" i="1" s="1"/>
  <c r="E26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<sst xmlns="http://schemas.openxmlformats.org/spreadsheetml/2006/main" count="45" uniqueCount="45">
  <si>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</si>
  <si>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</si>
  <si>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</si>
  <si>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</si>
  <si>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</si>
  <si>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</si>
  <si>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</si>
  <si>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System Design (Thiết kế hệ thống)</t>
  </si>
  <si>
    <t>Programming (Lập trình)</t>
  </si>
  <si>
    <t>System Integration (Tích hợp hệ thống)</t>
  </si>
  <si>
    <t>Testing (Kiểm thử)</t>
  </si>
  <si>
    <t>Research (Nghiên cứu)</t>
  </si>
  <si>
    <t>AI Tools Utilization / Sử dụng công cụ AI</t>
  </si>
  <si>
    <t>Process Compliance &amp; Information Security (Tuân thủ quy trình và bảo mật thông tin)</t>
  </si>
  <si>
    <t>Application Support (Hỗ trợ ứng dụng)</t>
  </si>
  <si>
    <t>Business Analysis (Phân tích nghiệp vụ)</t>
  </si>
  <si>
    <t>Quality Assurance (Đảm bảo chất lượng)</t>
  </si>
  <si>
    <t>Agile / Scrum Methodology (Phương pháp Agile / Scrum)</t>
  </si>
  <si>
    <t>Computer hardware (Phần cứng máy tính)</t>
  </si>
  <si>
    <t>Operating systems (Hệ điều hành)</t>
  </si>
  <si>
    <t>Networking (Mạng)</t>
  </si>
  <si>
    <t>Project Management (Quản lý dự án)</t>
  </si>
  <si>
    <t>Solution Architecture (Kiến trúc giải pháp)</t>
  </si>
  <si>
    <t>Program Management (Quản lý chương trình)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</si>
  <si>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</si>
  <si>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</si>
  <si>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</si>
  <si>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</si>
  <si>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</si>
  <si>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</si>
  <si>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</si>
  <si>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</si>
  <si>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</si>
  <si>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</si>
  <si>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</si>
  <si>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</si>
  <si>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</si>
  <si>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</si>
  <si>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</si>
  <si>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</si>
  <si>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</si>
  <si>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</si>
  <si>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Kỳ đánh giá: 2025</t>
  </si>
  <si>
    <t>Level hiện tại (Dev1–Dev5):2</t>
  </si>
  <si>
    <t>Võ So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</si>
</sst>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D11" sqref="D11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44</v>
      </c>
      <c r="D3" s="14" t="s">
        <v>43</v>
      </c>
      <c r="E3" s="14"/>
      <c r="F3" t="s">
        <v>42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41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7</v>
      </c>
      <c r="C6" s="3">
        <v>8</v>
      </c>
      <c r="D6" s="3">
        <v>2</v>
      </c>
      <c r="E6" s="3">
        <f t="shared" ref="E6:E22" si="0">IF(D6="","",D6/3*C6)</f>
        <v>5.333333333333333</v>
      </c>
      <c r="F6" s="3"/>
    </row>
    <row r="7" spans="1:6" x14ac:dyDescent="0.25">
      <c r="A7" s="3">
        <v>2</v>
      </c>
      <c r="B7" s="4" t="s">
        <v>8</v>
      </c>
      <c r="C7" s="3">
        <v>8</v>
      </c>
      <c r="D7" s="3">
        <v>2</v>
      </c>
      <c r="E7" s="3">
        <f t="shared" si="0"/>
        <v>5.333333333333333</v>
      </c>
      <c r="F7" s="3"/>
    </row>
    <row r="8" spans="1:6" x14ac:dyDescent="0.25">
      <c r="A8" s="3">
        <v>3</v>
      </c>
      <c r="B8" s="4" t="s">
        <v>9</v>
      </c>
      <c r="C8" s="3">
        <v>8</v>
      </c>
      <c r="D8" s="3">
        <v>2</v>
      </c>
      <c r="E8" s="3">
        <f t="shared" si="0"/>
        <v>5.333333333333333</v>
      </c>
      <c r="F8" s="3"/>
    </row>
    <row r="9" spans="1:6" x14ac:dyDescent="0.25">
      <c r="A9" s="3">
        <v>4</v>
      </c>
      <c r="B9" s="4" t="s">
        <v>10</v>
      </c>
      <c r="C9" s="3">
        <v>8</v>
      </c>
      <c r="D9" s="3">
        <v>2</v>
      </c>
      <c r="E9" s="3">
        <f t="shared" si="0"/>
        <v>5.333333333333333</v>
      </c>
      <c r="F9" s="3"/>
    </row>
    <row r="10" spans="1:6" x14ac:dyDescent="0.25">
      <c r="A10" s="3">
        <v>5</v>
      </c>
      <c r="B10" s="4" t="s">
        <v>11</v>
      </c>
      <c r="C10" s="3">
        <v>8</v>
      </c>
      <c r="D10" s="3">
        <v>2</v>
      </c>
      <c r="E10" s="3">
        <f t="shared" si="0"/>
        <v>5.333333333333333</v>
      </c>
      <c r="F10" s="3"/>
    </row>
    <row r="11" spans="1:6" x14ac:dyDescent="0.25">
      <c r="A11" s="3">
        <v>6</v>
      </c>
      <c r="B11" s="4" t="s">
        <v>12</v>
      </c>
      <c r="C11" s="3">
        <v>8</v>
      </c>
      <c r="D11" s="3">
        <v>3</v>
      </c>
      <c r="E11" s="3">
        <f t="shared" si="0"/>
        <v>8</v>
      </c>
      <c r="F11" s="3"/>
    </row>
    <row r="12" spans="1:6" ht="30" x14ac:dyDescent="0.25">
      <c r="A12" s="3">
        <v>7</v>
      </c>
      <c r="B12" s="4" t="s">
        <v>13</v>
      </c>
      <c r="C12" s="3">
        <v>7</v>
      </c>
      <c r="D12" s="3">
        <v>2</v>
      </c>
      <c r="E12" s="3">
        <f t="shared" si="0"/>
        <v>4.6666666666666661</v>
      </c>
      <c r="F12" s="3"/>
    </row>
    <row r="13" spans="1:6" x14ac:dyDescent="0.25">
      <c r="A13" s="3">
        <v>8</v>
      </c>
      <c r="B13" s="4" t="s">
        <v>14</v>
      </c>
      <c r="C13" s="3">
        <v>4</v>
      </c>
      <c r="D13" s="3">
        <v>1</v>
      </c>
      <c r="E13" s="3">
        <f t="shared" si="0"/>
        <v>1.3333333333333333</v>
      </c>
      <c r="F13" s="3"/>
    </row>
    <row r="14" spans="1:6" x14ac:dyDescent="0.25">
      <c r="A14" s="3">
        <v>9</v>
      </c>
      <c r="B14" s="4" t="s">
        <v>15</v>
      </c>
      <c r="C14" s="3">
        <v>4</v>
      </c>
      <c r="D14" s="3">
        <v>2</v>
      </c>
      <c r="E14" s="3">
        <f t="shared" si="0"/>
        <v>2.6666666666666665</v>
      </c>
      <c r="F14" s="3"/>
    </row>
    <row r="15" spans="1:6" x14ac:dyDescent="0.25">
      <c r="A15" s="3">
        <v>10</v>
      </c>
      <c r="B15" s="4" t="s">
        <v>16</v>
      </c>
      <c r="C15" s="3">
        <v>4</v>
      </c>
      <c r="D15" s="3">
        <v>1</v>
      </c>
      <c r="E15" s="3">
        <f t="shared" si="0"/>
        <v>1.3333333333333333</v>
      </c>
      <c r="F15" s="3"/>
    </row>
    <row r="16" spans="1:6" x14ac:dyDescent="0.25">
      <c r="A16" s="3">
        <v>11</v>
      </c>
      <c r="B16" s="4" t="s">
        <v>17</v>
      </c>
      <c r="C16" s="3">
        <v>4</v>
      </c>
      <c r="D16" s="3">
        <v>2</v>
      </c>
      <c r="E16" s="3">
        <f t="shared" si="0"/>
        <v>2.6666666666666665</v>
      </c>
      <c r="F16" s="3"/>
    </row>
    <row r="17" spans="1:6" x14ac:dyDescent="0.25">
      <c r="A17" s="3">
        <v>12</v>
      </c>
      <c r="B17" s="4" t="s">
        <v>18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19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20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21</v>
      </c>
      <c r="C20" s="3">
        <v>7</v>
      </c>
      <c r="D20" s="3">
        <v>1</v>
      </c>
      <c r="E20" s="3">
        <f t="shared" si="0"/>
        <v>2.333333333333333</v>
      </c>
      <c r="F20" s="3"/>
    </row>
    <row r="21" spans="1:6" x14ac:dyDescent="0.25">
      <c r="A21" s="3">
        <v>16</v>
      </c>
      <c r="B21" s="4" t="s">
        <v>22</v>
      </c>
      <c r="C21" s="3">
        <v>7</v>
      </c>
      <c r="D21" s="3">
        <v>2</v>
      </c>
      <c r="E21" s="3">
        <f t="shared" si="0"/>
        <v>4.6666666666666661</v>
      </c>
      <c r="F21" s="3"/>
    </row>
    <row r="22" spans="1:6" x14ac:dyDescent="0.25">
      <c r="A22" s="3">
        <v>17</v>
      </c>
      <c r="B22" s="4" t="s">
        <v>23</v>
      </c>
      <c r="C22" s="3">
        <v>6</v>
      </c>
      <c r="D22" s="3">
        <v>2</v>
      </c>
      <c r="E22" s="3">
        <f t="shared" si="0"/>
        <v>4</v>
      </c>
      <c r="F22" s="3"/>
    </row>
    <row r="24" spans="1:6" x14ac:dyDescent="0.25">
      <c r="B24" s="10" t="s">
        <v>24</v>
      </c>
      <c r="C24" s="11">
        <f>SUM(C6:C22)</f>
        <v>100</v>
      </c>
      <c r="D24" s="12" t="s">
        <v>25</v>
      </c>
      <c r="E24" s="11">
        <f>SUM(E6:E22)</f>
        <v>64.333333333333329</v>
      </c>
    </row>
    <row r="25" spans="1:6" x14ac:dyDescent="0.25">
      <c r="B25" s="11"/>
      <c r="C25" s="11"/>
      <c r="D25" s="12" t="s">
        <v>26</v>
      </c>
      <c r="E25" s="11">
        <f>IF(C24=0,"",E24/C24*100)</f>
        <v>64.333333333333329</v>
      </c>
    </row>
    <row r="26" spans="1:6" x14ac:dyDescent="0.25">
      <c r="B26" s="11"/>
      <c r="C26" s="11"/>
      <c r="D26" s="12" t="s">
        <v>27</v>
      </c>
      <c r="E26" s="11" t="str">
        <f>IF(E25="","",IF(E25&gt;=90,"Đề xuất Dev5",IF(E25&gt;=80,"Đề xuất Dev4",IF(E25&gt;=70,"Đề xuất Dev3",IF(E25&gt;=60,"Đề xuất Dev2","Đề xuất Dev1")))))</f>
        <v>Đề xuất Dev2</v>
      </c>
    </row>
    <row r="30" spans="1:6" x14ac:dyDescent="0.25">
      <c r="A30" s="5" t="s">
        <v>28</v>
      </c>
      <c r="B30" s="6"/>
      <c r="C30" s="6"/>
      <c r="D30" s="6"/>
      <c r="E30" s="6"/>
      <c r="F30" s="6"/>
    </row>
    <row r="31" spans="1:6" ht="18" customHeight="1" x14ac:dyDescent="0.25">
      <c r="A31" s="16" t="s">
        <v>29</v>
      </c>
      <c r="B31" s="16"/>
      <c r="C31" s="16"/>
      <c r="D31" s="16"/>
      <c r="E31" s="16"/>
      <c r="F31" s="16"/>
    </row>
    <row r="32" spans="1:6" ht="25.5" customHeight="1" x14ac:dyDescent="0.25">
      <c r="A32" s="15" t="s">
        <v>30</v>
      </c>
      <c r="B32" s="15"/>
      <c r="C32" s="15"/>
      <c r="D32" s="15"/>
      <c r="E32" s="15"/>
      <c r="F32" s="15"/>
    </row>
    <row r="33" spans="1:6" ht="46.5" customHeight="1" x14ac:dyDescent="0.25">
      <c r="A33" s="15" t="s">
        <v>31</v>
      </c>
      <c r="B33" s="15"/>
      <c r="C33" s="15"/>
      <c r="D33" s="15"/>
      <c r="E33" s="15"/>
      <c r="F33" s="15"/>
    </row>
    <row r="34" spans="1:6" ht="38.25" customHeight="1" x14ac:dyDescent="0.25">
      <c r="A34" s="15" t="s">
        <v>32</v>
      </c>
      <c r="B34" s="15"/>
      <c r="C34" s="15"/>
      <c r="D34" s="15"/>
      <c r="E34" s="15"/>
      <c r="F34" s="15"/>
    </row>
    <row r="36" spans="1:6" ht="29.25" customHeight="1" x14ac:dyDescent="0.25">
      <c r="A36" s="15" t="s">
        <v>33</v>
      </c>
      <c r="B36" s="15"/>
      <c r="C36" s="15"/>
      <c r="D36" s="15"/>
      <c r="E36" s="15"/>
      <c r="F36" s="15"/>
    </row>
    <row r="37" spans="1:6" ht="31.5" customHeight="1" x14ac:dyDescent="0.25">
      <c r="A37" s="15" t="s">
        <v>34</v>
      </c>
      <c r="B37" s="15"/>
      <c r="C37" s="15"/>
      <c r="D37" s="15"/>
      <c r="E37" s="15"/>
      <c r="F37" s="15"/>
    </row>
    <row r="39" spans="1:6" x14ac:dyDescent="0.25">
      <c r="A39" s="7" t="s">
        <v>35</v>
      </c>
    </row>
    <row r="40" spans="1:6" ht="30.75" customHeight="1" x14ac:dyDescent="0.25">
      <c r="A40" s="15" t="s">
        <v>36</v>
      </c>
      <c r="B40" s="15"/>
      <c r="C40" s="15"/>
      <c r="D40" s="15"/>
      <c r="E40" s="15"/>
      <c r="F40" s="15"/>
    </row>
    <row r="41" spans="1:6" ht="34.5" customHeight="1" x14ac:dyDescent="0.25">
      <c r="A41" s="15" t="s">
        <v>37</v>
      </c>
      <c r="B41" s="15"/>
      <c r="C41" s="15"/>
      <c r="D41" s="15"/>
      <c r="E41" s="15"/>
      <c r="F41" s="15"/>
    </row>
    <row r="42" spans="1:6" ht="26.25" customHeight="1" x14ac:dyDescent="0.25">
      <c r="A42" s="15" t="s">
        <v>38</v>
      </c>
      <c r="B42" s="15"/>
      <c r="C42" s="15"/>
      <c r="D42" s="15"/>
      <c r="E42" s="15"/>
      <c r="F42" s="15"/>
    </row>
    <row r="43" spans="1:6" ht="26.25" customHeight="1" x14ac:dyDescent="0.25">
      <c r="A43" s="15" t="s">
        <v>39</v>
      </c>
      <c r="B43" s="15"/>
      <c r="C43" s="15"/>
      <c r="D43" s="15"/>
      <c r="E43" s="15"/>
      <c r="F43" s="15"/>
    </row>
    <row r="44" spans="1:6" ht="23.25" customHeight="1" x14ac:dyDescent="0.25">
      <c r="A44" s="15" t="s">
        <v>40</v>
      </c>
      <c r="B44" s="15"/>
      <c r="C44" s="15"/>
      <c r="D44" s="15"/>
      <c r="E44" s="15"/>
      <c r="F44" s="15"/>
    </row>
  </sheetData>
  <mergeCells count="12">
    <mergeCell ref="A44:F44"/>
    <mergeCell ref="A37:F37"/>
    <mergeCell ref="A31:F31"/>
    <mergeCell ref="A32:F32"/>
    <mergeCell ref="A33:F33"/>
    <mergeCell ref="A34:F34"/>
    <mergeCell ref="A36:F36"/>
    <mergeCell ref="D3:E3"/>
    <mergeCell ref="A40:F40"/>
    <mergeCell ref="A41:F41"/>
    <mergeCell ref="A42:F42"/>
    <mergeCell ref="A43:F4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2025-12-15T07:35:55Z</dcterms:modified>
</cp:coreProperties>
</file>