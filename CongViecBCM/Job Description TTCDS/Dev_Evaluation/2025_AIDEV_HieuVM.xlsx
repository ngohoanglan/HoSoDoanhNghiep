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D:\LANNGO_PROJECTS\GPKD\HoSoDoanhNghiep\CongViecBCM\Job Description TTCDS\Dev_Evaluation\"/>
    </mc:Choice>
  </mc:AlternateContent>
  <bookViews>
    <workbookView xWindow="0" yWindow="0" windowWidth="28800" windowHeight="12300"/>
  </bookViews>
  <sheets>
    <sheet name="AI Integration Evaluation" sheetId="1" r:id="rId1"/>
  </sheets>
  <calcPr calcId="162913"/>
</workbook>
</file>

<file path=xl/calcChain.xml><?xml version="1.0" encoding="utf-8"?>
<calcChain xmlns="http://schemas.openxmlformats.org/spreadsheetml/2006/main">
  <c r="E7" i="1" l="1"/>
  <c r="E8" i="1"/>
  <c r="E9" i="1"/>
  <c r="E10" i="1"/>
  <c r="E11" i="1"/>
  <c r="E12" i="1"/>
  <c r="E13" i="1"/>
  <c r="E14" i="1"/>
  <c r="E15" i="1"/>
  <c r="E16" i="1"/>
  <c r="E17" i="1"/>
  <c r="E18" i="1"/>
  <c r="E19" i="1"/>
  <c r="E20" i="1"/>
  <c r="E21" i="1"/>
  <c r="E22" i="1"/>
  <c r="E23" i="1"/>
  <c r="E6" i="1"/>
  <c r="C25" i="1" l="1"/>
  <c r="E25" i="1" l="1"/>
  <c r="E26" i="1" s="1"/>
  <c r="E27" i="1" s="1"/>
</calcChain>
</file>

<file path=xl/sharedStrings.xml><?xml version="1.0" encoding="utf-8"?>
<sst xmlns="http://schemas.openxmlformats.org/spreadsheetml/2006/main" count="45" uniqueCount="45">
  <si>
    <t>PHIẾU ĐÁNH GIÁ KỸ SƯ TÍCH HỢP TRÍ TUỆ NHÂN TẠO - SINGLE SHEET</t>
  </si>
  <si>
    <t>STT</t>
  </si>
  <si>
    <t>Kỹ năng / Skill (AI Integration Engineer)</t>
  </si>
  <si>
    <t>Trọng số (%)</t>
  </si>
  <si>
    <t>Điểm (1–3)</t>
  </si>
  <si>
    <t>Điểm quy đổi</t>
  </si>
  <si>
    <t>Ghi chú</t>
  </si>
  <si>
    <t>Hiểu bài toán nghiệp vụ và use case AI</t>
  </si>
  <si>
    <t>Kiến thức về LLM / GenAI và các dịch vụ AI phổ biến</t>
  </si>
  <si>
    <t>Prompt engineering và thiết kế luồng hội thoại</t>
  </si>
  <si>
    <t>Tích hợp API AI vào hệ thống</t>
  </si>
  <si>
    <t>Thiết kế workflow tích hợp AI vào sản phẩm</t>
  </si>
  <si>
    <t>Xử lý dữ liệu đầu vào/ra cho AI</t>
  </si>
  <si>
    <t>Đánh giá chất lượng và kiểm thử giải pháp AI</t>
  </si>
  <si>
    <t>Giám sát, log và xử lý lỗi khi dùng AI</t>
  </si>
  <si>
    <t>Lập trình backend và tích hợp hệ thống</t>
  </si>
  <si>
    <t>Làm việc với dữ liệu và kho tri thức nội bộ</t>
  </si>
  <si>
    <t>Hiểu hạ tầng triển khai (on-prem / cloud) cho giải pháp AI</t>
  </si>
  <si>
    <t>Viết tài liệu kỹ thuật và hướng dẫn sử dụng cho tính năng AI</t>
  </si>
  <si>
    <t>Kỹ năng phối hợp đa bên (Dev, Tester, PO/BA, Security, Infra, người dùng nội bộ)</t>
  </si>
  <si>
    <t>Thiết kế kiến trúc dịch vụ AI dùng chung cho nhiều hệ thống</t>
  </si>
  <si>
    <t>Tối ưu chi phí và hiệu năng sử dụng AI</t>
  </si>
  <si>
    <t>Bảo mật, tuân thủ và quản trị rủi ro khi ứng dụng AI</t>
  </si>
  <si>
    <t>Đánh giá tác động và giá trị kinh doanh của các tính năng AI</t>
  </si>
  <si>
    <t>Huấn luyện và dẫn dắt team về tích hợp AI (AI Integration)</t>
  </si>
  <si>
    <t>Tổng trọng số:</t>
  </si>
  <si>
    <t>Tổng điểm (theo trọng số):</t>
  </si>
  <si>
    <t>Điểm % (0–100):</t>
  </si>
  <si>
    <t>Ghi chú:</t>
  </si>
  <si>
    <t>Điểm đánh giá:</t>
  </si>
  <si>
    <t>1 = Có kiến thức cơ bản; Biết một số kỹ thuật/quy trình quen thuộc để áp dụng; Có khả năng thực hiện các công việc đơn giản hoặc thường xuyên theo sự phân công.</t>
  </si>
  <si>
    <t>2 = Có kiến thức trung bình; Biết nhiều kỹ thuật/phương pháp và có thể chọn cách phù hợp nhất để áp dụng; Có khả năng xác định vấn đề, giải quyết vấn đề phức tạp; Có thể huấn luyện và chỉ đạo người khác trong công việc chung.</t>
  </si>
  <si>
    <t>3 = Có kiến thức nâng cao; Biết nhiều kỹ thuật/phương pháp và có thể bắt đầu cách tiếp cận tương đối mới; Có khả năng xác định vấn đề, giải quyết vấn đề phức tạp; Có thể lãnh đạo và quản lý Nhóm hoặc dự án/chương trình để hoàn thành các nhiệm vụ rất phức tạp.</t>
  </si>
  <si>
    <t>- Điểm quy đổi = (Điểm / 3) × Trọng số. Tổng điểm tối đa ≈ 100 nếu tất cả kỹ năng đạt tốt.</t>
  </si>
  <si>
    <t>- Ngưỡng gợi ý AI Int1–AI Int4 (có thể điều chỉnh): &lt;60=AI Int1; 60–69=AI Int2; 70–79=AI Int3; ≥80=AI Int4.</t>
  </si>
  <si>
    <t>Hướng dẫn sử dụng tóm tắt:</t>
  </si>
  <si>
    <t>B1: Điền Họ tên, Level hiện tại (AI Int1–AI Int4), Kỳ đánh giá.</t>
  </si>
  <si>
    <t>B2: Với từng kỹ năng, chấm Điểm 1–3 dựa trên yêu cầu thực tế và mô tả chi tiết ở phần Điểm đánh giá.</t>
  </si>
  <si>
    <t>B3: Kiểm tra 'Tổng trọng số' ≈ 100 (trừ khi bạn chủ động sửa trọng số).</t>
  </si>
  <si>
    <t>B4: Xem 'Tổng điểm', 'Điểm %' và 'Gợi ý phân loại level (AI Int1–AI Int4)' để tham khảo đề xuất level.</t>
  </si>
  <si>
    <t>B5: Kết hợp kết quả này với đánh giá định tính (thái độ, vai trò dự án, mức độ chủ động và tinh thần trách nhiệm) trước khi ra quyết định chính thức.</t>
  </si>
  <si>
    <t>Họ tên: Võ Minh Hiếu</t>
  </si>
  <si>
    <t>Level hiện tại (AI Engineer 1–4):AI Engineer 2</t>
  </si>
  <si>
    <t>Kỳ đánh giá:2025</t>
  </si>
  <si>
    <t>Gợi ý phân loại level (AI Engineer1–AI Engineer4):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</si>
</sst>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b/>
      <i/>
      <sz val="11"/>
      <color theme="1"/>
      <name val="Calibri"/>
      <family val="2"/>
      <scheme val="minor"/>
    </font>
  </fonts>
  <fills count="4">
    <fill>
      <patternFill patternType="none"/>
    </fill>
    <fill>
      <patternFill patternType="gray125"/>
    </fill>
    <fill>
      <patternFill patternType="solid">
        <fgColor rgb="FFD9E1F2"/>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xf numFmtId="0" fontId="0" fillId="0" borderId="1" xfId="0" applyBorder="1"/>
    <xf numFmtId="0" fontId="0" fillId="0" borderId="1" xfId="0" applyBorder="1" applyAlignment="1">
      <alignment wrapText="1"/>
    </xf>
    <xf numFmtId="0" fontId="3" fillId="0" borderId="0" xfId="0" applyFont="1"/>
    <xf numFmtId="0" fontId="4" fillId="0" borderId="0" xfId="0" applyFont="1"/>
    <xf numFmtId="0" fontId="2" fillId="0" borderId="1" xfId="0" applyFont="1" applyBorder="1"/>
    <xf numFmtId="0" fontId="2" fillId="0" borderId="0" xfId="0" applyFont="1"/>
    <xf numFmtId="0" fontId="4" fillId="0" borderId="1" xfId="0" applyFont="1" applyBorder="1"/>
    <xf numFmtId="0" fontId="0" fillId="0" borderId="0" xfId="0" applyAlignment="1">
      <alignment horizontal="left" vertical="top" wrapText="1"/>
    </xf>
    <xf numFmtId="0" fontId="0" fillId="0" borderId="0" xfId="0" applyAlignment="1">
      <alignment horizontal="center"/>
    </xf>
    <xf numFmtId="0" fontId="3" fillId="3" borderId="0" xfId="0" applyFont="1" applyFill="1"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Views>
    <sheetView tabSelected="1" workbookViewId="0">
      <selection activeCell="B6" sqref="B6:B23"/>
    </sheetView>
  </sheetViews>
  <sheetFormatPr defaultRowHeight="15" x14ac:dyDescent="0.25"/>
  <cols>
    <col min="1" max="1" width="6.7109375" customWidth="1"/>
    <col min="2" max="2" width="75.7109375" customWidth="1"/>
    <col min="3" max="3" width="12.7109375" customWidth="1"/>
    <col min="4" max="4" width="45.140625" customWidth="1"/>
    <col min="5" max="5" width="16.7109375" customWidth="1"/>
    <col min="6" max="6" width="30.7109375" customWidth="1"/>
  </cols>
  <sheetData>
    <row r="1" spans="1:6" ht="18.75" x14ac:dyDescent="0.3">
      <c r="A1" s="1" t="s">
        <v>0</v>
      </c>
    </row>
    <row r="3" spans="1:6" x14ac:dyDescent="0.25">
      <c r="A3" t="s">
        <v>41</v>
      </c>
      <c r="D3" s="11" t="s">
        <v>42</v>
      </c>
      <c r="E3" s="11"/>
      <c r="F3" t="s">
        <v>43</v>
      </c>
    </row>
    <row r="5" spans="1:6" x14ac:dyDescent="0.25">
      <c r="A5" s="2" t="s">
        <v>1</v>
      </c>
      <c r="B5" s="2" t="s">
        <v>2</v>
      </c>
      <c r="C5" s="2" t="s">
        <v>3</v>
      </c>
      <c r="D5" s="2" t="s">
        <v>4</v>
      </c>
      <c r="E5" s="2" t="s">
        <v>5</v>
      </c>
      <c r="F5" s="2" t="s">
        <v>6</v>
      </c>
    </row>
    <row r="6" spans="1:6" x14ac:dyDescent="0.25">
      <c r="A6" s="3">
        <v>1</v>
      </c>
      <c r="B6" s="4" t="s">
        <v>7</v>
      </c>
      <c r="C6" s="3">
        <v>7</v>
      </c>
      <c r="D6" s="3">
        <v>2</v>
      </c>
      <c r="E6" s="3">
        <f>ROUND(IF(D6="","",D6/3*C6),1)</f>
        <v>4.7</v>
      </c>
      <c r="F6" s="3"/>
    </row>
    <row r="7" spans="1:6" x14ac:dyDescent="0.25">
      <c r="A7" s="3">
        <v>2</v>
      </c>
      <c r="B7" s="4" t="s">
        <v>8</v>
      </c>
      <c r="C7" s="3">
        <v>7</v>
      </c>
      <c r="D7" s="3">
        <v>2</v>
      </c>
      <c r="E7" s="3">
        <f t="shared" ref="E7:E23" si="0">ROUND(IF(D7="","",D7/3*C7),1)</f>
        <v>4.7</v>
      </c>
      <c r="F7" s="3"/>
    </row>
    <row r="8" spans="1:6" x14ac:dyDescent="0.25">
      <c r="A8" s="3">
        <v>3</v>
      </c>
      <c r="B8" s="4" t="s">
        <v>9</v>
      </c>
      <c r="C8" s="3">
        <v>7</v>
      </c>
      <c r="D8" s="3">
        <v>3</v>
      </c>
      <c r="E8" s="3">
        <f t="shared" si="0"/>
        <v>7</v>
      </c>
      <c r="F8" s="3"/>
    </row>
    <row r="9" spans="1:6" x14ac:dyDescent="0.25">
      <c r="A9" s="3">
        <v>4</v>
      </c>
      <c r="B9" s="4" t="s">
        <v>10</v>
      </c>
      <c r="C9" s="3">
        <v>7</v>
      </c>
      <c r="D9" s="3">
        <v>2</v>
      </c>
      <c r="E9" s="3">
        <f t="shared" si="0"/>
        <v>4.7</v>
      </c>
      <c r="F9" s="3"/>
    </row>
    <row r="10" spans="1:6" x14ac:dyDescent="0.25">
      <c r="A10" s="3">
        <v>5</v>
      </c>
      <c r="B10" s="4" t="s">
        <v>11</v>
      </c>
      <c r="C10" s="3">
        <v>7</v>
      </c>
      <c r="D10" s="3">
        <v>2</v>
      </c>
      <c r="E10" s="3">
        <f t="shared" si="0"/>
        <v>4.7</v>
      </c>
      <c r="F10" s="3"/>
    </row>
    <row r="11" spans="1:6" x14ac:dyDescent="0.25">
      <c r="A11" s="3">
        <v>6</v>
      </c>
      <c r="B11" s="4" t="s">
        <v>12</v>
      </c>
      <c r="C11" s="3">
        <v>7</v>
      </c>
      <c r="D11" s="3">
        <v>2</v>
      </c>
      <c r="E11" s="3">
        <f t="shared" si="0"/>
        <v>4.7</v>
      </c>
      <c r="F11" s="3"/>
    </row>
    <row r="12" spans="1:6" x14ac:dyDescent="0.25">
      <c r="A12" s="3">
        <v>7</v>
      </c>
      <c r="B12" s="4" t="s">
        <v>13</v>
      </c>
      <c r="C12" s="3">
        <v>7</v>
      </c>
      <c r="D12" s="3">
        <v>2</v>
      </c>
      <c r="E12" s="3">
        <f t="shared" si="0"/>
        <v>4.7</v>
      </c>
      <c r="F12" s="3"/>
    </row>
    <row r="13" spans="1:6" x14ac:dyDescent="0.25">
      <c r="A13" s="3">
        <v>8</v>
      </c>
      <c r="B13" s="4" t="s">
        <v>14</v>
      </c>
      <c r="C13" s="3">
        <v>6</v>
      </c>
      <c r="D13" s="3">
        <v>2</v>
      </c>
      <c r="E13" s="3">
        <f t="shared" si="0"/>
        <v>4</v>
      </c>
      <c r="F13" s="3"/>
    </row>
    <row r="14" spans="1:6" x14ac:dyDescent="0.25">
      <c r="A14" s="3">
        <v>9</v>
      </c>
      <c r="B14" s="4" t="s">
        <v>15</v>
      </c>
      <c r="C14" s="3">
        <v>5</v>
      </c>
      <c r="D14" s="3">
        <v>2</v>
      </c>
      <c r="E14" s="3">
        <f t="shared" si="0"/>
        <v>3.3</v>
      </c>
      <c r="F14" s="3"/>
    </row>
    <row r="15" spans="1:6" x14ac:dyDescent="0.25">
      <c r="A15" s="3">
        <v>10</v>
      </c>
      <c r="B15" s="4" t="s">
        <v>16</v>
      </c>
      <c r="C15" s="3">
        <v>5</v>
      </c>
      <c r="D15" s="3">
        <v>2</v>
      </c>
      <c r="E15" s="3">
        <f t="shared" si="0"/>
        <v>3.3</v>
      </c>
      <c r="F15" s="3"/>
    </row>
    <row r="16" spans="1:6" x14ac:dyDescent="0.25">
      <c r="A16" s="3">
        <v>11</v>
      </c>
      <c r="B16" s="4" t="s">
        <v>17</v>
      </c>
      <c r="C16" s="3">
        <v>5</v>
      </c>
      <c r="D16" s="3">
        <v>3</v>
      </c>
      <c r="E16" s="3">
        <f t="shared" si="0"/>
        <v>5</v>
      </c>
      <c r="F16" s="3"/>
    </row>
    <row r="17" spans="1:6" x14ac:dyDescent="0.25">
      <c r="A17" s="3">
        <v>12</v>
      </c>
      <c r="B17" s="4" t="s">
        <v>18</v>
      </c>
      <c r="C17" s="3">
        <v>5</v>
      </c>
      <c r="D17" s="3">
        <v>1</v>
      </c>
      <c r="E17" s="3">
        <f t="shared" si="0"/>
        <v>1.7</v>
      </c>
      <c r="F17" s="3"/>
    </row>
    <row r="18" spans="1:6" x14ac:dyDescent="0.25">
      <c r="A18" s="3">
        <v>13</v>
      </c>
      <c r="B18" s="4" t="s">
        <v>19</v>
      </c>
      <c r="C18" s="3">
        <v>5</v>
      </c>
      <c r="D18" s="3">
        <v>1</v>
      </c>
      <c r="E18" s="3">
        <f t="shared" si="0"/>
        <v>1.7</v>
      </c>
      <c r="F18" s="3"/>
    </row>
    <row r="19" spans="1:6" x14ac:dyDescent="0.25">
      <c r="A19" s="3">
        <v>14</v>
      </c>
      <c r="B19" s="4" t="s">
        <v>20</v>
      </c>
      <c r="C19" s="3">
        <v>4</v>
      </c>
      <c r="D19" s="3">
        <v>2</v>
      </c>
      <c r="E19" s="3">
        <f t="shared" si="0"/>
        <v>2.7</v>
      </c>
      <c r="F19" s="3"/>
    </row>
    <row r="20" spans="1:6" x14ac:dyDescent="0.25">
      <c r="A20" s="3">
        <v>15</v>
      </c>
      <c r="B20" s="4" t="s">
        <v>21</v>
      </c>
      <c r="C20" s="3">
        <v>4</v>
      </c>
      <c r="D20" s="3">
        <v>2</v>
      </c>
      <c r="E20" s="3">
        <f t="shared" si="0"/>
        <v>2.7</v>
      </c>
      <c r="F20" s="3"/>
    </row>
    <row r="21" spans="1:6" x14ac:dyDescent="0.25">
      <c r="A21" s="3">
        <v>16</v>
      </c>
      <c r="B21" s="4" t="s">
        <v>22</v>
      </c>
      <c r="C21" s="3">
        <v>4</v>
      </c>
      <c r="D21" s="3">
        <v>2</v>
      </c>
      <c r="E21" s="3">
        <f t="shared" si="0"/>
        <v>2.7</v>
      </c>
      <c r="F21" s="3"/>
    </row>
    <row r="22" spans="1:6" x14ac:dyDescent="0.25">
      <c r="A22" s="3">
        <v>17</v>
      </c>
      <c r="B22" s="4" t="s">
        <v>23</v>
      </c>
      <c r="C22" s="3">
        <v>4</v>
      </c>
      <c r="D22" s="3">
        <v>1</v>
      </c>
      <c r="E22" s="3">
        <f t="shared" si="0"/>
        <v>1.3</v>
      </c>
      <c r="F22" s="3"/>
    </row>
    <row r="23" spans="1:6" x14ac:dyDescent="0.25">
      <c r="A23" s="3">
        <v>18</v>
      </c>
      <c r="B23" s="4" t="s">
        <v>24</v>
      </c>
      <c r="C23" s="3">
        <v>4</v>
      </c>
      <c r="D23" s="3">
        <v>1</v>
      </c>
      <c r="E23" s="3">
        <f t="shared" si="0"/>
        <v>1.3</v>
      </c>
      <c r="F23" s="3"/>
    </row>
    <row r="25" spans="1:6" x14ac:dyDescent="0.25">
      <c r="B25" s="6" t="s">
        <v>25</v>
      </c>
      <c r="C25" s="7">
        <f>SUM(C6:C23)</f>
        <v>100</v>
      </c>
      <c r="D25" s="9" t="s">
        <v>26</v>
      </c>
      <c r="E25" s="7">
        <f>SUM(E6:E23)</f>
        <v>64.900000000000006</v>
      </c>
    </row>
    <row r="26" spans="1:6" x14ac:dyDescent="0.25">
      <c r="B26" s="8"/>
      <c r="C26" s="7"/>
      <c r="D26" s="9" t="s">
        <v>27</v>
      </c>
      <c r="E26" s="7">
        <f>IF(C25=0,"",E25/C25*100)</f>
        <v>64.900000000000006</v>
      </c>
    </row>
    <row r="27" spans="1:6" x14ac:dyDescent="0.25">
      <c r="B27" s="8"/>
      <c r="C27" s="7"/>
      <c r="D27" s="9" t="s">
        <v>44</v>
      </c>
      <c r="E27" s="7" t="str">
        <f>IF(E26="","",IF(E26&gt;=80,"AI Engineer 4",IF(E26&gt;=70,"AI Engineer 3",IF(E26&gt;=60,"AI Engineer 2","AI Engineer 1"))))</f>
        <v>AI Engineer 2</v>
      </c>
    </row>
    <row r="29" spans="1:6" x14ac:dyDescent="0.25">
      <c r="A29" s="12" t="s">
        <v>28</v>
      </c>
      <c r="B29" s="12"/>
      <c r="C29" s="12"/>
      <c r="D29" s="12"/>
      <c r="E29" s="12"/>
      <c r="F29" s="12"/>
    </row>
    <row r="30" spans="1:6" ht="16.5" customHeight="1" x14ac:dyDescent="0.25">
      <c r="A30" s="10" t="s">
        <v>29</v>
      </c>
      <c r="B30" s="10"/>
      <c r="C30" s="10"/>
      <c r="D30" s="10"/>
      <c r="E30" s="10"/>
      <c r="F30" s="10"/>
    </row>
    <row r="31" spans="1:6" ht="24.75" customHeight="1" x14ac:dyDescent="0.25">
      <c r="A31" s="10" t="s">
        <v>30</v>
      </c>
      <c r="B31" s="10"/>
      <c r="C31" s="10"/>
      <c r="D31" s="10"/>
      <c r="E31" s="10"/>
      <c r="F31" s="10"/>
    </row>
    <row r="32" spans="1:6" ht="29.25" customHeight="1" x14ac:dyDescent="0.25">
      <c r="A32" s="10" t="s">
        <v>31</v>
      </c>
      <c r="B32" s="10"/>
      <c r="C32" s="10"/>
      <c r="D32" s="10"/>
      <c r="E32" s="10"/>
      <c r="F32" s="10"/>
    </row>
    <row r="33" spans="1:6" ht="35.25" customHeight="1" x14ac:dyDescent="0.25">
      <c r="A33" s="10" t="s">
        <v>32</v>
      </c>
      <c r="B33" s="10"/>
      <c r="C33" s="10"/>
      <c r="D33" s="10"/>
      <c r="E33" s="10"/>
      <c r="F33" s="10"/>
    </row>
    <row r="35" spans="1:6" ht="23.25" customHeight="1" x14ac:dyDescent="0.25">
      <c r="A35" s="10" t="s">
        <v>33</v>
      </c>
      <c r="B35" s="10"/>
      <c r="C35" s="10"/>
      <c r="D35" s="10"/>
      <c r="E35" s="10"/>
      <c r="F35" s="10"/>
    </row>
    <row r="36" spans="1:6" ht="21.75" customHeight="1" x14ac:dyDescent="0.25">
      <c r="A36" s="10" t="s">
        <v>34</v>
      </c>
      <c r="B36" s="10"/>
      <c r="C36" s="10"/>
      <c r="D36" s="10"/>
      <c r="E36" s="10"/>
      <c r="F36" s="10"/>
    </row>
    <row r="38" spans="1:6" x14ac:dyDescent="0.25">
      <c r="A38" s="5" t="s">
        <v>35</v>
      </c>
    </row>
    <row r="39" spans="1:6" ht="24" customHeight="1" x14ac:dyDescent="0.25">
      <c r="A39" s="10" t="s">
        <v>36</v>
      </c>
      <c r="B39" s="10"/>
      <c r="C39" s="10"/>
      <c r="D39" s="10"/>
      <c r="E39" s="10"/>
      <c r="F39" s="10"/>
    </row>
    <row r="40" spans="1:6" ht="24" customHeight="1" x14ac:dyDescent="0.25">
      <c r="A40" s="10" t="s">
        <v>37</v>
      </c>
      <c r="B40" s="10"/>
      <c r="C40" s="10"/>
      <c r="D40" s="10"/>
      <c r="E40" s="10"/>
      <c r="F40" s="10"/>
    </row>
    <row r="41" spans="1:6" ht="18.75" customHeight="1" x14ac:dyDescent="0.25">
      <c r="A41" s="10" t="s">
        <v>38</v>
      </c>
      <c r="B41" s="10"/>
      <c r="C41" s="10"/>
      <c r="D41" s="10"/>
      <c r="E41" s="10"/>
      <c r="F41" s="10"/>
    </row>
    <row r="42" spans="1:6" ht="15.75" customHeight="1" x14ac:dyDescent="0.25">
      <c r="A42" s="13" t="s">
        <v>39</v>
      </c>
      <c r="B42" s="13"/>
      <c r="C42" s="13"/>
      <c r="D42" s="13"/>
      <c r="E42" s="13"/>
      <c r="F42" s="13"/>
    </row>
    <row r="43" spans="1:6" ht="20.25" customHeight="1" x14ac:dyDescent="0.25">
      <c r="A43" s="10" t="s">
        <v>40</v>
      </c>
      <c r="B43" s="10"/>
      <c r="C43" s="10"/>
      <c r="D43" s="10"/>
      <c r="E43" s="10"/>
      <c r="F43" s="10"/>
    </row>
  </sheetData>
  <mergeCells count="13">
    <mergeCell ref="A43:F43"/>
    <mergeCell ref="A35:F35"/>
    <mergeCell ref="A36:F36"/>
    <mergeCell ref="A39:F39"/>
    <mergeCell ref="A40:F40"/>
    <mergeCell ref="A41:F41"/>
    <mergeCell ref="A42:F42"/>
    <mergeCell ref="A33:F33"/>
    <mergeCell ref="D3:E3"/>
    <mergeCell ref="A29:F29"/>
    <mergeCell ref="A30:F30"/>
    <mergeCell ref="A31:F31"/>
    <mergeCell ref="A32:F32"/>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Integration Evaluation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cp:lastModifiedBy>
  <dcterms:created xsi:type="dcterms:W3CDTF">2025-12-17T06:48:34Z</dcterms:created>
  <dcterms:modified xsi:type="dcterms:W3CDTF">2025-12-17T07:10:36Z</dcterms:modified>
</cp:coreProperties>
</file>