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NNGO_PROJECTS\GPKD\HoSoDoanhNghiep\CongViecBCM\Job Description TTCDS\Dev_Evaluation\"/>
    </mc:Choice>
  </mc:AlternateContent>
  <bookViews>
    <workbookView xWindow="0" yWindow="0" windowWidth="28800" windowHeight="12000"/>
  </bookViews>
  <sheets>
    <sheet name="PO Evaluation" sheetId="1" r:id="rId1"/>
  </sheets>
  <calcPr calcId="162913"/>
</workbook>
</file>

<file path=xl/calcChain.xml><?xml version="1.0" encoding="utf-8"?>
<calcChain xmlns="http://schemas.openxmlformats.org/spreadsheetml/2006/main">
  <c r="E27" i="1" l="1"/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6" i="1"/>
  <c r="C25" i="1" l="1"/>
  <c r="E25" i="1" l="1"/>
  <c r="E26" i="1" s="1"/>
</calcChain>
</file>

<file path=xl/sharedStrings.xml><?xml version="1.0" encoding="utf-8"?>
<sst xmlns="http://schemas.openxmlformats.org/spreadsheetml/2006/main" count="45" uniqueCount="45">
  <si>
    <t>PHIẾU ĐÁNH GIÁ PRODUCT OWNER (PO) - SINGLE SHEET</t>
  </si>
  <si>
    <t>STT</t>
  </si>
  <si>
    <t>Kỹ năng / Skill (PO)</t>
  </si>
  <si>
    <t>Trọng số (%)</t>
  </si>
  <si>
    <t>Điểm (1–3)</t>
  </si>
  <si>
    <t>Điểm quy đổi</t>
  </si>
  <si>
    <t>Ghi chú</t>
  </si>
  <si>
    <t>Tổng trọng số:</t>
  </si>
  <si>
    <t>Tổng điểm (theo trọng số):</t>
  </si>
  <si>
    <t>Điểm % (0–100):</t>
  </si>
  <si>
    <t>Gợi ý phân loại level (PO1–PO4):</t>
  </si>
  <si>
    <t>Ghi chú:</t>
  </si>
  <si>
    <t>Điểm đánh giá:</t>
  </si>
  <si>
    <t>1 = Có kiến thức cơ bản; Biết một số kỹ thuật/quy trình quen thuộc để áp dụng; Có khả năng thực hiện các công việc đơn giản hoặc thường xuyên theo sự phân công.</t>
  </si>
  <si>
    <t>2 = Có kiến thức trung bình; Biết nhiều kỹ thuật/phương pháp và có thể chọn cách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</si>
  <si>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thuật/phương pháp và có thể bắt đầu cách tiếp cận tương đối mới;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</si>
  <si>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</si>
  <si>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PO1–PO4 (có thể điều chỉnh): &lt;60=PO1; 60–69=PO2; 70–79=PO3; ≥80=PO4.</t>
  </si>
  <si>
    <t>Hướng dẫn sử dụng tóm tắt:</t>
  </si>
  <si>
    <t>B1: Điền Họ tên, Level hiện tại (PO1–PO4), Kỳ đánh giá.</t>
  </si>
  <si>
    <t>B2: Với từng kỹ năng, chấm Điểm 1–3 dựa trên yêu cầu thực tế và mô tả chi tiết ở phần Điểm đánh giá.</t>
  </si>
  <si>
    <t>B3: Kiểm tra 'Tổng trọng số' ≈ 100 (trừ khi bạn chủ động sửa trọng số).</t>
  </si>
  <si>
    <t>B4: Xem 'Tổng điểm', 'Điểm %' và 'Gợi ý phân loại level (PO1–PO4)' để tham khảo đề xuất level.</t>
  </si>
  <si>
    <t>B5: Kết hợp kết quả này với đánh giá định tính (thái độ, vai trò dự án, mức độ đáp ứng Stakeholder) trước khi ra quyết định chính thức.</t>
  </si>
  <si>
    <t>Level hiện tại (PO1–PO4):2</t>
  </si>
  <si>
    <t>Kỳ đánh giá:2025</t>
  </si>
  <si>
    <t>Hiểu sản phẩm và tầm nhìn</t>
  </si>
  <si>
    <t>Hiểu khách hàng và nhu cầu</t>
  </si>
  <si>
    <t>Quản lý Product Backlog và ưu tiên</t>
  </si>
  <si>
    <t>Viết và quản lý yêu cầu (User Story, tiêu chí chấp nhận)</t>
  </si>
  <si>
    <t>Lập roadmap và kế hoạch phát hành sản phẩm</t>
  </si>
  <si>
    <t>Ra quyết định dựa trên dữ liệu (chỉ số và phân tích sản phẩm)</t>
  </si>
  <si>
    <t>Quản lý phạm vi và giá trị (scope, ưu tiên giá trị, trade-off)</t>
  </si>
  <si>
    <t>Hiểu nghiệp vụ và quy trình kinh doanh</t>
  </si>
  <si>
    <t>Giao tiếp và quản lý các bên liên quan (Stakeholder nội bộ/ngoại bộ)</t>
  </si>
  <si>
    <t>Phối hợp với Dev, Tester, UX trong mô hình Agile/Scrum</t>
  </si>
  <si>
    <t>Dẫn dắt các buổi họp sản phẩm (refinement, planning, review, retro)</t>
  </si>
  <si>
    <t>Kỹ năng trình bày và thuyết phục</t>
  </si>
  <si>
    <t>Xây dựng và quản lý tài liệu sản phẩm (spec, hướng dẫn, release notes, FAQ)</t>
  </si>
  <si>
    <t>Dẫn dắt thử nghiệm sản phẩm(MVP, A/B testing, kiểm thử giả thuyết)</t>
  </si>
  <si>
    <t>Quản lý rủi ro và vấn đề của sản phẩm</t>
  </si>
  <si>
    <t>Quản lý nhiều sản phẩm hoặc nhiều dòng sản phẩm</t>
  </si>
  <si>
    <t>Định hướng sản phẩm và bảo đảm phù hợp với chiến lược tổ chức</t>
  </si>
  <si>
    <t>Huấn luyện và dẫn dắt các PO/BA khác</t>
  </si>
  <si>
    <t>Họ tên: Nguyễn Thị Nữ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</si>
</sst>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2" fillId="0" borderId="1" xfId="0" applyFont="1" applyBorder="1"/>
    <xf numFmtId="0" fontId="2" fillId="0" borderId="0" xfId="0" applyFont="1"/>
    <xf numFmtId="0" fontId="4" fillId="0" borderId="1" xfId="0" applyFont="1" applyBorder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12" workbookViewId="0">
      <selection activeCell="E27" sqref="E27"/>
    </sheetView>
  </sheetViews>
  <sheetFormatPr defaultRowHeight="15" x14ac:dyDescent="0.25"/>
  <cols>
    <col min="1" max="1" width="6.7109375" customWidth="1"/>
    <col min="2" max="2" width="65.7109375" customWidth="1"/>
    <col min="3" max="3" width="12.7109375" customWidth="1"/>
    <col min="4" max="4" width="30.42578125" customWidth="1"/>
    <col min="5" max="5" width="16.7109375" customWidth="1"/>
    <col min="6" max="6" width="30.7109375" customWidth="1"/>
  </cols>
  <sheetData>
    <row r="1" spans="1:6" ht="18.75" x14ac:dyDescent="0.3">
      <c r="A1" s="1" t="s">
        <v>0</v>
      </c>
    </row>
    <row r="3" spans="1:6" x14ac:dyDescent="0.25">
      <c r="A3" t="s">
        <v>44</v>
      </c>
      <c r="D3" t="s">
        <v>24</v>
      </c>
      <c r="F3" t="s">
        <v>25</v>
      </c>
    </row>
    <row r="5" spans="1:6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25">
      <c r="A6" s="3">
        <v>1</v>
      </c>
      <c r="B6" s="4" t="s">
        <v>26</v>
      </c>
      <c r="C6" s="3">
        <v>7</v>
      </c>
      <c r="D6" s="3">
        <v>2</v>
      </c>
      <c r="E6" s="3">
        <f>ROUND(IF(D6="","",D6/3*C6),1)</f>
        <v>4.7</v>
      </c>
      <c r="F6" s="3"/>
    </row>
    <row r="7" spans="1:6" x14ac:dyDescent="0.25">
      <c r="A7" s="3">
        <v>2</v>
      </c>
      <c r="B7" s="4" t="s">
        <v>27</v>
      </c>
      <c r="C7" s="3">
        <v>7</v>
      </c>
      <c r="D7" s="3">
        <v>2</v>
      </c>
      <c r="E7" s="3">
        <f t="shared" ref="E7:E23" si="0">ROUND(IF(D7="","",D7/3*C7),1)</f>
        <v>4.7</v>
      </c>
      <c r="F7" s="3"/>
    </row>
    <row r="8" spans="1:6" x14ac:dyDescent="0.25">
      <c r="A8" s="3">
        <v>3</v>
      </c>
      <c r="B8" s="4" t="s">
        <v>28</v>
      </c>
      <c r="C8" s="3">
        <v>7</v>
      </c>
      <c r="D8" s="3">
        <v>2</v>
      </c>
      <c r="E8" s="3">
        <f t="shared" si="0"/>
        <v>4.7</v>
      </c>
      <c r="F8" s="3"/>
    </row>
    <row r="9" spans="1:6" x14ac:dyDescent="0.25">
      <c r="A9" s="3">
        <v>4</v>
      </c>
      <c r="B9" s="4" t="s">
        <v>29</v>
      </c>
      <c r="C9" s="3">
        <v>7</v>
      </c>
      <c r="D9" s="3">
        <v>2</v>
      </c>
      <c r="E9" s="3">
        <f t="shared" si="0"/>
        <v>4.7</v>
      </c>
      <c r="F9" s="3"/>
    </row>
    <row r="10" spans="1:6" x14ac:dyDescent="0.25">
      <c r="A10" s="3">
        <v>5</v>
      </c>
      <c r="B10" s="4" t="s">
        <v>30</v>
      </c>
      <c r="C10" s="3">
        <v>7</v>
      </c>
      <c r="D10" s="3">
        <v>2</v>
      </c>
      <c r="E10" s="3">
        <f t="shared" si="0"/>
        <v>4.7</v>
      </c>
      <c r="F10" s="3"/>
    </row>
    <row r="11" spans="1:6" x14ac:dyDescent="0.25">
      <c r="A11" s="3">
        <v>6</v>
      </c>
      <c r="B11" s="4" t="s">
        <v>31</v>
      </c>
      <c r="C11" s="3">
        <v>7</v>
      </c>
      <c r="D11" s="3">
        <v>1</v>
      </c>
      <c r="E11" s="3">
        <f t="shared" si="0"/>
        <v>2.2999999999999998</v>
      </c>
      <c r="F11" s="3"/>
    </row>
    <row r="12" spans="1:6" x14ac:dyDescent="0.25">
      <c r="A12" s="3">
        <v>7</v>
      </c>
      <c r="B12" s="4" t="s">
        <v>32</v>
      </c>
      <c r="C12" s="3">
        <v>7</v>
      </c>
      <c r="D12" s="3">
        <v>2</v>
      </c>
      <c r="E12" s="3">
        <f t="shared" si="0"/>
        <v>4.7</v>
      </c>
      <c r="F12" s="3"/>
    </row>
    <row r="13" spans="1:6" x14ac:dyDescent="0.25">
      <c r="A13" s="3">
        <v>8</v>
      </c>
      <c r="B13" s="4" t="s">
        <v>33</v>
      </c>
      <c r="C13" s="3">
        <v>6</v>
      </c>
      <c r="D13" s="3">
        <v>2</v>
      </c>
      <c r="E13" s="3">
        <f t="shared" si="0"/>
        <v>4</v>
      </c>
      <c r="F13" s="3"/>
    </row>
    <row r="14" spans="1:6" x14ac:dyDescent="0.25">
      <c r="A14" s="3">
        <v>9</v>
      </c>
      <c r="B14" s="4" t="s">
        <v>34</v>
      </c>
      <c r="C14" s="3">
        <v>5</v>
      </c>
      <c r="D14" s="3">
        <v>2</v>
      </c>
      <c r="E14" s="3">
        <f t="shared" si="0"/>
        <v>3.3</v>
      </c>
      <c r="F14" s="3"/>
    </row>
    <row r="15" spans="1:6" x14ac:dyDescent="0.25">
      <c r="A15" s="3">
        <v>10</v>
      </c>
      <c r="B15" s="4" t="s">
        <v>35</v>
      </c>
      <c r="C15" s="3">
        <v>5</v>
      </c>
      <c r="D15" s="3">
        <v>2</v>
      </c>
      <c r="E15" s="3">
        <f t="shared" si="0"/>
        <v>3.3</v>
      </c>
      <c r="F15" s="3"/>
    </row>
    <row r="16" spans="1:6" x14ac:dyDescent="0.25">
      <c r="A16" s="3">
        <v>11</v>
      </c>
      <c r="B16" s="4" t="s">
        <v>36</v>
      </c>
      <c r="C16" s="3">
        <v>5</v>
      </c>
      <c r="D16" s="3">
        <v>2</v>
      </c>
      <c r="E16" s="3">
        <f t="shared" si="0"/>
        <v>3.3</v>
      </c>
      <c r="F16" s="3"/>
    </row>
    <row r="17" spans="1:6" x14ac:dyDescent="0.25">
      <c r="A17" s="3">
        <v>12</v>
      </c>
      <c r="B17" s="4" t="s">
        <v>37</v>
      </c>
      <c r="C17" s="3">
        <v>5</v>
      </c>
      <c r="D17" s="3">
        <v>2</v>
      </c>
      <c r="E17" s="3">
        <f t="shared" si="0"/>
        <v>3.3</v>
      </c>
      <c r="F17" s="3"/>
    </row>
    <row r="18" spans="1:6" ht="30" x14ac:dyDescent="0.25">
      <c r="A18" s="3">
        <v>13</v>
      </c>
      <c r="B18" s="4" t="s">
        <v>38</v>
      </c>
      <c r="C18" s="3">
        <v>5</v>
      </c>
      <c r="D18" s="3">
        <v>2</v>
      </c>
      <c r="E18" s="3">
        <f t="shared" si="0"/>
        <v>3.3</v>
      </c>
      <c r="F18" s="3"/>
    </row>
    <row r="19" spans="1:6" x14ac:dyDescent="0.25">
      <c r="A19" s="3">
        <v>14</v>
      </c>
      <c r="B19" s="4" t="s">
        <v>39</v>
      </c>
      <c r="C19" s="3">
        <v>4</v>
      </c>
      <c r="D19" s="3">
        <v>2</v>
      </c>
      <c r="E19" s="3">
        <f t="shared" si="0"/>
        <v>2.7</v>
      </c>
      <c r="F19" s="3"/>
    </row>
    <row r="20" spans="1:6" x14ac:dyDescent="0.25">
      <c r="A20" s="3">
        <v>15</v>
      </c>
      <c r="B20" s="4" t="s">
        <v>40</v>
      </c>
      <c r="C20" s="3">
        <v>4</v>
      </c>
      <c r="D20" s="3">
        <v>2</v>
      </c>
      <c r="E20" s="3">
        <f t="shared" si="0"/>
        <v>2.7</v>
      </c>
      <c r="F20" s="3"/>
    </row>
    <row r="21" spans="1:6" x14ac:dyDescent="0.25">
      <c r="A21" s="3">
        <v>16</v>
      </c>
      <c r="B21" s="4" t="s">
        <v>41</v>
      </c>
      <c r="C21" s="3">
        <v>4</v>
      </c>
      <c r="D21" s="3">
        <v>2</v>
      </c>
      <c r="E21" s="3">
        <f t="shared" si="0"/>
        <v>2.7</v>
      </c>
      <c r="F21" s="3"/>
    </row>
    <row r="22" spans="1:6" x14ac:dyDescent="0.25">
      <c r="A22" s="3">
        <v>17</v>
      </c>
      <c r="B22" s="4" t="s">
        <v>42</v>
      </c>
      <c r="C22" s="3">
        <v>4</v>
      </c>
      <c r="D22" s="3">
        <v>1</v>
      </c>
      <c r="E22" s="3">
        <f t="shared" si="0"/>
        <v>1.3</v>
      </c>
      <c r="F22" s="3"/>
    </row>
    <row r="23" spans="1:6" x14ac:dyDescent="0.25">
      <c r="A23" s="3">
        <v>18</v>
      </c>
      <c r="B23" s="4" t="s">
        <v>43</v>
      </c>
      <c r="C23" s="3">
        <v>4</v>
      </c>
      <c r="D23" s="3">
        <v>1</v>
      </c>
      <c r="E23" s="3">
        <f t="shared" si="0"/>
        <v>1.3</v>
      </c>
      <c r="F23" s="3"/>
    </row>
    <row r="25" spans="1:6" x14ac:dyDescent="0.25">
      <c r="B25" s="7" t="s">
        <v>7</v>
      </c>
      <c r="C25" s="8">
        <f>SUM(C6:C23)</f>
        <v>100</v>
      </c>
      <c r="D25" s="10" t="s">
        <v>8</v>
      </c>
      <c r="E25" s="8">
        <f>SUM(E6:E23)</f>
        <v>61.699999999999989</v>
      </c>
    </row>
    <row r="26" spans="1:6" x14ac:dyDescent="0.25">
      <c r="B26" s="9"/>
      <c r="C26" s="8"/>
      <c r="D26" s="10" t="s">
        <v>9</v>
      </c>
      <c r="E26" s="8">
        <f>IF(C25=0,"",E25/C25*100)</f>
        <v>61.699999999999989</v>
      </c>
    </row>
    <row r="27" spans="1:6" x14ac:dyDescent="0.25">
      <c r="B27" s="9"/>
      <c r="C27" s="8"/>
      <c r="D27" s="10" t="s">
        <v>10</v>
      </c>
      <c r="E27" s="8" t="str">
        <f>IF(E26="","",IF(E26&gt;=80,"Product Owner 4",IF(E26&gt;=70,"Product Owner 3",IF(E26&gt;=60,"Product Owner 2","Product Owner 1"))))</f>
        <v>Product Owner 2</v>
      </c>
    </row>
    <row r="29" spans="1:6" x14ac:dyDescent="0.25">
      <c r="A29" s="5" t="s">
        <v>11</v>
      </c>
      <c r="B29" s="6"/>
      <c r="C29" s="6"/>
      <c r="D29" s="6"/>
      <c r="E29" s="6"/>
      <c r="F29" s="6"/>
    </row>
    <row r="30" spans="1:6" ht="21.75" customHeight="1" x14ac:dyDescent="0.25">
      <c r="A30" s="12" t="s">
        <v>12</v>
      </c>
      <c r="B30" s="12"/>
      <c r="C30" s="12"/>
      <c r="D30" s="12"/>
      <c r="E30" s="12"/>
      <c r="F30" s="12"/>
    </row>
    <row r="31" spans="1:6" ht="26.25" customHeight="1" x14ac:dyDescent="0.25">
      <c r="A31" s="11" t="s">
        <v>13</v>
      </c>
      <c r="B31" s="11"/>
      <c r="C31" s="11"/>
      <c r="D31" s="11"/>
      <c r="E31" s="11"/>
      <c r="F31" s="11"/>
    </row>
    <row r="32" spans="1:6" ht="42" customHeight="1" x14ac:dyDescent="0.25">
      <c r="A32" s="11" t="s">
        <v>14</v>
      </c>
      <c r="B32" s="11"/>
      <c r="C32" s="11"/>
      <c r="D32" s="11"/>
      <c r="E32" s="11"/>
      <c r="F32" s="11"/>
    </row>
    <row r="33" spans="1:6" ht="39" customHeight="1" x14ac:dyDescent="0.25">
      <c r="A33" s="11" t="s">
        <v>15</v>
      </c>
      <c r="B33" s="11"/>
      <c r="C33" s="11"/>
      <c r="D33" s="11"/>
      <c r="E33" s="11"/>
      <c r="F33" s="11"/>
    </row>
    <row r="35" spans="1:6" ht="19.5" customHeight="1" x14ac:dyDescent="0.25">
      <c r="A35" s="11" t="s">
        <v>16</v>
      </c>
      <c r="B35" s="11"/>
      <c r="C35" s="11"/>
      <c r="D35" s="11"/>
      <c r="E35" s="11"/>
      <c r="F35" s="11"/>
    </row>
    <row r="36" spans="1:6" ht="21" customHeight="1" x14ac:dyDescent="0.25">
      <c r="A36" s="11" t="s">
        <v>17</v>
      </c>
      <c r="B36" s="11"/>
      <c r="C36" s="11"/>
      <c r="D36" s="11"/>
      <c r="E36" s="11"/>
      <c r="F36" s="11"/>
    </row>
    <row r="38" spans="1:6" x14ac:dyDescent="0.25">
      <c r="A38" s="7" t="s">
        <v>18</v>
      </c>
    </row>
    <row r="39" spans="1:6" ht="24" customHeight="1" x14ac:dyDescent="0.25">
      <c r="A39" s="11" t="s">
        <v>19</v>
      </c>
      <c r="B39" s="11"/>
      <c r="C39" s="11"/>
      <c r="D39" s="11"/>
      <c r="E39" s="11"/>
      <c r="F39" s="11"/>
    </row>
    <row r="40" spans="1:6" ht="26.25" customHeight="1" x14ac:dyDescent="0.25">
      <c r="A40" s="11" t="s">
        <v>20</v>
      </c>
      <c r="B40" s="11"/>
      <c r="C40" s="11"/>
      <c r="D40" s="11"/>
      <c r="E40" s="11"/>
      <c r="F40" s="11"/>
    </row>
    <row r="41" spans="1:6" ht="25.5" customHeight="1" x14ac:dyDescent="0.25">
      <c r="A41" s="11" t="s">
        <v>21</v>
      </c>
      <c r="B41" s="11"/>
      <c r="C41" s="11"/>
      <c r="D41" s="11"/>
      <c r="E41" s="11"/>
      <c r="F41" s="11"/>
    </row>
    <row r="42" spans="1:6" ht="21.75" customHeight="1" x14ac:dyDescent="0.25">
      <c r="A42" s="11" t="s">
        <v>22</v>
      </c>
      <c r="B42" s="11"/>
      <c r="C42" s="11"/>
      <c r="D42" s="11"/>
      <c r="E42" s="11"/>
      <c r="F42" s="11"/>
    </row>
    <row r="43" spans="1:6" ht="23.25" customHeight="1" x14ac:dyDescent="0.25">
      <c r="A43" s="11" t="s">
        <v>23</v>
      </c>
      <c r="B43" s="11"/>
      <c r="C43" s="11"/>
      <c r="D43" s="11"/>
      <c r="E43" s="11"/>
      <c r="F43" s="11"/>
    </row>
  </sheetData>
  <mergeCells count="11">
    <mergeCell ref="A39:F39"/>
    <mergeCell ref="A40:F40"/>
    <mergeCell ref="A41:F41"/>
    <mergeCell ref="A42:F42"/>
    <mergeCell ref="A43:F43"/>
    <mergeCell ref="A36:F36"/>
    <mergeCell ref="A30:F30"/>
    <mergeCell ref="A31:F31"/>
    <mergeCell ref="A32:F32"/>
    <mergeCell ref="A33:F33"/>
    <mergeCell ref="A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2025-12-15T09:07:27Z</dcterms:created>
  <dcterms:modified xsi:type="dcterms:W3CDTF">2025-12-17T02:01:34Z</dcterms:modified>
</cp:coreProperties>
</file>