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3.xml" ContentType="application/vnd.openxmlformats-officedocument.spreadsheetml.comments+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comments5.xml" ContentType="application/vnd.openxmlformats-officedocument.spreadsheetml.comments+xml"/>
  <Override PartName="/xl/drawings/drawing9.xml" ContentType="application/vnd.openxmlformats-officedocument.drawing+xml"/>
  <Override PartName="/xl/comments6.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8"/>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'1-DEV'!$A$1:$G$56</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14" i="19" l="1"/>
  <c r="E13" i="19"/>
  <c r="E12" i="19" l="1"/>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comments1.xml><?xml version="1.0" encoding="utf-8"?>
<comments xmlns="http://schemas.openxmlformats.org/spreadsheetml/2006/main">
  <authors>
    <author>user</author>
  </authors>
  <commentList>
    <comment ref="B47"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comments2.xml><?xml version="1.0" encoding="utf-8"?>
<comments xmlns="http://schemas.openxmlformats.org/spreadsheetml/2006/main">
  <authors>
    <author>user</author>
  </authors>
  <commentList>
    <comment ref="B47"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comments3.xml><?xml version="1.0" encoding="utf-8"?>
<comments xmlns="http://schemas.openxmlformats.org/spreadsheetml/2006/main">
  <authors>
    <author>user</author>
  </authors>
  <commentList>
    <comment ref="B48"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comments4.xml><?xml version="1.0" encoding="utf-8"?>
<comments xmlns="http://schemas.openxmlformats.org/spreadsheetml/2006/main">
  <authors>
    <author>user</author>
  </authors>
  <commentList>
    <comment ref="B48"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comments5.xml><?xml version="1.0" encoding="utf-8"?>
<comments xmlns="http://schemas.openxmlformats.org/spreadsheetml/2006/main">
  <authors>
    <author>user</author>
  </authors>
  <commentList>
    <comment ref="B48"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comments6.xml><?xml version="1.0" encoding="utf-8"?>
<comments xmlns="http://schemas.openxmlformats.org/spreadsheetml/2006/main">
  <authors>
    <author>user</author>
  </authors>
  <commentList>
    <comment ref="B48" authorId="0" shapeId="0">
      <text>
        <r>
          <rPr>
            <b/>
            <sz val="9"/>
            <color indexed="81"/>
            <rFont val="Tahoma"/>
            <charset val="1"/>
          </rPr>
          <t>user:</t>
        </r>
        <r>
          <rPr>
            <sz val="9"/>
            <color indexed="81"/>
            <rFont val="Tahoma"/>
            <charset val="1"/>
          </rPr>
          <t xml:space="preserve">
Ghi chú:      
- Bảng này dùng để tham khảo trong xét thăng cấp, cần kết hợp với phiếu đánh giá chi tiết và đánh giá định tính của quản lý.
- Thời gian ở mỗi level có thể linh hoạt (rút ngắn hoặc kéo dài) dựa trên thành tích thực tế và nhu cầu tổ chức.
- Chứng chỉ/khóa học là yếu tố khuyến khích/ưu tiên, không nhất thiết là điều kiện bắt buộc nếu năng lực thực tế và minh chứng dự án đã rất rõ ràng.
- Có thể thay thế bằng các chứng chỉ/khóa học tương đương phù hợp với định hướng công nghệ và quy mô dự án của Trung Tâm.</t>
        </r>
      </text>
    </comment>
  </commentList>
</comments>
</file>

<file path=xl/sharedStrings.xml><?xml version="1.0" encoding="utf-8"?>
<sst xmlns="http://schemas.openxmlformats.org/spreadsheetml/2006/main" count="1377" uniqueCount="650">
  <si>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</si>
  <si>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</si>
  <si>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</si>
  <si>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</si>
  <si>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</si>
  <si>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</si>
  <si>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</si>
  <si>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</si>
  <si>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</si>
  <si>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</si>
  <si>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</si>
  <si>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</si>
  <si>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</si>
  <si>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</si>
  <si>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</si>
  <si>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</si>
  <si>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</si>
  <si>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</si>
  <si>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</si>
  <si>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</si>
  <si>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</si>
  <si>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</si>
  <si>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</si>
  <si>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</si>
  <si>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</si>
  <si>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</si>
  <si>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</si>
  <si>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</si>
  <si>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</si>
  <si>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</si>
  <si>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</si>
  <si>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</si>
  <si>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</si>
  <si>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</si>
  <si>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</si>
  <si>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</si>
  <si>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</si>
  <si>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</si>
  <si>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</si>
  <si>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</si>
  <si>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</si>
  <si>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</si>
  <si>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</si>
  <si>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</si>
  <si>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</si>
  <si>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</si>
  <si>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</si>
  <si>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</si>
  <si>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</si>
  <si>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</si>
  <si>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</si>
  <si>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</si>
  <si>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</si>
  <si>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</si>
  <si>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</si>
  <si>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</si>
  <si>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</si>
  <si>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</si>
  <si>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</si>
  <si>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</si>
  <si>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</si>
  <si>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</si>
  <si>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</si>
  <si>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</si>
  <si>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</si>
  <si>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</si>
  <si>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</si>
  <si>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</si>
  <si>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</si>
  <si>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</si>
  <si>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</si>
  <si>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</si>
  <si>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</si>
  <si>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</si>
  <si>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</si>
  <si>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</si>
  <si>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</si>
  <si>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</si>
  <si>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</si>
  <si>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</si>
  <si>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</si>
  <si>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</si>
  <si>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</si>
  <si>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</si>
  <si>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</si>
  <si>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</si>
  <si>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</si>
  <si>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</si>
  <si>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</si>
  <si>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</si>
  <si>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</si>
  <si>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</si>
  <si>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</si>
  <si>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</si>
  <si>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</si>
  <si>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</si>
  <si>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</si>
  <si>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</si>
  <si>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</si>
  <si>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</si>
  <si>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</si>
  <si>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</si>
  <si>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</si>
  <si>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</si>
  <si>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</si>
  <si>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</si>
  <si>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</si>
  <si>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</si>
  <si>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</si>
  <si>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</si>
  <si>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</si>
  <si>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</si>
  <si>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</si>
  <si>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</si>
  <si>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</si>
  <si>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</si>
  <si>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</si>
  <si>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</si>
  <si>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</si>
  <si>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</si>
  <si>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</si>
  <si>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</si>
  <si>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</si>
  <si>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</si>
  <si>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</si>
  <si>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</si>
  <si>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</si>
  <si>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</si>
  <si>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</si>
  <si>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</si>
  <si>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</si>
  <si>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</si>
  <si>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</si>
  <si>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</si>
  <si>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</si>
  <si>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</si>
  <si>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</si>
  <si>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</si>
  <si>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</si>
  <si>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</si>
  <si>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</si>
  <si>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</si>
  <si>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</si>
  <si>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</si>
  <si>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</si>
  <si>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</si>
  <si>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</si>
  <si>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</si>
  <si>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</si>
  <si>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</si>
  <si>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</si>
  <si>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</si>
  <si>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</si>
  <si>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</si>
  <si>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</si>
  <si>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</si>
  <si>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</si>
  <si>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</si>
  <si>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</si>
  <si>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</si>
  <si>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</si>
  <si>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</si>
  <si>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</si>
  <si>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</si>
  <si>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</si>
  <si>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</si>
  <si>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</si>
  <si>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</si>
  <si>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</si>
  <si>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</si>
  <si>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</si>
  <si>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</si>
  <si>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</si>
  <si>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</si>
  <si>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</si>
  <si>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</si>
  <si>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</si>
  <si>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</si>
  <si>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</si>
  <si>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</si>
  <si>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</si>
  <si>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</si>
  <si>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</si>
  <si>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</si>
  <si>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</si>
  <si>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</si>
  <si>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</si>
  <si>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</si>
  <si>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</si>
  <si>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</si>
  <si>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</si>
  <si>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</si>
  <si>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</si>
  <si>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</si>
  <si>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</si>
  <si>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</si>
  <si>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</si>
  <si>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</si>
  <si>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</si>
  <si>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</si>
  <si>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</si>
  <si>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</si>
  <si>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</si>
  <si>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</si>
  <si>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</si>
  <si>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</si>
  <si>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</si>
  <si>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</si>
  <si>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</si>
  <si>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</si>
  <si>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</si>
  <si>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</si>
  <si>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</si>
  <si>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</si>
  <si>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</si>
  <si>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</si>
  <si>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</si>
  <si>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</si>
  <si>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</si>
  <si>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</si>
  <si>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</si>
  <si>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</si>
  <si>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</si>
  <si>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</si>
  <si>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</si>
  <si>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</si>
  <si>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</si>
  <si>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</si>
  <si>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</si>
  <si>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</si>
  <si>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</si>
  <si>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</si>
  <si>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</si>
  <si>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</si>
  <si>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</si>
  <si>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</si>
  <si>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</si>
  <si>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</si>
  <si>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</si>
  <si>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</si>
  <si>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</si>
  <si>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</si>
  <si>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</si>
  <si>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</si>
  <si>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</si>
  <si>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</si>
  <si>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</si>
  <si>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</si>
  <si>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</si>
  <si>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</si>
  <si>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</si>
  <si>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</si>
  <si>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</si>
  <si>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</si>
  <si>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</si>
  <si>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</si>
  <si>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</si>
  <si>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</si>
  <si>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</si>
  <si>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</si>
  <si>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</si>
  <si>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</si>
  <si>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</si>
  <si>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</si>
  <si>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</si>
  <si>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</si>
  <si>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</si>
  <si>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</si>
  <si>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</si>
  <si>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</si>
  <si>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</si>
  <si>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</si>
  <si>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</si>
  <si>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</si>
  <si>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</si>
  <si>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</si>
  <si>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</si>
  <si>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</si>
  <si>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</si>
  <si>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</si>
  <si>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</si>
  <si>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</si>
  <si>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</si>
  <si>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</si>
  <si>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</si>
  <si>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</si>
  <si>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</si>
  <si>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</si>
  <si>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</si>
  <si>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</si>
  <si>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</si>
  <si>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</si>
  <si>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</si>
  <si>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</si>
  <si>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</si>
  <si>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</si>
  <si>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</si>
  <si>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</si>
  <si>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</si>
  <si>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</si>
  <si>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</si>
  <si>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</si>
  <si>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</si>
  <si>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</si>
  <si>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</si>
  <si>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</si>
  <si>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</si>
  <si>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</si>
  <si>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</si>
  <si>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</si>
  <si>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</si>
  <si>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</si>
  <si>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</si>
  <si>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</si>
  <si>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</si>
  <si>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</si>
  <si>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</si>
  <si>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</si>
  <si>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</si>
  <si>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</si>
  <si>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</si>
  <si>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</si>
  <si>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</si>
  <si>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</si>
  <si>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</si>
  <si>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</si>
  <si>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</si>
  <si>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</si>
  <si>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</si>
  <si>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</si>
  <si>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</si>
  <si>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</si>
  <si>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</si>
  <si>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</si>
  <si>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</si>
  <si>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</si>
  <si>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</si>
  <si>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</si>
  <si>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</si>
  <si>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</si>
  <si>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</si>
  <si>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</si>
  <si>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</si>
  <si>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</si>
  <si>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</si>
  <si>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</si>
  <si>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</si>
  <si>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</si>
  <si>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</si>
  <si>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</si>
  <si>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</si>
  <si>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</si>
  <si>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</si>
  <si>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</si>
  <si>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</si>
  <si>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</si>
  <si>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</si>
  <si>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</si>
  <si>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</si>
  <si>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</si>
  <si>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</si>
  <si>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</si>
  <si>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</si>
  <si>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</si>
  <si>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</si>
  <si>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</si>
  <si>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</si>
  <si>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</si>
  <si>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</si>
  <si>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</si>
  <si>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</si>
  <si>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</si>
  <si>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</si>
  <si>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</si>
  <si>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</si>
  <si>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</si>
  <si>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</si>
  <si>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</si>
  <si>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</si>
  <si>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</si>
  <si>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</si>
  <si>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</si>
  <si>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</si>
  <si>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</si>
  <si>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</si>
  <si>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</si>
  <si>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</si>
  <si>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</si>
  <si>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</si>
  <si>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</si>
  <si>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</si>
  <si>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</si>
  <si>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</si>
  <si>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</si>
  <si>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</si>
  <si>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</si>
  <si>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</si>
  <si>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</si>
  <si>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</si>
  <si>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</si>
  <si>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</si>
  <si>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</si>
  <si>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</si>
  <si>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</si>
  <si>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</si>
  <si>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</si>
  <si>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</si>
  <si>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</si>
  <si>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</si>
  <si>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</si>
  <si>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</si>
  <si>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</si>
  <si>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</si>
  <si>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</si>
  <si>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</si>
  <si>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</si>
  <si>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</si>
  <si>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</si>
  <si>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</si>
  <si>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</si>
  <si>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</si>
  <si>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</si>
  <si>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</si>
  <si>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</si>
  <si>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</si>
  <si>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</si>
  <si>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</si>
  <si>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</si>
  <si>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</si>
  <si>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</si>
  <si>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</si>
  <si>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</si>
  <si>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</si>
  <si>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</si>
  <si>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</si>
  <si>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</si>
  <si>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</si>
  <si>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</si>
  <si>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</si>
  <si>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</si>
  <si>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</si>
  <si>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</si>
  <si>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</si>
  <si>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</si>
  <si>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</si>
  <si>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</si>
  <si>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</si>
  <si>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</si>
  <si>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</si>
  <si>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</si>
  <si>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</si>
  <si>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</si>
  <si>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</si>
  <si>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</si>
  <si>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</si>
  <si>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</si>
  <si>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</si>
  <si>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</si>
  <si>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</si>
  <si>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</si>
  <si>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</si>
  <si>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</si>
  <si>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</si>
  <si>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</si>
  <si>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</si>
  <si>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</si>
  <si>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</si>
  <si>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</si>
  <si>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</si>
  <si>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</si>
  <si>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</si>
  <si>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</si>
  <si>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</si>
  <si>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</si>
  <si>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</si>
  <si>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</si>
  <si>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</si>
  <si>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</si>
  <si>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</si>
  <si>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</si>
  <si>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</si>
  <si>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</si>
  <si>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</si>
  <si>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</si>
  <si>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</si>
  <si>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</si>
  <si>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</si>
  <si>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</si>
  <si>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</si>
  <si>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</si>
  <si>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</si>
  <si>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</si>
  <si>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</si>
  <si>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 Họ Tên sẽ dẫn đến file đánh giá chi tiết từng nhân sự</t>
  </si>
  <si>
    <t>Hiểu bài toán nghiệp vụ và use case AI</t>
  </si>
  <si>
    <t>Kiến thức về LLM / GenAI và các dịch vụ AI phổ biến</t>
  </si>
  <si>
    <t>Prompt engineering và thiết kế luồng hội thoại</t>
  </si>
  <si>
    <t>Tích hợp API AI vào hệ thống</t>
  </si>
  <si>
    <t>Thiết kế workflow tích hợp AI vào sản phẩm</t>
  </si>
  <si>
    <t>Xử lý dữ liệu đầu vào/ra cho AI</t>
  </si>
  <si>
    <t>Đánh giá chất lượng và kiểm thử giải pháp AI</t>
  </si>
  <si>
    <t>Giám sát, log và xử lý lỗi khi dùng AI</t>
  </si>
  <si>
    <t>Lập trình backend và tích hợp hệ thống</t>
  </si>
  <si>
    <t>Làm việc với dữ liệu và kho tri thức nội bộ</t>
  </si>
  <si>
    <t>Hiểu hạ tầng triển khai (on-prem / cloud) cho giải pháp AI</t>
  </si>
  <si>
    <t>Viết tài liệu kỹ thuật và hướng dẫn sử dụng cho tính năng AI</t>
  </si>
  <si>
    <t>Kỹ năng phối hợp đa bên (Dev, Tester, PO/BA, Security, Infra, người dùng nội bộ)</t>
  </si>
  <si>
    <t>Thiết kế kiến trúc dịch vụ AI dùng chung cho nhiều hệ thống</t>
  </si>
  <si>
    <t>Tối ưu chi phí và hiệu năng sử dụng AI</t>
  </si>
  <si>
    <t>Bảo mật, tuân thủ và quản trị rủi ro khi ứng dụng AI</t>
  </si>
  <si>
    <t>Đánh giá tác động và giá trị kinh doanh của các tính năng AI</t>
  </si>
  <si>
    <t>Huấn luyện và dẫn dắt team về tích hợp AI (AI Integration)</t>
  </si>
  <si>
    <t>Hiểu biết nền tảng về hệ điều hành, mạng và kiến trúc hệ thống</t>
  </si>
  <si>
    <t>Quản lý máy chủ, container và môi trường chạy ứng dụng (VM, Docker, v.v.)</t>
  </si>
  <si>
    <t>Thiết lập và vận hành pipeline CI/CD</t>
  </si>
  <si>
    <t>Giám sát hệ thống (monitoring) và logging</t>
  </si>
  <si>
    <t>Kiến thức Hạ tầng như mã (Infrastructure as Code – IaC)</t>
  </si>
  <si>
    <t>Bảo mật cơ bản trong triển khai và vận hành (DevSecOps cơ bản)</t>
  </si>
  <si>
    <t>Quản lý cấu hình và biến môi trường cho các môi trường (dev/test/prod)</t>
  </si>
  <si>
    <t>Xử lý sự cố và khắc phục sự cố (incident handling &amp; troubleshooting)</t>
  </si>
  <si>
    <t>Làm việc với hạ tầng cloud/on-prem (máy ảo, storage, load balancer, v.v.)</t>
  </si>
  <si>
    <t>Tự động hóa bằng script (Bash, PowerShell, Python, v.v.)</t>
  </si>
  <si>
    <t>Quản lý mã nguồn và quy trình nhánh (Git, branching strategy)</t>
  </si>
  <si>
    <t>Phối hợp với Dev, Tester, PO/BA trong quá trình phát triển và triển khai</t>
  </si>
  <si>
    <t>Viết tài liệu vận hành, runbook và hướng dẫn sử dụng hệ thống</t>
  </si>
  <si>
    <t>Thiết kế kiến trúc CI/CD và quy trình release cho nhiều hệ thống</t>
  </si>
  <si>
    <t>Thiết kế kiến trúc quan sát tổng thể (monitoring, logging, alerting) cho hệ thống</t>
  </si>
  <si>
    <t>Thiết kế và tối ưu chi phí hạ tầng (scaling, tối ưu tài nguyên)</t>
  </si>
  <si>
    <t>Quản lý bảo mật, tuân thủ và phân quyền truy cập (IAM, secret management)</t>
  </si>
  <si>
    <t>Dẫn dắt đội ngũ về thực hành DevOps/SRE và cải tiến quy trình liên tục</t>
  </si>
  <si>
    <t>Hiểu rõ nguyên lý và giá trị Agile, Scrum</t>
  </si>
  <si>
    <t>Nắm vững vai trò, sự kiện và artefact trong Scrum</t>
  </si>
  <si>
    <t>Lập kế hoạch Sprint và hỗ trợ xây dựng Sprint Goal</t>
  </si>
  <si>
    <t>Dẫn dắt Daily Scrum hiệu quả</t>
  </si>
  <si>
    <t>Dẫn dắt Sprint Review và kết nối với Stakeholder</t>
  </si>
  <si>
    <t>Dẫn dắt Sprint Retrospective và thúc đẩy cải tiến liên tục</t>
  </si>
  <si>
    <t>Bảo vệ team khỏi gián đoạn và quản lý impediments</t>
  </si>
  <si>
    <t>Theo dõi và sử dụng các chỉ số (velocity, burndown, lead time, v.v.) để hỗ trợ team</t>
  </si>
  <si>
    <t>Kỹ năng facilitation (workshop, họp, thảo luận nhóm)</t>
  </si>
  <si>
    <t>Kỹ năng giao tiếp và lắng nghe với Dev, PO, Business và lãnh đạo</t>
  </si>
  <si>
    <t>Hỗ trợ Product Owner trong quản lý và refinement Product Backlog</t>
  </si>
  <si>
    <t>Coaching team về tự tổ chức và tự quản lý</t>
  </si>
  <si>
    <t>Quản lý xung đột và xây dựng môi trường làm việc tin cậy</t>
  </si>
  <si>
    <t>Huấn luyện tổ chức về Agile/Scrum (training nội bộ, chia sẻ kiến thức)</t>
  </si>
  <si>
    <t>Dẫn dắt nhiều team Scrum hoặc Scrum of Scrums</t>
  </si>
  <si>
    <t>Tham gia thiết kế và hoàn thiện quy trình phát triển sản phẩm ở cấp tổ chức</t>
  </si>
  <si>
    <t>Đo lường và cải tiến mức độ trưởng thành Agile của team/đơn vị</t>
  </si>
  <si>
    <t>Thúc đẩy văn hóa học hỏi, cải tiến và cộng tác liên phòng ban</t>
  </si>
  <si>
    <t>Nắm vững ngôn ngữ lập trình chính (C#/Java/... theo dự án)</t>
  </si>
  <si>
    <t>Nắm vững OOP, cấu trúc dữ liệu và giải thuật cơ bản</t>
  </si>
  <si>
    <t>Hiểu kiến trúc hệ thống và module mình phụ trách</t>
  </si>
  <si>
    <t>Thiết kế và hiện thực chức năng backend/frontend theo yêu cầu</t>
  </si>
  <si>
    <t>Viết code sạch, dễ bảo trì, tuân thủ coding convention</t>
  </si>
  <si>
    <t>Viết unit test / integration test cơ bản</t>
  </si>
  <si>
    <t>Debug, phân tích lỗi và tối ưu hiệu năng ở mức vừa</t>
  </si>
  <si>
    <t>Sử dụng hệ thống quản lý mã nguồn (Git, branch, merge, pull request)</t>
  </si>
  <si>
    <t>Hiểu và tuân thủ quy trình phát triển (Agile/Scrum, quy trình nội bộ)</t>
  </si>
  <si>
    <t>Làm việc với cơ sở dữ liệu (thiết kế lược đồ đơn giản, viết truy vấn)</t>
  </si>
  <si>
    <t>Tích hợp với API/dịch vụ khác (REST, message queue, v.v.)</t>
  </si>
  <si>
    <t>Viết tài liệu kỹ thuật mức cơ bản (readme, mô tả chi tiết chức năng được giao)</t>
  </si>
  <si>
    <t>Phối hợp với Tester/PO/DevOps/AI để hoàn thiện tính năng</t>
  </si>
  <si>
    <t>Thiết kế kỹ thuật cho module/tính năng phức tạp</t>
  </si>
  <si>
    <t>Review code và hỗ trợ coaching cho Developer khác</t>
  </si>
  <si>
    <t>Đề xuất cải tiến kiến trúc, hiệu năng và chất lượng mã nguồn</t>
  </si>
  <si>
    <t>Tham gia thiết kế giải pháp end-to-end cùng PO/Architect</t>
  </si>
  <si>
    <t>VI. PROMOTION ROADMAP/Lộ trình thăng cấp</t>
  </si>
  <si>
    <t>Điều kiện điểm số (phiếu đánh giá Dev)</t>
  </si>
  <si>
    <t>- Điểm % tổng ≥ 55.
- Không có kỹ năng CORE nào &lt; 2.
- Một số kỹ năng cơ bản (ngôn ngữ lập trình, OOP, Git) đạt từ 2 trở lên.</t>
  </si>
  <si>
    <t>- Điểm % tổng ≥ 65.
- Một số kỹ năng CORE đạt 3 (thiết kế/hiện thực chức năng, debug, DB cơ bản...).
- Không có kỹ năng trọng yếu nào &lt; 2.</t>
  </si>
  <si>
    <t>- Điểm % tổng ≥ 75.
- Nhiều kỹ năng CORE &amp; một số kỹ năng ADVANCED đạt 3.
- Điểm về thiết kế kỹ thuật, review code, phối hợp đa bên ở mức cao.</t>
  </si>
  <si>
    <t>- Điểm % tổng ≥ 85.
- Phần lớn kỹ năng CORE và đa số kỹ năng ADVANCED đạt từ 2.5–3.
- Được đánh giá cao về năng lực thiết kế kiến trúc/giải pháp.</t>
  </si>
  <si>
    <t>Kinh nghiệm &amp; thời gian ở level hiện tại</t>
  </si>
  <si>
    <t>- Tối thiểu khoảng 9–12 tháng làm việc ở Dev1.
- Tham gia đầy đủ các Sprint, quen với quy trình làm việc của team.</t>
  </si>
  <si>
    <t>- Tối thiểu khoảng 12–18 tháng ở Dev2 (tuỳ thành tích và quy mô dự án).
- Có kinh nghiệm tham gia từ 1–2 release lớn hoặc 1 dự án hoàn chỉnh.</t>
  </si>
  <si>
    <t>Dự án tham gia (vai trò, quy mô &amp; độ phức tạp)</t>
  </si>
  <si>
    <t>- Đã hoàn thành ổn định các task nhỏ đến trung bình, ít phải kèm cặp sát.
- Ít nhất 1–2 tính năng nhỏ được giao end-to-end (backend/frontend) với chất lượng tốt.
- Có tham gia fix bug ở môi trường test/prod dưới sự hỗ trợ của Dev senior.
- Tham gia dự án/phiên bản ở vai trò Dev thực hiện task đơn lẻ.
- Quy mô tính năng: nhỏ, phạm vi trong 1 màn hình hoặc 1 API đơn giản; độ phức tạp thấp, ít phụ thuộc hệ thống khác, rủi ro thấp.</t>
  </si>
  <si>
    <t>- Đóng vai trò "người xử lý chính" cho 1 module nhỏ hoặc 1 nhóm tính năng.
- Tự phân rã task từ user story thành sub-task kỹ thuật.
- Có kinh nghiệm xử lý lỗi phức tạp hơn (phân tích log, SQL, tích hợp API...).
- Đã tham gia module/tính năng có nhiều bước xử lý, nhiều bảng DB.
- Bắt đầu tham gia các tích hợp với hệ thống/dịch vụ khác (API, queue...).
- Độ phức tạp trung bình: có logic nghiệp vụ rõ ràng, có ràng buộc dữ liệu, ảnh hưởng đến nhiều màn hình/người dùng.</t>
  </si>
  <si>
    <t>- Chủ trì thiết kế kỹ thuật cho các tính năng phức tạp trong dự án.
- Dẫn dắt 2–3 Dev khác trong việc triển khai module (phân chia việc, hỗ trợ kỹ thuật).
- Đã tham gia ít nhất 1–2 dự án/release với vai trò lead kỹ thuật module.
- Đã lead module có nhiều integration, nhiều luồng nghiệp vụ, lượng người dùng lớn hơn.
- Tham gia các dự án có nhiều team phối hợp (Dev, DevOps, AI, đối tác ngoài...).
- Độ phức tạp cao: ảnh hưởng đến chất lượng/hiệu năng hệ thống, có yêu cầu tối ưu và đảm bảo ổn định.</t>
  </si>
  <si>
    <t>- Chủ trì hoặc tham gia chính trong thiết kế kiến trúc cho hệ thống lớn hoặc nhiều hệ thống liên quan.
- Có các sáng kiến kỹ thuật được triển khai thực tế, mang lại hiệu quả rõ rệt (hiệu năng, chi phí, độ ổn định...).
- Được ghi nhận rộng rãi là người tham chiếu kỹ thuật cấp Trung tâm.
- Đã lead hoặc đóng vai trò kiến trúc cho hệ thống quy mô lớn, nhiều người dùng, yêu cầu sẵn sàng cao.
- Tham gia các dự án phức tạp, đa hệ thống, đa đối tác, có yêu cầu tích hợp sâu với hệ thống bên ngoài.
- Thường tham gia ra quyết định cho các dự án chiến lược hoặc nền tảng chung của tổ chức.</t>
  </si>
  <si>
    <t>Chứng chỉ / khóa học liên quan (khuyến khích/ưu tiên)</t>
  </si>
  <si>
    <t>- Các khóa nền tảng về ngôn ngữ chính (C#/Java/…):
  + Ví dụ: “C# Basics for Beginners” (Udemy), “Java Programming and Software Engineering Fundamentals” (Coursera).
- Khóa SQL cơ bản: “SQL for Beginners/SQL for Data Analysis” (Udemy/Coursera).
- Khóa web cơ bản (nếu làm web/frontend): freeCodeCamp “Responsive Web Design” hoặc tương đương.
- Training nội bộ về quy trình, coding convention, Git.
- Không bắt buộc chứng chỉ vendor, nhưng có thể ưu tiên nếu có (ví dụ MTA/MCP cũ hoặc tương đương).</t>
  </si>
  <si>
    <t>- Khóa Clean Code và Design Patterns:
  + Ví dụ: “Clean Code” (Udemy/Pluralsight), “Design Patterns in C#/Java”.
- Khóa web backend thực chiến theo stack của Trung Tâm:
  + Ví dụ: “ASP.NET Core Web API – Real World” hoặc “Spring Boot Microservices”.
- Chứng chỉ cloud nền tảng (ít nhất một trong các chứng chỉ sau):
  + Microsoft Azure Fundamentals – AZ-900.
  + AWS Certified Cloud Practitioner (CLF-C02).
  + Google Cloud Digital Leader.
- Các khóa nội bộ nâng cao về coding convention, testing, review code.</t>
  </si>
  <si>
    <t>- Chứng chỉ cloud mức Associate (ít nhất một trong các chứng chỉ sau):
  + Microsoft Azure Developer Associate – AZ-204 hoặc Azure Administrator – AZ-104.
  + AWS Certified Developer – Associate.
  + Google Associate Cloud Engineer.
- Khóa System Design:
  + Ví dụ: “System Design Fundamentals/Interview” (Udemy/Educative/Pluralsight).
- Khóa bảo mật và hiệu năng:
  + “Web Application Security / OWASP Top 10”.
  + “High Performance .NET/Java Applications” hoặc tương đương.
- Khóa leadership kỹ thuật / dẫn dắt team nhỏ (online hoặc nội bộ).</t>
  </si>
  <si>
    <t>- Chứng chỉ kiến trúc/architect (ưu tiên 1 hoặc nhiều chứng chỉ sau):
  + Microsoft Azure Solutions Architect Expert – AZ-305.
  + AWS Certified Solutions Architect – Associate/Professional.
  + Google Professional Cloud Architect.
- Chứng chỉ/khóa về kiến trúc doanh nghiệp &amp; giải pháp:
  + TOGAF® 9 / TOGAF® Enterprise Architecture hoặc tương đương.
  + Các khóa “Microservices Architecture, DDD, Event-Driven Architecture”.
- Khóa leadership/engineering management:
  + Ví dụ: “Engineering Management / Tech Lead / Staff Engineer Path”.
- Có thể tham gia làm trainer nội bộ, xây dựng chương trình đào tạo cho Dev.</t>
  </si>
  <si>
    <t>- Điểm % tổng ≥ 60.
- Không có kỹ năng CORE nào &lt; 2.
- Các kỹ năng cơ bản (viết test case, thực thi test, ghi nhận bug) đạt từ 2 trở lên.</t>
  </si>
  <si>
    <t>- Điểm % tổng ≥ 70.
- Một số kỹ năng CORE đạt 3 (thiết kế test case, phân tích yêu cầu, phối hợp với Dev/PO...).
- Không có kỹ năng trọng yếu nào &lt; 2.</t>
  </si>
  <si>
    <t>Điều kiện điểm số (phiếu đánh giá TEST)</t>
  </si>
  <si>
    <t>- Điểm % tổng ≥ 80.
- Nhiều kỹ năng CORE và một số kỹ năng ADVANCED đạt 3.
- Điểm cao ở các tiêu chí: lập kế hoạch test, thiết kế test cho hệ thống phức tạp, phối hợp đa bên.</t>
  </si>
  <si>
    <t>- Tối thiểu khoảng 9–12 tháng làm việc ở Tester1.
- Tham gia đầy đủ các Sprint, quen với quy trình kiểm thử của team.</t>
  </si>
  <si>
    <t>- Tối thiểu khoảng 12–18 tháng ở Tester2.
- Có kinh nghiệm tham gia từ 1–2 release lớn hoặc 1 dự án hoàn chỉnh.</t>
  </si>
  <si>
    <t>- Tối thiểu khoảng 18–24 tháng ở Tester3.
- Có kinh nghiệm dẫn dắt hoạt động test cho 1 dự án hoặc 1 release lớn.</t>
  </si>
  <si>
    <t>- Tối thiểu khoảng 18–24 tháng ở Dev3.
- Có kinh nghiệm dẫn dắt kỹ thuật cho 1 module hoặc 1 feature team nhỏ.</t>
  </si>
  <si>
    <t>- Thường tối thiểu 24–36 tháng ở Dev4 (tuỳ quy mô, mức độ phức tạp hệ thống).
- Có trải nghiệm trên nhiều dự án/hệ thống khác nhau trong TTCDS.</t>
  </si>
  <si>
    <t>'- Đã tham gia test chức năng cho các màn hình/tính năng đơn giản đến trung bình.
- Biết viết test case chi tiết dựa trên spec/hướng dẫn của Tester senior/PO.
- Thực thi test manual, ghi nhận bug rõ ràng (bước tái hiện, actual/expected).
- Tham gia dự án ở vai trò Tester thực hiện test case được giao.
- Quy mô &amp; độ phức tạp: phạm vi trong 1–2 module nhỏ, nghiệp vụ đơn giản, ít hệ thống tích hợp.</t>
  </si>
  <si>
    <t>- Đóng vai trò Tester chính cho 1 module hoặc 1 nhóm chức năng.
- Tham gia phân tích yêu cầu, đề xuất các trường hợp test quan trọng (positive/negative, boundary...).
- Có kinh nghiệm test regression, test tích hợp, test API đơn giản (Postman, v.v.).
- Đã tham gia dự án có nhiều màn hình/nghiệp vụ liên quan, cần phối hợp nhiều Dev.
- Quy mô &amp; độ phức tạp: nhiều chức năng liên kết, có sử dụng DB, có business rule rõ ràng.</t>
  </si>
  <si>
    <t>- Chủ trì lập test plan, ước lượng effort test cho module/dự án.
- Dẫn dắt 2–3 Tester khác trong việc chuẩn bị test case, thực thi test và báo cáo chất lượng.
- Có kinh nghiệm test trên hệ thống phức tạp: nhiều integration, nhiều vai trò người dùng, dữ liệu lớn.
- Tham gia dự án có yêu cầu cao về ổn định, hiệu năng, bảo mật.
- Quy mô &amp; độ phức tạp: hệ thống phục vụ nhiều user, nhiều môi trường (UAT, staging, production), có tích hợp với hệ thống ngoài.</t>
  </si>
  <si>
    <t>- Khóa nền tảng về kiểm thử phần mềm:
  + Ví dụ: “Software Testing Fundamentals” (Udemy/Coursera).
- Khóa nền tảng về quy trình phát triển phần mềm, Agile/Scrum.
- Khuyến khích (nếu có):
  + ISTQB Certified Tester – Foundation Level (CTFL) hoặc tương đương.
- Các khóa nội bộ về tiêu chuẩn bug report, quy trình test của Trung Tâm.</t>
  </si>
  <si>
    <t>- Chứng chỉ/khóa học khuyến khích:
  + ISTQB CTFL (nếu chưa có ở Tester1).
  + ISTQB Agile Tester Extension (hoặc khóa Agile Testing tương đương).
- Khóa về kiểm thử API, cơ bản automation:
  + Postman API Testing, RestAssured cơ bản, Selenium WebDriver basic.
- Khóa về SQL cơ bản/phục vụ kiểm thử dữ liệu.
- Các khóa nội bộ nâng cao về coding convention, testing, review code.</t>
  </si>
  <si>
    <t>- Chứng chỉ/khóa học khuyến khích:
  + ISTQB Advanced Level Test Analyst / Test Manager (hoặc tương đương).
  + Khóa chuyên sâu về Test Automation:
    · Selenium/Cypress/Playwright nâng cao.
  + Khóa về Performance Testing: JMeter, LoadRunner (hoặc tương đương).
  + Khóa về Security Testing cơ bản (OWASP Top 10 for Testers).
- Khóa leadership/lead tester, kỹ năng lập kế hoạch test &amp; quản lý rủi ro.</t>
  </si>
  <si>
    <t>Điều kiện điểm số (phiếu đánh giá PO)</t>
  </si>
  <si>
    <t>- Điểm % tổng ≥ 60.
- Không có kỹ năng CORE nào &lt; 2.
- Các kỹ năng cơ bản như viết user story, mô tả yêu cầu, làm việc với Dev/Tester đạt từ 2 trở lên.</t>
  </si>
  <si>
    <t>- Tối thiểu khoảng 9–12 tháng làm việc ở PO1.
- Đã tham gia đầy đủ các sự kiện Scrum (Planning, Review, Retro…) và hiểu quy trình vận hành team.</t>
  </si>
  <si>
    <t>- Điểm % tổng ≥ 70.
- Một số kỹ năng CORE đạt 3 (quản lý backlog, ưu tiên, phân tích nghiệp vụ, giao tiếp stakeholder…).
- Không có kỹ năng trọng yếu nào &lt; 2.</t>
  </si>
  <si>
    <t>- Điểm % tổng ≥ 80.
- Nhiều kỹ năng CORE và ADVANCED đạt 3.
- Điểm cao ở các tiêu chí: Product Discovery, thử nghiệm (MVP/A-B testing), định nghĩa KPI, quản lý stakeholder cấp cao.</t>
  </si>
  <si>
    <t>- Đã tham gia sản phẩm/dự án với vai trò PO hỗ trợ hoặc PO phụ.
- Phụ trách một phần nhỏ của Product Backlog (một nhóm user story, 1–2 module đơn giản).
- Có kinh nghiệm làm việc với Dev/Tester để làm rõ yêu cầu, xác nhận kết quả.
- Quy mô &amp; độ phức tạp: sản phẩm/module nhỏ, ít stakeholder, phạm vi tính năng hạn chế, nghiệp vụ đơn giản.</t>
  </si>
  <si>
    <t>- Tối thiểu khoảng 18–24 tháng ở PO2.
- Có kinh nghiệm làm PO chính cho 1 sản phẩm hoặc 1 module quan trọng trong ít nhất 1–2 release.</t>
  </si>
  <si>
    <t>- Tối thiểu khoảng 24–36 tháng ở PO3.
- Có kinh nghiệm dẫn dắt sản phẩm ở quy mô lớn hoặc nhiều sản phẩm/module liên quan.
- Nhìn sản phẩm ở tầm chiến lược, không chỉ tầm task.
- Chịu trách nhiệm product roadmap trung-dài hạn cho 1 sản phẩm quan trọng.
- Dẫn dắt Product Discovery và thử nghiệm (MVP, A/B testing, kiểm thử giả thuyết).
- Định nghĩa và theo dõi KPI/OKR sản phẩm, sử dụng dữ liệu để ra quyết định.
- Làm việc với nhiều team (Dev, Tester, AI, Data, Marketing, Sales, Operations…).
- Quy mô &amp; độ phức tạp: sản phẩm phục vụ nhiều nhóm user, đa kênh, đa hệ thống tích hợp, ảnh hưởng lớn tới hoạt động đơn vị.</t>
  </si>
  <si>
    <t>- Đóng vai trò PO chính cho một sản phẩm/module có nhiều tính năng.
- Chịu trách nhiệm quản lý Product Backlog: ưu tiên, mô tả, refine với team.
- Tham gia xây dựng roadmap ngắn hạn (quarter) cho sản phẩm.
- Đã làm việc với nhiều nhóm stakeholder (business, vận hành, khách hàng nội bộ…).
- Quy mô &amp; độ phức tạp: sản phẩm có nhiều màn hình, nhiều luồng nghiệp vụ, có tích hợp với hệ thống khác.</t>
  </si>
  <si>
    <t>- Thường xuyên coaching PO1–PO2/PO3 khác (cách quản lý backlog, ưu tiên, làm việc với stakeholder).
- Được xem là hình mẫu Product Mindset trong Trung Tâm.
- Có tiếng nói trong việc ưu tiên portfolio sản phẩm, cân bằng giữa yêu cầu kinh doanh và năng lực đội ngũ.
- Thể hiện tinh thần "owner" mạnh mẽ: chịu trách nhiệm về kết quả sản phẩm, không chỉ output.</t>
  </si>
  <si>
    <t>- Khóa nền tảng Agile/Scrum và Product Ownership:
  + Ví dụ: “Scrum for Beginners”, “Agile Product Owner Role” (Coursera/Udemy).
- Khóa cơ bản về phân tích nghiệp vụ (Business Analysis Fundamentals).
- Khuyến khích (nếu có):
  + Professional Scrum Product Owner I (PSPO I – Scrum.org) hoặc CSPO (Scrum Alliance).
- Khóa nội bộ về quy trình phát triển sản phẩm, template user story, acceptance criteria.</t>
  </si>
  <si>
    <t>- Chứng chỉ/khóa học khuyến khích:
  + PSPO I (Scrum.org) hoặc CSPO (Scrum Alliance) nếu chưa có.
  + Khóa Agile Product Management / Product Ownership thực chiến.
- Khóa về UX/UI cơ bản để hiểu trải nghiệm người dùng.
- Khóa về phân tích số liệu sản phẩm (Product Analytics cơ bản, sử dụng KPI/metric).</t>
  </si>
  <si>
    <t>- Chứng chỉ/khóa học khuyến khích:
  + Professional Scrum Product Owner II (PSPO II – Scrum.org) hoặc Advanced CSPO (Scrum Alliance).
  + Khóa Product Discovery, Lean Product, Product Experimentation (MVP, A/B testing).
  + Khóa Product Strategy / Product Leadership.
- Khóa về Data-driven Product Management: sử dụng dashboard, analytic tool để ra quyết định.
- Có thể tham gia các chương trình đào tạo nội bộ/vai trò trainer về Product Ownership.</t>
  </si>
  <si>
    <t>- Điểm % tổng ≥ 60.
- Không có kỹ năng CORE nào &lt; 2.
- Các kỹ năng cơ bản như điều phối Daily Scrum, hỗ trợ Sprint Planning/Review, hiểu vai trò Scrum đạt từ 2 trở lên.</t>
  </si>
  <si>
    <t>- Điểm % tổng ≥ 70.
- Một số kỹ năng CORE đạt 3 (facilitation, coaching team tự tổ chức, tháo gỡ impediments...).
- Không có kỹ năng trọng yếu nào &lt; 2.</t>
  </si>
  <si>
    <t>- Điểm % tổng ≥ 80.
- Nhiều kỹ năng CORE và ADVANCED đạt 3.
- Điểm cao ở các tiêu chí: coaching đa team, tháo gỡ impediments phức tạp, dẫn dắt cải tiến cấp tổ chức.</t>
  </si>
  <si>
    <t>- Tối thiểu khoảng 9–12 tháng làm việc ở SM1.
- Đã làm Scrum Master cho ít nhất 1 team trong vài Sprint liên tục.</t>
  </si>
  <si>
    <t>- Tối thiểu khoảng 18–24 tháng ở SM2.
- Có kinh nghiệm làm Scrum Master chính cho 1–2 team trong nhiều release.</t>
  </si>
  <si>
    <t>- Tối thiểu khoảng 24–36 tháng ở SM3.
- Có kinh nghiệm làm Scrum Master cho nhiều team hoặc dẫn dắt agile ở quy mô lớn.</t>
  </si>
  <si>
    <t>- Đã điều phối đều đặn Daily Scrum, hỗ trợ tổ chức Sprint Planning, Review, Retrospective.
- Hỗ trợ PO/Dev Team trong việc tuân thủ khung Scrum (timebox, định nghĩa xong, v.v.).
- Tham gia 1–2 dự án/sản phẩm với vai trò Scrum Master chính hoặc đồng Scrum Master.
- Quy mô &amp; độ phức tạp: 1 team (5–9 người), 1 sản phẩm/module tương đối đơn giản, ít phụ thuộc nhiều team khác.</t>
  </si>
  <si>
    <t>- Đóng vai trò Scrum Master chính cho 1 team phát triển sản phẩm có độ phức tạp vừa.
- Đã giúp team cải thiện được một số chỉ số (ví dụ: ổn định velocity, giảm bug, tăng mức độ hoàn thành Sprint).
- Tham gia dự án có nhiều Stakeholder nội bộ, có sự phối hợp giữa các team (Dev, QA, PO, vận hành...).
- Quy mô &amp; độ phức tạp: 1–2 team Scrum, sản phẩm có nhiều module, có tích hợp với hệ thống khác.</t>
  </si>
  <si>
    <t>- Dẫn dắt 2+ team Scrum hoặc đóng vai trò Scrum Master senior/Agile Coach trong một sản phẩm/hệ thống lớn.
- Có minh chứng về việc giúp team nâng cấp level trưởng thành Agile (ví dụ: từ chỉ “tuân thủ họp” đến “tự tổ chức, chủ động cải tiến”).
- Tham gia dự án quy mô lớn với nhiều team phụ thuộc lẫn nhau, có nhiều stakeholder cấp trung/cấp cao.
- Quy mô &amp; độ phức tạp: multi-team, multi-product hoặc dự án chuyển đổi số ở quy mô đơn vị/phòng ban.</t>
  </si>
  <si>
    <t>- Khóa nền tảng Agile/Scrum:
  + Ví dụ: “Scrum Foundations”, “Agile with Scrum” (Udemy/Coursera).
- Khuyến khích (nếu có):
  + PSM I (Professional Scrum Master I – Scrum.org) hoặc CSM (Certified ScrumMaster – Scrum Alliance).
- Khóa nội bộ về quy trình phát triển, ceremony, công cụ quản lý task (Jira/Azure DevOps/Trello...).</t>
  </si>
  <si>
    <t>- Chứng chỉ/khóa học khuyến khích:
  + PSM I (nếu chưa có) hoặc CSM.
  + Khóa nâng cao về facilitation (Facilitation Skills, Effective Meetings).
  + Khóa về Agile Team Coaching cơ bản.
- Khóa về công cụ đo lường và cải tiến (Agile metrics, velocity, cycle time...).</t>
  </si>
  <si>
    <t>- Chứng chỉ/khóa học khuyến khích:
  + PSM II hoặc PSM III (Scrum.org), hoặc A-CSM / CSP-SM (Scrum Alliance).
  + Khóa Agile Coaching nâng cao (ICAgile ICP-ACC hoặc tương đương).
  + Khóa về Scaling Agile/Scrum: SAFe, LeSS, Nexus (tùy định hướng tổ chức).
- Các khóa về leadership, coaching, conflict management, communication với lãnh đạo.</t>
  </si>
  <si>
    <t>Điều kiện điểm số (phiếu đánh giá SM)</t>
  </si>
  <si>
    <t>- Điểm % tổng ≥ 60.
- Không có kỹ năng CORE nào &lt; 2.
- Các kỹ năng cơ bản như sử dụng hệ điều hành Linux, hiểu CI/CD pipeline, script cơ bản đạt từ 2 trở lên.</t>
  </si>
  <si>
    <t>- Điểm % tổng ≥ 70.
- Một số kỹ năng CORE đạt 3 (thiết kế pipeline CI/CD, vận hành Kubernetes, log/monitoring…).
- Không có kỹ năng trọng yếu nào &lt; 2.</t>
  </si>
  <si>
    <t>- Điểm % tổng ≥ 80.
- Nhiều kỹ năng CORE và ADVANCED đạt 3.
- Điểm cao ở các tiêu chí: thiết kế kiến trúc hạ tầng, bảo mật/tuân thủ, reliability (SLA/SLO), automation ở quy mô lớn.</t>
  </si>
  <si>
    <t>- Tối thiểu khoảng 9–12 tháng làm việc ở DevOps1.
- Đã tham gia vận hành hệ thống/dev/test environment cho ít nhất 1 sản phẩm/dự án.</t>
  </si>
  <si>
    <t>- Tối thiểu khoảng 12–18 tháng ở DevOps2.
- Có kinh nghiệm phụ trách DevOps chính cho ít nhất 1 hệ thống/sản phẩm trong nhiều release.</t>
  </si>
  <si>
    <t>- Tối thiểu khoảng 24–36 tháng ở DevOps3.
- Có kinh nghiệm dẫn dắt DevOps cho nhiều hệ thống/sản phẩm hoặc nền tảng chung của đơn vị.</t>
  </si>
  <si>
    <t xml:space="preserve">- Tham gia triển khai và duy trì các pipeline CI/CD đơn giản (build, unit test, deploy lên môi trường dev/test) cho 1 dự án.
- Hỗ trợ cấu hình môi trường (config app, connection string, biến môi trường) theo hướng dẫn của DevOps senior.
- Thực hiện một số tác vụ vận hành: restart service, kiểm tra log cơ bản, theo dõi tài nguyên server.
- Quy mô &amp; độ phức tạp: vài service hoặc 1 ứng dụng monolith, ít môi trường (dev/test), chưa nhiều tích hợp.
</t>
  </si>
  <si>
    <t xml:space="preserve">- Đóng vai trò DevOps chính cho 1 sản phẩm/hệ thống có nhiều service.
- Thiết kế và duy trì pipeline CI/CD end-to-end (build, test, security scan cơ bản, deploy nhiều môi trường).
- Vận hành cluster Kubernetes hoặc hạ tầng container cho sản phẩm (namespace, deployment, ingress…).
- Triển khai và cấu hình log/monitoring (Prometheus/Grafana/ELK hoặc tương đương) ở mức dự án.
- Tham gia xử lý sự cố (incident) và post-mortem đơn giản với Dev/Tester.
- Quy mô &amp; độ phức tạp: nhiều service/microservice, nhiều môi trường (dev/test/uat), có tích hợp các hệ thống khác.
</t>
  </si>
  <si>
    <t xml:space="preserve">- Chủ trì thiết kế kiến trúc hạ tầng cho hệ thống có độ phức tạp cao (multi-environment, có thể multi-region/multi-tenant nếu có).
- Định nghĩa chuẩn CI/CD, chuẩn log/monitoring, chuẩn backup/DR cho nhiều sản phẩm.
- Dẫn dắt việc triển khai IaC ở quy mô lớn (nhiều project, nhiều environment) và GitOps (ArgoCD/FluxCD…).
- Tham gia chính trong các cuộc họp kiến trúc, bảo mật, hiệu năng cho các sản phẩm chiến lược.
- Tham gia xử lý các incident nghiêm trọng, dẫn dắt post-mortem và cải tiến quy trình.
- Quy mô &amp; độ phức tạp: nhiều hệ thống liên kết, nhiều team sử dụng chung nền tảng DevOps, yêu cầu cao về HA, bảo mật, compliance.
</t>
  </si>
  <si>
    <t>- Khóa nền tảng về Linux &amp; networking:
  + Ví dụ: “Linux for Beginners”, “Linux Administration Basics”.
- Khóa cơ bản về Git, CI/CD và DevOps:
  + “CI/CD with GitLab/GitHub Actions/Azure DevOps (cơ bản)”.
- Khóa Docker/Kubernetes cơ bản:
  + “Docker for Beginners”, “Kubernetes for Beginners”.
- Khuyến khích (nếu có):
  + Chứng chỉ Linux Foundation, Docker Fundamentals hoặc tương đương.
- Training nội bộ về quy trình triển khai, quản lý cấu hình, bảo mật cơ bản.</t>
  </si>
  <si>
    <t>- Chứng chỉ/khóa học khuyến khích:
  + Docker Certified Associate (hoặc khóa Docker nâng cao tương đương).
  + Chứng chỉ Kubernetes ở mức cơ bản/trung cấp: CKAD (Application Developer) hoặc CKA (Administrator) – đang học hoặc đã đạt.
- Chứng chỉ/khóa cloud nền tảng/associate (ít nhất một trong các chứng chỉ sau):
  + Microsoft Azure Administrator – AZ-104.
  + AWS SysOps Administrator – Associate.
  + Google Associate Cloud Engineer.
- Khóa về monitoring/logging (Prometheus, Grafana, ELK, Loki…).
- Khóa về Infrastructure as Code cơ bản (Terraform/Ansible/Bicep).</t>
  </si>
  <si>
    <t>- Chứng chỉ/khóa học khuyến khích:
  + Chứng chỉ cloud nâng cao/architect hoặc DevOps chuyên sâu:
    · AWS Certified DevOps Engineer – Professional.
    · Microsoft DevOps Engineer Expert (AZ-400).
    · Azure Solutions Architect Expert (AZ-305) hoặc AWS Solutions Architect.
  + Chứng chỉ Kubernetes nâng cao về bảo mật: CKS (Certified Kubernetes Security Specialist) – nếu phù hợp.
- Khóa SRE/observability:
  + “Site Reliability Engineering”, “SRE Fundamentals”, khóa về distributed tracing, advanced monitoring.
- Khóa về bảo mật hạ tầng, DevSecOps, compliance.
- Khóa leadership/technical leadership (dẫn dắt nền tảng kỹ thuật, cộng đồng DevOps nội bộ).</t>
  </si>
  <si>
    <t>Điều kiện điểm số (phiếu đánh giá DevOps)</t>
  </si>
  <si>
    <t>- Điểm % tổng ≥ 60.
- Không có kỹ năng CORE nào &lt; 2.
- Các kỹ năng cơ bản như gọi API mô hình AI, xử lý dữ liệu đầu vào/đầu ra, hiểu kiến trúc tích hợp đơn giản đạt từ 2 trở lên.</t>
  </si>
  <si>
    <t>- Điểm % tổng ≥ 70.
- Một số kỹ năng CORE đạt 3 (thiết kế flow tích hợp, xử lý ngữ cảnh, RAG cơ bản, logging/monitoring cho AI feature...).
- Không có kỹ năng trọng yếu nào &lt; 2.</t>
  </si>
  <si>
    <t>- Điểm % tổng ≥ 80.
- Nhiều kỹ năng CORE và ADVANCED đạt 3.
- Điểm cao ở các tiêu chí: thiết kế kiến trúc tích hợp AI end-to-end, RAG nâng cao, guardrail, eval &amp; monitoring, tối ưu chi phí/hiệu năng.</t>
  </si>
  <si>
    <t xml:space="preserve">- Thiết kế và hiện thực flow tích hợp AI cho các use case phức tạp hơn: đa bước (multi-turn), kết hợp nhiều nguồn dữ liệu.
- Đã triển khai ít nhất 1 flow RAG cơ bản (vector database, embedding, search) cho tính năng tìm kiếm/qa/tóm tắt tài liệu nội bộ.
- Thiết lập logging/monitoring cơ bản cho AI feature (log prompt/response đã ẩn dữ liệu nhạy cảm, latency, error rate...).
- Tham gia POC/rollout cho AI feature có nhiều user nội bộ sử dụng thường xuyên.
- Quy mô &amp; độ phức tạp: module/tính năng AI dùng chung trong 1 hệ thống nội bộ, nhiều user, có yêu cầu reliability ở mức khá.
</t>
  </si>
  <si>
    <t xml:space="preserve">- Thiết kế kiến trúc tích hợp AI ở quy mô hệ thống: phân lớp (orchestrator, model provider, data source, logging, guardrail...).
- Dẫn dắt triển khai RAG nâng cao (chunking chiến lược, hybrid search, re-ranking, caching) trên dữ liệu nghiệp vụ phức tạp.
- Thiết lập cơ chế eval offline/online cho AI feature (A/B test prompt, đánh giá chất lượng output bằng rubric/metric nội bộ).
- Tham gia xử lý và giảm thiểu các rủi ro: hallucination, dữ liệu nhạy cảm, quyền truy cập, kiểm soát chi phí API.
- Quy mô &amp; độ phức tạp: nhiều hệ thống sử dụng chung nền tảng AI, nhiều loại dữ liệu (văn bản, file, log…), người dùng đa dạng, yêu cầu cao về bảo mật &amp; tuân thủ.
</t>
  </si>
  <si>
    <t>- Khóa nền tảng về trí tuệ nhân tạo &amp; LLM:
  + Ví dụ: “Introduction to Generative AI / Prompting” (Coursera/Udemy/Google/Azure).\n- Khóa nền tảng về REST API/HTTP, JSON, bảo mật cơ bản (token, secret, rate limit).
- Khóa về một nền tảng AI cụ thể đang dùng (ví dụ OpenAI, Azure OpenAI, Vertex AI) ở mức cơ bản.
- Khuyến khích (nếu có): chứng chỉ/badge online về Generative AI fundamentals từ các nhà cung cấp cloud (Google/Microsoft/AWS).</t>
  </si>
  <si>
    <t>- Khuyến khích các khóa/chứng chỉ:
  + Khóa nâng cao về LLM &amp; Prompt Engineering (LangChain/LlamaIndex hoặc tương đương).
  + Khóa về RAG &amp; vector database (Pinecone, Chroma, Elastic, Azure AI Search...).
  + Khóa về MLOps/LLMOps cơ bản (theo dõi, giám sát mô hình trong sản xuất).
- Chứng chỉ cloud/AI ở mức nền tảng/associate (ít nhất một trong các chứng chỉ sau):
  + Microsoft Azure AI Fundamentals – AI-900.
  + Google Cloud Digital Leader (có phần GenAI) hoặc tương đương.
  + AWS Certified Cloud Practitioner với nội dung AI/ML intro.</t>
  </si>
  <si>
    <t>- Chứng chỉ/khóa học khuyến khích:
  + Chứng chỉ AI/Cloud chuyên sâu:
    · Microsoft Azure AI Engineer Associate – AI-102.
    · Google Cloud Professional Machine Learning Engineer (nếu phù hợp).
    · AWS Certified Machine Learning – Specialty (nếu phù hợp với lộ trình).
  + Khóa chuyên sâu về LLMOps/MLOps, Observability &amp; Evaluation cho hệ thống AI.
  + Khóa về Security &amp; Responsible AI (fairness, privacy, governance).
- Các khóa leadership kỹ thuật, dẫn dắt nền tảng AI trong tổ chức, kỹ năng trình bày/giải thích giải pháp AI cho lãnh đạo.</t>
  </si>
  <si>
    <t>- Tối thiểu khoảng 9–12 tháng làm việc ở AI Enineer1.
- Đã tham gia ít nhất 1–2 dự án/POC tích hợp AI ở mức tính năng nhỏ (chatbot, tóm tắt, gợi ý đơn giản...).</t>
  </si>
  <si>
    <t>- Tối thiểu khoảng 12–18 tháng ở AI Enineer2.
- Có kinh nghiệm làm AI Integration chính cho 1–2 tính năng quan trọng hoặc 1 module AI trong hệ thống.</t>
  </si>
  <si>
    <t>- Tối thiểu khoảng 24–36 tháng ở AI Enineer3.
- Có kinh nghiệm dẫn dắt kỹ thuật AI Integration cho nhiều tính năng AI hoặc 1 nền tảng AI chung của đơn vị.</t>
  </si>
  <si>
    <t xml:space="preserve">- Tham gia xây dựng hoặc chỉnh sửa flow tích hợp AI đơn giản (gọi API từ code/backend, mapping dữ liệu vào/ra).
- Áp dụng prompt có cấu trúc cơ bản theo guideline có sẵn, biết debug lỗi đơn giản (timeout, quota, lỗi format dữ liệu...).
- Đã triển khai AI feature lên môi trường dev/test dưới sự hướng dẫn của AI Enineer senior/Dev.
- Quy mô &amp; độ phức tạp: 1–2 tính năng AI độc lập trong ứng dụng nội bộ, ít ràng buộc bảo mật/pháp lý, số user ít.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</si>
</sst>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7">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
      <left style="thin">
        <color indexed="64"/>
      </left>
      <right/>
      <top/>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7" fillId="0" borderId="15"/>
  </cellStyleXfs>
  <cellXfs count="370">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7" fillId="0" borderId="15" xfId="13"/>
    <xf numFmtId="0" fontId="12" fillId="0" borderId="15" xfId="13" applyFont="1" applyAlignment="1">
      <alignment horizontal="center" vertical="center"/>
    </xf>
    <xf numFmtId="0" fontId="38" fillId="2" borderId="1" xfId="13" applyFont="1" applyFill="1" applyBorder="1" applyAlignment="1">
      <alignment horizontal="center" vertical="center"/>
    </xf>
    <xf numFmtId="0" fontId="39" fillId="0" borderId="1" xfId="13" applyFont="1" applyBorder="1" applyAlignment="1">
      <alignment horizontal="center" vertical="center"/>
    </xf>
    <xf numFmtId="0" fontId="39"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1"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39" fillId="0" borderId="1" xfId="13" applyFont="1" applyFill="1" applyBorder="1" applyAlignment="1">
      <alignment vertical="center"/>
    </xf>
    <xf numFmtId="0" fontId="7" fillId="0" borderId="1" xfId="0" applyFont="1" applyBorder="1"/>
    <xf numFmtId="0" fontId="36" fillId="0" borderId="1" xfId="0" applyFont="1" applyBorder="1"/>
    <xf numFmtId="0" fontId="35" fillId="0" borderId="1" xfId="12" applyBorder="1"/>
    <xf numFmtId="0" fontId="36" fillId="0" borderId="1" xfId="0" applyFont="1" applyFill="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39" fillId="13" borderId="1" xfId="13" applyFont="1" applyFill="1" applyBorder="1" applyAlignment="1">
      <alignment vertical="center"/>
    </xf>
    <xf numFmtId="0" fontId="39"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39" fillId="14" borderId="1" xfId="13" applyFont="1" applyFill="1" applyBorder="1" applyAlignment="1">
      <alignment horizontal="center" vertical="center"/>
    </xf>
    <xf numFmtId="0" fontId="39" fillId="14"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35" fillId="0" borderId="1" xfId="12" applyFill="1" applyBorder="1" applyAlignment="1">
      <alignment horizontal="left"/>
    </xf>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2" fillId="0" borderId="1" xfId="0" applyFont="1" applyFill="1" applyBorder="1"/>
    <xf numFmtId="0" fontId="4"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3" fillId="0" borderId="1" xfId="0" applyFont="1" applyBorder="1" applyAlignment="1">
      <alignment vertical="top" wrapText="1"/>
    </xf>
    <xf numFmtId="0" fontId="3" fillId="0" borderId="0" xfId="0" applyFont="1" applyAlignment="1">
      <alignment horizontal="left" vertical="center" wrapText="1" indent="1"/>
    </xf>
    <xf numFmtId="0" fontId="3" fillId="0" borderId="1" xfId="0" applyFont="1" applyBorder="1" applyAlignment="1">
      <alignment horizontal="center" vertical="center"/>
    </xf>
    <xf numFmtId="0" fontId="3" fillId="0" borderId="0" xfId="0" applyFont="1" applyAlignment="1">
      <alignment horizontal="left" vertical="center" wrapText="1"/>
    </xf>
    <xf numFmtId="0" fontId="39" fillId="13" borderId="1" xfId="13" applyFont="1" applyFill="1" applyBorder="1" applyAlignment="1">
      <alignment horizontal="center" vertical="center"/>
    </xf>
    <xf numFmtId="0" fontId="14" fillId="0" borderId="0" xfId="0" applyFont="1" applyAlignment="1">
      <alignment vertical="top" wrapText="1"/>
    </xf>
    <xf numFmtId="0" fontId="3" fillId="0" borderId="1" xfId="0" applyFont="1" applyBorder="1" applyAlignment="1">
      <alignment horizontal="left" vertical="center" wrapText="1"/>
    </xf>
    <xf numFmtId="0" fontId="39" fillId="0" borderId="1" xfId="13" applyFont="1" applyFill="1" applyBorder="1" applyAlignment="1">
      <alignment horizontal="center" vertical="center"/>
    </xf>
    <xf numFmtId="0" fontId="37" fillId="0" borderId="15" xfId="13" applyFill="1"/>
    <xf numFmtId="0" fontId="39" fillId="15" borderId="1" xfId="13" applyFont="1" applyFill="1" applyBorder="1" applyAlignment="1">
      <alignment horizontal="center" vertical="center"/>
    </xf>
    <xf numFmtId="0" fontId="39" fillId="15" borderId="1" xfId="13" applyFont="1" applyFill="1" applyBorder="1" applyAlignment="1">
      <alignment vertical="center"/>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left" vertical="center" wrapText="1"/>
    </xf>
    <xf numFmtId="0" fontId="2" fillId="0" borderId="0" xfId="0" applyFont="1" applyAlignment="1">
      <alignment horizontal="left" vertical="center" wrapText="1"/>
    </xf>
    <xf numFmtId="0" fontId="6" fillId="0" borderId="17" xfId="0" applyFont="1" applyBorder="1" applyAlignment="1">
      <alignment wrapText="1"/>
    </xf>
    <xf numFmtId="0" fontId="35" fillId="0" borderId="1" xfId="12" applyFill="1" applyBorder="1"/>
    <xf numFmtId="0" fontId="42" fillId="0" borderId="1" xfId="0" applyFont="1" applyBorder="1"/>
    <xf numFmtId="0" fontId="43" fillId="12" borderId="0" xfId="0" applyFont="1" applyFill="1"/>
    <xf numFmtId="0" fontId="44" fillId="0" borderId="0" xfId="0" applyFont="1" applyAlignment="1">
      <alignment horizontal="left" vertical="top"/>
    </xf>
    <xf numFmtId="0" fontId="44" fillId="0" borderId="0" xfId="0" applyFont="1"/>
    <xf numFmtId="0" fontId="0" fillId="0" borderId="17" xfId="0" applyBorder="1" applyAlignment="1">
      <alignment wrapText="1"/>
    </xf>
    <xf numFmtId="0" fontId="0" fillId="0" borderId="17" xfId="0" applyFill="1" applyBorder="1" applyAlignment="1">
      <alignment wrapText="1"/>
    </xf>
    <xf numFmtId="0" fontId="35" fillId="0" borderId="15" xfId="12" applyBorder="1"/>
    <xf numFmtId="0" fontId="0" fillId="0" borderId="0" xfId="0" applyAlignment="1">
      <alignment wrapText="1"/>
    </xf>
    <xf numFmtId="0" fontId="0" fillId="0" borderId="0" xfId="0" applyAlignment="1">
      <alignment wrapText="1"/>
    </xf>
    <xf numFmtId="0" fontId="0" fillId="0" borderId="17" xfId="0" applyBorder="1" applyAlignment="1">
      <alignment horizontal="left" vertical="top" wrapText="1"/>
    </xf>
    <xf numFmtId="0" fontId="0" fillId="0" borderId="0" xfId="0" applyAlignment="1">
      <alignment wrapText="1"/>
    </xf>
    <xf numFmtId="0" fontId="0" fillId="0" borderId="17" xfId="0" quotePrefix="1" applyBorder="1" applyAlignment="1">
      <alignment horizontal="left" vertical="top" wrapText="1"/>
    </xf>
    <xf numFmtId="0" fontId="10" fillId="0" borderId="13" xfId="13" applyFont="1" applyBorder="1" applyAlignment="1">
      <alignment horizontal="center" vertical="center"/>
    </xf>
    <xf numFmtId="0" fontId="11" fillId="0" borderId="13" xfId="13" applyFont="1" applyBorder="1"/>
    <xf numFmtId="0" fontId="44" fillId="0" borderId="0" xfId="0" applyFont="1" applyAlignment="1">
      <alignment horizontal="left" vertical="top"/>
    </xf>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18" xfId="0" applyFont="1" applyBorder="1" applyAlignment="1">
      <alignment horizontal="left" vertical="center" wrapText="1"/>
    </xf>
    <xf numFmtId="0" fontId="23" fillId="0" borderId="20" xfId="0" applyFont="1" applyBorder="1" applyAlignment="1">
      <alignment horizontal="left" vertical="center"/>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33"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xf numFmtId="0" fontId="12" fillId="0" borderId="40" xfId="0" quotePrefix="1" applyFont="1" applyBorder="1" applyAlignment="1">
      <alignment horizontal="left" vertical="top" wrapText="1"/>
    </xf>
    <xf numFmtId="0" fontId="1" fillId="0" borderId="17" xfId="0" quotePrefix="1" applyFont="1" applyBorder="1" applyAlignment="1">
      <alignment wrapText="1"/>
    </xf>
    <xf numFmtId="0" fontId="0" fillId="0" borderId="17" xfId="0" quotePrefix="1" applyBorder="1" applyAlignment="1">
      <alignment wrapText="1"/>
    </xf>
    <xf numFmtId="0" fontId="12" fillId="0" borderId="0" xfId="0" quotePrefix="1" applyFont="1" applyAlignment="1">
      <alignment wrapText="1"/>
    </xf>
    <xf numFmtId="49" fontId="0" fillId="0" borderId="17" xfId="0" quotePrefix="1" applyNumberFormat="1" applyBorder="1" applyAlignment="1">
      <alignment horizontal="left" vertical="top" wrapText="1"/>
    </xf>
    <xf numFmtId="49" fontId="1" fillId="0" borderId="17" xfId="0" quotePrefix="1" applyNumberFormat="1" applyFont="1"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externalLink" Target="externalLinks/externalLink1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AIDEV_HieuV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2025_DEVOPS_DungL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2025_SM_LanNH.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I Integration Evaluation"/>
    </sheetNames>
    <sheetDataSet>
      <sheetData sheetId="0">
        <row r="27">
          <cell r="E27" t="str">
            <v>AI Engineer 2</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Ops Evaluation"/>
    </sheetNames>
    <sheetDataSet>
      <sheetData sheetId="0">
        <row r="27">
          <cell r="E27" t="str">
            <v>DevOps 2</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um Master Evaluation"/>
    </sheetNames>
    <sheetDataSet>
      <sheetData sheetId="0">
        <row r="27">
          <cell r="E27" t="str">
            <v>Scrum Master 2</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2025_DEV_HoangCDT.xlsx" TargetMode="External"/><Relationship Id="rId13" Type="http://schemas.openxmlformats.org/officeDocument/2006/relationships/hyperlink" Target="2025_DEVOPS_DungLT.xlsx" TargetMode="External"/><Relationship Id="rId18" Type="http://schemas.openxmlformats.org/officeDocument/2006/relationships/hyperlink" Target="2025_DEV_NyVS.xlsx" TargetMode="External"/><Relationship Id="rId26" Type="http://schemas.openxmlformats.org/officeDocument/2006/relationships/hyperlink" Target="2025_TESTER_TuanHD.xlsx" TargetMode="External"/><Relationship Id="rId3" Type="http://schemas.openxmlformats.org/officeDocument/2006/relationships/hyperlink" Target="2025_PO_MinhNV.xlsx" TargetMode="External"/><Relationship Id="rId21" Type="http://schemas.openxmlformats.org/officeDocument/2006/relationships/hyperlink" Target="2025_DEV_HoangCDT.xlsx" TargetMode="External"/><Relationship Id="rId7" Type="http://schemas.openxmlformats.org/officeDocument/2006/relationships/hyperlink" Target="2025_DEV_SyPT.xlsx" TargetMode="External"/><Relationship Id="rId12" Type="http://schemas.openxmlformats.org/officeDocument/2006/relationships/hyperlink" Target="2025_AIDEV_HieuVM.xlsx" TargetMode="External"/><Relationship Id="rId17" Type="http://schemas.openxmlformats.org/officeDocument/2006/relationships/hyperlink" Target="2025_PO_MinhNV.xlsx" TargetMode="External"/><Relationship Id="rId25" Type="http://schemas.openxmlformats.org/officeDocument/2006/relationships/hyperlink" Target="2025_DEVOPS_DungLT.xlsx" TargetMode="External"/><Relationship Id="rId2" Type="http://schemas.openxmlformats.org/officeDocument/2006/relationships/hyperlink" Target="2025_PO_VietNTN.xlsx" TargetMode="External"/><Relationship Id="rId16" Type="http://schemas.openxmlformats.org/officeDocument/2006/relationships/hyperlink" Target="2025_PO_VietNTN.xlsx" TargetMode="External"/><Relationship Id="rId20" Type="http://schemas.openxmlformats.org/officeDocument/2006/relationships/hyperlink" Target="2025_DEV_SyPT.xlsx" TargetMode="External"/><Relationship Id="rId29" Type="http://schemas.openxmlformats.org/officeDocument/2006/relationships/printerSettings" Target="../printerSettings/printerSettings2.bin"/><Relationship Id="rId1" Type="http://schemas.openxmlformats.org/officeDocument/2006/relationships/hyperlink" Target="2025_PO_AnNM.xlsx" TargetMode="External"/><Relationship Id="rId6" Type="http://schemas.openxmlformats.org/officeDocument/2006/relationships/hyperlink" Target="2025_DEV_QuyenNV.xlsx" TargetMode="External"/><Relationship Id="rId11" Type="http://schemas.openxmlformats.org/officeDocument/2006/relationships/hyperlink" Target="2025_TESTER_TuanHD.xlsx" TargetMode="External"/><Relationship Id="rId24" Type="http://schemas.openxmlformats.org/officeDocument/2006/relationships/hyperlink" Target="2025_AIDEV_HieuVM.xlsx" TargetMode="External"/><Relationship Id="rId5" Type="http://schemas.openxmlformats.org/officeDocument/2006/relationships/hyperlink" Target="2025_DEV_NyVS.xlsx" TargetMode="External"/><Relationship Id="rId15" Type="http://schemas.openxmlformats.org/officeDocument/2006/relationships/hyperlink" Target="2025_PO_AnNM.xlsx" TargetMode="External"/><Relationship Id="rId23" Type="http://schemas.openxmlformats.org/officeDocument/2006/relationships/hyperlink" Target="2025_DEV_LoiTN.xlsx" TargetMode="External"/><Relationship Id="rId28" Type="http://schemas.openxmlformats.org/officeDocument/2006/relationships/hyperlink" Target="2025_SM_LanNH.xlsx" TargetMode="External"/><Relationship Id="rId10" Type="http://schemas.openxmlformats.org/officeDocument/2006/relationships/hyperlink" Target="2025_DEV_LoiTN.xlsx" TargetMode="External"/><Relationship Id="rId19" Type="http://schemas.openxmlformats.org/officeDocument/2006/relationships/hyperlink" Target="2025_DEV_QuyenNV.xlsx" TargetMode="External"/><Relationship Id="rId4" Type="http://schemas.openxmlformats.org/officeDocument/2006/relationships/hyperlink" Target="2025_DEV_ChienPK.xlsx" TargetMode="External"/><Relationship Id="rId9" Type="http://schemas.openxmlformats.org/officeDocument/2006/relationships/hyperlink" Target="2025_DEV_PhongBBT.xlsx" TargetMode="External"/><Relationship Id="rId14" Type="http://schemas.openxmlformats.org/officeDocument/2006/relationships/hyperlink" Target="2025_DEV_ChienPK.xlsx" TargetMode="External"/><Relationship Id="rId22" Type="http://schemas.openxmlformats.org/officeDocument/2006/relationships/hyperlink" Target="2025_DEV_PhongBBT.xlsx" TargetMode="External"/><Relationship Id="rId27" Type="http://schemas.openxmlformats.org/officeDocument/2006/relationships/hyperlink" Target="2025_SM_LanNH.xls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printerSettings" Target="../printerSettings/printerSettings9.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 zoomScaleNormal="100" workbookViewId="0">
      <selection activeCell="C3" sqref="C3"/>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9"/>
      <c r="B1" s="220"/>
      <c r="C1" s="220"/>
      <c r="D1" s="220"/>
      <c r="E1" s="220"/>
    </row>
    <row r="2" spans="1:5" ht="22.5" customHeight="1">
      <c r="A2" s="97" t="s">
        <v>116</v>
      </c>
      <c r="B2" s="97" t="s">
        <v>117</v>
      </c>
      <c r="C2" s="97" t="s">
        <v>135</v>
      </c>
      <c r="D2" s="97" t="s">
        <v>160</v>
      </c>
      <c r="E2" s="97" t="s">
        <v>161</v>
      </c>
    </row>
    <row r="3" spans="1:5" ht="22.5" customHeight="1">
      <c r="A3" s="163">
        <f t="shared" ref="A3:A16" si="0">IF(B3&lt;&gt;"",ROW()-2,"")</f>
        <v>1</v>
      </c>
      <c r="B3" s="164" t="s">
        <v>127</v>
      </c>
      <c r="C3" s="164" t="s">
        <v>118</v>
      </c>
      <c r="D3" s="164" t="s">
        <v>162</v>
      </c>
      <c r="E3" s="164" t="s">
        <v>1</v>
      </c>
    </row>
    <row r="4" spans="1:5" ht="22.5" customHeight="1">
      <c r="A4" s="163">
        <f t="shared" si="0"/>
        <v>2</v>
      </c>
      <c r="B4" s="164" t="s">
        <v>128</v>
      </c>
      <c r="C4" s="164" t="s">
        <v>119</v>
      </c>
      <c r="D4" s="164" t="s">
        <v>256</v>
      </c>
      <c r="E4" s="164" t="s">
        <v>2</v>
      </c>
    </row>
    <row r="5" spans="1:5" ht="22.5" customHeight="1">
      <c r="A5" s="163">
        <f t="shared" si="0"/>
        <v>3</v>
      </c>
      <c r="B5" s="164" t="s">
        <v>129</v>
      </c>
      <c r="C5" s="164" t="s">
        <v>120</v>
      </c>
      <c r="D5" s="164" t="s">
        <v>254</v>
      </c>
      <c r="E5" s="164" t="s">
        <v>255</v>
      </c>
    </row>
    <row r="6" spans="1:5" ht="22.5" customHeight="1">
      <c r="A6" s="163">
        <v>4</v>
      </c>
      <c r="B6" s="164" t="s">
        <v>130</v>
      </c>
      <c r="C6" s="164" t="s">
        <v>121</v>
      </c>
      <c r="D6" s="164" t="s">
        <v>59</v>
      </c>
      <c r="E6" s="164" t="s">
        <v>3</v>
      </c>
    </row>
    <row r="7" spans="1:5" ht="22.5" customHeight="1">
      <c r="A7" s="163">
        <f>IF(B7&lt;&gt;"",ROW()-2,"")</f>
        <v>5</v>
      </c>
      <c r="B7" s="164" t="s">
        <v>252</v>
      </c>
      <c r="C7" s="164" t="s">
        <v>253</v>
      </c>
      <c r="D7" s="164" t="s">
        <v>163</v>
      </c>
      <c r="E7" s="164" t="s">
        <v>126</v>
      </c>
    </row>
    <row r="8" spans="1:5" ht="22.5" customHeight="1">
      <c r="A8" s="98">
        <f t="shared" si="0"/>
        <v>6</v>
      </c>
      <c r="B8" s="99" t="s">
        <v>131</v>
      </c>
      <c r="C8" s="99" t="s">
        <v>122</v>
      </c>
      <c r="D8" s="99" t="s">
        <v>276</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198" customFormat="1" ht="22.5" customHeight="1">
      <c r="A12" s="199">
        <f t="shared" si="0"/>
        <v>10</v>
      </c>
      <c r="B12" s="200" t="s">
        <v>227</v>
      </c>
      <c r="C12" s="200" t="s">
        <v>136</v>
      </c>
      <c r="D12" s="200" t="s">
        <v>314</v>
      </c>
      <c r="E12" s="200" t="s">
        <v>319</v>
      </c>
    </row>
    <row r="13" spans="1:5" s="198" customFormat="1" ht="22.5" customHeight="1">
      <c r="A13" s="199">
        <f t="shared" si="0"/>
        <v>11</v>
      </c>
      <c r="B13" s="200" t="s">
        <v>228</v>
      </c>
      <c r="C13" s="200" t="s">
        <v>137</v>
      </c>
      <c r="D13" s="200" t="s">
        <v>221</v>
      </c>
      <c r="E13" s="200" t="s">
        <v>138</v>
      </c>
    </row>
    <row r="14" spans="1:5" s="198" customFormat="1" ht="22.5" customHeight="1">
      <c r="A14" s="199">
        <f t="shared" si="0"/>
        <v>12</v>
      </c>
      <c r="B14" s="200" t="s">
        <v>320</v>
      </c>
      <c r="C14" s="200" t="s">
        <v>315</v>
      </c>
      <c r="D14" s="200" t="s">
        <v>222</v>
      </c>
      <c r="E14" s="200" t="s">
        <v>139</v>
      </c>
    </row>
    <row r="15" spans="1:5" s="198" customFormat="1" ht="22.5" customHeight="1">
      <c r="A15" s="199">
        <f t="shared" si="0"/>
        <v>13</v>
      </c>
      <c r="B15" s="200" t="s">
        <v>321</v>
      </c>
      <c r="C15" s="200" t="s">
        <v>316</v>
      </c>
      <c r="D15" s="200" t="s">
        <v>317</v>
      </c>
      <c r="E15" s="200" t="s">
        <v>318</v>
      </c>
    </row>
    <row r="16" spans="1:5" s="198" customFormat="1" ht="22.5" customHeight="1">
      <c r="A16" s="197">
        <f t="shared" si="0"/>
        <v>14</v>
      </c>
      <c r="B16" s="134" t="s">
        <v>229</v>
      </c>
      <c r="C16" s="134" t="s">
        <v>140</v>
      </c>
      <c r="D16" s="134" t="s">
        <v>353</v>
      </c>
      <c r="E16" s="134" t="s">
        <v>351</v>
      </c>
    </row>
    <row r="17" spans="1:5" s="198" customFormat="1" ht="22.5" customHeight="1">
      <c r="A17" s="197">
        <f>IF(B17&lt;&gt;"",ROW()-2,"")</f>
        <v>15</v>
      </c>
      <c r="B17" s="134" t="s">
        <v>230</v>
      </c>
      <c r="C17" s="134" t="s">
        <v>141</v>
      </c>
      <c r="D17" s="134" t="s">
        <v>354</v>
      </c>
      <c r="E17" s="134" t="s">
        <v>142</v>
      </c>
    </row>
    <row r="18" spans="1:5" s="198" customFormat="1" ht="22.5" customHeight="1">
      <c r="A18" s="197">
        <f>IF(B18&lt;&gt;"",ROW()-2,"")</f>
        <v>16</v>
      </c>
      <c r="B18" s="134" t="s">
        <v>350</v>
      </c>
      <c r="C18" s="134" t="s">
        <v>347</v>
      </c>
      <c r="D18" s="134" t="s">
        <v>355</v>
      </c>
      <c r="E18" s="134" t="s">
        <v>143</v>
      </c>
    </row>
    <row r="19" spans="1:5" s="198" customFormat="1" ht="22.5" customHeight="1">
      <c r="A19" s="197">
        <f>IF(B19&lt;&gt;"",ROW()-2,"")</f>
        <v>17</v>
      </c>
      <c r="B19" s="134" t="s">
        <v>349</v>
      </c>
      <c r="C19" s="134" t="s">
        <v>348</v>
      </c>
      <c r="D19" s="134" t="s">
        <v>357</v>
      </c>
      <c r="E19" s="134" t="s">
        <v>352</v>
      </c>
    </row>
    <row r="20" spans="1:5" s="198" customFormat="1" ht="22.5" customHeight="1">
      <c r="A20" s="199">
        <f t="shared" ref="A20" si="1">IF(B20&lt;&gt;"",ROW()-2,"")</f>
        <v>18</v>
      </c>
      <c r="B20" s="200" t="s">
        <v>231</v>
      </c>
      <c r="C20" s="200" t="s">
        <v>223</v>
      </c>
      <c r="D20" s="200" t="s">
        <v>391</v>
      </c>
      <c r="E20" s="200" t="s">
        <v>394</v>
      </c>
    </row>
    <row r="21" spans="1:5" s="198" customFormat="1" ht="22.5" customHeight="1">
      <c r="A21" s="199">
        <f t="shared" ref="A21:A27" si="2">IF(B21&lt;&gt;"",ROW()-2,"")</f>
        <v>19</v>
      </c>
      <c r="B21" s="200" t="s">
        <v>232</v>
      </c>
      <c r="C21" s="200" t="s">
        <v>224</v>
      </c>
      <c r="D21" s="200" t="s">
        <v>225</v>
      </c>
      <c r="E21" s="200" t="s">
        <v>207</v>
      </c>
    </row>
    <row r="22" spans="1:5" s="198" customFormat="1" ht="22.5" customHeight="1">
      <c r="A22" s="199">
        <f t="shared" si="2"/>
        <v>20</v>
      </c>
      <c r="B22" s="200" t="s">
        <v>395</v>
      </c>
      <c r="C22" s="200" t="s">
        <v>389</v>
      </c>
      <c r="D22" s="200" t="s">
        <v>226</v>
      </c>
      <c r="E22" s="200" t="s">
        <v>208</v>
      </c>
    </row>
    <row r="23" spans="1:5" s="198" customFormat="1" ht="22.5" customHeight="1">
      <c r="A23" s="199">
        <f t="shared" si="2"/>
        <v>21</v>
      </c>
      <c r="B23" s="200" t="s">
        <v>396</v>
      </c>
      <c r="C23" s="200" t="s">
        <v>390</v>
      </c>
      <c r="D23" s="200" t="s">
        <v>392</v>
      </c>
      <c r="E23" s="200" t="s">
        <v>393</v>
      </c>
    </row>
    <row r="24" spans="1:5" s="198" customFormat="1" ht="18.75">
      <c r="A24" s="197">
        <f t="shared" si="2"/>
        <v>22</v>
      </c>
      <c r="B24" s="134" t="s">
        <v>233</v>
      </c>
      <c r="C24" s="178" t="s">
        <v>235</v>
      </c>
      <c r="D24" s="134" t="s">
        <v>277</v>
      </c>
      <c r="E24" s="178" t="s">
        <v>239</v>
      </c>
    </row>
    <row r="25" spans="1:5" s="198" customFormat="1" ht="18.75">
      <c r="A25" s="197">
        <f t="shared" si="2"/>
        <v>23</v>
      </c>
      <c r="B25" s="134" t="s">
        <v>234</v>
      </c>
      <c r="C25" s="178" t="s">
        <v>236</v>
      </c>
      <c r="D25" s="134" t="s">
        <v>426</v>
      </c>
      <c r="E25" s="178" t="s">
        <v>310</v>
      </c>
    </row>
    <row r="26" spans="1:5" s="198" customFormat="1" ht="18.75">
      <c r="A26" s="197">
        <f t="shared" si="2"/>
        <v>24</v>
      </c>
      <c r="B26" s="134" t="s">
        <v>422</v>
      </c>
      <c r="C26" s="178" t="s">
        <v>424</v>
      </c>
      <c r="D26" s="134" t="s">
        <v>238</v>
      </c>
      <c r="E26" s="178" t="s">
        <v>428</v>
      </c>
    </row>
    <row r="27" spans="1:5" s="198" customFormat="1" ht="18.75">
      <c r="A27" s="197">
        <f t="shared" si="2"/>
        <v>25</v>
      </c>
      <c r="B27" s="134" t="s">
        <v>423</v>
      </c>
      <c r="C27" s="178" t="s">
        <v>425</v>
      </c>
      <c r="D27" s="134" t="s">
        <v>427</v>
      </c>
      <c r="E27" s="178" t="s">
        <v>429</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0"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opLeftCell="B1" zoomScaleNormal="84" workbookViewId="0">
      <selection activeCell="B12" sqref="B12"/>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1"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06" t="s">
        <v>77</v>
      </c>
      <c r="C2" s="213" t="s">
        <v>78</v>
      </c>
      <c r="D2" s="138" t="s">
        <v>79</v>
      </c>
      <c r="E2" s="134" t="str">
        <f>'[1]PO Evaluation'!$E$27</f>
        <v>Product Owner 2</v>
      </c>
    </row>
    <row r="3" spans="1:16" ht="18.75">
      <c r="A3" s="135">
        <v>2</v>
      </c>
      <c r="B3" s="206" t="s">
        <v>98</v>
      </c>
      <c r="C3" s="213" t="s">
        <v>99</v>
      </c>
      <c r="D3" s="138" t="s">
        <v>79</v>
      </c>
      <c r="E3" s="134" t="str">
        <f>'[2]PO Evaluation'!$E$27</f>
        <v>Product Owner 2</v>
      </c>
    </row>
    <row r="4" spans="1:16" ht="18.75">
      <c r="A4" s="135">
        <v>3</v>
      </c>
      <c r="B4" s="137" t="s">
        <v>88</v>
      </c>
      <c r="C4" s="213" t="s">
        <v>89</v>
      </c>
      <c r="D4" s="136" t="s">
        <v>79</v>
      </c>
      <c r="E4" s="153" t="str">
        <f>'[3]PO Evaluation'!$E$27</f>
        <v>Product Owner 2</v>
      </c>
    </row>
    <row r="5" spans="1:16" ht="18.75">
      <c r="A5" s="135">
        <v>4</v>
      </c>
      <c r="B5" s="137" t="s">
        <v>159</v>
      </c>
      <c r="C5" s="137" t="s">
        <v>205</v>
      </c>
      <c r="D5" s="136" t="s">
        <v>79</v>
      </c>
      <c r="E5" s="207" t="str">
        <f>'[4]Dev Evaluation'!$E$26</f>
        <v>Developer 2</v>
      </c>
    </row>
    <row r="6" spans="1:16" ht="18.75">
      <c r="A6" s="135">
        <v>5</v>
      </c>
      <c r="B6" s="137" t="s">
        <v>202</v>
      </c>
      <c r="C6" s="213" t="s">
        <v>203</v>
      </c>
      <c r="D6" s="136" t="s">
        <v>79</v>
      </c>
      <c r="E6" s="207" t="str">
        <f>'[5]Dev Evaluation'!$E$26</f>
        <v>Developer 2</v>
      </c>
    </row>
    <row r="7" spans="1:16" ht="18.75">
      <c r="A7" s="135">
        <v>6</v>
      </c>
      <c r="B7" s="137" t="s">
        <v>92</v>
      </c>
      <c r="C7" s="213" t="s">
        <v>93</v>
      </c>
      <c r="D7" s="136" t="s">
        <v>79</v>
      </c>
      <c r="E7" s="207" t="str">
        <f>'[6]Dev Evaluation'!$E$26</f>
        <v>Developer 3</v>
      </c>
    </row>
    <row r="8" spans="1:16" ht="18.75">
      <c r="A8" s="135">
        <v>7</v>
      </c>
      <c r="B8" s="137" t="s">
        <v>94</v>
      </c>
      <c r="C8" s="213" t="s">
        <v>95</v>
      </c>
      <c r="D8" s="136" t="s">
        <v>79</v>
      </c>
      <c r="E8" s="207" t="str">
        <f>'[7]Dev Evaluation'!$E$26</f>
        <v>Developer 3</v>
      </c>
    </row>
    <row r="9" spans="1:16" ht="18.75">
      <c r="A9" s="135">
        <v>8</v>
      </c>
      <c r="B9" s="137" t="s">
        <v>84</v>
      </c>
      <c r="C9" s="213" t="s">
        <v>85</v>
      </c>
      <c r="D9" s="136" t="s">
        <v>79</v>
      </c>
      <c r="E9" s="207" t="str">
        <f>'[8]Dev Evaluation'!$E$26</f>
        <v>Developer 4</v>
      </c>
    </row>
    <row r="10" spans="1:16" ht="18.75">
      <c r="A10" s="135">
        <v>9</v>
      </c>
      <c r="B10" s="137" t="s">
        <v>90</v>
      </c>
      <c r="C10" s="213" t="s">
        <v>91</v>
      </c>
      <c r="D10" s="136" t="s">
        <v>79</v>
      </c>
      <c r="E10" s="207" t="str">
        <f>'[9]Dev Evaluation'!$E$26</f>
        <v>Developer 4</v>
      </c>
    </row>
    <row r="11" spans="1:16" ht="18.75">
      <c r="A11" s="135">
        <v>10</v>
      </c>
      <c r="B11" s="137" t="s">
        <v>158</v>
      </c>
      <c r="C11" s="213" t="s">
        <v>204</v>
      </c>
      <c r="D11" s="136" t="s">
        <v>79</v>
      </c>
      <c r="E11" s="207" t="str">
        <f>'[10]Dev Evaluation'!$E$26</f>
        <v>Developer 4</v>
      </c>
    </row>
    <row r="12" spans="1:16" s="171" customFormat="1" ht="18.75">
      <c r="A12" s="135">
        <v>11</v>
      </c>
      <c r="B12" s="206" t="s">
        <v>82</v>
      </c>
      <c r="C12" s="213" t="s">
        <v>83</v>
      </c>
      <c r="D12" s="138" t="s">
        <v>79</v>
      </c>
      <c r="E12" s="178" t="str">
        <f>'[11]AI Integration Evaluation'!$E$27</f>
        <v>AI Engineer 2</v>
      </c>
    </row>
    <row r="13" spans="1:16" ht="18.75">
      <c r="A13" s="135">
        <v>12</v>
      </c>
      <c r="B13" s="206" t="s">
        <v>80</v>
      </c>
      <c r="C13" s="213" t="s">
        <v>81</v>
      </c>
      <c r="D13" s="138" t="s">
        <v>79</v>
      </c>
      <c r="E13" s="152" t="str">
        <f>'[12]DevOps Evaluation'!$E$27</f>
        <v>DevOps 2</v>
      </c>
    </row>
    <row r="14" spans="1:16" ht="18.75">
      <c r="A14" s="135">
        <v>13</v>
      </c>
      <c r="B14" s="137" t="s">
        <v>86</v>
      </c>
      <c r="C14" s="213" t="s">
        <v>87</v>
      </c>
      <c r="D14" s="136" t="s">
        <v>79</v>
      </c>
      <c r="E14" s="153" t="str">
        <f>'[13]Scrum Master Evaluation'!$E$27</f>
        <v>Scrum Master 2</v>
      </c>
    </row>
    <row r="15" spans="1:16" s="171" customFormat="1" ht="18.75">
      <c r="A15" s="135">
        <v>14</v>
      </c>
      <c r="B15" s="206" t="s">
        <v>96</v>
      </c>
      <c r="C15" s="170" t="s">
        <v>97</v>
      </c>
      <c r="D15" s="138" t="s">
        <v>79</v>
      </c>
      <c r="E15" s="207" t="str">
        <f>[14]TESTER!$E$27</f>
        <v xml:space="preserve">Tester 1 </v>
      </c>
    </row>
    <row r="18" spans="2:5">
      <c r="B18" s="208" t="s">
        <v>491</v>
      </c>
    </row>
    <row r="19" spans="2:5">
      <c r="B19" s="221" t="s">
        <v>493</v>
      </c>
      <c r="C19" s="221"/>
      <c r="D19" s="221"/>
      <c r="E19" s="221"/>
    </row>
    <row r="20" spans="2:5">
      <c r="B20" s="209" t="s">
        <v>492</v>
      </c>
      <c r="C20" s="210"/>
      <c r="D20" s="210"/>
      <c r="E20" s="210"/>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40" type="noConversion"/>
  <hyperlinks>
    <hyperlink ref="B2" r:id="rId1"/>
    <hyperlink ref="B3" r:id="rId2"/>
    <hyperlink ref="B4" r:id="rId3"/>
    <hyperlink ref="B5" r:id="rId4"/>
    <hyperlink ref="B6" r:id="rId5"/>
    <hyperlink ref="B7" r:id="rId6"/>
    <hyperlink ref="B8" r:id="rId7"/>
    <hyperlink ref="B9" r:id="rId8"/>
    <hyperlink ref="B10" r:id="rId9"/>
    <hyperlink ref="B11" r:id="rId10"/>
    <hyperlink ref="B15" r:id="rId11"/>
    <hyperlink ref="B12" r:id="rId12"/>
    <hyperlink ref="B13" r:id="rId13"/>
    <hyperlink ref="C5" r:id="rId14"/>
    <hyperlink ref="C2" r:id="rId15"/>
    <hyperlink ref="C3" r:id="rId16"/>
    <hyperlink ref="C4" r:id="rId17"/>
    <hyperlink ref="C6" r:id="rId18"/>
    <hyperlink ref="C7" r:id="rId19"/>
    <hyperlink ref="C8" r:id="rId20"/>
    <hyperlink ref="C9" r:id="rId21"/>
    <hyperlink ref="C10" r:id="rId22"/>
    <hyperlink ref="C11" r:id="rId23"/>
    <hyperlink ref="C12" r:id="rId24"/>
    <hyperlink ref="C13" r:id="rId25"/>
    <hyperlink ref="C15" r:id="rId26"/>
    <hyperlink ref="B14" r:id="rId27"/>
    <hyperlink ref="C14" r:id="rId28"/>
  </hyperlinks>
  <pageMargins left="0.7" right="0.7" top="0.75" bottom="0.75" header="0.3" footer="0.3"/>
  <pageSetup paperSize="9" orientation="portrait" horizontalDpi="300" verticalDpi="300"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pageSetUpPr fitToPage="1"/>
  </sheetPr>
  <dimension ref="A1:W1000"/>
  <sheetViews>
    <sheetView topLeftCell="A37" zoomScale="70" zoomScaleNormal="70" workbookViewId="0">
      <selection activeCell="B48" sqref="B48"/>
    </sheetView>
  </sheetViews>
  <sheetFormatPr defaultColWidth="14.42578125" defaultRowHeight="15" customHeight="1"/>
  <cols>
    <col min="1" max="1" width="6.28515625" customWidth="1"/>
    <col min="2" max="2" width="63.140625" customWidth="1"/>
    <col min="3" max="3" width="40.85546875" style="156"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22"/>
      <c r="C1" s="159"/>
      <c r="D1" s="225" t="s">
        <v>8</v>
      </c>
      <c r="E1" s="226"/>
      <c r="F1" s="227"/>
      <c r="G1" s="82" t="s">
        <v>151</v>
      </c>
      <c r="H1" s="4"/>
      <c r="I1" s="4"/>
      <c r="J1" s="4"/>
      <c r="K1" s="4"/>
      <c r="L1" s="4"/>
      <c r="M1" s="4"/>
      <c r="N1" s="4"/>
      <c r="O1" s="4"/>
      <c r="P1" s="4"/>
      <c r="Q1" s="4"/>
      <c r="R1" s="4"/>
      <c r="S1" s="4"/>
      <c r="T1" s="4"/>
      <c r="U1" s="4"/>
      <c r="V1" s="4"/>
      <c r="W1" s="4"/>
    </row>
    <row r="2" spans="1:23" s="83" customFormat="1" ht="18.75" customHeight="1">
      <c r="A2" s="4"/>
      <c r="B2" s="223"/>
      <c r="C2" s="154"/>
      <c r="D2" s="228"/>
      <c r="E2" s="229"/>
      <c r="F2" s="230"/>
      <c r="G2" s="104" t="s">
        <v>152</v>
      </c>
      <c r="H2" s="4"/>
      <c r="I2" s="4"/>
      <c r="J2" s="4"/>
      <c r="K2" s="4"/>
      <c r="L2" s="4"/>
      <c r="M2" s="4"/>
      <c r="N2" s="4"/>
      <c r="O2" s="4"/>
      <c r="P2" s="4"/>
      <c r="Q2" s="4"/>
      <c r="R2" s="4"/>
      <c r="S2" s="4"/>
      <c r="T2" s="4"/>
      <c r="U2" s="4"/>
      <c r="V2" s="4"/>
      <c r="W2" s="4"/>
    </row>
    <row r="3" spans="1:23" s="83" customFormat="1" ht="18.75" customHeight="1">
      <c r="A3" s="4"/>
      <c r="B3" s="223"/>
      <c r="C3" s="154"/>
      <c r="D3" s="228"/>
      <c r="E3" s="229"/>
      <c r="F3" s="230"/>
      <c r="G3" s="104" t="s">
        <v>10</v>
      </c>
      <c r="H3" s="4"/>
      <c r="I3" s="4"/>
      <c r="J3" s="4"/>
      <c r="K3" s="4"/>
      <c r="L3" s="4"/>
      <c r="M3" s="4"/>
      <c r="N3" s="4"/>
      <c r="O3" s="4"/>
      <c r="P3" s="4"/>
      <c r="Q3" s="4"/>
      <c r="R3" s="4"/>
      <c r="S3" s="4"/>
      <c r="T3" s="4"/>
      <c r="U3" s="4"/>
      <c r="V3" s="4"/>
      <c r="W3" s="4"/>
    </row>
    <row r="4" spans="1:23" s="83" customFormat="1" ht="18.75" customHeight="1">
      <c r="A4" s="4"/>
      <c r="B4" s="224"/>
      <c r="C4" s="155"/>
      <c r="D4" s="231"/>
      <c r="E4" s="232"/>
      <c r="F4" s="233"/>
      <c r="G4" s="104" t="s">
        <v>11</v>
      </c>
      <c r="H4" s="4"/>
      <c r="I4" s="4"/>
      <c r="J4" s="4"/>
      <c r="K4" s="4"/>
      <c r="L4" s="4"/>
      <c r="M4" s="4"/>
      <c r="N4" s="4"/>
      <c r="O4" s="4"/>
      <c r="P4" s="4"/>
      <c r="Q4" s="4"/>
      <c r="R4" s="4"/>
      <c r="S4" s="4"/>
      <c r="T4" s="4"/>
      <c r="U4" s="4"/>
      <c r="V4" s="4"/>
      <c r="W4" s="4"/>
    </row>
    <row r="5" spans="1:23" s="83" customFormat="1" ht="14.25" customHeight="1">
      <c r="A5" s="7"/>
      <c r="B5" s="8" t="s">
        <v>12</v>
      </c>
      <c r="C5" s="160"/>
      <c r="D5" s="234"/>
      <c r="E5" s="235"/>
      <c r="F5" s="235"/>
      <c r="G5" s="236"/>
      <c r="H5" s="74"/>
      <c r="I5" s="74"/>
      <c r="J5" s="74"/>
      <c r="K5" s="74"/>
      <c r="L5" s="74"/>
      <c r="M5" s="74"/>
      <c r="N5" s="74"/>
      <c r="O5" s="74"/>
      <c r="P5" s="74"/>
      <c r="Q5" s="74"/>
      <c r="R5" s="74"/>
      <c r="S5" s="7"/>
      <c r="T5" s="7"/>
      <c r="U5" s="7"/>
      <c r="V5" s="7"/>
      <c r="W5" s="7"/>
    </row>
    <row r="6" spans="1:23" s="83" customFormat="1" ht="14.25" customHeight="1">
      <c r="A6" s="7"/>
      <c r="B6" s="10" t="s">
        <v>13</v>
      </c>
      <c r="C6" s="161"/>
      <c r="D6" s="237" t="s">
        <v>14</v>
      </c>
      <c r="E6" s="235"/>
      <c r="F6" s="235"/>
      <c r="G6" s="236"/>
      <c r="H6" s="74"/>
      <c r="I6" s="74"/>
      <c r="J6" s="74"/>
      <c r="K6" s="74"/>
      <c r="L6" s="74"/>
      <c r="M6" s="74"/>
      <c r="N6" s="74"/>
      <c r="O6" s="74"/>
      <c r="P6" s="74"/>
      <c r="Q6" s="74"/>
      <c r="R6" s="74"/>
      <c r="S6" s="7"/>
      <c r="T6" s="7"/>
      <c r="U6" s="7"/>
      <c r="V6" s="7"/>
      <c r="W6" s="7"/>
    </row>
    <row r="7" spans="1:23" s="83" customFormat="1" ht="14.25" customHeight="1">
      <c r="A7" s="7"/>
      <c r="B7" s="10" t="s">
        <v>15</v>
      </c>
      <c r="C7" s="157"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57"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57"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15.7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0" t="s">
        <v>301</v>
      </c>
      <c r="D11" s="140" t="s">
        <v>302</v>
      </c>
      <c r="E11" s="139" t="s">
        <v>303</v>
      </c>
      <c r="F11" s="139" t="s">
        <v>304</v>
      </c>
      <c r="G11" s="139" t="s">
        <v>305</v>
      </c>
      <c r="H11" s="85"/>
      <c r="I11" s="85"/>
      <c r="J11" s="85"/>
      <c r="K11" s="85"/>
      <c r="L11" s="85"/>
      <c r="M11" s="85"/>
      <c r="N11" s="85"/>
      <c r="O11" s="85"/>
      <c r="P11" s="85"/>
      <c r="Q11" s="85"/>
      <c r="R11" s="85"/>
      <c r="S11" s="52"/>
      <c r="T11" s="52"/>
      <c r="U11" s="52"/>
      <c r="V11" s="52"/>
      <c r="W11" s="52"/>
    </row>
    <row r="12" spans="1:23" s="83" customFormat="1" ht="366.75" customHeight="1">
      <c r="A12" s="7"/>
      <c r="B12" s="240" t="s">
        <v>20</v>
      </c>
      <c r="C12" s="242" t="s">
        <v>258</v>
      </c>
      <c r="D12" s="242" t="s">
        <v>257</v>
      </c>
      <c r="E12" s="242" t="s">
        <v>259</v>
      </c>
      <c r="F12" s="242" t="s">
        <v>260</v>
      </c>
      <c r="G12" s="242" t="s">
        <v>261</v>
      </c>
      <c r="H12" s="74"/>
      <c r="I12" s="74"/>
      <c r="J12" s="74"/>
      <c r="K12" s="74"/>
      <c r="L12" s="74"/>
      <c r="M12" s="74"/>
      <c r="N12" s="74"/>
      <c r="O12" s="74"/>
      <c r="P12" s="74"/>
      <c r="Q12" s="74"/>
      <c r="R12" s="74"/>
      <c r="S12" s="7"/>
      <c r="T12" s="7"/>
      <c r="U12" s="7"/>
      <c r="V12" s="7"/>
      <c r="W12" s="7"/>
    </row>
    <row r="13" spans="1:23" s="83" customFormat="1" ht="147.75" customHeight="1">
      <c r="A13" s="7"/>
      <c r="B13" s="241"/>
      <c r="C13" s="243"/>
      <c r="D13" s="243"/>
      <c r="E13" s="243"/>
      <c r="F13" s="243"/>
      <c r="G13" s="243"/>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1" t="s">
        <v>262</v>
      </c>
      <c r="D17" s="141" t="s">
        <v>266</v>
      </c>
      <c r="E17" s="141" t="s">
        <v>265</v>
      </c>
      <c r="F17" s="141" t="s">
        <v>264</v>
      </c>
      <c r="G17" s="141"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33.75" customHeight="1">
      <c r="A19" s="7"/>
      <c r="B19" s="211" t="s">
        <v>548</v>
      </c>
      <c r="C19" s="110">
        <v>2</v>
      </c>
      <c r="D19" s="110">
        <v>3</v>
      </c>
      <c r="E19" s="13">
        <v>3</v>
      </c>
      <c r="F19" s="13">
        <v>3</v>
      </c>
      <c r="G19" s="13">
        <v>3</v>
      </c>
      <c r="H19" s="74"/>
      <c r="I19" s="74"/>
      <c r="J19" s="74"/>
      <c r="K19" s="74"/>
      <c r="L19" s="74"/>
      <c r="M19" s="74"/>
      <c r="N19" s="74"/>
      <c r="O19" s="74"/>
      <c r="P19" s="74"/>
      <c r="Q19" s="74"/>
      <c r="R19" s="74"/>
      <c r="S19" s="7"/>
      <c r="T19" s="7"/>
      <c r="U19" s="7"/>
      <c r="V19" s="7"/>
      <c r="W19" s="7"/>
    </row>
    <row r="20" spans="1:23" s="83" customFormat="1" ht="44.25" customHeight="1">
      <c r="A20" s="7"/>
      <c r="B20" s="211" t="s">
        <v>549</v>
      </c>
      <c r="C20" s="157">
        <v>2</v>
      </c>
      <c r="D20" s="13">
        <v>3</v>
      </c>
      <c r="E20" s="13">
        <v>3</v>
      </c>
      <c r="F20" s="13">
        <v>3</v>
      </c>
      <c r="G20" s="13">
        <v>3</v>
      </c>
      <c r="H20" s="74"/>
      <c r="I20" s="74"/>
      <c r="J20" s="74"/>
      <c r="K20" s="74"/>
      <c r="L20" s="74"/>
      <c r="M20" s="74"/>
      <c r="N20" s="74"/>
      <c r="O20" s="74"/>
      <c r="P20" s="74"/>
      <c r="Q20" s="74"/>
      <c r="R20" s="74"/>
      <c r="S20" s="7"/>
      <c r="T20" s="7"/>
      <c r="U20" s="7"/>
      <c r="V20" s="7"/>
      <c r="W20" s="7"/>
    </row>
    <row r="21" spans="1:23" s="83" customFormat="1" ht="24" customHeight="1">
      <c r="A21" s="7"/>
      <c r="B21" s="211" t="s">
        <v>550</v>
      </c>
      <c r="C21" s="157">
        <v>2</v>
      </c>
      <c r="D21" s="13">
        <v>2</v>
      </c>
      <c r="E21" s="13">
        <v>2</v>
      </c>
      <c r="F21" s="13">
        <v>3</v>
      </c>
      <c r="G21" s="13">
        <v>3</v>
      </c>
      <c r="H21" s="74"/>
      <c r="I21" s="74"/>
      <c r="J21" s="74"/>
      <c r="K21" s="74"/>
      <c r="L21" s="74"/>
      <c r="M21" s="74"/>
      <c r="N21" s="74"/>
      <c r="O21" s="74"/>
      <c r="P21" s="74"/>
      <c r="Q21" s="74"/>
      <c r="R21" s="74"/>
      <c r="S21" s="7"/>
      <c r="T21" s="7"/>
      <c r="U21" s="7"/>
      <c r="V21" s="7"/>
      <c r="W21" s="7"/>
    </row>
    <row r="22" spans="1:23" s="83" customFormat="1" ht="34.5" customHeight="1">
      <c r="A22" s="7"/>
      <c r="B22" s="211" t="s">
        <v>551</v>
      </c>
      <c r="C22" s="157">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39" customHeight="1">
      <c r="A23" s="7"/>
      <c r="B23" s="211" t="s">
        <v>552</v>
      </c>
      <c r="C23" s="157">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36.75" customHeight="1">
      <c r="A24" s="7"/>
      <c r="B24" s="211" t="s">
        <v>553</v>
      </c>
      <c r="C24" s="157">
        <v>2</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32.25" customHeight="1">
      <c r="A25" s="7"/>
      <c r="B25" s="211" t="s">
        <v>554</v>
      </c>
      <c r="C25" s="157">
        <v>2</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32.25" customHeight="1">
      <c r="A26" s="7"/>
      <c r="B26" s="211" t="s">
        <v>555</v>
      </c>
      <c r="C26" s="157">
        <v>2</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44.25" customHeight="1">
      <c r="A27" s="7"/>
      <c r="B27" s="211" t="s">
        <v>556</v>
      </c>
      <c r="C27" s="157">
        <v>2</v>
      </c>
      <c r="D27" s="13">
        <v>2</v>
      </c>
      <c r="E27" s="13">
        <v>2</v>
      </c>
      <c r="F27" s="13">
        <v>2</v>
      </c>
      <c r="G27" s="13">
        <v>3</v>
      </c>
      <c r="H27" s="78"/>
      <c r="I27" s="78"/>
      <c r="J27" s="78"/>
      <c r="K27" s="78"/>
      <c r="L27" s="78"/>
      <c r="M27" s="78"/>
      <c r="N27" s="78"/>
      <c r="O27" s="74"/>
      <c r="P27" s="74"/>
      <c r="Q27" s="74"/>
      <c r="R27" s="74"/>
      <c r="S27" s="7"/>
      <c r="T27" s="7"/>
      <c r="U27" s="7"/>
      <c r="V27" s="7"/>
      <c r="W27" s="7"/>
    </row>
    <row r="28" spans="1:23" s="83" customFormat="1" ht="36" customHeight="1">
      <c r="A28" s="7"/>
      <c r="B28" s="211" t="s">
        <v>557</v>
      </c>
      <c r="C28" s="157">
        <v>1</v>
      </c>
      <c r="D28" s="13">
        <v>2</v>
      </c>
      <c r="E28" s="13">
        <v>2</v>
      </c>
      <c r="F28" s="13">
        <v>3</v>
      </c>
      <c r="G28" s="13">
        <v>3</v>
      </c>
      <c r="H28" s="78"/>
      <c r="I28" s="78"/>
      <c r="J28" s="78"/>
      <c r="K28" s="78"/>
      <c r="L28" s="78"/>
      <c r="M28" s="78"/>
      <c r="N28" s="78"/>
      <c r="O28" s="74"/>
      <c r="P28" s="74"/>
      <c r="Q28" s="74"/>
      <c r="R28" s="74"/>
      <c r="S28" s="7"/>
      <c r="T28" s="7"/>
      <c r="U28" s="7"/>
      <c r="V28" s="7"/>
      <c r="W28" s="7"/>
    </row>
    <row r="29" spans="1:23" s="83" customFormat="1" ht="31.5" customHeight="1">
      <c r="A29" s="7"/>
      <c r="B29" s="211" t="s">
        <v>558</v>
      </c>
      <c r="C29" s="157">
        <v>1</v>
      </c>
      <c r="D29" s="13">
        <v>2</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211" t="s">
        <v>559</v>
      </c>
      <c r="C30" s="157">
        <v>2</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211" t="s">
        <v>560</v>
      </c>
      <c r="C31" s="157">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211" t="s">
        <v>561</v>
      </c>
      <c r="C32" s="157">
        <v>1</v>
      </c>
      <c r="D32" s="13">
        <v>1</v>
      </c>
      <c r="E32" s="13">
        <v>2</v>
      </c>
      <c r="F32" s="13">
        <v>2</v>
      </c>
      <c r="G32" s="13">
        <v>3</v>
      </c>
      <c r="H32" s="74"/>
      <c r="I32" s="74"/>
      <c r="J32" s="74"/>
      <c r="K32" s="74"/>
      <c r="L32" s="74"/>
      <c r="M32" s="74"/>
      <c r="N32" s="74"/>
      <c r="O32" s="74"/>
      <c r="P32" s="74"/>
      <c r="Q32" s="74"/>
      <c r="R32" s="74"/>
      <c r="S32" s="7"/>
      <c r="T32" s="7"/>
      <c r="U32" s="7"/>
      <c r="V32" s="7"/>
      <c r="W32" s="7"/>
    </row>
    <row r="33" spans="1:23" s="83" customFormat="1" ht="24" customHeight="1">
      <c r="A33" s="7"/>
      <c r="B33" s="211" t="s">
        <v>562</v>
      </c>
      <c r="C33" s="157">
        <v>1</v>
      </c>
      <c r="D33" s="13">
        <v>1</v>
      </c>
      <c r="E33" s="13">
        <v>2</v>
      </c>
      <c r="F33" s="13">
        <v>2</v>
      </c>
      <c r="G33" s="13">
        <v>3</v>
      </c>
      <c r="H33" s="89"/>
      <c r="I33" s="89"/>
      <c r="J33" s="89"/>
      <c r="K33" s="89"/>
      <c r="L33" s="89"/>
      <c r="M33" s="89"/>
      <c r="N33" s="89"/>
      <c r="O33" s="74"/>
      <c r="P33" s="74"/>
      <c r="Q33" s="74"/>
      <c r="R33" s="74"/>
      <c r="S33" s="7"/>
      <c r="T33" s="7"/>
      <c r="U33" s="7"/>
      <c r="V33" s="7"/>
      <c r="W33" s="7"/>
    </row>
    <row r="34" spans="1:23" s="83" customFormat="1" ht="24" customHeight="1">
      <c r="A34" s="7"/>
      <c r="B34" s="211" t="s">
        <v>563</v>
      </c>
      <c r="C34" s="157">
        <v>1</v>
      </c>
      <c r="D34" s="13">
        <v>1</v>
      </c>
      <c r="E34" s="13">
        <v>2</v>
      </c>
      <c r="F34" s="13">
        <v>2</v>
      </c>
      <c r="G34" s="13">
        <v>3</v>
      </c>
      <c r="H34" s="90"/>
      <c r="I34" s="90"/>
      <c r="J34" s="90"/>
      <c r="K34" s="90"/>
      <c r="L34" s="90"/>
      <c r="M34" s="90"/>
      <c r="N34" s="90"/>
      <c r="O34" s="74"/>
      <c r="P34" s="74"/>
      <c r="Q34" s="74"/>
      <c r="R34" s="74"/>
      <c r="S34" s="7"/>
      <c r="T34" s="7"/>
      <c r="U34" s="7"/>
      <c r="V34" s="7"/>
      <c r="W34" s="7"/>
    </row>
    <row r="35" spans="1:23" s="83" customFormat="1" ht="39" customHeight="1">
      <c r="A35" s="20"/>
      <c r="B35" s="211" t="s">
        <v>564</v>
      </c>
      <c r="C35" s="158">
        <v>1</v>
      </c>
      <c r="D35" s="80">
        <v>1</v>
      </c>
      <c r="E35" s="80">
        <v>2</v>
      </c>
      <c r="F35" s="80">
        <v>2</v>
      </c>
      <c r="G35" s="80">
        <v>3</v>
      </c>
      <c r="H35" s="90"/>
      <c r="I35" s="90"/>
      <c r="J35" s="90"/>
      <c r="K35" s="90"/>
      <c r="L35" s="90"/>
      <c r="M35" s="90"/>
      <c r="N35" s="90"/>
      <c r="O35" s="88"/>
      <c r="P35" s="88"/>
      <c r="Q35" s="88"/>
      <c r="R35" s="88"/>
      <c r="S35" s="20"/>
      <c r="T35" s="20"/>
      <c r="U35" s="20"/>
      <c r="V35" s="20"/>
      <c r="W35" s="20"/>
    </row>
    <row r="36" spans="1:23" s="83" customFormat="1" ht="15.75">
      <c r="A36" s="7"/>
      <c r="B36" s="18" t="s">
        <v>26</v>
      </c>
      <c r="C36" s="18"/>
      <c r="D36" s="18"/>
      <c r="E36" s="18"/>
      <c r="F36" s="18"/>
      <c r="G36" s="18"/>
      <c r="H36" s="9"/>
      <c r="I36" s="9"/>
      <c r="J36" s="9"/>
      <c r="K36" s="9"/>
      <c r="L36" s="9"/>
      <c r="M36" s="9"/>
      <c r="N36" s="9"/>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9"/>
      <c r="I37" s="9"/>
      <c r="J37" s="9"/>
      <c r="K37" s="9"/>
      <c r="L37" s="9"/>
      <c r="M37" s="9"/>
      <c r="N37" s="9"/>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9"/>
      <c r="I38" s="9"/>
      <c r="J38" s="9"/>
      <c r="K38" s="9"/>
      <c r="L38" s="9"/>
      <c r="M38" s="9"/>
      <c r="N38" s="9"/>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9"/>
      <c r="I39" s="9"/>
      <c r="J39" s="9"/>
      <c r="K39" s="9"/>
      <c r="L39" s="9"/>
      <c r="M39" s="9"/>
      <c r="N39" s="9"/>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9"/>
      <c r="I40" s="9"/>
      <c r="J40" s="9"/>
      <c r="K40" s="9"/>
      <c r="L40" s="9"/>
      <c r="M40" s="9"/>
      <c r="N40" s="9"/>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9"/>
      <c r="I41" s="9"/>
      <c r="J41" s="9"/>
      <c r="K41" s="9"/>
      <c r="L41" s="9"/>
      <c r="M41" s="9"/>
      <c r="N41" s="9"/>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9"/>
      <c r="I42" s="9"/>
      <c r="J42" s="9"/>
      <c r="K42" s="9"/>
      <c r="L42" s="9"/>
      <c r="M42" s="9"/>
      <c r="N42" s="9"/>
      <c r="O42" s="74"/>
      <c r="P42" s="74"/>
      <c r="Q42" s="74"/>
      <c r="R42" s="74"/>
      <c r="S42" s="7"/>
      <c r="T42" s="7"/>
      <c r="U42" s="7"/>
      <c r="V42" s="7"/>
      <c r="W42" s="7"/>
    </row>
    <row r="43" spans="1:23" s="83" customFormat="1" ht="15.75">
      <c r="A43" s="7"/>
      <c r="B43" s="18" t="s">
        <v>46</v>
      </c>
      <c r="C43" s="18"/>
      <c r="D43" s="18"/>
      <c r="E43" s="18"/>
      <c r="F43" s="18"/>
      <c r="G43" s="18"/>
      <c r="H43" s="9"/>
      <c r="I43" s="9"/>
      <c r="J43" s="9"/>
      <c r="K43" s="9"/>
      <c r="L43" s="9"/>
      <c r="M43" s="9"/>
      <c r="N43" s="9"/>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9"/>
      <c r="I44" s="9"/>
      <c r="J44" s="9"/>
      <c r="K44" s="9"/>
      <c r="L44" s="9"/>
      <c r="M44" s="9"/>
      <c r="N44" s="9"/>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9"/>
      <c r="I45" s="9"/>
      <c r="J45" s="9"/>
      <c r="K45" s="9"/>
      <c r="L45" s="9"/>
      <c r="M45" s="9"/>
      <c r="N45" s="9"/>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9"/>
      <c r="I46" s="9"/>
      <c r="J46" s="9"/>
      <c r="K46" s="9"/>
      <c r="L46" s="9"/>
      <c r="M46" s="9"/>
      <c r="N46" s="9"/>
      <c r="O46" s="78"/>
      <c r="P46" s="78"/>
      <c r="Q46" s="78"/>
      <c r="R46" s="78"/>
      <c r="S46" s="23"/>
      <c r="T46" s="23"/>
      <c r="U46" s="23"/>
      <c r="V46" s="23"/>
      <c r="W46" s="23"/>
    </row>
    <row r="47" spans="1:23" s="83" customFormat="1" ht="15.75">
      <c r="A47" s="7"/>
      <c r="B47" s="18" t="s">
        <v>565</v>
      </c>
      <c r="C47" s="18"/>
      <c r="D47" s="18"/>
      <c r="E47" s="18"/>
      <c r="F47" s="18"/>
      <c r="G47" s="18"/>
      <c r="H47" s="9"/>
      <c r="I47" s="9"/>
      <c r="J47" s="9"/>
      <c r="K47" s="9"/>
      <c r="L47" s="9"/>
      <c r="M47" s="9"/>
      <c r="N47" s="9"/>
      <c r="O47" s="74"/>
      <c r="P47" s="74"/>
      <c r="Q47" s="74"/>
      <c r="R47" s="74"/>
      <c r="S47" s="7"/>
      <c r="T47" s="7"/>
      <c r="U47" s="7"/>
      <c r="V47" s="7"/>
      <c r="W47" s="7"/>
    </row>
    <row r="48" spans="1:23" s="214" customFormat="1" ht="69.75" customHeight="1">
      <c r="A48" s="7"/>
      <c r="B48" s="10" t="s">
        <v>566</v>
      </c>
      <c r="C48" s="211" t="s">
        <v>567</v>
      </c>
      <c r="D48" s="211" t="s">
        <v>568</v>
      </c>
      <c r="E48" s="211" t="s">
        <v>569</v>
      </c>
      <c r="F48" s="211" t="s">
        <v>570</v>
      </c>
      <c r="G48" s="141"/>
      <c r="H48" s="9"/>
      <c r="I48" s="9"/>
      <c r="J48" s="9"/>
      <c r="K48" s="9"/>
      <c r="L48" s="9"/>
      <c r="M48" s="9"/>
      <c r="N48" s="9"/>
      <c r="O48" s="74"/>
      <c r="P48" s="74"/>
      <c r="Q48" s="74"/>
      <c r="R48" s="74"/>
      <c r="S48" s="7"/>
      <c r="T48" s="7"/>
      <c r="U48" s="7"/>
      <c r="V48" s="7"/>
      <c r="W48" s="7"/>
    </row>
    <row r="49" spans="1:23" s="215" customFormat="1" ht="69.75" customHeight="1">
      <c r="A49" s="7"/>
      <c r="B49" s="10" t="s">
        <v>571</v>
      </c>
      <c r="C49" s="211" t="s">
        <v>572</v>
      </c>
      <c r="D49" s="211" t="s">
        <v>573</v>
      </c>
      <c r="E49" s="366" t="s">
        <v>591</v>
      </c>
      <c r="F49" s="366" t="s">
        <v>592</v>
      </c>
      <c r="G49" s="141"/>
      <c r="H49" s="9"/>
      <c r="I49" s="9"/>
      <c r="J49" s="9"/>
      <c r="K49" s="9"/>
      <c r="L49" s="9"/>
      <c r="M49" s="9"/>
      <c r="N49" s="9"/>
      <c r="O49" s="74"/>
      <c r="P49" s="74"/>
      <c r="Q49" s="74"/>
      <c r="R49" s="74"/>
      <c r="S49" s="7"/>
      <c r="T49" s="7"/>
      <c r="U49" s="7"/>
      <c r="V49" s="7"/>
      <c r="W49" s="7"/>
    </row>
    <row r="50" spans="1:23" s="215" customFormat="1" ht="217.5" customHeight="1">
      <c r="A50" s="7"/>
      <c r="B50" s="10" t="s">
        <v>574</v>
      </c>
      <c r="C50" s="216" t="s">
        <v>575</v>
      </c>
      <c r="D50" s="216" t="s">
        <v>576</v>
      </c>
      <c r="E50" s="216" t="s">
        <v>577</v>
      </c>
      <c r="F50" s="216" t="s">
        <v>578</v>
      </c>
      <c r="G50" s="141"/>
      <c r="H50" s="9"/>
      <c r="I50" s="9"/>
      <c r="J50" s="9"/>
      <c r="K50" s="9"/>
      <c r="L50" s="9"/>
      <c r="M50" s="9"/>
      <c r="N50" s="9"/>
      <c r="O50" s="74"/>
      <c r="P50" s="74"/>
      <c r="Q50" s="74"/>
      <c r="R50" s="74"/>
      <c r="S50" s="7"/>
      <c r="T50" s="7"/>
      <c r="U50" s="7"/>
      <c r="V50" s="7"/>
      <c r="W50" s="7"/>
    </row>
    <row r="51" spans="1:23" s="83" customFormat="1" ht="262.5" customHeight="1">
      <c r="A51" s="7"/>
      <c r="B51" s="10" t="s">
        <v>579</v>
      </c>
      <c r="C51" s="211" t="s">
        <v>580</v>
      </c>
      <c r="D51" s="218" t="s">
        <v>581</v>
      </c>
      <c r="E51" s="218" t="s">
        <v>582</v>
      </c>
      <c r="F51" s="218" t="s">
        <v>583</v>
      </c>
      <c r="G51" s="141"/>
      <c r="H51" s="9"/>
      <c r="I51" s="9"/>
      <c r="J51" s="9"/>
      <c r="K51" s="9"/>
      <c r="L51" s="9"/>
      <c r="M51" s="9"/>
      <c r="N51" s="9"/>
      <c r="O51" s="74"/>
      <c r="P51" s="74"/>
      <c r="Q51" s="74"/>
      <c r="R51" s="74"/>
      <c r="S51" s="7"/>
      <c r="T51" s="7"/>
      <c r="U51" s="7"/>
      <c r="V51" s="7"/>
      <c r="W51" s="7"/>
    </row>
    <row r="52" spans="1:23" s="83" customFormat="1" ht="14.25" customHeight="1">
      <c r="A52" s="7"/>
      <c r="B52" s="74"/>
      <c r="C52" s="74"/>
      <c r="D52" s="74"/>
      <c r="E52" s="74"/>
      <c r="F52" s="74"/>
      <c r="G52" s="74"/>
      <c r="H52" s="9"/>
      <c r="I52" s="9"/>
      <c r="J52" s="9"/>
      <c r="K52" s="9"/>
      <c r="L52" s="9"/>
      <c r="M52" s="9"/>
      <c r="N52" s="9"/>
      <c r="O52" s="74"/>
      <c r="P52" s="74"/>
      <c r="Q52" s="74"/>
      <c r="R52" s="74"/>
      <c r="S52" s="7"/>
      <c r="T52" s="7"/>
      <c r="U52" s="7"/>
      <c r="V52" s="7"/>
      <c r="W52" s="7"/>
    </row>
    <row r="53" spans="1:23" s="83" customFormat="1" ht="14.25" customHeight="1">
      <c r="A53" s="7"/>
      <c r="B53" s="238" t="s">
        <v>52</v>
      </c>
      <c r="C53" s="238"/>
      <c r="D53" s="239"/>
      <c r="E53" s="239"/>
      <c r="F53" s="239"/>
      <c r="G53" s="239"/>
      <c r="H53" s="9"/>
      <c r="I53" s="9"/>
      <c r="J53" s="9"/>
      <c r="K53" s="9"/>
      <c r="L53" s="9"/>
      <c r="M53" s="9"/>
      <c r="N53" s="9"/>
      <c r="O53" s="74"/>
      <c r="P53" s="74"/>
      <c r="Q53" s="74"/>
      <c r="R53" s="74"/>
      <c r="S53" s="7"/>
      <c r="T53" s="7"/>
      <c r="U53" s="7"/>
      <c r="V53" s="7"/>
      <c r="W53" s="7"/>
    </row>
    <row r="54" spans="1:23" s="83" customFormat="1" ht="47.25" customHeight="1">
      <c r="A54" s="7"/>
      <c r="B54" s="13" t="s">
        <v>53</v>
      </c>
      <c r="C54" s="162"/>
      <c r="D54" s="244" t="s">
        <v>54</v>
      </c>
      <c r="E54" s="245"/>
      <c r="F54" s="245"/>
      <c r="G54" s="246"/>
      <c r="H54" s="9"/>
      <c r="I54" s="9"/>
      <c r="J54" s="9"/>
      <c r="K54" s="9"/>
      <c r="L54" s="9"/>
      <c r="M54" s="9"/>
      <c r="N54" s="9"/>
      <c r="O54" s="89"/>
      <c r="P54" s="89"/>
      <c r="Q54" s="89"/>
      <c r="R54" s="89"/>
      <c r="S54" s="7"/>
      <c r="T54" s="7"/>
      <c r="U54" s="7"/>
      <c r="V54" s="7"/>
      <c r="W54" s="7"/>
    </row>
    <row r="55" spans="1:23" s="83" customFormat="1" ht="65.25" customHeight="1">
      <c r="A55" s="7"/>
      <c r="B55" s="13" t="s">
        <v>55</v>
      </c>
      <c r="C55" s="162"/>
      <c r="D55" s="244" t="s">
        <v>56</v>
      </c>
      <c r="E55" s="245"/>
      <c r="F55" s="245"/>
      <c r="G55" s="246"/>
      <c r="H55" s="9"/>
      <c r="I55" s="9"/>
      <c r="J55" s="9"/>
      <c r="K55" s="9"/>
      <c r="L55" s="9"/>
      <c r="M55" s="9"/>
      <c r="N55" s="9"/>
      <c r="O55" s="90"/>
      <c r="P55" s="90"/>
      <c r="Q55" s="90"/>
      <c r="R55" s="90"/>
      <c r="S55" s="7"/>
      <c r="T55" s="7"/>
      <c r="U55" s="7"/>
      <c r="V55" s="7"/>
      <c r="W55" s="7"/>
    </row>
    <row r="56" spans="1:23" s="83" customFormat="1" ht="72.75" customHeight="1">
      <c r="A56" s="7"/>
      <c r="B56" s="13" t="s">
        <v>57</v>
      </c>
      <c r="C56" s="162"/>
      <c r="D56" s="244" t="s">
        <v>58</v>
      </c>
      <c r="E56" s="245"/>
      <c r="F56" s="245"/>
      <c r="G56" s="246"/>
      <c r="H56" s="9"/>
      <c r="I56" s="9"/>
      <c r="J56" s="9"/>
      <c r="K56" s="9"/>
      <c r="L56" s="9"/>
      <c r="M56" s="9"/>
      <c r="N56" s="9"/>
      <c r="O56" s="90"/>
      <c r="P56" s="90"/>
      <c r="Q56" s="90"/>
      <c r="R56" s="90"/>
      <c r="S56" s="7"/>
      <c r="T56" s="7"/>
      <c r="U56" s="7"/>
      <c r="V56" s="7"/>
      <c r="W56" s="7"/>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O983" s="9"/>
      <c r="P983" s="9"/>
      <c r="Q983" s="9"/>
      <c r="R983" s="9"/>
      <c r="S983" s="9"/>
      <c r="T983" s="9"/>
      <c r="U983" s="9"/>
      <c r="V983" s="9"/>
      <c r="W983" s="9"/>
    </row>
    <row r="984" spans="1:23" ht="14.25" customHeight="1">
      <c r="A984" s="7"/>
      <c r="B984" s="7"/>
      <c r="C984" s="9"/>
      <c r="D984" s="9"/>
      <c r="E984" s="9"/>
      <c r="F984" s="9"/>
      <c r="G984" s="9"/>
      <c r="O984" s="9"/>
      <c r="P984" s="9"/>
      <c r="Q984" s="9"/>
      <c r="R984" s="9"/>
      <c r="S984" s="9"/>
      <c r="T984" s="9"/>
      <c r="U984" s="9"/>
      <c r="V984" s="9"/>
      <c r="W984" s="9"/>
    </row>
    <row r="985" spans="1:23" ht="14.25" customHeight="1">
      <c r="A985" s="7"/>
      <c r="B985" s="7"/>
      <c r="C985" s="9"/>
      <c r="D985" s="9"/>
      <c r="E985" s="9"/>
      <c r="F985" s="9"/>
      <c r="G985" s="9"/>
      <c r="O985" s="9"/>
      <c r="P985" s="9"/>
      <c r="Q985" s="9"/>
      <c r="R985" s="9"/>
      <c r="S985" s="9"/>
      <c r="T985" s="9"/>
      <c r="U985" s="9"/>
      <c r="V985" s="9"/>
      <c r="W985" s="9"/>
    </row>
    <row r="986" spans="1:23" ht="14.25" customHeight="1">
      <c r="A986" s="7"/>
      <c r="B986" s="7"/>
      <c r="C986" s="9"/>
      <c r="D986" s="9"/>
      <c r="E986" s="9"/>
      <c r="F986" s="9"/>
      <c r="G986" s="9"/>
      <c r="O986" s="9"/>
      <c r="P986" s="9"/>
      <c r="Q986" s="9"/>
      <c r="R986" s="9"/>
      <c r="S986" s="9"/>
      <c r="T986" s="9"/>
      <c r="U986" s="9"/>
      <c r="V986" s="9"/>
      <c r="W986" s="9"/>
    </row>
    <row r="987" spans="1:23" ht="14.25" customHeight="1">
      <c r="A987" s="7"/>
      <c r="B987" s="7"/>
      <c r="C987" s="9"/>
      <c r="D987" s="9"/>
      <c r="E987" s="9"/>
      <c r="F987" s="9"/>
      <c r="G987" s="9"/>
      <c r="O987" s="9"/>
      <c r="P987" s="9"/>
      <c r="Q987" s="9"/>
      <c r="R987" s="9"/>
      <c r="S987" s="9"/>
      <c r="T987" s="9"/>
      <c r="U987" s="9"/>
      <c r="V987" s="9"/>
      <c r="W987" s="9"/>
    </row>
    <row r="988" spans="1:23" ht="14.25" customHeight="1">
      <c r="A988" s="7"/>
      <c r="B988" s="7"/>
      <c r="C988" s="9"/>
      <c r="D988" s="9"/>
      <c r="E988" s="9"/>
      <c r="F988" s="9"/>
      <c r="G988" s="9"/>
      <c r="O988" s="9"/>
      <c r="P988" s="9"/>
      <c r="Q988" s="9"/>
      <c r="R988" s="9"/>
      <c r="S988" s="9"/>
      <c r="T988" s="9"/>
      <c r="U988" s="9"/>
      <c r="V988" s="9"/>
      <c r="W988" s="9"/>
    </row>
    <row r="989" spans="1:23" ht="14.25" customHeight="1">
      <c r="A989" s="7"/>
      <c r="B989" s="7"/>
      <c r="C989" s="9"/>
      <c r="D989" s="9"/>
      <c r="E989" s="9"/>
      <c r="F989" s="9"/>
      <c r="G989" s="9"/>
      <c r="O989" s="9"/>
      <c r="P989" s="9"/>
      <c r="Q989" s="9"/>
      <c r="R989" s="9"/>
      <c r="S989" s="9"/>
      <c r="T989" s="9"/>
      <c r="U989" s="9"/>
      <c r="V989" s="9"/>
      <c r="W989" s="9"/>
    </row>
    <row r="990" spans="1:23" ht="14.25" customHeight="1">
      <c r="A990" s="7"/>
      <c r="B990" s="7"/>
      <c r="C990" s="9"/>
      <c r="D990" s="9"/>
      <c r="E990" s="9"/>
      <c r="F990" s="9"/>
      <c r="G990" s="9"/>
      <c r="O990" s="9"/>
      <c r="P990" s="9"/>
      <c r="Q990" s="9"/>
      <c r="R990" s="9"/>
      <c r="S990" s="9"/>
      <c r="T990" s="9"/>
      <c r="U990" s="9"/>
      <c r="V990" s="9"/>
      <c r="W990" s="9"/>
    </row>
    <row r="991" spans="1:23" ht="14.25" customHeight="1">
      <c r="A991" s="7"/>
      <c r="B991" s="7"/>
      <c r="C991" s="9"/>
      <c r="D991" s="9"/>
      <c r="E991" s="9"/>
      <c r="F991" s="9"/>
      <c r="G991" s="9"/>
      <c r="O991" s="9"/>
      <c r="P991" s="9"/>
      <c r="Q991" s="9"/>
      <c r="R991" s="9"/>
      <c r="S991" s="9"/>
      <c r="T991" s="9"/>
      <c r="U991" s="9"/>
      <c r="V991" s="9"/>
      <c r="W991" s="9"/>
    </row>
    <row r="992" spans="1:23" ht="14.25" customHeight="1">
      <c r="A992" s="7"/>
      <c r="B992" s="7"/>
      <c r="C992" s="9"/>
      <c r="D992" s="9"/>
      <c r="E992" s="9"/>
      <c r="F992" s="9"/>
      <c r="G992" s="9"/>
      <c r="O992" s="9"/>
      <c r="P992" s="9"/>
      <c r="Q992" s="9"/>
      <c r="R992" s="9"/>
      <c r="S992" s="9"/>
      <c r="T992" s="9"/>
      <c r="U992" s="9"/>
      <c r="V992" s="9"/>
      <c r="W992" s="9"/>
    </row>
    <row r="993" spans="1:23" ht="14.25" customHeight="1">
      <c r="A993" s="7"/>
      <c r="B993" s="7"/>
      <c r="C993" s="9"/>
      <c r="D993" s="9"/>
      <c r="E993" s="9"/>
      <c r="F993" s="9"/>
      <c r="G993" s="9"/>
      <c r="O993" s="9"/>
      <c r="P993" s="9"/>
      <c r="Q993" s="9"/>
      <c r="R993" s="9"/>
      <c r="S993" s="9"/>
      <c r="T993" s="9"/>
      <c r="U993" s="9"/>
      <c r="V993" s="9"/>
      <c r="W993" s="9"/>
    </row>
    <row r="994" spans="1:23" ht="14.25" customHeight="1">
      <c r="A994" s="7"/>
      <c r="B994" s="7"/>
      <c r="C994" s="9"/>
      <c r="D994" s="9"/>
      <c r="E994" s="9"/>
      <c r="F994" s="9"/>
      <c r="G994" s="9"/>
      <c r="O994" s="9"/>
      <c r="P994" s="9"/>
      <c r="Q994" s="9"/>
      <c r="R994" s="9"/>
      <c r="S994" s="9"/>
      <c r="T994" s="9"/>
      <c r="U994" s="9"/>
      <c r="V994" s="9"/>
      <c r="W994" s="9"/>
    </row>
    <row r="995" spans="1:23" ht="14.25" customHeight="1">
      <c r="A995" s="7"/>
      <c r="B995" s="7"/>
      <c r="C995" s="9"/>
      <c r="D995" s="9"/>
      <c r="E995" s="9"/>
      <c r="F995" s="9"/>
      <c r="G995" s="9"/>
      <c r="O995" s="9"/>
      <c r="P995" s="9"/>
      <c r="Q995" s="9"/>
      <c r="R995" s="9"/>
      <c r="S995" s="9"/>
      <c r="T995" s="9"/>
      <c r="U995" s="9"/>
      <c r="V995" s="9"/>
      <c r="W995" s="9"/>
    </row>
    <row r="996" spans="1:23" ht="14.25" customHeight="1">
      <c r="A996" s="7"/>
      <c r="B996" s="7"/>
      <c r="C996" s="9"/>
      <c r="D996" s="9"/>
      <c r="E996" s="9"/>
      <c r="F996" s="9"/>
      <c r="G996" s="9"/>
      <c r="O996" s="9"/>
      <c r="P996" s="9"/>
      <c r="Q996" s="9"/>
      <c r="R996" s="9"/>
      <c r="S996" s="9"/>
      <c r="T996" s="9"/>
      <c r="U996" s="9"/>
      <c r="V996" s="9"/>
      <c r="W996" s="9"/>
    </row>
    <row r="997" spans="1:23" ht="14.25" customHeight="1">
      <c r="A997" s="7"/>
      <c r="B997" s="7"/>
      <c r="C997" s="9"/>
      <c r="D997" s="9"/>
      <c r="E997" s="9"/>
      <c r="F997" s="9"/>
      <c r="G997" s="9"/>
      <c r="O997" s="9"/>
      <c r="P997" s="9"/>
      <c r="Q997" s="9"/>
      <c r="R997" s="9"/>
      <c r="S997" s="9"/>
      <c r="T997" s="9"/>
      <c r="U997" s="9"/>
      <c r="V997" s="9"/>
      <c r="W997" s="9"/>
    </row>
    <row r="998" spans="1:23" ht="14.25" customHeight="1">
      <c r="A998" s="7"/>
      <c r="B998" s="7"/>
      <c r="C998" s="9"/>
      <c r="D998" s="9"/>
      <c r="E998" s="9"/>
      <c r="F998" s="9"/>
      <c r="G998" s="9"/>
      <c r="O998" s="9"/>
      <c r="P998" s="9"/>
      <c r="Q998" s="9"/>
      <c r="R998" s="9"/>
      <c r="S998" s="9"/>
      <c r="T998" s="9"/>
      <c r="U998" s="9"/>
      <c r="V998" s="9"/>
      <c r="W998" s="9"/>
    </row>
    <row r="999" spans="1:23" ht="14.25" customHeight="1">
      <c r="A999" s="7"/>
      <c r="B999" s="7"/>
      <c r="C999" s="9"/>
      <c r="D999" s="9"/>
      <c r="E999" s="9"/>
      <c r="F999" s="9"/>
      <c r="G999" s="9"/>
      <c r="O999" s="9"/>
      <c r="P999" s="9"/>
      <c r="Q999" s="9"/>
      <c r="R999" s="9"/>
      <c r="S999" s="9"/>
      <c r="T999" s="9"/>
      <c r="U999" s="9"/>
      <c r="V999" s="9"/>
      <c r="W999" s="9"/>
    </row>
    <row r="1000" spans="1:23" ht="14.25" customHeight="1">
      <c r="A1000" s="7"/>
      <c r="B1000" s="7"/>
      <c r="C1000" s="9"/>
      <c r="D1000" s="9"/>
      <c r="E1000" s="9"/>
      <c r="F1000" s="9"/>
      <c r="G1000" s="9"/>
      <c r="O1000" s="9"/>
      <c r="P1000" s="9"/>
      <c r="Q1000" s="9"/>
      <c r="R1000" s="9"/>
      <c r="S1000" s="9"/>
      <c r="T1000" s="9"/>
      <c r="U1000" s="9"/>
      <c r="V1000" s="9"/>
      <c r="W1000" s="9"/>
    </row>
  </sheetData>
  <mergeCells count="14">
    <mergeCell ref="D54:G54"/>
    <mergeCell ref="D55:G55"/>
    <mergeCell ref="D56:G56"/>
    <mergeCell ref="D12:D13"/>
    <mergeCell ref="E12:E13"/>
    <mergeCell ref="F12:F13"/>
    <mergeCell ref="G12:G13"/>
    <mergeCell ref="B1:B4"/>
    <mergeCell ref="D1:F4"/>
    <mergeCell ref="D5:G5"/>
    <mergeCell ref="D6:G6"/>
    <mergeCell ref="B53:G53"/>
    <mergeCell ref="B12:B13"/>
    <mergeCell ref="C12:C13"/>
  </mergeCells>
  <pageMargins left="0.25" right="0.25" top="0.75" bottom="0.75" header="0.3" footer="0.3"/>
  <pageSetup paperSize="9" scale="77" fitToHeight="0"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W1000"/>
  <sheetViews>
    <sheetView topLeftCell="A39" zoomScale="70" zoomScaleNormal="70" workbookViewId="0">
      <selection activeCell="A47" sqref="A47:XFD51"/>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7" width="47.140625" customWidth="1"/>
    <col min="8" max="22" width="8.7109375" customWidth="1"/>
  </cols>
  <sheetData>
    <row r="1" spans="1:22" ht="18.75" customHeight="1">
      <c r="A1" s="4"/>
      <c r="B1" s="249"/>
      <c r="C1" s="225" t="s">
        <v>8</v>
      </c>
      <c r="D1" s="252"/>
      <c r="E1" s="253"/>
      <c r="F1" s="82" t="s">
        <v>153</v>
      </c>
      <c r="G1" s="6"/>
      <c r="H1" s="6"/>
      <c r="I1" s="6"/>
      <c r="J1" s="6"/>
      <c r="K1" s="6"/>
      <c r="L1" s="6"/>
      <c r="M1" s="6"/>
      <c r="N1" s="6"/>
      <c r="O1" s="6"/>
      <c r="P1" s="6"/>
      <c r="Q1" s="6"/>
      <c r="R1" s="6"/>
      <c r="S1" s="6"/>
      <c r="T1" s="6"/>
      <c r="U1" s="6"/>
      <c r="V1" s="6"/>
    </row>
    <row r="2" spans="1:22" ht="18.75" customHeight="1">
      <c r="A2" s="4"/>
      <c r="B2" s="250"/>
      <c r="C2" s="254"/>
      <c r="D2" s="255"/>
      <c r="E2" s="256"/>
      <c r="F2" s="106" t="s">
        <v>9</v>
      </c>
      <c r="G2" s="6"/>
      <c r="H2" s="6"/>
      <c r="I2" s="6"/>
      <c r="J2" s="6"/>
      <c r="K2" s="6"/>
      <c r="L2" s="6"/>
      <c r="M2" s="6"/>
      <c r="N2" s="6"/>
      <c r="O2" s="6"/>
      <c r="P2" s="6"/>
      <c r="Q2" s="6"/>
      <c r="R2" s="6"/>
      <c r="S2" s="6"/>
      <c r="T2" s="6"/>
      <c r="U2" s="6"/>
      <c r="V2" s="6"/>
    </row>
    <row r="3" spans="1:22" ht="18.75" customHeight="1">
      <c r="A3" s="4"/>
      <c r="B3" s="250"/>
      <c r="C3" s="254"/>
      <c r="D3" s="255"/>
      <c r="E3" s="256"/>
      <c r="F3" s="106" t="s">
        <v>10</v>
      </c>
      <c r="G3" s="6"/>
      <c r="H3" s="6"/>
      <c r="I3" s="6"/>
      <c r="J3" s="6"/>
      <c r="K3" s="6"/>
      <c r="L3" s="6"/>
      <c r="M3" s="6"/>
      <c r="N3" s="6"/>
      <c r="O3" s="6"/>
      <c r="P3" s="6"/>
      <c r="Q3" s="6"/>
      <c r="R3" s="6"/>
      <c r="S3" s="6"/>
      <c r="T3" s="6"/>
      <c r="U3" s="6"/>
      <c r="V3" s="6"/>
    </row>
    <row r="4" spans="1:22" ht="18.75" customHeight="1">
      <c r="A4" s="4"/>
      <c r="B4" s="251"/>
      <c r="C4" s="257"/>
      <c r="D4" s="258"/>
      <c r="E4" s="259"/>
      <c r="F4" s="106" t="s">
        <v>11</v>
      </c>
      <c r="G4" s="6"/>
      <c r="H4" s="6"/>
      <c r="I4" s="6"/>
      <c r="J4" s="6"/>
      <c r="K4" s="6"/>
      <c r="L4" s="6"/>
      <c r="M4" s="6"/>
      <c r="N4" s="6"/>
      <c r="O4" s="6"/>
      <c r="P4" s="6"/>
      <c r="Q4" s="6"/>
      <c r="R4" s="6"/>
      <c r="S4" s="6"/>
      <c r="T4" s="6"/>
      <c r="U4" s="6"/>
      <c r="V4" s="6"/>
    </row>
    <row r="5" spans="1:22" ht="14.25" customHeight="1">
      <c r="A5" s="7"/>
      <c r="B5" s="8" t="s">
        <v>12</v>
      </c>
      <c r="C5" s="234"/>
      <c r="D5" s="260"/>
      <c r="E5" s="260"/>
      <c r="F5" s="261"/>
      <c r="G5" s="9"/>
      <c r="H5" s="9"/>
      <c r="I5" s="9"/>
      <c r="J5" s="9"/>
      <c r="K5" s="9"/>
      <c r="L5" s="9"/>
      <c r="M5" s="9"/>
      <c r="N5" s="9"/>
      <c r="O5" s="9"/>
      <c r="P5" s="9"/>
      <c r="Q5" s="9"/>
      <c r="R5" s="9"/>
      <c r="S5" s="9"/>
      <c r="T5" s="9"/>
      <c r="U5" s="9"/>
      <c r="V5" s="9"/>
    </row>
    <row r="6" spans="1:22" ht="20.45" customHeight="1">
      <c r="A6" s="7"/>
      <c r="B6" s="10" t="s">
        <v>13</v>
      </c>
      <c r="C6" s="237" t="s">
        <v>60</v>
      </c>
      <c r="D6" s="260"/>
      <c r="E6" s="260"/>
      <c r="F6" s="261"/>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276</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2" t="s">
        <v>297</v>
      </c>
      <c r="D11" s="173" t="s">
        <v>298</v>
      </c>
      <c r="E11" s="173" t="s">
        <v>299</v>
      </c>
      <c r="F11" s="173" t="s">
        <v>300</v>
      </c>
      <c r="G11" s="53"/>
      <c r="H11" s="53"/>
      <c r="I11" s="53"/>
      <c r="J11" s="53"/>
      <c r="K11" s="53"/>
      <c r="L11" s="53"/>
      <c r="M11" s="53"/>
      <c r="N11" s="53"/>
      <c r="O11" s="53"/>
      <c r="P11" s="53"/>
      <c r="Q11" s="53"/>
      <c r="R11" s="53"/>
      <c r="S11" s="53"/>
      <c r="T11" s="53"/>
      <c r="U11" s="53"/>
      <c r="V11" s="53"/>
    </row>
    <row r="12" spans="1:22" ht="251.25" customHeight="1">
      <c r="A12" s="7"/>
      <c r="B12" s="240" t="s">
        <v>20</v>
      </c>
      <c r="C12" s="263" t="s">
        <v>179</v>
      </c>
      <c r="D12" s="263" t="s">
        <v>180</v>
      </c>
      <c r="E12" s="263" t="s">
        <v>181</v>
      </c>
      <c r="F12" s="263" t="s">
        <v>182</v>
      </c>
      <c r="G12" s="9"/>
      <c r="H12" s="9"/>
      <c r="I12" s="9"/>
      <c r="J12" s="9"/>
      <c r="K12" s="9"/>
      <c r="L12" s="9"/>
      <c r="M12" s="9"/>
      <c r="N12" s="9"/>
      <c r="O12" s="9"/>
      <c r="P12" s="9"/>
      <c r="Q12" s="9"/>
      <c r="R12" s="9"/>
      <c r="S12" s="9"/>
      <c r="T12" s="9"/>
      <c r="U12" s="9"/>
      <c r="V12" s="9"/>
    </row>
    <row r="13" spans="1:22" ht="19.5" hidden="1" customHeight="1">
      <c r="A13" s="7"/>
      <c r="B13" s="241"/>
      <c r="C13" s="264"/>
      <c r="D13" s="264"/>
      <c r="E13" s="264"/>
      <c r="F13" s="264"/>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05" t="s">
        <v>473</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05" t="s">
        <v>474</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05" t="s">
        <v>475</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05" t="s">
        <v>476</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05" t="s">
        <v>477</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05" t="s">
        <v>478</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05" t="s">
        <v>479</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05" t="s">
        <v>480</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05" t="s">
        <v>481</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05" t="s">
        <v>482</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05" t="s">
        <v>483</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05" t="s">
        <v>484</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05" t="s">
        <v>485</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05" t="s">
        <v>486</v>
      </c>
      <c r="C32" s="13">
        <v>1</v>
      </c>
      <c r="D32" s="13">
        <v>2</v>
      </c>
      <c r="E32" s="13">
        <v>2</v>
      </c>
      <c r="F32" s="13">
        <v>3</v>
      </c>
      <c r="G32" s="74"/>
      <c r="H32" s="74"/>
      <c r="I32" s="74"/>
      <c r="J32" s="74"/>
      <c r="K32" s="74"/>
      <c r="L32" s="74"/>
      <c r="M32" s="74"/>
      <c r="N32" s="74"/>
      <c r="O32" s="74"/>
      <c r="P32" s="74"/>
      <c r="Q32" s="74"/>
      <c r="R32" s="7"/>
      <c r="S32" s="7"/>
      <c r="T32" s="7"/>
      <c r="U32" s="7"/>
      <c r="V32" s="7"/>
    </row>
    <row r="33" spans="1:23" s="109" customFormat="1" ht="39.75" customHeight="1">
      <c r="A33" s="7"/>
      <c r="B33" s="205" t="s">
        <v>487</v>
      </c>
      <c r="C33" s="13">
        <v>1</v>
      </c>
      <c r="D33" s="13">
        <v>2</v>
      </c>
      <c r="E33" s="13">
        <v>3</v>
      </c>
      <c r="F33" s="13">
        <v>3</v>
      </c>
      <c r="G33" s="74"/>
      <c r="H33" s="74"/>
      <c r="I33" s="74"/>
      <c r="J33" s="74"/>
      <c r="K33" s="74"/>
      <c r="L33" s="74"/>
      <c r="M33" s="74"/>
      <c r="N33" s="74"/>
      <c r="O33" s="74"/>
      <c r="P33" s="74"/>
      <c r="Q33" s="74"/>
      <c r="R33" s="7"/>
      <c r="S33" s="7"/>
      <c r="T33" s="7"/>
      <c r="U33" s="7"/>
      <c r="V33" s="7"/>
    </row>
    <row r="34" spans="1:23" s="109" customFormat="1" ht="39" customHeight="1">
      <c r="A34" s="7"/>
      <c r="B34" s="205" t="s">
        <v>488</v>
      </c>
      <c r="C34" s="13">
        <v>1</v>
      </c>
      <c r="D34" s="13">
        <v>2</v>
      </c>
      <c r="E34" s="13">
        <v>3</v>
      </c>
      <c r="F34" s="13">
        <v>3</v>
      </c>
      <c r="G34" s="74"/>
      <c r="H34" s="74"/>
      <c r="I34" s="74"/>
      <c r="J34" s="74"/>
      <c r="K34" s="74"/>
      <c r="L34" s="74"/>
      <c r="M34" s="74"/>
      <c r="N34" s="74"/>
      <c r="O34" s="74"/>
      <c r="P34" s="74"/>
      <c r="Q34" s="74"/>
      <c r="R34" s="7"/>
      <c r="S34" s="7"/>
      <c r="T34" s="7"/>
      <c r="U34" s="7"/>
      <c r="V34" s="7"/>
    </row>
    <row r="35" spans="1:23" s="109" customFormat="1" ht="39" customHeight="1">
      <c r="A35" s="20"/>
      <c r="B35" s="205" t="s">
        <v>489</v>
      </c>
      <c r="C35" s="80">
        <v>1</v>
      </c>
      <c r="D35" s="80">
        <v>2</v>
      </c>
      <c r="E35" s="80">
        <v>3</v>
      </c>
      <c r="F35" s="80">
        <v>3</v>
      </c>
      <c r="G35" s="88"/>
      <c r="H35" s="88"/>
      <c r="I35" s="88"/>
      <c r="J35" s="88"/>
      <c r="K35" s="88"/>
      <c r="L35" s="88"/>
      <c r="M35" s="88"/>
      <c r="N35" s="88"/>
      <c r="O35" s="88"/>
      <c r="P35" s="88"/>
      <c r="Q35" s="88"/>
      <c r="R35" s="20"/>
      <c r="S35" s="20"/>
      <c r="T35" s="20"/>
      <c r="U35" s="20"/>
      <c r="V35" s="20"/>
    </row>
    <row r="36" spans="1:23" s="76" customFormat="1" ht="17.25" customHeight="1">
      <c r="A36" s="74"/>
      <c r="B36" s="205" t="s">
        <v>490</v>
      </c>
      <c r="C36" s="18"/>
      <c r="D36" s="18"/>
      <c r="E36" s="18"/>
      <c r="F36" s="18"/>
      <c r="G36" s="75"/>
      <c r="H36" s="75"/>
      <c r="I36" s="75"/>
      <c r="J36" s="75"/>
      <c r="K36" s="75"/>
      <c r="L36" s="75"/>
      <c r="M36" s="75"/>
      <c r="N36" s="75"/>
      <c r="O36" s="75"/>
      <c r="P36" s="75"/>
      <c r="Q36" s="75"/>
      <c r="R36" s="75"/>
      <c r="S36" s="75"/>
      <c r="T36" s="75"/>
      <c r="U36" s="75"/>
      <c r="V36" s="75"/>
    </row>
    <row r="37" spans="1:23"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3"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3"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3"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3"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3"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3"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3"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3"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3"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3" s="76" customFormat="1" ht="20.25" customHeight="1">
      <c r="A47" s="74"/>
      <c r="B47" s="18" t="s">
        <v>565</v>
      </c>
      <c r="C47" s="18"/>
      <c r="D47" s="18"/>
      <c r="E47" s="18"/>
      <c r="F47" s="18"/>
      <c r="G47" s="367"/>
      <c r="H47" s="75"/>
      <c r="I47" s="75"/>
      <c r="J47" s="75"/>
      <c r="K47" s="75"/>
      <c r="L47" s="75"/>
      <c r="M47" s="75"/>
      <c r="N47" s="75"/>
      <c r="O47" s="75"/>
      <c r="P47" s="75"/>
      <c r="Q47" s="75"/>
      <c r="R47" s="75"/>
      <c r="S47" s="75"/>
      <c r="T47" s="75"/>
      <c r="U47" s="75"/>
      <c r="V47" s="75"/>
    </row>
    <row r="48" spans="1:23" s="217" customFormat="1" ht="69.75" customHeight="1">
      <c r="A48" s="7"/>
      <c r="B48" s="10" t="s">
        <v>586</v>
      </c>
      <c r="C48" s="365" t="s">
        <v>584</v>
      </c>
      <c r="D48" s="365" t="s">
        <v>585</v>
      </c>
      <c r="E48" s="365" t="s">
        <v>587</v>
      </c>
      <c r="F48" s="211"/>
      <c r="G48" s="364"/>
      <c r="H48" s="9"/>
      <c r="I48" s="9"/>
      <c r="J48" s="9"/>
      <c r="K48" s="9"/>
      <c r="L48" s="9"/>
      <c r="M48" s="9"/>
      <c r="N48" s="9"/>
      <c r="O48" s="74"/>
      <c r="P48" s="74"/>
      <c r="Q48" s="74"/>
      <c r="R48" s="74"/>
      <c r="S48" s="7"/>
      <c r="T48" s="7"/>
      <c r="U48" s="7"/>
      <c r="V48" s="7"/>
      <c r="W48" s="7"/>
    </row>
    <row r="49" spans="1:23" s="217" customFormat="1" ht="69.75" customHeight="1">
      <c r="A49" s="7"/>
      <c r="B49" s="10" t="s">
        <v>571</v>
      </c>
      <c r="C49" s="365" t="s">
        <v>588</v>
      </c>
      <c r="D49" s="365" t="s">
        <v>589</v>
      </c>
      <c r="E49" s="365" t="s">
        <v>590</v>
      </c>
      <c r="F49" s="211"/>
      <c r="G49" s="364"/>
      <c r="H49" s="9"/>
      <c r="I49" s="9"/>
      <c r="J49" s="9"/>
      <c r="K49" s="9"/>
      <c r="L49" s="9"/>
      <c r="M49" s="9"/>
      <c r="N49" s="9"/>
      <c r="O49" s="74"/>
      <c r="P49" s="74"/>
      <c r="Q49" s="74"/>
      <c r="R49" s="74"/>
      <c r="S49" s="7"/>
      <c r="T49" s="7"/>
      <c r="U49" s="7"/>
      <c r="V49" s="7"/>
      <c r="W49" s="7"/>
    </row>
    <row r="50" spans="1:23" s="217" customFormat="1" ht="189.75" customHeight="1">
      <c r="A50" s="7"/>
      <c r="B50" s="10" t="s">
        <v>574</v>
      </c>
      <c r="C50" s="218" t="s">
        <v>593</v>
      </c>
      <c r="D50" s="218" t="s">
        <v>594</v>
      </c>
      <c r="E50" s="218" t="s">
        <v>595</v>
      </c>
      <c r="F50" s="216"/>
      <c r="G50" s="364"/>
      <c r="H50" s="9"/>
      <c r="I50" s="9"/>
      <c r="J50" s="9"/>
      <c r="K50" s="9"/>
      <c r="L50" s="9"/>
      <c r="M50" s="9"/>
      <c r="N50" s="9"/>
      <c r="O50" s="74"/>
      <c r="P50" s="74"/>
      <c r="Q50" s="74"/>
      <c r="R50" s="74"/>
      <c r="S50" s="7"/>
      <c r="T50" s="7"/>
      <c r="U50" s="7"/>
      <c r="V50" s="7"/>
      <c r="W50" s="7"/>
    </row>
    <row r="51" spans="1:23" s="217" customFormat="1" ht="180.75" customHeight="1">
      <c r="A51" s="7"/>
      <c r="B51" s="10" t="s">
        <v>579</v>
      </c>
      <c r="C51" s="218" t="s">
        <v>596</v>
      </c>
      <c r="D51" s="218" t="s">
        <v>597</v>
      </c>
      <c r="E51" s="218" t="s">
        <v>598</v>
      </c>
      <c r="F51" s="218"/>
      <c r="G51" s="364"/>
      <c r="H51" s="9"/>
      <c r="I51" s="9"/>
      <c r="J51" s="9"/>
      <c r="K51" s="9"/>
      <c r="L51" s="9"/>
      <c r="M51" s="9"/>
      <c r="N51" s="9"/>
      <c r="O51" s="74"/>
      <c r="P51" s="74"/>
      <c r="Q51" s="74"/>
      <c r="R51" s="74"/>
      <c r="S51" s="7"/>
      <c r="T51" s="7"/>
      <c r="U51" s="7"/>
      <c r="V51" s="7"/>
      <c r="W51" s="7"/>
    </row>
    <row r="52" spans="1:23" s="76" customFormat="1" ht="14.25" customHeight="1">
      <c r="A52" s="74"/>
      <c r="B52" s="74"/>
      <c r="C52" s="75"/>
      <c r="D52" s="75"/>
      <c r="E52" s="75"/>
      <c r="F52" s="75"/>
      <c r="G52" s="75"/>
      <c r="H52" s="75"/>
      <c r="I52" s="75"/>
      <c r="J52" s="75"/>
      <c r="K52" s="75"/>
      <c r="L52" s="75"/>
      <c r="M52" s="75"/>
      <c r="N52" s="75"/>
      <c r="O52" s="75"/>
      <c r="P52" s="75"/>
      <c r="Q52" s="75"/>
      <c r="R52" s="75"/>
      <c r="S52" s="75"/>
      <c r="T52" s="75"/>
      <c r="U52" s="75"/>
      <c r="V52" s="75"/>
    </row>
    <row r="53" spans="1:23" s="76" customFormat="1" ht="14.25" customHeight="1">
      <c r="A53" s="74"/>
      <c r="B53" s="238" t="s">
        <v>52</v>
      </c>
      <c r="C53" s="262"/>
      <c r="D53" s="262"/>
      <c r="E53" s="262"/>
      <c r="F53" s="262"/>
      <c r="G53" s="75"/>
      <c r="H53" s="75"/>
      <c r="I53" s="75"/>
      <c r="J53" s="75"/>
      <c r="K53" s="75"/>
      <c r="L53" s="75"/>
      <c r="M53" s="75"/>
      <c r="N53" s="75"/>
      <c r="O53" s="75"/>
      <c r="P53" s="75"/>
      <c r="Q53" s="75"/>
      <c r="R53" s="75"/>
      <c r="S53" s="75"/>
      <c r="T53" s="75"/>
      <c r="U53" s="75"/>
      <c r="V53" s="75"/>
    </row>
    <row r="54" spans="1:23" s="76" customFormat="1" ht="47.25" customHeight="1">
      <c r="A54" s="74"/>
      <c r="B54" s="11" t="s">
        <v>53</v>
      </c>
      <c r="C54" s="244" t="s">
        <v>54</v>
      </c>
      <c r="D54" s="247"/>
      <c r="E54" s="247"/>
      <c r="F54" s="248"/>
      <c r="G54" s="89"/>
      <c r="H54" s="89"/>
      <c r="I54" s="89"/>
      <c r="J54" s="89"/>
      <c r="K54" s="89"/>
      <c r="L54" s="89"/>
      <c r="M54" s="89"/>
      <c r="N54" s="89"/>
      <c r="O54" s="89"/>
      <c r="P54" s="89"/>
      <c r="Q54" s="89"/>
      <c r="R54" s="75"/>
      <c r="S54" s="75"/>
      <c r="T54" s="75"/>
      <c r="U54" s="75"/>
      <c r="V54" s="75"/>
    </row>
    <row r="55" spans="1:23" s="76" customFormat="1" ht="74.099999999999994" customHeight="1">
      <c r="A55" s="74"/>
      <c r="B55" s="11" t="s">
        <v>55</v>
      </c>
      <c r="C55" s="244" t="s">
        <v>56</v>
      </c>
      <c r="D55" s="247"/>
      <c r="E55" s="247"/>
      <c r="F55" s="248"/>
      <c r="G55" s="92"/>
      <c r="H55" s="92"/>
      <c r="I55" s="92"/>
      <c r="J55" s="92"/>
      <c r="K55" s="92"/>
      <c r="L55" s="92"/>
      <c r="M55" s="92"/>
      <c r="N55" s="92"/>
      <c r="O55" s="92"/>
      <c r="P55" s="92"/>
      <c r="Q55" s="92"/>
      <c r="R55" s="75"/>
      <c r="S55" s="75"/>
      <c r="T55" s="75"/>
      <c r="U55" s="75"/>
      <c r="V55" s="75"/>
    </row>
    <row r="56" spans="1:23" s="76" customFormat="1" ht="80.25" customHeight="1">
      <c r="A56" s="74"/>
      <c r="B56" s="11" t="s">
        <v>57</v>
      </c>
      <c r="C56" s="244" t="s">
        <v>58</v>
      </c>
      <c r="D56" s="247"/>
      <c r="E56" s="247"/>
      <c r="F56" s="248"/>
      <c r="G56" s="92"/>
      <c r="H56" s="92"/>
      <c r="I56" s="92"/>
      <c r="J56" s="92"/>
      <c r="K56" s="92"/>
      <c r="L56" s="92"/>
      <c r="M56" s="92"/>
      <c r="N56" s="92"/>
      <c r="O56" s="92"/>
      <c r="P56" s="92"/>
      <c r="Q56" s="92"/>
      <c r="R56" s="75"/>
      <c r="S56" s="75"/>
      <c r="T56" s="75"/>
      <c r="U56" s="75"/>
      <c r="V56" s="75"/>
    </row>
    <row r="57" spans="1:23" ht="14.25" customHeight="1">
      <c r="A57" s="7"/>
      <c r="B57" s="7"/>
      <c r="C57" s="9"/>
      <c r="D57" s="9"/>
      <c r="E57" s="9"/>
      <c r="F57" s="9"/>
      <c r="G57" s="9"/>
      <c r="H57" s="9"/>
      <c r="I57" s="9"/>
      <c r="J57" s="9"/>
      <c r="K57" s="9"/>
      <c r="L57" s="9"/>
      <c r="M57" s="9"/>
      <c r="N57" s="9"/>
      <c r="O57" s="9"/>
      <c r="P57" s="9"/>
      <c r="Q57" s="9"/>
      <c r="R57" s="9"/>
      <c r="S57" s="9"/>
      <c r="T57" s="9"/>
      <c r="U57" s="9"/>
      <c r="V57" s="9"/>
    </row>
    <row r="58" spans="1:23" ht="14.25" customHeight="1">
      <c r="A58" s="7"/>
      <c r="B58" s="7"/>
      <c r="C58" s="9"/>
      <c r="D58" s="9"/>
      <c r="E58" s="9"/>
      <c r="F58" s="9"/>
      <c r="G58" s="9"/>
      <c r="H58" s="9"/>
      <c r="I58" s="9"/>
      <c r="J58" s="9"/>
      <c r="K58" s="9"/>
      <c r="L58" s="9"/>
      <c r="M58" s="9"/>
      <c r="N58" s="9"/>
      <c r="O58" s="9"/>
      <c r="P58" s="9"/>
      <c r="Q58" s="9"/>
      <c r="R58" s="9"/>
      <c r="S58" s="9"/>
      <c r="T58" s="9"/>
      <c r="U58" s="9"/>
      <c r="V58" s="9"/>
    </row>
    <row r="59" spans="1:23" ht="14.25" customHeight="1">
      <c r="A59" s="7"/>
      <c r="B59" s="7"/>
      <c r="C59" s="9"/>
      <c r="D59" s="9"/>
      <c r="E59" s="9"/>
      <c r="F59" s="9"/>
      <c r="G59" s="9"/>
      <c r="H59" s="9"/>
      <c r="I59" s="9"/>
      <c r="J59" s="9"/>
      <c r="K59" s="9"/>
      <c r="L59" s="9"/>
      <c r="M59" s="9"/>
      <c r="N59" s="9"/>
      <c r="O59" s="9"/>
      <c r="P59" s="9"/>
      <c r="Q59" s="9"/>
      <c r="R59" s="9"/>
      <c r="S59" s="9"/>
      <c r="T59" s="9"/>
      <c r="U59" s="9"/>
      <c r="V59" s="9"/>
    </row>
    <row r="60" spans="1:23" ht="14.25" customHeight="1">
      <c r="A60" s="7"/>
      <c r="B60" s="7"/>
      <c r="C60" s="9"/>
      <c r="D60" s="9"/>
      <c r="E60" s="9"/>
      <c r="F60" s="9"/>
      <c r="G60" s="9"/>
      <c r="H60" s="9"/>
      <c r="I60" s="9"/>
      <c r="J60" s="9"/>
      <c r="K60" s="9"/>
      <c r="L60" s="9"/>
      <c r="M60" s="9"/>
      <c r="N60" s="9"/>
      <c r="O60" s="9"/>
      <c r="P60" s="9"/>
      <c r="Q60" s="9"/>
      <c r="R60" s="9"/>
      <c r="S60" s="9"/>
      <c r="T60" s="9"/>
      <c r="U60" s="9"/>
      <c r="V60" s="9"/>
    </row>
    <row r="61" spans="1:23" ht="14.25" customHeight="1">
      <c r="A61" s="7"/>
      <c r="B61" s="7"/>
      <c r="C61" s="9"/>
      <c r="D61" s="9"/>
      <c r="E61" s="9"/>
      <c r="F61" s="9"/>
      <c r="G61" s="9"/>
      <c r="H61" s="9"/>
      <c r="I61" s="9"/>
      <c r="J61" s="9"/>
      <c r="K61" s="9"/>
      <c r="L61" s="9"/>
      <c r="M61" s="9"/>
      <c r="N61" s="9"/>
      <c r="O61" s="9"/>
      <c r="P61" s="9"/>
      <c r="Q61" s="9"/>
      <c r="R61" s="9"/>
      <c r="S61" s="9"/>
      <c r="T61" s="9"/>
      <c r="U61" s="9"/>
      <c r="V61" s="9"/>
    </row>
    <row r="62" spans="1:23" ht="14.25" customHeight="1">
      <c r="A62" s="7"/>
      <c r="B62" s="7"/>
      <c r="C62" s="9"/>
      <c r="D62" s="9"/>
      <c r="E62" s="9"/>
      <c r="F62" s="9"/>
      <c r="G62" s="9"/>
      <c r="H62" s="9"/>
      <c r="I62" s="9"/>
      <c r="J62" s="9"/>
      <c r="K62" s="9"/>
      <c r="L62" s="9"/>
      <c r="M62" s="9"/>
      <c r="N62" s="9"/>
      <c r="O62" s="9"/>
      <c r="P62" s="9"/>
      <c r="Q62" s="9"/>
      <c r="R62" s="9"/>
      <c r="S62" s="9"/>
      <c r="T62" s="9"/>
      <c r="U62" s="9"/>
      <c r="V62" s="9"/>
    </row>
    <row r="63" spans="1:23" ht="14.25" customHeight="1">
      <c r="A63" s="7"/>
      <c r="B63" s="7"/>
      <c r="C63" s="9"/>
      <c r="D63" s="9"/>
      <c r="E63" s="9"/>
      <c r="F63" s="9"/>
      <c r="G63" s="9"/>
      <c r="H63" s="9"/>
      <c r="I63" s="9"/>
      <c r="J63" s="9"/>
      <c r="K63" s="9"/>
      <c r="L63" s="9"/>
      <c r="M63" s="9"/>
      <c r="N63" s="9"/>
      <c r="O63" s="9"/>
      <c r="P63" s="9"/>
      <c r="Q63" s="9"/>
      <c r="R63" s="9"/>
      <c r="S63" s="9"/>
      <c r="T63" s="9"/>
      <c r="U63" s="9"/>
      <c r="V63" s="9"/>
    </row>
    <row r="64" spans="1:23"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row r="998" spans="1:22" ht="14.25" customHeight="1">
      <c r="A998" s="7"/>
      <c r="B998" s="7"/>
      <c r="C998" s="9"/>
      <c r="D998" s="9"/>
      <c r="E998" s="9"/>
      <c r="F998" s="9"/>
      <c r="G998" s="9"/>
      <c r="H998" s="9"/>
      <c r="I998" s="9"/>
      <c r="J998" s="9"/>
      <c r="K998" s="9"/>
      <c r="L998" s="9"/>
      <c r="M998" s="9"/>
      <c r="N998" s="9"/>
      <c r="O998" s="9"/>
      <c r="P998" s="9"/>
      <c r="Q998" s="9"/>
      <c r="R998" s="9"/>
      <c r="S998" s="9"/>
      <c r="T998" s="9"/>
      <c r="U998" s="9"/>
      <c r="V998" s="9"/>
    </row>
    <row r="999" spans="1:22" ht="14.25" customHeight="1">
      <c r="A999" s="7"/>
      <c r="B999" s="7"/>
      <c r="C999" s="9"/>
      <c r="D999" s="9"/>
      <c r="E999" s="9"/>
      <c r="F999" s="9"/>
      <c r="G999" s="9"/>
      <c r="H999" s="9"/>
      <c r="I999" s="9"/>
      <c r="J999" s="9"/>
      <c r="K999" s="9"/>
      <c r="L999" s="9"/>
      <c r="M999" s="9"/>
      <c r="N999" s="9"/>
      <c r="O999" s="9"/>
      <c r="P999" s="9"/>
      <c r="Q999" s="9"/>
      <c r="R999" s="9"/>
      <c r="S999" s="9"/>
      <c r="T999" s="9"/>
      <c r="U999" s="9"/>
      <c r="V999" s="9"/>
    </row>
    <row r="1000" spans="1:22" ht="14.25" customHeight="1">
      <c r="A1000" s="7"/>
      <c r="B1000" s="7"/>
      <c r="C1000" s="9"/>
      <c r="D1000" s="9"/>
      <c r="E1000" s="9"/>
      <c r="F1000" s="9"/>
      <c r="G1000" s="9"/>
      <c r="H1000" s="9"/>
      <c r="I1000" s="9"/>
      <c r="J1000" s="9"/>
      <c r="K1000" s="9"/>
      <c r="L1000" s="9"/>
      <c r="M1000" s="9"/>
      <c r="N1000" s="9"/>
      <c r="O1000" s="9"/>
      <c r="P1000" s="9"/>
      <c r="Q1000" s="9"/>
      <c r="R1000" s="9"/>
      <c r="S1000" s="9"/>
      <c r="T1000" s="9"/>
      <c r="U1000" s="9"/>
      <c r="V1000" s="9"/>
    </row>
  </sheetData>
  <mergeCells count="13">
    <mergeCell ref="C56:F56"/>
    <mergeCell ref="B1:B4"/>
    <mergeCell ref="C1:E4"/>
    <mergeCell ref="C5:F5"/>
    <mergeCell ref="C6:F6"/>
    <mergeCell ref="B53:F53"/>
    <mergeCell ref="C12:C13"/>
    <mergeCell ref="D12:D13"/>
    <mergeCell ref="E12:E13"/>
    <mergeCell ref="F12:F13"/>
    <mergeCell ref="B12:B13"/>
    <mergeCell ref="C54:F54"/>
    <mergeCell ref="C55:F55"/>
  </mergeCells>
  <pageMargins left="0.25" right="0.25" top="0.75" bottom="0.75" header="0.3" footer="0.3"/>
  <pageSetup paperSize="8" orientation="landscape"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71"/>
      <c r="C1" s="274" t="s">
        <v>8</v>
      </c>
      <c r="D1" s="275"/>
      <c r="E1" s="105" t="s">
        <v>154</v>
      </c>
      <c r="F1" s="56"/>
      <c r="G1" s="56"/>
      <c r="H1" s="56"/>
      <c r="I1" s="56"/>
      <c r="J1" s="56"/>
      <c r="K1" s="56"/>
      <c r="L1" s="56"/>
      <c r="M1" s="56"/>
      <c r="N1" s="56"/>
      <c r="O1" s="56"/>
      <c r="P1" s="56"/>
      <c r="Q1" s="56"/>
      <c r="R1" s="56"/>
      <c r="S1" s="56"/>
      <c r="T1" s="56"/>
      <c r="U1" s="56"/>
    </row>
    <row r="2" spans="1:21" ht="18.75" customHeight="1">
      <c r="A2" s="55"/>
      <c r="B2" s="272"/>
      <c r="C2" s="276"/>
      <c r="D2" s="277"/>
      <c r="E2" s="108" t="s">
        <v>9</v>
      </c>
      <c r="F2" s="56"/>
      <c r="G2" s="56"/>
      <c r="H2" s="56"/>
      <c r="I2" s="56"/>
      <c r="J2" s="56"/>
      <c r="K2" s="56"/>
      <c r="L2" s="56"/>
      <c r="M2" s="56"/>
      <c r="N2" s="56"/>
      <c r="O2" s="56"/>
      <c r="P2" s="56"/>
      <c r="Q2" s="56"/>
      <c r="R2" s="56"/>
      <c r="S2" s="56"/>
      <c r="T2" s="56"/>
      <c r="U2" s="56"/>
    </row>
    <row r="3" spans="1:21" ht="18.75" customHeight="1">
      <c r="A3" s="55"/>
      <c r="B3" s="272"/>
      <c r="C3" s="276"/>
      <c r="D3" s="277"/>
      <c r="E3" s="108" t="s">
        <v>10</v>
      </c>
      <c r="F3" s="56"/>
      <c r="G3" s="56"/>
      <c r="H3" s="56"/>
      <c r="I3" s="56"/>
      <c r="J3" s="56"/>
      <c r="K3" s="56"/>
      <c r="L3" s="56"/>
      <c r="M3" s="56"/>
      <c r="N3" s="56"/>
      <c r="O3" s="56"/>
      <c r="P3" s="56"/>
      <c r="Q3" s="56"/>
      <c r="R3" s="56"/>
      <c r="S3" s="56"/>
      <c r="T3" s="56"/>
      <c r="U3" s="56"/>
    </row>
    <row r="4" spans="1:21" ht="18.75" customHeight="1">
      <c r="A4" s="55"/>
      <c r="B4" s="273"/>
      <c r="C4" s="278"/>
      <c r="D4" s="266"/>
      <c r="E4" s="108" t="s">
        <v>11</v>
      </c>
      <c r="F4" s="56"/>
      <c r="G4" s="56"/>
      <c r="H4" s="56"/>
      <c r="I4" s="56"/>
      <c r="J4" s="56"/>
      <c r="K4" s="56"/>
      <c r="L4" s="56"/>
      <c r="M4" s="56"/>
      <c r="N4" s="56"/>
      <c r="O4" s="56"/>
      <c r="P4" s="56"/>
      <c r="Q4" s="56"/>
      <c r="R4" s="56"/>
      <c r="S4" s="56"/>
      <c r="T4" s="56"/>
      <c r="U4" s="56"/>
    </row>
    <row r="5" spans="1:21" ht="14.25" customHeight="1">
      <c r="A5" s="57"/>
      <c r="B5" s="58" t="s">
        <v>12</v>
      </c>
      <c r="C5" s="279"/>
      <c r="D5" s="280"/>
      <c r="E5" s="281"/>
      <c r="F5" s="59"/>
      <c r="G5" s="59"/>
      <c r="H5" s="59"/>
      <c r="I5" s="59"/>
      <c r="J5" s="59"/>
      <c r="K5" s="59"/>
      <c r="L5" s="59"/>
      <c r="M5" s="59"/>
      <c r="N5" s="59"/>
      <c r="O5" s="59"/>
      <c r="P5" s="59"/>
      <c r="Q5" s="59"/>
      <c r="R5" s="59"/>
      <c r="S5" s="59"/>
      <c r="T5" s="59"/>
      <c r="U5" s="59"/>
    </row>
    <row r="6" spans="1:21" ht="23.45" customHeight="1">
      <c r="A6" s="57"/>
      <c r="B6" s="60" t="s">
        <v>13</v>
      </c>
      <c r="C6" s="282" t="s">
        <v>64</v>
      </c>
      <c r="D6" s="280"/>
      <c r="E6" s="281"/>
      <c r="F6" s="59"/>
      <c r="G6" s="59"/>
      <c r="H6" s="59"/>
      <c r="I6" s="59"/>
      <c r="J6" s="59"/>
      <c r="K6" s="59"/>
      <c r="L6" s="59"/>
      <c r="M6" s="59"/>
      <c r="N6" s="59"/>
      <c r="O6" s="59"/>
      <c r="P6" s="59"/>
      <c r="Q6" s="59"/>
      <c r="R6" s="59"/>
      <c r="S6" s="59"/>
      <c r="T6" s="59"/>
      <c r="U6" s="59"/>
    </row>
    <row r="7" spans="1:21" ht="14.25" customHeight="1">
      <c r="A7" s="57"/>
      <c r="B7" s="60" t="s">
        <v>15</v>
      </c>
      <c r="C7" s="61" t="s">
        <v>278</v>
      </c>
      <c r="D7" s="165" t="s">
        <v>279</v>
      </c>
      <c r="E7" s="165" t="s">
        <v>280</v>
      </c>
      <c r="F7" s="59"/>
      <c r="G7" s="59"/>
      <c r="H7" s="59"/>
      <c r="I7" s="59"/>
      <c r="J7" s="59"/>
      <c r="K7" s="59"/>
      <c r="L7" s="59"/>
      <c r="M7" s="59"/>
      <c r="N7" s="59"/>
      <c r="O7" s="59"/>
      <c r="P7" s="59"/>
      <c r="Q7" s="59"/>
      <c r="R7" s="59"/>
      <c r="S7" s="59"/>
      <c r="T7" s="59"/>
      <c r="U7" s="59"/>
    </row>
    <row r="8" spans="1:21" ht="14.25" customHeight="1">
      <c r="A8" s="57"/>
      <c r="B8" s="60" t="s">
        <v>16</v>
      </c>
      <c r="C8" s="61" t="s">
        <v>281</v>
      </c>
      <c r="D8" s="165" t="s">
        <v>282</v>
      </c>
      <c r="E8" s="165" t="s">
        <v>283</v>
      </c>
      <c r="F8" s="59"/>
      <c r="G8" s="59"/>
      <c r="H8" s="59"/>
      <c r="I8" s="59"/>
      <c r="J8" s="59"/>
      <c r="K8" s="59"/>
      <c r="L8" s="59"/>
      <c r="M8" s="59"/>
      <c r="N8" s="59"/>
      <c r="O8" s="59"/>
      <c r="P8" s="59"/>
      <c r="Q8" s="59"/>
      <c r="R8" s="59"/>
      <c r="S8" s="59"/>
      <c r="T8" s="59"/>
      <c r="U8" s="59"/>
    </row>
    <row r="9" spans="1:21" ht="14.25" customHeight="1">
      <c r="A9" s="57"/>
      <c r="B9" s="60" t="s">
        <v>17</v>
      </c>
      <c r="C9" s="61" t="s">
        <v>282</v>
      </c>
      <c r="D9" s="165" t="s">
        <v>283</v>
      </c>
      <c r="E9" s="165" t="s">
        <v>188</v>
      </c>
      <c r="F9" s="59"/>
      <c r="G9" s="59"/>
      <c r="H9" s="59"/>
      <c r="I9" s="59"/>
      <c r="J9" s="59"/>
      <c r="K9" s="59"/>
      <c r="L9" s="59"/>
      <c r="M9" s="59"/>
      <c r="N9" s="59"/>
      <c r="O9" s="59"/>
      <c r="P9" s="59"/>
      <c r="Q9" s="59"/>
      <c r="R9" s="59"/>
      <c r="S9" s="59"/>
      <c r="T9" s="59"/>
      <c r="U9" s="59"/>
    </row>
    <row r="10" spans="1:21" ht="20.25" customHeight="1">
      <c r="A10" s="62"/>
      <c r="B10" s="63" t="s">
        <v>18</v>
      </c>
      <c r="C10" s="58"/>
      <c r="D10" s="166"/>
      <c r="E10" s="166"/>
      <c r="F10" s="64"/>
      <c r="G10" s="64"/>
      <c r="H10" s="64"/>
      <c r="I10" s="64"/>
      <c r="J10" s="64"/>
      <c r="K10" s="64"/>
      <c r="L10" s="64"/>
      <c r="M10" s="64"/>
      <c r="N10" s="64"/>
      <c r="O10" s="64"/>
      <c r="P10" s="64"/>
      <c r="Q10" s="64"/>
      <c r="R10" s="64"/>
      <c r="S10" s="64"/>
      <c r="T10" s="64"/>
      <c r="U10" s="64"/>
    </row>
    <row r="11" spans="1:21" ht="171.75" customHeight="1">
      <c r="A11" s="62"/>
      <c r="B11" s="60" t="s">
        <v>19</v>
      </c>
      <c r="C11" s="122" t="s">
        <v>284</v>
      </c>
      <c r="D11" s="167" t="s">
        <v>287</v>
      </c>
      <c r="E11" s="167" t="s">
        <v>291</v>
      </c>
      <c r="F11" s="64"/>
      <c r="G11" s="64"/>
      <c r="H11" s="64"/>
      <c r="I11" s="64"/>
      <c r="J11" s="64"/>
      <c r="K11" s="64"/>
      <c r="L11" s="64"/>
      <c r="M11" s="64"/>
      <c r="N11" s="64"/>
      <c r="O11" s="64"/>
      <c r="P11" s="64"/>
      <c r="Q11" s="64"/>
      <c r="R11" s="64"/>
      <c r="S11" s="64"/>
      <c r="T11" s="64"/>
      <c r="U11" s="64"/>
    </row>
    <row r="12" spans="1:21" ht="96" customHeight="1">
      <c r="A12" s="57"/>
      <c r="B12" s="60" t="s">
        <v>20</v>
      </c>
      <c r="C12" s="65" t="s">
        <v>285</v>
      </c>
      <c r="D12" s="168" t="s">
        <v>288</v>
      </c>
      <c r="E12" s="168" t="s">
        <v>292</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69" t="s">
        <v>22</v>
      </c>
      <c r="E13" s="169"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69" t="s">
        <v>22</v>
      </c>
      <c r="E14" s="169" t="s">
        <v>22</v>
      </c>
      <c r="F14" s="66"/>
      <c r="G14" s="64"/>
      <c r="H14" s="64"/>
      <c r="I14" s="64"/>
      <c r="J14" s="64"/>
      <c r="K14" s="64"/>
      <c r="L14" s="64"/>
      <c r="M14" s="64"/>
      <c r="N14" s="64"/>
      <c r="O14" s="64"/>
      <c r="P14" s="64"/>
      <c r="Q14" s="64"/>
      <c r="R14" s="64"/>
      <c r="S14" s="64"/>
      <c r="T14" s="64"/>
      <c r="U14" s="64"/>
    </row>
    <row r="15" spans="1:21" ht="21" customHeight="1">
      <c r="A15" s="57"/>
      <c r="B15" s="67" t="s">
        <v>24</v>
      </c>
      <c r="C15" s="68"/>
      <c r="D15" s="166"/>
      <c r="E15" s="166"/>
      <c r="F15" s="59"/>
      <c r="G15" s="59"/>
      <c r="H15" s="59"/>
      <c r="I15" s="59"/>
      <c r="J15" s="59"/>
      <c r="K15" s="59"/>
      <c r="L15" s="59"/>
      <c r="M15" s="59"/>
      <c r="N15" s="59"/>
      <c r="O15" s="59"/>
      <c r="P15" s="59"/>
      <c r="Q15" s="59"/>
      <c r="R15" s="59"/>
      <c r="S15" s="59"/>
      <c r="T15" s="59"/>
      <c r="U15" s="59"/>
    </row>
    <row r="16" spans="1:21" ht="117" customHeight="1">
      <c r="A16" s="57"/>
      <c r="B16" s="10" t="s">
        <v>115</v>
      </c>
      <c r="C16" s="65" t="s">
        <v>286</v>
      </c>
      <c r="D16" s="168" t="s">
        <v>289</v>
      </c>
      <c r="E16" s="168" t="s">
        <v>293</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290</v>
      </c>
      <c r="E45" s="19" t="s">
        <v>294</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295</v>
      </c>
      <c r="E46" s="19" t="s">
        <v>296</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306</v>
      </c>
      <c r="D48" s="50" t="s">
        <v>307</v>
      </c>
      <c r="E48" s="50" t="s">
        <v>308</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5" t="s">
        <v>52</v>
      </c>
      <c r="C50" s="266"/>
      <c r="D50" s="266"/>
      <c r="E50" s="266"/>
      <c r="F50" s="59"/>
      <c r="G50" s="59"/>
      <c r="H50" s="59"/>
      <c r="I50" s="59"/>
      <c r="J50" s="59"/>
      <c r="K50" s="59"/>
      <c r="L50" s="59"/>
      <c r="M50" s="59"/>
      <c r="N50" s="59"/>
      <c r="O50" s="59"/>
      <c r="P50" s="59"/>
      <c r="Q50" s="59"/>
      <c r="R50" s="59"/>
      <c r="S50" s="59"/>
      <c r="T50" s="59"/>
      <c r="U50" s="59"/>
    </row>
    <row r="51" spans="1:21" ht="59.25" customHeight="1">
      <c r="A51" s="57"/>
      <c r="B51" s="61" t="s">
        <v>53</v>
      </c>
      <c r="C51" s="267" t="s">
        <v>54</v>
      </c>
      <c r="D51" s="268"/>
      <c r="E51" s="269"/>
      <c r="F51" s="89"/>
      <c r="G51" s="89"/>
      <c r="H51" s="89"/>
      <c r="I51" s="89"/>
      <c r="J51" s="89"/>
      <c r="K51" s="89"/>
      <c r="L51" s="89"/>
      <c r="M51" s="89"/>
      <c r="N51" s="89"/>
      <c r="O51" s="89"/>
      <c r="P51" s="89"/>
      <c r="Q51" s="59"/>
      <c r="R51" s="59"/>
      <c r="S51" s="59"/>
      <c r="T51" s="59"/>
      <c r="U51" s="59"/>
    </row>
    <row r="52" spans="1:21" ht="59.25" customHeight="1">
      <c r="A52" s="57"/>
      <c r="B52" s="61" t="s">
        <v>55</v>
      </c>
      <c r="C52" s="244" t="s">
        <v>56</v>
      </c>
      <c r="D52" s="245"/>
      <c r="E52" s="270"/>
      <c r="F52" s="92"/>
      <c r="G52" s="92"/>
      <c r="H52" s="92"/>
      <c r="I52" s="92"/>
      <c r="J52" s="92"/>
      <c r="K52" s="92"/>
      <c r="L52" s="92"/>
      <c r="M52" s="92"/>
      <c r="N52" s="92"/>
      <c r="O52" s="92"/>
      <c r="P52" s="92"/>
      <c r="Q52" s="59"/>
      <c r="R52" s="59"/>
      <c r="S52" s="59"/>
      <c r="T52" s="59"/>
      <c r="U52" s="59"/>
    </row>
    <row r="53" spans="1:21" ht="59.25" customHeight="1">
      <c r="A53" s="57"/>
      <c r="B53" s="61" t="s">
        <v>57</v>
      </c>
      <c r="C53" s="244" t="s">
        <v>58</v>
      </c>
      <c r="D53" s="245"/>
      <c r="E53" s="270"/>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0"/>
  <dimension ref="A1:Y1001"/>
  <sheetViews>
    <sheetView topLeftCell="A50" zoomScale="55" zoomScaleNormal="55" workbookViewId="0">
      <selection activeCell="A49" sqref="A49"/>
    </sheetView>
  </sheetViews>
  <sheetFormatPr defaultColWidth="14.42578125" defaultRowHeight="15" customHeight="1"/>
  <cols>
    <col min="1" max="1" width="12.42578125" style="51" customWidth="1"/>
    <col min="2" max="2" width="69.71093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9"/>
      <c r="C1" s="225" t="s">
        <v>8</v>
      </c>
      <c r="D1" s="295"/>
      <c r="E1" s="296"/>
      <c r="F1" s="5" t="s">
        <v>157</v>
      </c>
      <c r="G1" s="6"/>
      <c r="H1" s="6"/>
      <c r="I1" s="6"/>
      <c r="J1" s="6"/>
      <c r="K1" s="6"/>
      <c r="L1" s="6"/>
      <c r="M1" s="6"/>
      <c r="N1" s="6"/>
      <c r="O1" s="6"/>
      <c r="P1" s="6"/>
      <c r="Q1" s="6"/>
      <c r="R1" s="6"/>
      <c r="S1" s="6"/>
      <c r="T1" s="6"/>
      <c r="U1" s="6"/>
      <c r="V1" s="6"/>
      <c r="W1" s="6"/>
      <c r="X1" s="6"/>
      <c r="Y1" s="6"/>
    </row>
    <row r="2" spans="1:25" ht="18.75" customHeight="1">
      <c r="A2" s="4"/>
      <c r="B2" s="250"/>
      <c r="C2" s="297"/>
      <c r="D2" s="298"/>
      <c r="E2" s="299"/>
      <c r="F2" s="106" t="s">
        <v>9</v>
      </c>
      <c r="G2" s="6"/>
      <c r="H2" s="6"/>
      <c r="I2" s="6"/>
      <c r="J2" s="6"/>
      <c r="K2" s="6"/>
      <c r="L2" s="6"/>
      <c r="M2" s="6"/>
      <c r="N2" s="6"/>
      <c r="O2" s="6"/>
      <c r="P2" s="6"/>
      <c r="Q2" s="6"/>
      <c r="R2" s="6"/>
      <c r="S2" s="6"/>
      <c r="T2" s="6"/>
      <c r="U2" s="6"/>
      <c r="V2" s="6"/>
      <c r="W2" s="6"/>
      <c r="X2" s="6"/>
      <c r="Y2" s="6"/>
    </row>
    <row r="3" spans="1:25" ht="18.75" customHeight="1">
      <c r="A3" s="4"/>
      <c r="B3" s="250"/>
      <c r="C3" s="297"/>
      <c r="D3" s="298"/>
      <c r="E3" s="299"/>
      <c r="F3" s="106" t="s">
        <v>10</v>
      </c>
      <c r="G3" s="6"/>
      <c r="H3" s="6"/>
      <c r="I3" s="6"/>
      <c r="J3" s="6"/>
      <c r="K3" s="6"/>
      <c r="L3" s="6"/>
      <c r="M3" s="6"/>
      <c r="N3" s="6"/>
      <c r="O3" s="6"/>
      <c r="P3" s="6"/>
      <c r="Q3" s="6"/>
      <c r="R3" s="6"/>
      <c r="S3" s="6"/>
      <c r="T3" s="6"/>
      <c r="U3" s="6"/>
      <c r="V3" s="6"/>
      <c r="W3" s="6"/>
      <c r="X3" s="6"/>
      <c r="Y3" s="6"/>
    </row>
    <row r="4" spans="1:25" ht="14.1" customHeight="1">
      <c r="A4" s="4"/>
      <c r="B4" s="251"/>
      <c r="C4" s="300"/>
      <c r="D4" s="301"/>
      <c r="E4" s="302"/>
      <c r="F4" s="106" t="s">
        <v>11</v>
      </c>
      <c r="G4" s="6"/>
      <c r="H4" s="6"/>
      <c r="I4" s="6"/>
      <c r="J4" s="6"/>
      <c r="K4" s="6"/>
      <c r="L4" s="6"/>
      <c r="M4" s="6"/>
      <c r="N4" s="6"/>
      <c r="O4" s="6"/>
      <c r="P4" s="6"/>
      <c r="Q4" s="6"/>
      <c r="R4" s="6"/>
      <c r="S4" s="6"/>
      <c r="T4" s="6"/>
      <c r="U4" s="6"/>
      <c r="V4" s="6"/>
      <c r="W4" s="6"/>
      <c r="X4" s="6"/>
      <c r="Y4" s="6"/>
    </row>
    <row r="5" spans="1:25" ht="14.25" customHeight="1">
      <c r="A5" s="7"/>
      <c r="B5" s="8" t="s">
        <v>12</v>
      </c>
      <c r="C5" s="234"/>
      <c r="D5" s="293"/>
      <c r="E5" s="293"/>
      <c r="F5" s="261"/>
      <c r="G5" s="9"/>
      <c r="H5" s="9"/>
      <c r="I5" s="9"/>
      <c r="J5" s="9"/>
      <c r="K5" s="9"/>
      <c r="L5" s="9"/>
      <c r="M5" s="9"/>
      <c r="N5" s="9"/>
      <c r="O5" s="9"/>
      <c r="P5" s="9"/>
      <c r="Q5" s="9"/>
      <c r="R5" s="9"/>
      <c r="S5" s="9"/>
      <c r="T5" s="9"/>
      <c r="U5" s="9"/>
      <c r="V5" s="9"/>
      <c r="W5" s="9"/>
      <c r="X5" s="9"/>
      <c r="Y5" s="9"/>
    </row>
    <row r="6" spans="1:25" ht="25.7" customHeight="1">
      <c r="A6" s="7"/>
      <c r="B6" s="10" t="s">
        <v>13</v>
      </c>
      <c r="C6" s="237" t="s">
        <v>346</v>
      </c>
      <c r="D6" s="294"/>
      <c r="E6" s="294"/>
      <c r="F6" s="261"/>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315</v>
      </c>
      <c r="F7" s="11" t="s">
        <v>316</v>
      </c>
      <c r="G7" s="9"/>
      <c r="H7" s="9"/>
      <c r="I7" s="9"/>
      <c r="J7" s="9"/>
      <c r="K7" s="9"/>
      <c r="L7" s="9"/>
      <c r="M7" s="9"/>
      <c r="N7" s="9"/>
      <c r="O7" s="9"/>
      <c r="P7" s="9"/>
      <c r="Q7" s="9"/>
      <c r="R7" s="9"/>
      <c r="S7" s="9"/>
      <c r="T7" s="9"/>
      <c r="U7" s="9"/>
      <c r="V7" s="9"/>
      <c r="W7" s="9"/>
      <c r="X7" s="9"/>
      <c r="Y7" s="9"/>
    </row>
    <row r="8" spans="1:25" ht="14.25" customHeight="1">
      <c r="A8" s="7"/>
      <c r="B8" s="10" t="s">
        <v>16</v>
      </c>
      <c r="C8" s="11" t="s">
        <v>314</v>
      </c>
      <c r="D8" s="11" t="s">
        <v>221</v>
      </c>
      <c r="E8" s="11" t="s">
        <v>222</v>
      </c>
      <c r="F8" s="11" t="s">
        <v>322</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322</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77" t="s">
        <v>323</v>
      </c>
      <c r="D11" s="177" t="s">
        <v>324</v>
      </c>
      <c r="E11" s="177" t="s">
        <v>325</v>
      </c>
      <c r="F11" s="179" t="s">
        <v>326</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4" t="s">
        <v>328</v>
      </c>
      <c r="D12" s="174" t="s">
        <v>327</v>
      </c>
      <c r="E12" s="174" t="s">
        <v>329</v>
      </c>
      <c r="F12" s="174" t="s">
        <v>330</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331</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332</v>
      </c>
      <c r="D17" s="15" t="s">
        <v>335</v>
      </c>
      <c r="E17" s="15" t="s">
        <v>334</v>
      </c>
      <c r="F17" s="15" t="s">
        <v>333</v>
      </c>
    </row>
    <row r="18" spans="1:22" ht="14.25" customHeight="1">
      <c r="A18" s="7"/>
      <c r="B18" s="10" t="s">
        <v>25</v>
      </c>
      <c r="C18" s="19"/>
      <c r="D18" s="19"/>
      <c r="E18" s="19"/>
      <c r="F18" s="19"/>
    </row>
    <row r="19" spans="1:22" s="112" customFormat="1" ht="45.75" customHeight="1">
      <c r="A19" s="7"/>
      <c r="B19" s="212" t="s">
        <v>455</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2" t="s">
        <v>456</v>
      </c>
      <c r="C20" s="13">
        <v>1</v>
      </c>
      <c r="D20" s="175">
        <v>1</v>
      </c>
      <c r="E20" s="175">
        <v>2</v>
      </c>
      <c r="F20" s="13">
        <v>2</v>
      </c>
      <c r="G20" s="74"/>
      <c r="H20" s="74"/>
      <c r="I20" s="74"/>
      <c r="J20" s="74"/>
      <c r="K20" s="74"/>
      <c r="L20" s="74"/>
      <c r="M20" s="74"/>
      <c r="N20" s="74"/>
      <c r="O20" s="74"/>
      <c r="P20" s="74"/>
      <c r="Q20" s="74"/>
      <c r="R20" s="7"/>
      <c r="S20" s="7"/>
      <c r="T20" s="7"/>
      <c r="U20" s="7"/>
      <c r="V20" s="7"/>
    </row>
    <row r="21" spans="1:22" s="112" customFormat="1" ht="43.5" customHeight="1">
      <c r="A21" s="7"/>
      <c r="B21" s="212" t="s">
        <v>457</v>
      </c>
      <c r="C21" s="13">
        <v>1</v>
      </c>
      <c r="D21" s="175">
        <v>1</v>
      </c>
      <c r="E21" s="175">
        <v>1</v>
      </c>
      <c r="F21" s="13">
        <v>1</v>
      </c>
      <c r="G21" s="74"/>
      <c r="H21" s="74"/>
      <c r="I21" s="74"/>
      <c r="J21" s="74"/>
      <c r="K21" s="74"/>
      <c r="L21" s="74"/>
      <c r="M21" s="74"/>
      <c r="N21" s="74"/>
      <c r="O21" s="74"/>
      <c r="P21" s="74"/>
      <c r="Q21" s="74"/>
      <c r="R21" s="7"/>
      <c r="S21" s="7"/>
      <c r="T21" s="7"/>
      <c r="U21" s="7"/>
      <c r="V21" s="7"/>
    </row>
    <row r="22" spans="1:22" s="112" customFormat="1" ht="36.75" customHeight="1">
      <c r="A22" s="7"/>
      <c r="B22" s="212" t="s">
        <v>458</v>
      </c>
      <c r="C22" s="13">
        <v>1</v>
      </c>
      <c r="D22" s="175">
        <v>1</v>
      </c>
      <c r="E22" s="175">
        <v>1</v>
      </c>
      <c r="F22" s="13">
        <v>1</v>
      </c>
      <c r="G22" s="74"/>
      <c r="H22" s="74"/>
      <c r="I22" s="74"/>
      <c r="J22" s="74"/>
      <c r="K22" s="74"/>
      <c r="L22" s="74"/>
      <c r="M22" s="74"/>
      <c r="N22" s="74"/>
      <c r="O22" s="74"/>
      <c r="P22" s="74"/>
      <c r="Q22" s="74"/>
      <c r="R22" s="7"/>
      <c r="S22" s="7"/>
      <c r="T22" s="7"/>
      <c r="U22" s="7"/>
      <c r="V22" s="7"/>
    </row>
    <row r="23" spans="1:22" s="112" customFormat="1" ht="39.75" customHeight="1">
      <c r="A23" s="7"/>
      <c r="B23" s="212" t="s">
        <v>459</v>
      </c>
      <c r="C23" s="13">
        <v>1</v>
      </c>
      <c r="D23" s="175">
        <v>2</v>
      </c>
      <c r="E23" s="175">
        <v>3</v>
      </c>
      <c r="F23" s="13">
        <v>2</v>
      </c>
      <c r="G23" s="74"/>
      <c r="H23" s="74"/>
      <c r="I23" s="74"/>
      <c r="J23" s="74"/>
      <c r="K23" s="74"/>
      <c r="L23" s="74"/>
      <c r="M23" s="74"/>
      <c r="N23" s="74"/>
      <c r="O23" s="74"/>
      <c r="P23" s="74"/>
      <c r="Q23" s="74"/>
      <c r="R23" s="7"/>
      <c r="S23" s="7"/>
      <c r="T23" s="7"/>
      <c r="U23" s="7"/>
      <c r="V23" s="7"/>
    </row>
    <row r="24" spans="1:22" s="112" customFormat="1" ht="47.25" customHeight="1">
      <c r="A24" s="7"/>
      <c r="B24" s="212" t="s">
        <v>460</v>
      </c>
      <c r="C24" s="13">
        <v>2</v>
      </c>
      <c r="D24" s="175">
        <v>2</v>
      </c>
      <c r="E24" s="175">
        <v>2</v>
      </c>
      <c r="F24" s="13">
        <v>3</v>
      </c>
      <c r="G24" s="74"/>
      <c r="H24" s="74"/>
      <c r="I24" s="74"/>
      <c r="J24" s="74"/>
      <c r="K24" s="74"/>
      <c r="L24" s="74"/>
      <c r="M24" s="74"/>
      <c r="N24" s="74"/>
      <c r="O24" s="74"/>
      <c r="P24" s="74"/>
      <c r="Q24" s="74"/>
      <c r="R24" s="7"/>
      <c r="S24" s="7"/>
      <c r="T24" s="7"/>
      <c r="U24" s="7"/>
      <c r="V24" s="7"/>
    </row>
    <row r="25" spans="1:22" s="112" customFormat="1" ht="26.25" customHeight="1">
      <c r="A25" s="7"/>
      <c r="B25" s="212" t="s">
        <v>461</v>
      </c>
      <c r="C25" s="13">
        <v>2</v>
      </c>
      <c r="D25" s="175">
        <v>2</v>
      </c>
      <c r="E25" s="175">
        <v>2</v>
      </c>
      <c r="F25" s="13">
        <v>3</v>
      </c>
      <c r="G25" s="74"/>
      <c r="H25" s="74"/>
      <c r="I25" s="74"/>
      <c r="J25" s="74"/>
      <c r="K25" s="74"/>
      <c r="L25" s="74"/>
      <c r="M25" s="74"/>
      <c r="N25" s="74"/>
      <c r="O25" s="74"/>
      <c r="P25" s="74"/>
      <c r="Q25" s="74"/>
      <c r="R25" s="7"/>
      <c r="S25" s="7"/>
      <c r="T25" s="7"/>
      <c r="U25" s="7"/>
      <c r="V25" s="7"/>
    </row>
    <row r="26" spans="1:22" s="112" customFormat="1" ht="54" customHeight="1">
      <c r="A26" s="7"/>
      <c r="B26" s="212" t="s">
        <v>462</v>
      </c>
      <c r="C26" s="13">
        <v>2</v>
      </c>
      <c r="D26" s="175">
        <v>2</v>
      </c>
      <c r="E26" s="175">
        <v>3</v>
      </c>
      <c r="F26" s="13">
        <v>3</v>
      </c>
      <c r="G26" s="74"/>
      <c r="H26" s="74"/>
      <c r="I26" s="74"/>
      <c r="J26" s="74"/>
      <c r="K26" s="74"/>
      <c r="L26" s="74"/>
      <c r="M26" s="74"/>
      <c r="N26" s="74"/>
      <c r="O26" s="74"/>
      <c r="P26" s="74"/>
      <c r="Q26" s="74"/>
      <c r="R26" s="7"/>
      <c r="S26" s="7"/>
      <c r="T26" s="7"/>
      <c r="U26" s="7"/>
      <c r="V26" s="7"/>
    </row>
    <row r="27" spans="1:22" s="112" customFormat="1" ht="45.75" customHeight="1">
      <c r="A27" s="7"/>
      <c r="B27" s="212" t="s">
        <v>463</v>
      </c>
      <c r="C27" s="13">
        <v>1</v>
      </c>
      <c r="D27" s="175">
        <v>2</v>
      </c>
      <c r="E27" s="175">
        <v>2</v>
      </c>
      <c r="F27" s="13">
        <v>3</v>
      </c>
      <c r="G27" s="74"/>
      <c r="H27" s="74"/>
      <c r="I27" s="74"/>
      <c r="J27" s="74"/>
      <c r="K27" s="74"/>
      <c r="L27" s="74"/>
      <c r="M27" s="74"/>
      <c r="N27" s="74"/>
      <c r="O27" s="74"/>
      <c r="P27" s="74"/>
      <c r="Q27" s="74"/>
      <c r="R27" s="7"/>
      <c r="S27" s="7"/>
      <c r="T27" s="7"/>
      <c r="U27" s="7"/>
      <c r="V27" s="7"/>
    </row>
    <row r="28" spans="1:22" s="112" customFormat="1" ht="29.25" customHeight="1">
      <c r="A28" s="7"/>
      <c r="B28" s="212" t="s">
        <v>464</v>
      </c>
      <c r="C28" s="13">
        <v>2</v>
      </c>
      <c r="D28" s="175">
        <v>2</v>
      </c>
      <c r="E28" s="175">
        <v>2</v>
      </c>
      <c r="F28" s="13">
        <v>3</v>
      </c>
      <c r="G28" s="74"/>
      <c r="H28" s="74"/>
      <c r="I28" s="74"/>
      <c r="J28" s="74"/>
      <c r="K28" s="74"/>
      <c r="L28" s="74"/>
      <c r="M28" s="74"/>
      <c r="N28" s="74"/>
      <c r="O28" s="74"/>
      <c r="P28" s="74"/>
      <c r="Q28" s="74"/>
      <c r="R28" s="7"/>
      <c r="S28" s="7"/>
      <c r="T28" s="7"/>
      <c r="U28" s="7"/>
      <c r="V28" s="7"/>
    </row>
    <row r="29" spans="1:22" s="112" customFormat="1" ht="49.5" customHeight="1">
      <c r="A29" s="7"/>
      <c r="B29" s="212" t="s">
        <v>465</v>
      </c>
      <c r="C29" s="13">
        <v>2</v>
      </c>
      <c r="D29" s="175">
        <v>2</v>
      </c>
      <c r="E29" s="175">
        <v>3</v>
      </c>
      <c r="F29" s="13">
        <v>3</v>
      </c>
      <c r="G29" s="74"/>
      <c r="H29" s="74"/>
      <c r="I29" s="74"/>
      <c r="J29" s="74"/>
      <c r="K29" s="74"/>
      <c r="L29" s="74"/>
      <c r="M29" s="74"/>
      <c r="N29" s="74"/>
      <c r="O29" s="74"/>
      <c r="P29" s="74"/>
      <c r="Q29" s="74"/>
      <c r="R29" s="7"/>
      <c r="S29" s="7"/>
      <c r="T29" s="7"/>
      <c r="U29" s="7"/>
      <c r="V29" s="7"/>
    </row>
    <row r="30" spans="1:22" s="112" customFormat="1" ht="37.5" customHeight="1">
      <c r="A30" s="7"/>
      <c r="B30" s="212" t="s">
        <v>466</v>
      </c>
      <c r="C30" s="13">
        <v>2</v>
      </c>
      <c r="D30" s="175">
        <v>2</v>
      </c>
      <c r="E30" s="175">
        <v>3</v>
      </c>
      <c r="F30" s="13">
        <v>3</v>
      </c>
      <c r="G30" s="74"/>
      <c r="H30" s="74"/>
      <c r="I30" s="74"/>
      <c r="J30" s="74"/>
      <c r="K30" s="74"/>
      <c r="L30" s="74"/>
      <c r="M30" s="74"/>
      <c r="N30" s="74"/>
      <c r="O30" s="74"/>
      <c r="P30" s="74"/>
      <c r="Q30" s="74"/>
      <c r="R30" s="7"/>
      <c r="S30" s="7"/>
      <c r="T30" s="7"/>
      <c r="U30" s="7"/>
      <c r="V30" s="7"/>
    </row>
    <row r="31" spans="1:22" s="112" customFormat="1" ht="33.75" customHeight="1">
      <c r="A31" s="7"/>
      <c r="B31" s="212" t="s">
        <v>467</v>
      </c>
      <c r="C31" s="13">
        <v>2</v>
      </c>
      <c r="D31" s="175">
        <v>2</v>
      </c>
      <c r="E31" s="175">
        <v>3</v>
      </c>
      <c r="F31" s="13">
        <v>3</v>
      </c>
      <c r="G31" s="74"/>
      <c r="H31" s="74"/>
      <c r="I31" s="74"/>
      <c r="J31" s="74"/>
      <c r="K31" s="74"/>
      <c r="L31" s="74"/>
      <c r="M31" s="74"/>
      <c r="N31" s="74"/>
      <c r="O31" s="74"/>
      <c r="P31" s="74"/>
      <c r="Q31" s="74"/>
      <c r="R31" s="7"/>
      <c r="S31" s="7"/>
      <c r="T31" s="7"/>
      <c r="U31" s="7"/>
      <c r="V31" s="7"/>
    </row>
    <row r="32" spans="1:22" s="112" customFormat="1" ht="41.25" customHeight="1">
      <c r="A32" s="7"/>
      <c r="B32" s="212" t="s">
        <v>472</v>
      </c>
      <c r="C32" s="13">
        <v>1</v>
      </c>
      <c r="D32" s="175">
        <v>1</v>
      </c>
      <c r="E32" s="175">
        <v>2</v>
      </c>
      <c r="F32" s="13">
        <v>2</v>
      </c>
      <c r="G32" s="74"/>
      <c r="H32" s="74"/>
      <c r="I32" s="74"/>
      <c r="J32" s="74"/>
      <c r="K32" s="74"/>
      <c r="L32" s="74"/>
      <c r="M32" s="74"/>
      <c r="N32" s="74"/>
      <c r="O32" s="74"/>
      <c r="P32" s="74"/>
      <c r="Q32" s="74"/>
      <c r="R32" s="7"/>
      <c r="S32" s="7"/>
      <c r="T32" s="7"/>
      <c r="U32" s="7"/>
      <c r="V32" s="7"/>
    </row>
    <row r="33" spans="1:25" s="112" customFormat="1" ht="39.75" customHeight="1">
      <c r="A33" s="7"/>
      <c r="B33" s="212" t="s">
        <v>468</v>
      </c>
      <c r="C33" s="13">
        <v>1</v>
      </c>
      <c r="D33" s="175">
        <v>1</v>
      </c>
      <c r="E33" s="175">
        <v>2</v>
      </c>
      <c r="F33" s="13">
        <v>2</v>
      </c>
      <c r="G33" s="74"/>
      <c r="H33" s="74"/>
      <c r="I33" s="74"/>
      <c r="J33" s="74"/>
      <c r="K33" s="74"/>
      <c r="L33" s="74"/>
      <c r="M33" s="74"/>
      <c r="N33" s="74"/>
      <c r="O33" s="74"/>
      <c r="P33" s="74"/>
      <c r="Q33" s="74"/>
      <c r="R33" s="7"/>
      <c r="S33" s="7"/>
      <c r="T33" s="7"/>
      <c r="U33" s="7"/>
      <c r="V33" s="7"/>
    </row>
    <row r="34" spans="1:25" s="112" customFormat="1" ht="31.5" customHeight="1">
      <c r="A34" s="7"/>
      <c r="B34" s="212" t="s">
        <v>469</v>
      </c>
      <c r="C34" s="13">
        <v>1</v>
      </c>
      <c r="D34" s="175">
        <v>1</v>
      </c>
      <c r="E34" s="175">
        <v>2</v>
      </c>
      <c r="F34" s="13">
        <v>2</v>
      </c>
      <c r="G34" s="74"/>
      <c r="H34" s="74"/>
      <c r="I34" s="74"/>
      <c r="J34" s="74"/>
      <c r="K34" s="74"/>
      <c r="L34" s="74"/>
      <c r="M34" s="74"/>
      <c r="N34" s="74"/>
      <c r="O34" s="74"/>
      <c r="P34" s="74"/>
      <c r="Q34" s="74"/>
      <c r="R34" s="7"/>
      <c r="S34" s="7"/>
      <c r="T34" s="7"/>
      <c r="U34" s="7"/>
      <c r="V34" s="7"/>
    </row>
    <row r="35" spans="1:25" s="112" customFormat="1" ht="39" customHeight="1">
      <c r="A35" s="20"/>
      <c r="B35" s="212" t="s">
        <v>470</v>
      </c>
      <c r="C35" s="80">
        <v>2</v>
      </c>
      <c r="D35" s="176">
        <v>2</v>
      </c>
      <c r="E35" s="176">
        <v>3</v>
      </c>
      <c r="F35" s="80">
        <v>3</v>
      </c>
      <c r="G35" s="88"/>
      <c r="H35" s="88"/>
      <c r="I35" s="88"/>
      <c r="J35" s="88"/>
      <c r="K35" s="88"/>
      <c r="L35" s="88"/>
      <c r="M35" s="88"/>
      <c r="N35" s="88"/>
      <c r="O35" s="88"/>
      <c r="P35" s="88"/>
      <c r="Q35" s="88"/>
      <c r="R35" s="20"/>
      <c r="S35" s="20"/>
      <c r="T35" s="20"/>
      <c r="U35" s="20"/>
      <c r="V35" s="20"/>
    </row>
    <row r="36" spans="1:25" ht="36" customHeight="1">
      <c r="A36" s="20"/>
      <c r="B36" s="212" t="s">
        <v>471</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336</v>
      </c>
      <c r="F40" s="19" t="s">
        <v>337</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338</v>
      </c>
      <c r="D41" s="15" t="s">
        <v>339</v>
      </c>
      <c r="E41" s="15" t="s">
        <v>340</v>
      </c>
      <c r="F41" s="15" t="s">
        <v>341</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342</v>
      </c>
      <c r="D46" s="19" t="s">
        <v>343</v>
      </c>
      <c r="E46" s="19" t="s">
        <v>344</v>
      </c>
      <c r="F46" s="22" t="s">
        <v>345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385</v>
      </c>
      <c r="D47" s="16" t="s">
        <v>386</v>
      </c>
      <c r="E47" s="19" t="s">
        <v>387</v>
      </c>
      <c r="F47" s="19" t="s">
        <v>388</v>
      </c>
      <c r="G47" s="24"/>
      <c r="H47" s="24"/>
      <c r="I47" s="24"/>
      <c r="J47" s="24"/>
      <c r="K47" s="24"/>
      <c r="L47" s="24"/>
      <c r="M47" s="24"/>
      <c r="N47" s="24"/>
      <c r="O47" s="24"/>
      <c r="P47" s="24"/>
      <c r="Q47" s="24"/>
      <c r="R47" s="24"/>
      <c r="S47" s="24"/>
      <c r="T47" s="24"/>
      <c r="U47" s="24"/>
      <c r="V47" s="24"/>
      <c r="W47" s="24"/>
      <c r="X47" s="24"/>
      <c r="Y47" s="24"/>
    </row>
    <row r="48" spans="1:25" s="76" customFormat="1" ht="222" customHeight="1">
      <c r="A48" s="74"/>
      <c r="B48" s="18" t="s">
        <v>565</v>
      </c>
      <c r="C48" s="18"/>
      <c r="D48" s="18"/>
      <c r="E48" s="18"/>
      <c r="F48" s="18"/>
      <c r="G48" s="367"/>
      <c r="H48" s="75"/>
      <c r="I48" s="75"/>
      <c r="J48" s="75"/>
      <c r="K48" s="75"/>
      <c r="L48" s="75"/>
      <c r="M48" s="75"/>
      <c r="N48" s="75"/>
      <c r="O48" s="75"/>
      <c r="P48" s="75"/>
      <c r="Q48" s="75"/>
      <c r="R48" s="75"/>
      <c r="S48" s="75"/>
      <c r="T48" s="75"/>
      <c r="U48" s="75"/>
      <c r="V48" s="75"/>
    </row>
    <row r="49" spans="1:23" s="217" customFormat="1" ht="135.75" customHeight="1">
      <c r="A49" s="7"/>
      <c r="B49" s="10" t="s">
        <v>599</v>
      </c>
      <c r="C49" s="218" t="s">
        <v>600</v>
      </c>
      <c r="D49" s="218" t="s">
        <v>602</v>
      </c>
      <c r="E49" s="218" t="s">
        <v>603</v>
      </c>
      <c r="F49" s="211"/>
      <c r="G49" s="364"/>
      <c r="H49" s="9"/>
      <c r="I49" s="9"/>
      <c r="J49" s="9"/>
      <c r="K49" s="9"/>
      <c r="L49" s="9"/>
      <c r="M49" s="9"/>
      <c r="N49" s="9"/>
      <c r="O49" s="74"/>
      <c r="P49" s="74"/>
      <c r="Q49" s="74"/>
      <c r="R49" s="74"/>
      <c r="S49" s="7"/>
      <c r="T49" s="7"/>
      <c r="U49" s="7"/>
      <c r="V49" s="7"/>
      <c r="W49" s="7"/>
    </row>
    <row r="50" spans="1:23" s="217" customFormat="1" ht="222" customHeight="1">
      <c r="A50" s="7"/>
      <c r="B50" s="10" t="s">
        <v>571</v>
      </c>
      <c r="C50" s="218" t="s">
        <v>601</v>
      </c>
      <c r="D50" s="218" t="s">
        <v>605</v>
      </c>
      <c r="E50" s="218" t="s">
        <v>606</v>
      </c>
      <c r="F50" s="211"/>
      <c r="G50" s="364"/>
      <c r="H50" s="9"/>
      <c r="I50" s="9"/>
      <c r="J50" s="9"/>
      <c r="K50" s="9"/>
      <c r="L50" s="9"/>
      <c r="M50" s="9"/>
      <c r="N50" s="9"/>
      <c r="O50" s="74"/>
      <c r="P50" s="74"/>
      <c r="Q50" s="74"/>
      <c r="R50" s="74"/>
      <c r="S50" s="7"/>
      <c r="T50" s="7"/>
      <c r="U50" s="7"/>
      <c r="V50" s="7"/>
      <c r="W50" s="7"/>
    </row>
    <row r="51" spans="1:23" s="217" customFormat="1" ht="135" customHeight="1">
      <c r="A51" s="7"/>
      <c r="B51" s="10" t="s">
        <v>574</v>
      </c>
      <c r="C51" s="218" t="s">
        <v>604</v>
      </c>
      <c r="D51" s="218" t="s">
        <v>607</v>
      </c>
      <c r="E51" s="218" t="s">
        <v>608</v>
      </c>
      <c r="F51" s="216"/>
      <c r="G51" s="364"/>
      <c r="H51" s="9"/>
      <c r="I51" s="9"/>
      <c r="J51" s="9"/>
      <c r="K51" s="9"/>
      <c r="L51" s="9"/>
      <c r="M51" s="9"/>
      <c r="N51" s="9"/>
      <c r="O51" s="74"/>
      <c r="P51" s="74"/>
      <c r="Q51" s="74"/>
      <c r="R51" s="74"/>
      <c r="S51" s="7"/>
      <c r="T51" s="7"/>
      <c r="U51" s="7"/>
      <c r="V51" s="7"/>
      <c r="W51" s="7"/>
    </row>
    <row r="52" spans="1:23" s="217" customFormat="1" ht="159" customHeight="1">
      <c r="A52" s="7"/>
      <c r="B52" s="10" t="s">
        <v>579</v>
      </c>
      <c r="C52" s="218" t="s">
        <v>609</v>
      </c>
      <c r="D52" s="218" t="s">
        <v>610</v>
      </c>
      <c r="E52" s="218" t="s">
        <v>611</v>
      </c>
      <c r="F52" s="218"/>
      <c r="G52" s="364"/>
      <c r="H52" s="9"/>
      <c r="I52" s="9"/>
      <c r="J52" s="9"/>
      <c r="K52" s="9"/>
      <c r="L52" s="9"/>
      <c r="M52" s="9"/>
      <c r="N52" s="9"/>
      <c r="O52" s="74"/>
      <c r="P52" s="74"/>
      <c r="Q52" s="74"/>
      <c r="R52" s="74"/>
      <c r="S52" s="7"/>
      <c r="T52" s="7"/>
      <c r="U52" s="7"/>
      <c r="V52" s="7"/>
      <c r="W52" s="7"/>
    </row>
    <row r="53" spans="1:23" ht="14.25" customHeight="1">
      <c r="A53" s="7"/>
      <c r="B53" s="7"/>
      <c r="C53" s="9"/>
      <c r="D53" s="9"/>
      <c r="E53" s="9"/>
      <c r="F53" s="9"/>
      <c r="G53" s="9"/>
      <c r="H53" s="9"/>
      <c r="I53" s="9"/>
      <c r="J53" s="9"/>
      <c r="K53" s="9"/>
      <c r="L53" s="9"/>
      <c r="M53" s="9"/>
      <c r="N53" s="9"/>
      <c r="O53" s="9"/>
      <c r="P53" s="9"/>
      <c r="Q53" s="9"/>
      <c r="R53" s="9"/>
      <c r="S53" s="9"/>
      <c r="T53" s="9"/>
    </row>
    <row r="54" spans="1:23" ht="14.25" customHeight="1">
      <c r="A54" s="7"/>
      <c r="B54" s="283" t="s">
        <v>52</v>
      </c>
      <c r="C54" s="258"/>
      <c r="D54" s="258"/>
      <c r="E54" s="258"/>
      <c r="F54" s="258"/>
      <c r="G54" s="9"/>
      <c r="H54" s="9"/>
      <c r="I54" s="9"/>
      <c r="J54" s="9"/>
      <c r="K54" s="9"/>
      <c r="L54" s="9"/>
      <c r="M54" s="9"/>
      <c r="N54" s="9"/>
      <c r="O54" s="9"/>
      <c r="P54" s="9"/>
      <c r="Q54" s="9"/>
      <c r="R54" s="9"/>
      <c r="S54" s="9"/>
      <c r="T54" s="9"/>
    </row>
    <row r="55" spans="1:23" ht="59.25" customHeight="1">
      <c r="A55" s="7"/>
      <c r="B55" s="11" t="s">
        <v>53</v>
      </c>
      <c r="C55" s="284" t="s">
        <v>54</v>
      </c>
      <c r="D55" s="285"/>
      <c r="E55" s="285"/>
      <c r="F55" s="286"/>
      <c r="G55" s="100"/>
      <c r="H55" s="100"/>
      <c r="I55" s="100"/>
      <c r="J55" s="100"/>
      <c r="K55" s="100"/>
      <c r="L55" s="100"/>
      <c r="M55" s="100"/>
      <c r="N55" s="100"/>
      <c r="O55" s="100"/>
      <c r="P55" s="100"/>
      <c r="Q55" s="100"/>
      <c r="R55" s="100"/>
      <c r="S55" s="100"/>
      <c r="T55" s="100"/>
      <c r="U55" s="101"/>
    </row>
    <row r="56" spans="1:23" ht="84" customHeight="1">
      <c r="A56" s="7"/>
      <c r="B56" s="11" t="s">
        <v>55</v>
      </c>
      <c r="C56" s="287" t="s">
        <v>56</v>
      </c>
      <c r="D56" s="288"/>
      <c r="E56" s="288"/>
      <c r="F56" s="289"/>
      <c r="G56" s="102"/>
      <c r="H56" s="102"/>
      <c r="I56" s="102"/>
      <c r="J56" s="102"/>
      <c r="K56" s="102"/>
      <c r="L56" s="102"/>
      <c r="M56" s="102"/>
      <c r="N56" s="102"/>
      <c r="O56" s="102"/>
      <c r="P56" s="102"/>
      <c r="Q56" s="102"/>
      <c r="R56" s="102"/>
      <c r="S56" s="103"/>
      <c r="T56" s="103"/>
      <c r="U56" s="101"/>
    </row>
    <row r="57" spans="1:23" ht="78.95" customHeight="1">
      <c r="A57" s="7"/>
      <c r="B57" s="11" t="s">
        <v>57</v>
      </c>
      <c r="C57" s="290" t="s">
        <v>58</v>
      </c>
      <c r="D57" s="291"/>
      <c r="E57" s="291"/>
      <c r="F57" s="292"/>
      <c r="G57" s="100"/>
      <c r="H57" s="100"/>
      <c r="I57" s="100"/>
      <c r="J57" s="100"/>
      <c r="K57" s="100"/>
      <c r="L57" s="100"/>
      <c r="M57" s="100"/>
      <c r="N57" s="100"/>
      <c r="O57" s="100"/>
      <c r="P57" s="100"/>
      <c r="Q57" s="100"/>
      <c r="R57" s="100"/>
      <c r="S57" s="100"/>
      <c r="T57" s="100"/>
      <c r="U57" s="101"/>
    </row>
    <row r="58" spans="1:23" ht="14.25" customHeight="1">
      <c r="A58" s="7"/>
      <c r="B58" s="7"/>
      <c r="C58" s="103"/>
      <c r="D58" s="103"/>
      <c r="E58" s="103"/>
      <c r="F58" s="103"/>
      <c r="G58" s="9"/>
      <c r="H58" s="9"/>
      <c r="I58" s="9"/>
      <c r="J58" s="9"/>
      <c r="K58" s="9"/>
      <c r="L58" s="9"/>
      <c r="M58" s="9"/>
      <c r="N58" s="9"/>
      <c r="O58" s="9"/>
      <c r="P58" s="9"/>
      <c r="Q58" s="9"/>
      <c r="R58" s="9"/>
      <c r="S58" s="9"/>
      <c r="T58" s="9"/>
    </row>
    <row r="59" spans="1:23" ht="14.25" customHeight="1">
      <c r="A59" s="7"/>
      <c r="B59" s="7"/>
      <c r="C59" s="9"/>
      <c r="D59" s="9"/>
      <c r="E59" s="9"/>
      <c r="F59" s="9"/>
      <c r="G59" s="9"/>
      <c r="H59" s="9"/>
      <c r="I59" s="9"/>
      <c r="J59" s="9"/>
      <c r="K59" s="9"/>
      <c r="L59" s="9"/>
      <c r="M59" s="9"/>
      <c r="N59" s="9"/>
      <c r="O59" s="9"/>
      <c r="P59" s="9"/>
      <c r="Q59" s="9"/>
      <c r="R59" s="9"/>
      <c r="S59" s="9"/>
      <c r="T59" s="9"/>
    </row>
    <row r="60" spans="1:23" ht="14.25" customHeight="1">
      <c r="A60" s="7"/>
      <c r="B60" s="7"/>
      <c r="C60" s="9"/>
      <c r="D60" s="9"/>
      <c r="E60" s="9"/>
      <c r="F60" s="9"/>
      <c r="G60" s="9"/>
      <c r="H60" s="9"/>
      <c r="I60" s="9"/>
      <c r="J60" s="9"/>
      <c r="K60" s="9"/>
      <c r="L60" s="9"/>
      <c r="M60" s="9"/>
      <c r="N60" s="9"/>
      <c r="O60" s="9"/>
      <c r="P60" s="9"/>
      <c r="Q60" s="9"/>
      <c r="R60" s="9"/>
      <c r="S60" s="9"/>
      <c r="T60" s="9"/>
    </row>
    <row r="61" spans="1:23" ht="14.25" customHeight="1">
      <c r="A61" s="7"/>
      <c r="B61" s="7"/>
      <c r="C61" s="9"/>
      <c r="D61" s="9"/>
      <c r="E61" s="9"/>
      <c r="F61" s="9"/>
      <c r="G61" s="9"/>
      <c r="H61" s="9"/>
      <c r="I61" s="9"/>
      <c r="J61" s="9"/>
      <c r="K61" s="9"/>
      <c r="L61" s="9"/>
      <c r="M61" s="9"/>
      <c r="N61" s="9"/>
      <c r="O61" s="9"/>
      <c r="P61" s="9"/>
      <c r="Q61" s="9"/>
      <c r="R61" s="9"/>
      <c r="S61" s="9"/>
      <c r="T61" s="9"/>
    </row>
    <row r="62" spans="1:23" ht="14.25" customHeight="1">
      <c r="A62" s="7"/>
      <c r="B62" s="7"/>
      <c r="C62" s="9"/>
      <c r="D62" s="9"/>
      <c r="E62" s="9"/>
      <c r="F62" s="9"/>
      <c r="G62" s="9"/>
      <c r="H62" s="9"/>
      <c r="I62" s="9"/>
      <c r="J62" s="9"/>
      <c r="K62" s="9"/>
      <c r="L62" s="9"/>
      <c r="M62" s="9"/>
      <c r="N62" s="9"/>
      <c r="O62" s="9"/>
      <c r="P62" s="9"/>
      <c r="Q62" s="9"/>
      <c r="R62" s="9"/>
      <c r="S62" s="9"/>
      <c r="T62" s="9"/>
    </row>
    <row r="63" spans="1:23" ht="14.25" customHeight="1">
      <c r="A63" s="7"/>
      <c r="B63" s="7"/>
      <c r="C63" s="9"/>
      <c r="D63" s="9"/>
      <c r="E63" s="9"/>
      <c r="F63" s="9"/>
      <c r="G63" s="9"/>
      <c r="H63" s="9"/>
      <c r="I63" s="9"/>
      <c r="J63" s="9"/>
      <c r="K63" s="9"/>
      <c r="L63" s="9"/>
      <c r="M63" s="9"/>
      <c r="N63" s="9"/>
      <c r="O63" s="9"/>
      <c r="P63" s="9"/>
      <c r="Q63" s="9"/>
      <c r="R63" s="9"/>
      <c r="S63" s="9"/>
      <c r="T63" s="9"/>
    </row>
    <row r="64" spans="1:23" ht="14.25" customHeight="1">
      <c r="A64" s="7"/>
      <c r="B64" s="7"/>
      <c r="C64" s="9"/>
      <c r="D64" s="9"/>
      <c r="E64" s="9"/>
      <c r="F64" s="9"/>
      <c r="G64" s="9"/>
      <c r="H64" s="9"/>
      <c r="I64" s="9"/>
      <c r="J64" s="9"/>
      <c r="K64" s="9"/>
      <c r="L64" s="9"/>
      <c r="M64" s="9"/>
      <c r="N64" s="9"/>
      <c r="O64" s="9"/>
      <c r="P64" s="9"/>
      <c r="Q64" s="9"/>
      <c r="R64" s="9"/>
      <c r="S64" s="9"/>
      <c r="T64" s="9"/>
    </row>
    <row r="65" spans="1:20" ht="14.25" customHeight="1">
      <c r="A65" s="7"/>
      <c r="B65" s="7"/>
      <c r="C65" s="9"/>
      <c r="D65" s="9"/>
      <c r="E65" s="9"/>
      <c r="F65" s="9"/>
      <c r="G65" s="9"/>
      <c r="H65" s="9"/>
      <c r="I65" s="9"/>
      <c r="J65" s="9"/>
      <c r="K65" s="9"/>
      <c r="L65" s="9"/>
      <c r="M65" s="9"/>
      <c r="N65" s="9"/>
      <c r="O65" s="9"/>
      <c r="P65" s="9"/>
      <c r="Q65" s="9"/>
      <c r="R65" s="9"/>
      <c r="S65" s="9"/>
      <c r="T65" s="9"/>
    </row>
    <row r="66" spans="1:20" ht="14.25" customHeight="1">
      <c r="A66" s="7"/>
      <c r="B66" s="7"/>
    </row>
    <row r="67" spans="1:20" ht="14.25" customHeight="1">
      <c r="A67" s="7"/>
      <c r="B67" s="7"/>
    </row>
    <row r="68" spans="1:20" ht="14.25" customHeight="1">
      <c r="A68" s="7"/>
      <c r="B68" s="7"/>
    </row>
    <row r="69" spans="1:20" ht="14.25" customHeight="1">
      <c r="A69" s="7"/>
      <c r="B69" s="7"/>
    </row>
    <row r="70" spans="1:20" ht="14.25" customHeight="1">
      <c r="A70" s="7"/>
      <c r="B70" s="7"/>
    </row>
    <row r="71" spans="1:20" ht="14.25" customHeight="1">
      <c r="A71" s="7"/>
      <c r="B71" s="7"/>
    </row>
    <row r="72" spans="1:20" ht="14.25" customHeight="1">
      <c r="A72" s="7"/>
      <c r="B72" s="7"/>
    </row>
    <row r="73" spans="1:20" ht="14.25" customHeight="1">
      <c r="A73" s="7"/>
      <c r="B73" s="7"/>
    </row>
    <row r="74" spans="1:20" ht="14.25" customHeight="1">
      <c r="A74" s="7"/>
      <c r="B74" s="7"/>
    </row>
    <row r="75" spans="1:20" ht="14.25" customHeight="1">
      <c r="A75" s="7"/>
      <c r="B75" s="7"/>
    </row>
    <row r="76" spans="1:20" ht="14.25" customHeight="1">
      <c r="A76" s="7"/>
      <c r="B76" s="7"/>
    </row>
    <row r="77" spans="1:20" ht="14.25" customHeight="1">
      <c r="A77" s="7"/>
      <c r="B77" s="7"/>
    </row>
    <row r="78" spans="1:20" ht="14.25" customHeight="1">
      <c r="A78" s="7"/>
      <c r="B78" s="7"/>
    </row>
    <row r="79" spans="1:20" ht="14.25" customHeight="1">
      <c r="A79" s="7"/>
      <c r="B79" s="7"/>
    </row>
    <row r="80" spans="1:20"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row r="999" spans="1:2" ht="14.25" customHeight="1">
      <c r="A999" s="7"/>
      <c r="B999" s="7"/>
    </row>
    <row r="1000" spans="1:2" ht="14.25" customHeight="1">
      <c r="A1000" s="7"/>
      <c r="B1000" s="7"/>
    </row>
    <row r="1001" spans="1:2" ht="14.25" customHeight="1">
      <c r="A1001" s="7"/>
      <c r="B1001" s="7"/>
    </row>
  </sheetData>
  <mergeCells count="8">
    <mergeCell ref="B54:F54"/>
    <mergeCell ref="C55:F55"/>
    <mergeCell ref="C56:F56"/>
    <mergeCell ref="C57:F57"/>
    <mergeCell ref="B1:B4"/>
    <mergeCell ref="C5:F5"/>
    <mergeCell ref="C6:F6"/>
    <mergeCell ref="C1:E4"/>
  </mergeCells>
  <pageMargins left="0.7" right="0.7" top="0.75" bottom="0.75" header="0" footer="0"/>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1001"/>
  <sheetViews>
    <sheetView topLeftCell="A41" zoomScale="70" zoomScaleNormal="70" workbookViewId="0">
      <selection activeCell="A48" sqref="A48:XFD52"/>
    </sheetView>
  </sheetViews>
  <sheetFormatPr defaultColWidth="14.42578125" defaultRowHeight="15" customHeight="1"/>
  <cols>
    <col min="1" max="1" width="12.42578125" style="51" customWidth="1"/>
    <col min="2" max="2" width="67.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9"/>
      <c r="C1" s="225" t="s">
        <v>8</v>
      </c>
      <c r="D1" s="295"/>
      <c r="E1" s="296"/>
      <c r="F1" s="5" t="s">
        <v>156</v>
      </c>
      <c r="G1" s="6"/>
      <c r="H1" s="6"/>
      <c r="I1" s="6"/>
      <c r="J1" s="6"/>
      <c r="K1" s="6"/>
      <c r="L1" s="6"/>
      <c r="M1" s="6"/>
      <c r="N1" s="6"/>
      <c r="O1" s="6"/>
      <c r="P1" s="6"/>
      <c r="Q1" s="6"/>
      <c r="R1" s="6"/>
      <c r="S1" s="6"/>
      <c r="T1" s="6"/>
      <c r="U1" s="6"/>
      <c r="V1" s="6"/>
      <c r="W1" s="6"/>
      <c r="X1" s="6"/>
      <c r="Y1" s="6"/>
    </row>
    <row r="2" spans="1:25" ht="18.75" customHeight="1">
      <c r="A2" s="4"/>
      <c r="B2" s="250"/>
      <c r="C2" s="297"/>
      <c r="D2" s="298"/>
      <c r="E2" s="299"/>
      <c r="F2" s="106" t="s">
        <v>9</v>
      </c>
      <c r="G2" s="6"/>
      <c r="H2" s="6"/>
      <c r="I2" s="6"/>
      <c r="J2" s="6"/>
      <c r="K2" s="6"/>
      <c r="L2" s="6"/>
      <c r="M2" s="6"/>
      <c r="N2" s="6"/>
      <c r="O2" s="6"/>
      <c r="P2" s="6"/>
      <c r="Q2" s="6"/>
      <c r="R2" s="6"/>
      <c r="S2" s="6"/>
      <c r="T2" s="6"/>
      <c r="U2" s="6"/>
      <c r="V2" s="6"/>
      <c r="W2" s="6"/>
      <c r="X2" s="6"/>
      <c r="Y2" s="6"/>
    </row>
    <row r="3" spans="1:25" ht="18.75" customHeight="1">
      <c r="A3" s="4"/>
      <c r="B3" s="250"/>
      <c r="C3" s="297"/>
      <c r="D3" s="298"/>
      <c r="E3" s="299"/>
      <c r="F3" s="106" t="s">
        <v>10</v>
      </c>
      <c r="G3" s="6"/>
      <c r="H3" s="6"/>
      <c r="I3" s="6"/>
      <c r="J3" s="6"/>
      <c r="K3" s="6"/>
      <c r="L3" s="6"/>
      <c r="M3" s="6"/>
      <c r="N3" s="6"/>
      <c r="O3" s="6"/>
      <c r="P3" s="6"/>
      <c r="Q3" s="6"/>
      <c r="R3" s="6"/>
      <c r="S3" s="6"/>
      <c r="T3" s="6"/>
      <c r="U3" s="6"/>
      <c r="V3" s="6"/>
      <c r="W3" s="6"/>
      <c r="X3" s="6"/>
      <c r="Y3" s="6"/>
    </row>
    <row r="4" spans="1:25" ht="14.1" customHeight="1">
      <c r="A4" s="4"/>
      <c r="B4" s="251"/>
      <c r="C4" s="300"/>
      <c r="D4" s="301"/>
      <c r="E4" s="302"/>
      <c r="F4" s="106" t="s">
        <v>11</v>
      </c>
      <c r="G4" s="6"/>
      <c r="H4" s="6"/>
      <c r="I4" s="6"/>
      <c r="J4" s="6"/>
      <c r="K4" s="6"/>
      <c r="L4" s="6"/>
      <c r="M4" s="6"/>
      <c r="N4" s="6"/>
      <c r="O4" s="6"/>
      <c r="P4" s="6"/>
      <c r="Q4" s="6"/>
      <c r="R4" s="6"/>
      <c r="S4" s="6"/>
      <c r="T4" s="6"/>
      <c r="U4" s="6"/>
      <c r="V4" s="6"/>
      <c r="W4" s="6"/>
      <c r="X4" s="6"/>
      <c r="Y4" s="6"/>
    </row>
    <row r="5" spans="1:25" ht="14.25" customHeight="1">
      <c r="A5" s="7"/>
      <c r="B5" s="8" t="s">
        <v>12</v>
      </c>
      <c r="C5" s="234"/>
      <c r="D5" s="293"/>
      <c r="E5" s="293"/>
      <c r="F5" s="261"/>
      <c r="G5" s="9"/>
      <c r="H5" s="9"/>
      <c r="I5" s="9"/>
      <c r="J5" s="9"/>
      <c r="K5" s="9"/>
      <c r="L5" s="9"/>
      <c r="M5" s="9"/>
      <c r="N5" s="9"/>
      <c r="O5" s="9"/>
      <c r="P5" s="9"/>
      <c r="Q5" s="9"/>
      <c r="R5" s="9"/>
      <c r="S5" s="9"/>
      <c r="T5" s="9"/>
      <c r="U5" s="9"/>
      <c r="V5" s="9"/>
      <c r="W5" s="9"/>
      <c r="X5" s="9"/>
      <c r="Y5" s="9"/>
    </row>
    <row r="6" spans="1:25" ht="25.7" customHeight="1">
      <c r="A6" s="7"/>
      <c r="B6" s="10" t="s">
        <v>13</v>
      </c>
      <c r="C6" s="237" t="s">
        <v>356</v>
      </c>
      <c r="D6" s="294"/>
      <c r="E6" s="294"/>
      <c r="F6" s="261"/>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347</v>
      </c>
      <c r="F7" s="11" t="s">
        <v>348</v>
      </c>
      <c r="G7" s="9"/>
      <c r="H7" s="9"/>
      <c r="I7" s="9"/>
      <c r="J7" s="9"/>
      <c r="K7" s="9"/>
      <c r="L7" s="9"/>
      <c r="M7" s="9"/>
      <c r="N7" s="9"/>
      <c r="O7" s="9"/>
      <c r="P7" s="9"/>
      <c r="Q7" s="9"/>
      <c r="R7" s="9"/>
      <c r="S7" s="9"/>
      <c r="T7" s="9"/>
      <c r="U7" s="9"/>
      <c r="V7" s="9"/>
      <c r="W7" s="9"/>
      <c r="X7" s="9"/>
      <c r="Y7" s="9"/>
    </row>
    <row r="8" spans="1:25" ht="14.25" customHeight="1">
      <c r="A8" s="7"/>
      <c r="B8" s="10" t="s">
        <v>16</v>
      </c>
      <c r="C8" s="11" t="s">
        <v>353</v>
      </c>
      <c r="D8" s="11" t="s">
        <v>354</v>
      </c>
      <c r="E8" s="11" t="s">
        <v>355</v>
      </c>
      <c r="F8" s="11" t="s">
        <v>357</v>
      </c>
      <c r="G8" s="9"/>
      <c r="H8" s="9"/>
      <c r="I8" s="9"/>
      <c r="J8" s="9"/>
      <c r="K8" s="9"/>
      <c r="L8" s="9"/>
      <c r="M8" s="9"/>
      <c r="N8" s="9"/>
      <c r="O8" s="9"/>
      <c r="P8" s="9"/>
      <c r="Q8" s="9"/>
      <c r="R8" s="9"/>
      <c r="S8" s="9"/>
      <c r="T8" s="9"/>
      <c r="U8" s="9"/>
      <c r="V8" s="9"/>
      <c r="W8" s="9"/>
      <c r="X8" s="9"/>
      <c r="Y8" s="9"/>
    </row>
    <row r="9" spans="1:25" ht="14.25" customHeight="1">
      <c r="A9" s="7"/>
      <c r="B9" s="10" t="s">
        <v>17</v>
      </c>
      <c r="C9" s="11" t="s">
        <v>354</v>
      </c>
      <c r="D9" s="11" t="s">
        <v>355</v>
      </c>
      <c r="E9" s="11" t="s">
        <v>357</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77" t="s">
        <v>358</v>
      </c>
      <c r="D11" s="177" t="s">
        <v>359</v>
      </c>
      <c r="E11" s="177" t="s">
        <v>360</v>
      </c>
      <c r="F11" s="190" t="s">
        <v>361</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362</v>
      </c>
      <c r="D12" s="180" t="s">
        <v>363</v>
      </c>
      <c r="E12" s="180" t="s">
        <v>368</v>
      </c>
      <c r="F12" s="180" t="s">
        <v>364</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331</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365</v>
      </c>
      <c r="D17" s="15" t="s">
        <v>366</v>
      </c>
      <c r="E17" s="15" t="s">
        <v>367</v>
      </c>
      <c r="F17" s="15" t="s">
        <v>369</v>
      </c>
    </row>
    <row r="18" spans="1:22" ht="14.25" customHeight="1">
      <c r="A18" s="7"/>
      <c r="B18" s="10" t="s">
        <v>25</v>
      </c>
      <c r="C18" s="19"/>
      <c r="D18" s="19"/>
      <c r="E18" s="19"/>
      <c r="F18" s="19"/>
    </row>
    <row r="19" spans="1:22" s="181" customFormat="1" ht="24" customHeight="1">
      <c r="A19" s="7"/>
      <c r="B19" s="211" t="s">
        <v>530</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531</v>
      </c>
      <c r="C20" s="183">
        <v>1</v>
      </c>
      <c r="D20" s="183">
        <v>1</v>
      </c>
      <c r="E20" s="183">
        <v>2</v>
      </c>
      <c r="F20" s="183">
        <v>2</v>
      </c>
      <c r="G20" s="74"/>
      <c r="H20" s="74"/>
      <c r="I20" s="74"/>
      <c r="J20" s="74"/>
      <c r="K20" s="74"/>
      <c r="L20" s="74"/>
      <c r="M20" s="74"/>
      <c r="N20" s="74"/>
      <c r="O20" s="74"/>
      <c r="P20" s="74"/>
      <c r="Q20" s="74"/>
      <c r="R20" s="7"/>
      <c r="S20" s="7"/>
      <c r="T20" s="7"/>
      <c r="U20" s="7"/>
      <c r="V20" s="7"/>
    </row>
    <row r="21" spans="1:22" s="181" customFormat="1" ht="24" customHeight="1">
      <c r="A21" s="7"/>
      <c r="B21" s="211" t="s">
        <v>532</v>
      </c>
      <c r="C21" s="183">
        <v>1</v>
      </c>
      <c r="D21" s="183">
        <v>1</v>
      </c>
      <c r="E21" s="183">
        <v>1</v>
      </c>
      <c r="F21" s="183">
        <v>1</v>
      </c>
      <c r="G21" s="74"/>
      <c r="H21" s="74"/>
      <c r="I21" s="74"/>
      <c r="J21" s="74"/>
      <c r="K21" s="74"/>
      <c r="L21" s="74"/>
      <c r="M21" s="74"/>
      <c r="N21" s="74"/>
      <c r="O21" s="74"/>
      <c r="P21" s="74"/>
      <c r="Q21" s="74"/>
      <c r="R21" s="7"/>
      <c r="S21" s="7"/>
      <c r="T21" s="7"/>
      <c r="U21" s="7"/>
      <c r="V21" s="7"/>
    </row>
    <row r="22" spans="1:22" s="181" customFormat="1" ht="24" customHeight="1">
      <c r="A22" s="7"/>
      <c r="B22" s="211" t="s">
        <v>533</v>
      </c>
      <c r="C22" s="183">
        <v>1</v>
      </c>
      <c r="D22" s="183">
        <v>1</v>
      </c>
      <c r="E22" s="183">
        <v>1</v>
      </c>
      <c r="F22" s="183">
        <v>1</v>
      </c>
      <c r="G22" s="74"/>
      <c r="H22" s="74"/>
      <c r="I22" s="74"/>
      <c r="J22" s="74"/>
      <c r="K22" s="74"/>
      <c r="L22" s="74"/>
      <c r="M22" s="74"/>
      <c r="N22" s="74"/>
      <c r="O22" s="74"/>
      <c r="P22" s="74"/>
      <c r="Q22" s="74"/>
      <c r="R22" s="7"/>
      <c r="S22" s="7"/>
      <c r="T22" s="7"/>
      <c r="U22" s="7"/>
      <c r="V22" s="7"/>
    </row>
    <row r="23" spans="1:22" s="181" customFormat="1" ht="24" customHeight="1">
      <c r="A23" s="7"/>
      <c r="B23" s="211" t="s">
        <v>534</v>
      </c>
      <c r="C23" s="183">
        <v>1</v>
      </c>
      <c r="D23" s="183">
        <v>2</v>
      </c>
      <c r="E23" s="183">
        <v>3</v>
      </c>
      <c r="F23" s="183">
        <v>2</v>
      </c>
      <c r="G23" s="74"/>
      <c r="H23" s="74"/>
      <c r="I23" s="74"/>
      <c r="J23" s="74"/>
      <c r="K23" s="74"/>
      <c r="L23" s="74"/>
      <c r="M23" s="74"/>
      <c r="N23" s="74"/>
      <c r="O23" s="74"/>
      <c r="P23" s="74"/>
      <c r="Q23" s="74"/>
      <c r="R23" s="7"/>
      <c r="S23" s="7"/>
      <c r="T23" s="7"/>
      <c r="U23" s="7"/>
      <c r="V23" s="7"/>
    </row>
    <row r="24" spans="1:22" s="181" customFormat="1" ht="24" customHeight="1">
      <c r="A24" s="7"/>
      <c r="B24" s="211" t="s">
        <v>535</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536</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30.75" customHeight="1">
      <c r="A26" s="7"/>
      <c r="B26" s="211" t="s">
        <v>537</v>
      </c>
      <c r="C26" s="183">
        <v>2</v>
      </c>
      <c r="D26" s="183">
        <v>2</v>
      </c>
      <c r="E26" s="183">
        <v>3</v>
      </c>
      <c r="F26" s="183">
        <v>3</v>
      </c>
      <c r="G26" s="74"/>
      <c r="H26" s="74"/>
      <c r="I26" s="74"/>
      <c r="J26" s="74"/>
      <c r="K26" s="74"/>
      <c r="L26" s="74"/>
      <c r="M26" s="74"/>
      <c r="N26" s="74"/>
      <c r="O26" s="74"/>
      <c r="P26" s="74"/>
      <c r="Q26" s="74"/>
      <c r="R26" s="7"/>
      <c r="S26" s="7"/>
      <c r="T26" s="7"/>
      <c r="U26" s="7"/>
      <c r="V26" s="7"/>
    </row>
    <row r="27" spans="1:22" s="181" customFormat="1" ht="24" customHeight="1">
      <c r="A27" s="7"/>
      <c r="B27" s="211" t="s">
        <v>538</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539</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540</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541</v>
      </c>
      <c r="C30" s="183">
        <v>2</v>
      </c>
      <c r="D30" s="183">
        <v>3</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542</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543</v>
      </c>
      <c r="C32" s="183">
        <v>1</v>
      </c>
      <c r="D32" s="183">
        <v>1</v>
      </c>
      <c r="E32" s="183">
        <v>2</v>
      </c>
      <c r="F32" s="183">
        <v>2</v>
      </c>
      <c r="G32" s="74"/>
      <c r="H32" s="74"/>
      <c r="I32" s="74"/>
      <c r="J32" s="74"/>
      <c r="K32" s="74"/>
      <c r="L32" s="74"/>
      <c r="M32" s="74"/>
      <c r="N32" s="74"/>
      <c r="O32" s="74"/>
      <c r="P32" s="74"/>
      <c r="Q32" s="74"/>
      <c r="R32" s="7"/>
      <c r="S32" s="7"/>
      <c r="T32" s="7"/>
      <c r="U32" s="7"/>
      <c r="V32" s="7"/>
    </row>
    <row r="33" spans="1:25" s="181" customFormat="1" ht="30.75" customHeight="1">
      <c r="A33" s="7"/>
      <c r="B33" s="211" t="s">
        <v>544</v>
      </c>
      <c r="C33" s="183">
        <v>1</v>
      </c>
      <c r="D33" s="183">
        <v>1</v>
      </c>
      <c r="E33" s="183">
        <v>2</v>
      </c>
      <c r="F33" s="183">
        <v>2</v>
      </c>
      <c r="G33" s="74"/>
      <c r="H33" s="74"/>
      <c r="I33" s="74"/>
      <c r="J33" s="74"/>
      <c r="K33" s="74"/>
      <c r="L33" s="74"/>
      <c r="M33" s="74"/>
      <c r="N33" s="74"/>
      <c r="O33" s="74"/>
      <c r="P33" s="74"/>
      <c r="Q33" s="74"/>
      <c r="R33" s="7"/>
      <c r="S33" s="7"/>
      <c r="T33" s="7"/>
      <c r="U33" s="7"/>
      <c r="V33" s="7"/>
    </row>
    <row r="34" spans="1:25" s="181" customFormat="1" ht="34.5" customHeight="1">
      <c r="A34" s="7"/>
      <c r="B34" s="211" t="s">
        <v>545</v>
      </c>
      <c r="C34" s="183">
        <v>1</v>
      </c>
      <c r="D34" s="183">
        <v>1</v>
      </c>
      <c r="E34" s="183">
        <v>2</v>
      </c>
      <c r="F34" s="183">
        <v>2</v>
      </c>
      <c r="G34" s="74"/>
      <c r="H34" s="74"/>
      <c r="I34" s="74"/>
      <c r="J34" s="74"/>
      <c r="K34" s="74"/>
      <c r="L34" s="74"/>
      <c r="M34" s="74"/>
      <c r="N34" s="74"/>
      <c r="O34" s="74"/>
      <c r="P34" s="74"/>
      <c r="Q34" s="74"/>
      <c r="R34" s="7"/>
      <c r="S34" s="7"/>
      <c r="T34" s="7"/>
      <c r="U34" s="7"/>
      <c r="V34" s="7"/>
    </row>
    <row r="35" spans="1:25" s="181" customFormat="1" ht="39" customHeight="1">
      <c r="A35" s="20"/>
      <c r="B35" s="211" t="s">
        <v>546</v>
      </c>
      <c r="C35" s="184">
        <v>2</v>
      </c>
      <c r="D35" s="184">
        <v>2</v>
      </c>
      <c r="E35" s="184">
        <v>3</v>
      </c>
      <c r="F35" s="184">
        <v>3</v>
      </c>
      <c r="G35" s="88"/>
      <c r="H35" s="88"/>
      <c r="I35" s="88"/>
      <c r="J35" s="88"/>
      <c r="K35" s="88"/>
      <c r="L35" s="88"/>
      <c r="M35" s="88"/>
      <c r="N35" s="88"/>
      <c r="O35" s="88"/>
      <c r="P35" s="88"/>
      <c r="Q35" s="88"/>
      <c r="R35" s="20"/>
      <c r="S35" s="20"/>
      <c r="T35" s="20"/>
      <c r="U35" s="20"/>
      <c r="V35" s="20"/>
    </row>
    <row r="36" spans="1:25" ht="24" customHeight="1">
      <c r="A36" s="20"/>
      <c r="B36" s="211" t="s">
        <v>547</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374</v>
      </c>
      <c r="D40" s="19" t="s">
        <v>374</v>
      </c>
      <c r="E40" s="19" t="s">
        <v>375</v>
      </c>
      <c r="F40" s="19" t="s">
        <v>376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370</v>
      </c>
      <c r="D41" s="15" t="s">
        <v>371</v>
      </c>
      <c r="E41" s="15" t="s">
        <v>372</v>
      </c>
      <c r="F41" s="15" t="s">
        <v>373</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1" t="s">
        <v>377</v>
      </c>
      <c r="D46" s="192" t="s">
        <v>378</v>
      </c>
      <c r="E46" s="193" t="s">
        <v>379</v>
      </c>
      <c r="F46" s="19" t="s">
        <v>380</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381</v>
      </c>
      <c r="D47" s="16" t="s">
        <v>382</v>
      </c>
      <c r="E47" s="19" t="s">
        <v>383</v>
      </c>
      <c r="F47" s="19" t="s">
        <v>384</v>
      </c>
      <c r="G47" s="24"/>
      <c r="H47" s="24"/>
      <c r="I47" s="24"/>
      <c r="J47" s="24"/>
      <c r="K47" s="24"/>
      <c r="L47" s="24"/>
      <c r="M47" s="24"/>
      <c r="N47" s="24"/>
      <c r="O47" s="24"/>
      <c r="P47" s="24"/>
      <c r="Q47" s="24"/>
      <c r="R47" s="24"/>
      <c r="S47" s="24"/>
      <c r="T47" s="24"/>
      <c r="U47" s="24"/>
      <c r="V47" s="24"/>
      <c r="W47" s="24"/>
      <c r="X47" s="24"/>
      <c r="Y47" s="24"/>
    </row>
    <row r="48" spans="1:25" s="76" customFormat="1" ht="20.25" customHeight="1">
      <c r="A48" s="74"/>
      <c r="B48" s="18" t="s">
        <v>565</v>
      </c>
      <c r="C48" s="18"/>
      <c r="D48" s="18"/>
      <c r="E48" s="18"/>
      <c r="F48" s="18"/>
      <c r="G48" s="367"/>
      <c r="H48" s="75"/>
      <c r="I48" s="75"/>
      <c r="J48" s="75"/>
      <c r="K48" s="75"/>
      <c r="L48" s="75"/>
      <c r="M48" s="75"/>
      <c r="N48" s="75"/>
      <c r="O48" s="75"/>
      <c r="P48" s="75"/>
      <c r="Q48" s="75"/>
      <c r="R48" s="75"/>
      <c r="S48" s="75"/>
      <c r="T48" s="75"/>
      <c r="U48" s="75"/>
      <c r="V48" s="75"/>
    </row>
    <row r="49" spans="1:23" s="217" customFormat="1" ht="98.25" customHeight="1">
      <c r="A49" s="7"/>
      <c r="B49" s="10" t="s">
        <v>624</v>
      </c>
      <c r="C49" s="218" t="s">
        <v>612</v>
      </c>
      <c r="D49" s="218" t="s">
        <v>613</v>
      </c>
      <c r="E49" s="218" t="s">
        <v>614</v>
      </c>
      <c r="F49" s="211"/>
      <c r="G49" s="364"/>
      <c r="H49" s="9"/>
      <c r="I49" s="9"/>
      <c r="J49" s="9"/>
      <c r="K49" s="9"/>
      <c r="L49" s="9"/>
      <c r="M49" s="9"/>
      <c r="N49" s="9"/>
      <c r="O49" s="74"/>
      <c r="P49" s="74"/>
      <c r="Q49" s="74"/>
      <c r="R49" s="74"/>
      <c r="S49" s="7"/>
      <c r="T49" s="7"/>
      <c r="U49" s="7"/>
      <c r="V49" s="7"/>
      <c r="W49" s="7"/>
    </row>
    <row r="50" spans="1:23" s="217" customFormat="1" ht="81.75" customHeight="1">
      <c r="A50" s="7"/>
      <c r="B50" s="10" t="s">
        <v>571</v>
      </c>
      <c r="C50" s="218" t="s">
        <v>615</v>
      </c>
      <c r="D50" s="218" t="s">
        <v>616</v>
      </c>
      <c r="E50" s="218" t="s">
        <v>617</v>
      </c>
      <c r="F50" s="211"/>
      <c r="G50" s="364"/>
      <c r="H50" s="9"/>
      <c r="I50" s="9"/>
      <c r="J50" s="9"/>
      <c r="K50" s="9"/>
      <c r="L50" s="9"/>
      <c r="M50" s="9"/>
      <c r="N50" s="9"/>
      <c r="O50" s="74"/>
      <c r="P50" s="74"/>
      <c r="Q50" s="74"/>
      <c r="R50" s="74"/>
      <c r="S50" s="7"/>
      <c r="T50" s="7"/>
      <c r="U50" s="7"/>
      <c r="V50" s="7"/>
      <c r="W50" s="7"/>
    </row>
    <row r="51" spans="1:23" s="217" customFormat="1" ht="149.25" customHeight="1">
      <c r="A51" s="7"/>
      <c r="B51" s="10" t="s">
        <v>574</v>
      </c>
      <c r="C51" s="218" t="s">
        <v>618</v>
      </c>
      <c r="D51" s="218" t="s">
        <v>619</v>
      </c>
      <c r="E51" s="218" t="s">
        <v>620</v>
      </c>
      <c r="F51" s="216"/>
      <c r="G51" s="364"/>
      <c r="H51" s="9"/>
      <c r="I51" s="9"/>
      <c r="J51" s="9"/>
      <c r="K51" s="9"/>
      <c r="L51" s="9"/>
      <c r="M51" s="9"/>
      <c r="N51" s="9"/>
      <c r="O51" s="74"/>
      <c r="P51" s="74"/>
      <c r="Q51" s="74"/>
      <c r="R51" s="74"/>
      <c r="S51" s="7"/>
      <c r="T51" s="7"/>
      <c r="U51" s="7"/>
      <c r="V51" s="7"/>
      <c r="W51" s="7"/>
    </row>
    <row r="52" spans="1:23" s="217" customFormat="1" ht="180.75" customHeight="1">
      <c r="A52" s="7"/>
      <c r="B52" s="10" t="s">
        <v>579</v>
      </c>
      <c r="C52" s="218" t="s">
        <v>621</v>
      </c>
      <c r="D52" s="218" t="s">
        <v>622</v>
      </c>
      <c r="E52" s="218" t="s">
        <v>623</v>
      </c>
      <c r="F52" s="218"/>
      <c r="G52" s="364"/>
      <c r="H52" s="9"/>
      <c r="I52" s="9"/>
      <c r="J52" s="9"/>
      <c r="K52" s="9"/>
      <c r="L52" s="9"/>
      <c r="M52" s="9"/>
      <c r="N52" s="9"/>
      <c r="O52" s="74"/>
      <c r="P52" s="74"/>
      <c r="Q52" s="74"/>
      <c r="R52" s="74"/>
      <c r="S52" s="7"/>
      <c r="T52" s="7"/>
      <c r="U52" s="7"/>
      <c r="V52" s="7"/>
      <c r="W52" s="7"/>
    </row>
    <row r="53" spans="1:23" ht="14.25" customHeight="1">
      <c r="A53" s="7"/>
      <c r="B53" s="7"/>
      <c r="C53" s="9"/>
      <c r="D53" s="9"/>
      <c r="E53" s="9"/>
      <c r="F53" s="9"/>
      <c r="G53" s="9"/>
      <c r="H53" s="9"/>
      <c r="I53" s="9"/>
      <c r="J53" s="9"/>
      <c r="K53" s="9"/>
      <c r="L53" s="9"/>
      <c r="M53" s="9"/>
      <c r="N53" s="9"/>
      <c r="O53" s="9"/>
      <c r="P53" s="9"/>
      <c r="Q53" s="9"/>
      <c r="R53" s="9"/>
      <c r="S53" s="9"/>
      <c r="T53" s="9"/>
    </row>
    <row r="54" spans="1:23" ht="14.25" customHeight="1">
      <c r="A54" s="7"/>
      <c r="B54" s="283" t="s">
        <v>52</v>
      </c>
      <c r="C54" s="258"/>
      <c r="D54" s="258"/>
      <c r="E54" s="258"/>
      <c r="F54" s="258"/>
      <c r="G54" s="9"/>
      <c r="H54" s="9"/>
      <c r="I54" s="9"/>
      <c r="J54" s="9"/>
      <c r="K54" s="9"/>
      <c r="L54" s="9"/>
      <c r="M54" s="9"/>
      <c r="N54" s="9"/>
      <c r="O54" s="9"/>
      <c r="P54" s="9"/>
      <c r="Q54" s="9"/>
      <c r="R54" s="9"/>
      <c r="S54" s="9"/>
      <c r="T54" s="9"/>
    </row>
    <row r="55" spans="1:23" ht="59.25" customHeight="1">
      <c r="A55" s="7"/>
      <c r="B55" s="11" t="s">
        <v>53</v>
      </c>
      <c r="C55" s="284" t="s">
        <v>54</v>
      </c>
      <c r="D55" s="285"/>
      <c r="E55" s="285"/>
      <c r="F55" s="286"/>
      <c r="G55" s="100"/>
      <c r="H55" s="100"/>
      <c r="I55" s="100"/>
      <c r="J55" s="100"/>
      <c r="K55" s="100"/>
      <c r="L55" s="100"/>
      <c r="M55" s="100"/>
      <c r="N55" s="100"/>
      <c r="O55" s="100"/>
      <c r="P55" s="100"/>
      <c r="Q55" s="100"/>
      <c r="R55" s="100"/>
      <c r="S55" s="100"/>
      <c r="T55" s="100"/>
      <c r="U55" s="101"/>
    </row>
    <row r="56" spans="1:23" ht="84" customHeight="1">
      <c r="A56" s="7"/>
      <c r="B56" s="11" t="s">
        <v>55</v>
      </c>
      <c r="C56" s="287" t="s">
        <v>56</v>
      </c>
      <c r="D56" s="288"/>
      <c r="E56" s="288"/>
      <c r="F56" s="289"/>
      <c r="G56" s="102"/>
      <c r="H56" s="102"/>
      <c r="I56" s="102"/>
      <c r="J56" s="102"/>
      <c r="K56" s="102"/>
      <c r="L56" s="102"/>
      <c r="M56" s="102"/>
      <c r="N56" s="102"/>
      <c r="O56" s="102"/>
      <c r="P56" s="102"/>
      <c r="Q56" s="102"/>
      <c r="R56" s="102"/>
      <c r="S56" s="103"/>
      <c r="T56" s="103"/>
      <c r="U56" s="101"/>
    </row>
    <row r="57" spans="1:23" ht="78.95" customHeight="1">
      <c r="A57" s="7"/>
      <c r="B57" s="11" t="s">
        <v>57</v>
      </c>
      <c r="C57" s="290" t="s">
        <v>58</v>
      </c>
      <c r="D57" s="291"/>
      <c r="E57" s="291"/>
      <c r="F57" s="292"/>
      <c r="G57" s="100"/>
      <c r="H57" s="100"/>
      <c r="I57" s="100"/>
      <c r="J57" s="100"/>
      <c r="K57" s="100"/>
      <c r="L57" s="100"/>
      <c r="M57" s="100"/>
      <c r="N57" s="100"/>
      <c r="O57" s="100"/>
      <c r="P57" s="100"/>
      <c r="Q57" s="100"/>
      <c r="R57" s="100"/>
      <c r="S57" s="100"/>
      <c r="T57" s="100"/>
      <c r="U57" s="101"/>
    </row>
    <row r="58" spans="1:23" ht="14.25" customHeight="1">
      <c r="A58" s="7"/>
      <c r="B58" s="7"/>
      <c r="C58" s="103"/>
      <c r="D58" s="103"/>
      <c r="E58" s="103"/>
      <c r="F58" s="103"/>
      <c r="G58" s="9"/>
      <c r="H58" s="9"/>
      <c r="I58" s="9"/>
      <c r="J58" s="9"/>
      <c r="K58" s="9"/>
      <c r="L58" s="9"/>
      <c r="M58" s="9"/>
      <c r="N58" s="9"/>
      <c r="O58" s="9"/>
      <c r="P58" s="9"/>
      <c r="Q58" s="9"/>
      <c r="R58" s="9"/>
      <c r="S58" s="9"/>
      <c r="T58" s="9"/>
    </row>
    <row r="59" spans="1:23" ht="14.25" customHeight="1">
      <c r="A59" s="7"/>
      <c r="B59" s="7"/>
      <c r="C59" s="9"/>
      <c r="D59" s="9"/>
      <c r="E59" s="9"/>
      <c r="F59" s="9"/>
      <c r="G59" s="9"/>
      <c r="H59" s="9"/>
      <c r="I59" s="9"/>
      <c r="J59" s="9"/>
      <c r="K59" s="9"/>
      <c r="L59" s="9"/>
      <c r="M59" s="9"/>
      <c r="N59" s="9"/>
      <c r="O59" s="9"/>
      <c r="P59" s="9"/>
      <c r="Q59" s="9"/>
      <c r="R59" s="9"/>
      <c r="S59" s="9"/>
      <c r="T59" s="9"/>
    </row>
    <row r="60" spans="1:23" ht="14.25" customHeight="1">
      <c r="A60" s="7"/>
      <c r="B60" s="7"/>
      <c r="C60" s="9"/>
      <c r="D60" s="9"/>
      <c r="E60" s="9"/>
      <c r="F60" s="9"/>
      <c r="G60" s="9"/>
      <c r="H60" s="9"/>
      <c r="I60" s="9"/>
      <c r="J60" s="9"/>
      <c r="K60" s="9"/>
      <c r="L60" s="9"/>
      <c r="M60" s="9"/>
      <c r="N60" s="9"/>
      <c r="O60" s="9"/>
      <c r="P60" s="9"/>
      <c r="Q60" s="9"/>
      <c r="R60" s="9"/>
      <c r="S60" s="9"/>
      <c r="T60" s="9"/>
    </row>
    <row r="61" spans="1:23" ht="14.25" customHeight="1">
      <c r="A61" s="7"/>
      <c r="B61" s="7"/>
      <c r="C61" s="9"/>
      <c r="D61" s="9"/>
      <c r="E61" s="9"/>
      <c r="F61" s="9"/>
      <c r="G61" s="9"/>
      <c r="H61" s="9"/>
      <c r="I61" s="9"/>
      <c r="J61" s="9"/>
      <c r="K61" s="9"/>
      <c r="L61" s="9"/>
      <c r="M61" s="9"/>
      <c r="N61" s="9"/>
      <c r="O61" s="9"/>
      <c r="P61" s="9"/>
      <c r="Q61" s="9"/>
      <c r="R61" s="9"/>
      <c r="S61" s="9"/>
      <c r="T61" s="9"/>
    </row>
    <row r="62" spans="1:23" ht="14.25" customHeight="1">
      <c r="A62" s="7"/>
      <c r="B62" s="7"/>
      <c r="C62" s="9"/>
      <c r="D62" s="9"/>
      <c r="E62" s="9"/>
      <c r="F62" s="9"/>
      <c r="G62" s="9"/>
      <c r="H62" s="9"/>
      <c r="I62" s="9"/>
      <c r="J62" s="9"/>
      <c r="K62" s="9"/>
      <c r="L62" s="9"/>
      <c r="M62" s="9"/>
      <c r="N62" s="9"/>
      <c r="O62" s="9"/>
      <c r="P62" s="9"/>
      <c r="Q62" s="9"/>
      <c r="R62" s="9"/>
      <c r="S62" s="9"/>
      <c r="T62" s="9"/>
    </row>
    <row r="63" spans="1:23" ht="14.25" customHeight="1">
      <c r="A63" s="7"/>
      <c r="B63" s="7"/>
      <c r="C63" s="9"/>
      <c r="D63" s="9"/>
      <c r="E63" s="9"/>
      <c r="F63" s="9"/>
      <c r="G63" s="9"/>
      <c r="H63" s="9"/>
      <c r="I63" s="9"/>
      <c r="J63" s="9"/>
      <c r="K63" s="9"/>
      <c r="L63" s="9"/>
      <c r="M63" s="9"/>
      <c r="N63" s="9"/>
      <c r="O63" s="9"/>
      <c r="P63" s="9"/>
      <c r="Q63" s="9"/>
      <c r="R63" s="9"/>
      <c r="S63" s="9"/>
      <c r="T63" s="9"/>
    </row>
    <row r="64" spans="1:23" ht="14.25" customHeight="1">
      <c r="A64" s="7"/>
      <c r="B64" s="7"/>
      <c r="C64" s="9"/>
      <c r="D64" s="9"/>
      <c r="E64" s="9"/>
      <c r="F64" s="9"/>
      <c r="G64" s="9"/>
      <c r="H64" s="9"/>
      <c r="I64" s="9"/>
      <c r="J64" s="9"/>
      <c r="K64" s="9"/>
      <c r="L64" s="9"/>
      <c r="M64" s="9"/>
      <c r="N64" s="9"/>
      <c r="O64" s="9"/>
      <c r="P64" s="9"/>
      <c r="Q64" s="9"/>
      <c r="R64" s="9"/>
      <c r="S64" s="9"/>
      <c r="T64" s="9"/>
    </row>
    <row r="65" spans="1:20" ht="14.25" customHeight="1">
      <c r="A65" s="7"/>
      <c r="B65" s="7"/>
      <c r="C65" s="9"/>
      <c r="D65" s="9"/>
      <c r="E65" s="9"/>
      <c r="F65" s="9"/>
      <c r="G65" s="9"/>
      <c r="H65" s="9"/>
      <c r="I65" s="9"/>
      <c r="J65" s="9"/>
      <c r="K65" s="9"/>
      <c r="L65" s="9"/>
      <c r="M65" s="9"/>
      <c r="N65" s="9"/>
      <c r="O65" s="9"/>
      <c r="P65" s="9"/>
      <c r="Q65" s="9"/>
      <c r="R65" s="9"/>
      <c r="S65" s="9"/>
      <c r="T65" s="9"/>
    </row>
    <row r="66" spans="1:20" ht="14.25" customHeight="1">
      <c r="A66" s="7"/>
      <c r="B66" s="7"/>
    </row>
    <row r="67" spans="1:20" ht="14.25" customHeight="1">
      <c r="A67" s="7"/>
      <c r="B67" s="7"/>
    </row>
    <row r="68" spans="1:20" ht="14.25" customHeight="1">
      <c r="A68" s="7"/>
      <c r="B68" s="7"/>
    </row>
    <row r="69" spans="1:20" ht="14.25" customHeight="1">
      <c r="A69" s="7"/>
      <c r="B69" s="7"/>
    </row>
    <row r="70" spans="1:20" ht="14.25" customHeight="1">
      <c r="A70" s="7"/>
      <c r="B70" s="7"/>
    </row>
    <row r="71" spans="1:20" ht="14.25" customHeight="1">
      <c r="A71" s="7"/>
      <c r="B71" s="7"/>
    </row>
    <row r="72" spans="1:20" ht="14.25" customHeight="1">
      <c r="A72" s="7"/>
      <c r="B72" s="7"/>
    </row>
    <row r="73" spans="1:20" ht="14.25" customHeight="1">
      <c r="A73" s="7"/>
      <c r="B73" s="7"/>
    </row>
    <row r="74" spans="1:20" ht="14.25" customHeight="1">
      <c r="A74" s="7"/>
      <c r="B74" s="7"/>
    </row>
    <row r="75" spans="1:20" ht="14.25" customHeight="1">
      <c r="A75" s="7"/>
      <c r="B75" s="7"/>
    </row>
    <row r="76" spans="1:20" ht="14.25" customHeight="1">
      <c r="A76" s="7"/>
      <c r="B76" s="7"/>
    </row>
    <row r="77" spans="1:20" ht="14.25" customHeight="1">
      <c r="A77" s="7"/>
      <c r="B77" s="7"/>
    </row>
    <row r="78" spans="1:20" ht="14.25" customHeight="1">
      <c r="A78" s="7"/>
      <c r="B78" s="7"/>
    </row>
    <row r="79" spans="1:20" ht="14.25" customHeight="1">
      <c r="A79" s="7"/>
      <c r="B79" s="7"/>
    </row>
    <row r="80" spans="1:20"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row r="999" spans="1:2" ht="14.25" customHeight="1">
      <c r="A999" s="7"/>
      <c r="B999" s="7"/>
    </row>
    <row r="1000" spans="1:2" ht="14.25" customHeight="1">
      <c r="A1000" s="7"/>
      <c r="B1000" s="7"/>
    </row>
    <row r="1001" spans="1:2" ht="14.25" customHeight="1">
      <c r="A1001" s="7"/>
      <c r="B1001" s="7"/>
    </row>
  </sheetData>
  <mergeCells count="8">
    <mergeCell ref="C56:F56"/>
    <mergeCell ref="C57:F57"/>
    <mergeCell ref="B1:B4"/>
    <mergeCell ref="C1:E4"/>
    <mergeCell ref="C5:F5"/>
    <mergeCell ref="C6:F6"/>
    <mergeCell ref="B54:F54"/>
    <mergeCell ref="C55:F55"/>
  </mergeCells>
  <pageMargins left="0.7" right="0.7" top="0.75" bottom="0.75" header="0" footer="0"/>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33"/>
      <c r="C1" s="334" t="s">
        <v>8</v>
      </c>
      <c r="D1" s="334"/>
      <c r="E1" s="26" t="s">
        <v>155</v>
      </c>
    </row>
    <row r="2" spans="1:5" s="27" customFormat="1" ht="19.350000000000001" customHeight="1">
      <c r="A2" s="25"/>
      <c r="B2" s="333"/>
      <c r="C2" s="334"/>
      <c r="D2" s="334"/>
      <c r="E2" s="107" t="s">
        <v>9</v>
      </c>
    </row>
    <row r="3" spans="1:5" s="27" customFormat="1" ht="19.350000000000001" customHeight="1">
      <c r="A3" s="25"/>
      <c r="B3" s="333"/>
      <c r="C3" s="334"/>
      <c r="D3" s="334"/>
      <c r="E3" s="107" t="s">
        <v>10</v>
      </c>
    </row>
    <row r="4" spans="1:5" s="27" customFormat="1" ht="19.350000000000001" customHeight="1">
      <c r="A4" s="25"/>
      <c r="B4" s="333"/>
      <c r="C4" s="334"/>
      <c r="D4" s="334"/>
      <c r="E4" s="107" t="s">
        <v>11</v>
      </c>
    </row>
    <row r="5" spans="1:5" ht="14.45" customHeight="1">
      <c r="B5" s="29" t="s">
        <v>12</v>
      </c>
      <c r="C5" s="335"/>
      <c r="D5" s="336"/>
      <c r="E5" s="337"/>
    </row>
    <row r="6" spans="1:5" ht="14.45" customHeight="1">
      <c r="B6" s="31" t="s">
        <v>13</v>
      </c>
      <c r="C6" s="338" t="s">
        <v>206</v>
      </c>
      <c r="D6" s="339"/>
      <c r="E6" s="340"/>
    </row>
    <row r="7" spans="1:5" ht="15.75">
      <c r="B7" s="31" t="s">
        <v>15</v>
      </c>
      <c r="C7" s="32" t="s">
        <v>223</v>
      </c>
      <c r="D7" s="341" t="s">
        <v>224</v>
      </c>
      <c r="E7" s="342"/>
    </row>
    <row r="8" spans="1:5" ht="15.75">
      <c r="B8" s="31" t="s">
        <v>16</v>
      </c>
      <c r="C8" s="126" t="s">
        <v>225</v>
      </c>
      <c r="D8" s="343" t="s">
        <v>313</v>
      </c>
      <c r="E8" s="344"/>
    </row>
    <row r="9" spans="1:5" ht="15.75">
      <c r="B9" s="31" t="s">
        <v>17</v>
      </c>
      <c r="C9" s="33" t="s">
        <v>313</v>
      </c>
      <c r="D9" s="345" t="s">
        <v>241</v>
      </c>
      <c r="E9" s="346"/>
    </row>
    <row r="10" spans="1:5" s="36" customFormat="1" ht="20.45" customHeight="1">
      <c r="A10" s="34"/>
      <c r="B10" s="35" t="s">
        <v>18</v>
      </c>
      <c r="C10" s="29"/>
      <c r="D10" s="347"/>
      <c r="E10" s="348"/>
    </row>
    <row r="11" spans="1:5" s="36" customFormat="1" ht="98.25" customHeight="1">
      <c r="A11" s="34"/>
      <c r="B11" s="31" t="s">
        <v>19</v>
      </c>
      <c r="C11" s="142" t="s">
        <v>209</v>
      </c>
      <c r="D11" s="349" t="s">
        <v>210</v>
      </c>
      <c r="E11" s="350"/>
    </row>
    <row r="12" spans="1:5" ht="226.5" customHeight="1">
      <c r="B12" s="327" t="s">
        <v>20</v>
      </c>
      <c r="C12" s="321" t="s">
        <v>211</v>
      </c>
      <c r="D12" s="323" t="s">
        <v>212</v>
      </c>
      <c r="E12" s="324"/>
    </row>
    <row r="13" spans="1:5" ht="54" hidden="1" customHeight="1">
      <c r="B13" s="328"/>
      <c r="C13" s="322"/>
      <c r="D13" s="325"/>
      <c r="E13" s="326"/>
    </row>
    <row r="14" spans="1:5" s="39" customFormat="1" ht="15.75">
      <c r="A14" s="37"/>
      <c r="B14" s="38" t="s">
        <v>21</v>
      </c>
      <c r="C14" s="16" t="s">
        <v>22</v>
      </c>
      <c r="D14" s="329" t="s">
        <v>22</v>
      </c>
      <c r="E14" s="330"/>
    </row>
    <row r="15" spans="1:5" s="39" customFormat="1" ht="31.5">
      <c r="A15" s="37"/>
      <c r="B15" s="38" t="s">
        <v>23</v>
      </c>
      <c r="C15" s="16" t="s">
        <v>22</v>
      </c>
      <c r="D15" s="329" t="s">
        <v>22</v>
      </c>
      <c r="E15" s="330"/>
    </row>
    <row r="16" spans="1:5" ht="21" customHeight="1">
      <c r="B16" s="40" t="s">
        <v>24</v>
      </c>
      <c r="C16" s="41"/>
      <c r="D16" s="351"/>
      <c r="E16" s="352"/>
    </row>
    <row r="17" spans="1:21" ht="112.5" customHeight="1">
      <c r="B17" s="10" t="s">
        <v>115</v>
      </c>
      <c r="C17" s="143" t="s">
        <v>214</v>
      </c>
      <c r="D17" s="353" t="s">
        <v>215</v>
      </c>
      <c r="E17" s="354"/>
    </row>
    <row r="18" spans="1:21" ht="15.75">
      <c r="B18" s="31" t="s">
        <v>25</v>
      </c>
      <c r="C18" s="42"/>
      <c r="D18" s="319"/>
      <c r="E18" s="352"/>
    </row>
    <row r="19" spans="1:21" s="112" customFormat="1" ht="24" customHeight="1">
      <c r="A19" s="7"/>
      <c r="B19" s="93" t="s">
        <v>100</v>
      </c>
      <c r="C19" s="127">
        <v>2</v>
      </c>
      <c r="D19" s="355">
        <v>2</v>
      </c>
      <c r="E19" s="356"/>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331">
        <v>3</v>
      </c>
      <c r="E20" s="332"/>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331">
        <v>3</v>
      </c>
      <c r="E21" s="332"/>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331">
        <v>3</v>
      </c>
      <c r="E22" s="332"/>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331">
        <v>3</v>
      </c>
      <c r="E23" s="332"/>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331">
        <v>3</v>
      </c>
      <c r="E24" s="332"/>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331">
        <v>3</v>
      </c>
      <c r="E25" s="332"/>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331">
        <v>2</v>
      </c>
      <c r="E26" s="332"/>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331">
        <v>3</v>
      </c>
      <c r="E27" s="332"/>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331">
        <v>2</v>
      </c>
      <c r="E28" s="332"/>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331">
        <v>3</v>
      </c>
      <c r="E29" s="331"/>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331">
        <v>2</v>
      </c>
      <c r="E30" s="332"/>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331">
        <v>2</v>
      </c>
      <c r="E31" s="332"/>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331">
        <v>3</v>
      </c>
      <c r="E32" s="332"/>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331">
        <v>3</v>
      </c>
      <c r="E33" s="332"/>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331">
        <v>3</v>
      </c>
      <c r="E34" s="332"/>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357">
        <v>3</v>
      </c>
      <c r="E35" s="357"/>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9">
        <v>2</v>
      </c>
      <c r="E36" s="360"/>
    </row>
    <row r="37" spans="1:21" ht="17.45" customHeight="1">
      <c r="B37" s="40" t="s">
        <v>26</v>
      </c>
      <c r="C37" s="41"/>
      <c r="D37" s="129"/>
      <c r="E37" s="117"/>
    </row>
    <row r="38" spans="1:21" ht="29.25" customHeight="1">
      <c r="B38" s="31" t="s">
        <v>27</v>
      </c>
      <c r="C38" s="77" t="s">
        <v>28</v>
      </c>
      <c r="D38" s="309" t="s">
        <v>28</v>
      </c>
      <c r="E38" s="358"/>
    </row>
    <row r="39" spans="1:21" ht="15.75" customHeight="1">
      <c r="B39" s="31" t="s">
        <v>29</v>
      </c>
      <c r="C39" s="113" t="s">
        <v>30</v>
      </c>
      <c r="D39" s="309" t="s">
        <v>30</v>
      </c>
      <c r="E39" s="310"/>
    </row>
    <row r="40" spans="1:21" ht="17.45" customHeight="1">
      <c r="B40" s="31" t="s">
        <v>31</v>
      </c>
      <c r="C40" s="113" t="s">
        <v>32</v>
      </c>
      <c r="D40" s="309" t="s">
        <v>32</v>
      </c>
      <c r="E40" s="310"/>
    </row>
    <row r="41" spans="1:21" ht="15.75">
      <c r="B41" s="31" t="s">
        <v>33</v>
      </c>
      <c r="C41" s="113" t="s">
        <v>35</v>
      </c>
      <c r="D41" s="311" t="s">
        <v>213</v>
      </c>
      <c r="E41" s="312"/>
    </row>
    <row r="42" spans="1:21" ht="15.75">
      <c r="B42" s="31" t="s">
        <v>38</v>
      </c>
      <c r="C42" s="121"/>
      <c r="D42" s="309"/>
      <c r="E42" s="310"/>
    </row>
    <row r="43" spans="1:21" ht="15.75" customHeight="1">
      <c r="B43" s="31" t="s">
        <v>42</v>
      </c>
      <c r="C43" s="113" t="s">
        <v>68</v>
      </c>
      <c r="D43" s="309" t="s">
        <v>69</v>
      </c>
      <c r="E43" s="310"/>
    </row>
    <row r="44" spans="1:21" ht="15.75">
      <c r="B44" s="40" t="s">
        <v>46</v>
      </c>
      <c r="C44" s="120"/>
      <c r="D44" s="313"/>
      <c r="E44" s="314"/>
    </row>
    <row r="45" spans="1:21" ht="15.75">
      <c r="B45" s="31" t="s">
        <v>47</v>
      </c>
      <c r="C45" s="121"/>
      <c r="D45" s="309"/>
      <c r="E45" s="310"/>
    </row>
    <row r="46" spans="1:21" s="47" customFormat="1" ht="66.75" customHeight="1">
      <c r="A46" s="46"/>
      <c r="B46" s="31" t="s">
        <v>48</v>
      </c>
      <c r="C46" s="113" t="s">
        <v>217</v>
      </c>
      <c r="D46" s="317" t="s">
        <v>218</v>
      </c>
      <c r="E46" s="318"/>
    </row>
    <row r="47" spans="1:21" s="47" customFormat="1" ht="63">
      <c r="A47" s="46"/>
      <c r="B47" s="31" t="s">
        <v>49</v>
      </c>
      <c r="C47" s="121" t="s">
        <v>219</v>
      </c>
      <c r="D47" s="319" t="s">
        <v>220</v>
      </c>
      <c r="E47" s="320"/>
    </row>
    <row r="48" spans="1:21" ht="20.45" customHeight="1">
      <c r="B48" s="48" t="s">
        <v>50</v>
      </c>
      <c r="C48" s="120"/>
      <c r="D48" s="120"/>
      <c r="E48" s="131"/>
    </row>
    <row r="49" spans="2:19" ht="94.5" customHeight="1">
      <c r="B49" s="31" t="s">
        <v>51</v>
      </c>
      <c r="C49" s="144" t="s">
        <v>216</v>
      </c>
      <c r="D49" s="315" t="s">
        <v>309</v>
      </c>
      <c r="E49" s="316"/>
    </row>
    <row r="50" spans="2:19">
      <c r="C50" s="130"/>
      <c r="D50" s="303"/>
      <c r="E50" s="304"/>
    </row>
    <row r="51" spans="2:19">
      <c r="B51" s="118" t="s">
        <v>52</v>
      </c>
      <c r="C51" s="119"/>
      <c r="D51" s="303"/>
      <c r="E51" s="304"/>
    </row>
    <row r="52" spans="2:19" ht="59.45" customHeight="1">
      <c r="B52" s="81" t="s">
        <v>53</v>
      </c>
      <c r="C52" s="132" t="s">
        <v>54</v>
      </c>
      <c r="D52" s="305"/>
      <c r="E52" s="306"/>
      <c r="F52" s="100"/>
      <c r="G52" s="100"/>
      <c r="H52" s="100"/>
      <c r="I52" s="100"/>
      <c r="J52" s="100"/>
      <c r="K52" s="100"/>
      <c r="L52" s="100"/>
      <c r="M52" s="100"/>
      <c r="N52" s="100"/>
      <c r="O52" s="100"/>
      <c r="P52" s="100"/>
      <c r="Q52" s="100"/>
      <c r="R52" s="100"/>
      <c r="S52" s="100"/>
    </row>
    <row r="53" spans="2:19" ht="59.45" customHeight="1">
      <c r="B53" s="43" t="s">
        <v>55</v>
      </c>
      <c r="C53" s="116" t="s">
        <v>56</v>
      </c>
      <c r="D53" s="307"/>
      <c r="E53" s="308"/>
      <c r="F53" s="100"/>
      <c r="G53" s="100"/>
      <c r="H53" s="100"/>
      <c r="I53" s="100"/>
      <c r="J53" s="100"/>
      <c r="K53" s="100"/>
      <c r="L53" s="100"/>
      <c r="M53" s="100"/>
      <c r="N53" s="100"/>
      <c r="O53" s="100"/>
      <c r="P53" s="100"/>
      <c r="Q53" s="100"/>
      <c r="R53" s="100"/>
      <c r="S53" s="100"/>
    </row>
    <row r="54" spans="2:19" ht="59.45" customHeight="1">
      <c r="B54" s="43" t="s">
        <v>57</v>
      </c>
      <c r="C54" s="115" t="s">
        <v>58</v>
      </c>
      <c r="D54" s="307"/>
      <c r="E54" s="308"/>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1001"/>
  <sheetViews>
    <sheetView tabSelected="1" topLeftCell="A49" zoomScale="70" zoomScaleNormal="70" workbookViewId="0">
      <selection activeCell="A48" sqref="A48:XFD52"/>
    </sheetView>
  </sheetViews>
  <sheetFormatPr defaultColWidth="14.42578125" defaultRowHeight="15" customHeight="1"/>
  <cols>
    <col min="1" max="1" width="12.42578125" style="51" customWidth="1"/>
    <col min="2" max="2" width="75.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9"/>
      <c r="C1" s="225" t="s">
        <v>8</v>
      </c>
      <c r="D1" s="295"/>
      <c r="E1" s="296"/>
      <c r="F1" s="5" t="s">
        <v>421</v>
      </c>
      <c r="G1" s="6"/>
      <c r="H1" s="6"/>
      <c r="I1" s="6"/>
      <c r="J1" s="6"/>
      <c r="K1" s="6"/>
      <c r="L1" s="6"/>
      <c r="M1" s="6"/>
      <c r="N1" s="6"/>
      <c r="O1" s="6"/>
      <c r="P1" s="6"/>
      <c r="Q1" s="6"/>
      <c r="R1" s="6"/>
      <c r="S1" s="6"/>
      <c r="T1" s="6"/>
      <c r="U1" s="6"/>
      <c r="V1" s="6"/>
      <c r="W1" s="6"/>
      <c r="X1" s="6"/>
      <c r="Y1" s="6"/>
    </row>
    <row r="2" spans="1:25" ht="18.75" customHeight="1">
      <c r="A2" s="4"/>
      <c r="B2" s="250"/>
      <c r="C2" s="297"/>
      <c r="D2" s="298"/>
      <c r="E2" s="299"/>
      <c r="F2" s="106" t="s">
        <v>9</v>
      </c>
      <c r="G2" s="6"/>
      <c r="H2" s="6"/>
      <c r="I2" s="6"/>
      <c r="J2" s="6"/>
      <c r="K2" s="6"/>
      <c r="L2" s="6"/>
      <c r="M2" s="6"/>
      <c r="N2" s="6"/>
      <c r="O2" s="6"/>
      <c r="P2" s="6"/>
      <c r="Q2" s="6"/>
      <c r="R2" s="6"/>
      <c r="S2" s="6"/>
      <c r="T2" s="6"/>
      <c r="U2" s="6"/>
      <c r="V2" s="6"/>
      <c r="W2" s="6"/>
      <c r="X2" s="6"/>
      <c r="Y2" s="6"/>
    </row>
    <row r="3" spans="1:25" ht="18.75" customHeight="1">
      <c r="A3" s="4"/>
      <c r="B3" s="250"/>
      <c r="C3" s="297"/>
      <c r="D3" s="298"/>
      <c r="E3" s="299"/>
      <c r="F3" s="106" t="s">
        <v>10</v>
      </c>
      <c r="G3" s="6"/>
      <c r="H3" s="6"/>
      <c r="I3" s="6"/>
      <c r="J3" s="6"/>
      <c r="K3" s="6"/>
      <c r="L3" s="6"/>
      <c r="M3" s="6"/>
      <c r="N3" s="6"/>
      <c r="O3" s="6"/>
      <c r="P3" s="6"/>
      <c r="Q3" s="6"/>
      <c r="R3" s="6"/>
      <c r="S3" s="6"/>
      <c r="T3" s="6"/>
      <c r="U3" s="6"/>
      <c r="V3" s="6"/>
      <c r="W3" s="6"/>
      <c r="X3" s="6"/>
      <c r="Y3" s="6"/>
    </row>
    <row r="4" spans="1:25" ht="14.1" customHeight="1">
      <c r="A4" s="4"/>
      <c r="B4" s="251"/>
      <c r="C4" s="300"/>
      <c r="D4" s="301"/>
      <c r="E4" s="302"/>
      <c r="F4" s="106" t="s">
        <v>11</v>
      </c>
      <c r="G4" s="6"/>
      <c r="H4" s="6"/>
      <c r="I4" s="6"/>
      <c r="J4" s="6"/>
      <c r="K4" s="6"/>
      <c r="L4" s="6"/>
      <c r="M4" s="6"/>
      <c r="N4" s="6"/>
      <c r="O4" s="6"/>
      <c r="P4" s="6"/>
      <c r="Q4" s="6"/>
      <c r="R4" s="6"/>
      <c r="S4" s="6"/>
      <c r="T4" s="6"/>
      <c r="U4" s="6"/>
      <c r="V4" s="6"/>
      <c r="W4" s="6"/>
      <c r="X4" s="6"/>
      <c r="Y4" s="6"/>
    </row>
    <row r="5" spans="1:25" ht="14.25" customHeight="1">
      <c r="A5" s="7"/>
      <c r="B5" s="8" t="s">
        <v>12</v>
      </c>
      <c r="C5" s="234"/>
      <c r="D5" s="293"/>
      <c r="E5" s="293"/>
      <c r="F5" s="261"/>
      <c r="G5" s="9"/>
      <c r="H5" s="9"/>
      <c r="I5" s="9"/>
      <c r="J5" s="9"/>
      <c r="K5" s="9"/>
      <c r="L5" s="9"/>
      <c r="M5" s="9"/>
      <c r="N5" s="9"/>
      <c r="O5" s="9"/>
      <c r="P5" s="9"/>
      <c r="Q5" s="9"/>
      <c r="R5" s="9"/>
      <c r="S5" s="9"/>
      <c r="T5" s="9"/>
      <c r="U5" s="9"/>
      <c r="V5" s="9"/>
      <c r="W5" s="9"/>
      <c r="X5" s="9"/>
      <c r="Y5" s="9"/>
    </row>
    <row r="6" spans="1:25" ht="25.7" customHeight="1">
      <c r="A6" s="7"/>
      <c r="B6" s="10" t="s">
        <v>13</v>
      </c>
      <c r="C6" s="237" t="s">
        <v>206</v>
      </c>
      <c r="D6" s="294"/>
      <c r="E6" s="294"/>
      <c r="F6" s="261"/>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389</v>
      </c>
      <c r="F7" s="11" t="s">
        <v>390</v>
      </c>
      <c r="G7" s="9"/>
      <c r="H7" s="9"/>
      <c r="I7" s="9"/>
      <c r="J7" s="9"/>
      <c r="K7" s="9"/>
      <c r="L7" s="9"/>
      <c r="M7" s="9"/>
      <c r="N7" s="9"/>
      <c r="O7" s="9"/>
      <c r="P7" s="9"/>
      <c r="Q7" s="9"/>
      <c r="R7" s="9"/>
      <c r="S7" s="9"/>
      <c r="T7" s="9"/>
      <c r="U7" s="9"/>
      <c r="V7" s="9"/>
      <c r="W7" s="9"/>
      <c r="X7" s="9"/>
      <c r="Y7" s="9"/>
    </row>
    <row r="8" spans="1:25" ht="14.25" customHeight="1">
      <c r="A8" s="7"/>
      <c r="B8" s="10" t="s">
        <v>16</v>
      </c>
      <c r="C8" s="11" t="s">
        <v>391</v>
      </c>
      <c r="D8" s="194" t="s">
        <v>225</v>
      </c>
      <c r="E8" s="11" t="s">
        <v>226</v>
      </c>
      <c r="F8" s="11" t="s">
        <v>392</v>
      </c>
      <c r="G8" s="9"/>
      <c r="H8" s="9"/>
      <c r="I8" s="9"/>
      <c r="J8" s="9"/>
      <c r="K8" s="9"/>
      <c r="L8" s="9"/>
      <c r="M8" s="9"/>
      <c r="N8" s="9"/>
      <c r="O8" s="9"/>
      <c r="P8" s="9"/>
      <c r="Q8" s="9"/>
      <c r="R8" s="9"/>
      <c r="S8" s="9"/>
      <c r="T8" s="9"/>
      <c r="U8" s="9"/>
      <c r="V8" s="9"/>
      <c r="W8" s="9"/>
      <c r="X8" s="9"/>
      <c r="Y8" s="9"/>
    </row>
    <row r="9" spans="1:25" ht="14.25" customHeight="1">
      <c r="A9" s="7"/>
      <c r="B9" s="10" t="s">
        <v>17</v>
      </c>
      <c r="C9" s="194" t="s">
        <v>225</v>
      </c>
      <c r="D9" s="11" t="s">
        <v>226</v>
      </c>
      <c r="E9" s="11" t="s">
        <v>392</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397</v>
      </c>
      <c r="D11" s="177" t="s">
        <v>398</v>
      </c>
      <c r="E11" s="177" t="s">
        <v>399</v>
      </c>
      <c r="F11" s="190" t="s">
        <v>400</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401</v>
      </c>
      <c r="D12" s="180" t="s">
        <v>402</v>
      </c>
      <c r="E12" s="180" t="s">
        <v>403</v>
      </c>
      <c r="F12" s="195" t="s">
        <v>404</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331</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410</v>
      </c>
      <c r="D17" s="15" t="s">
        <v>411</v>
      </c>
      <c r="E17" s="15" t="s">
        <v>412</v>
      </c>
      <c r="F17" s="15" t="s">
        <v>413</v>
      </c>
    </row>
    <row r="18" spans="1:22" ht="14.25" customHeight="1">
      <c r="A18" s="7"/>
      <c r="B18" s="10" t="s">
        <v>25</v>
      </c>
      <c r="C18" s="19"/>
      <c r="D18" s="19"/>
      <c r="E18" s="19"/>
      <c r="F18" s="19"/>
    </row>
    <row r="19" spans="1:22" s="181" customFormat="1" ht="24" customHeight="1">
      <c r="A19" s="7"/>
      <c r="B19" s="211" t="s">
        <v>512</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513</v>
      </c>
      <c r="C20" s="183">
        <v>2</v>
      </c>
      <c r="D20" s="183">
        <v>2</v>
      </c>
      <c r="E20" s="183">
        <v>3</v>
      </c>
      <c r="F20" s="183">
        <v>3</v>
      </c>
      <c r="G20" s="74"/>
      <c r="H20" s="74"/>
      <c r="I20" s="74"/>
      <c r="J20" s="74"/>
      <c r="K20" s="74"/>
      <c r="L20" s="74"/>
      <c r="M20" s="74"/>
      <c r="N20" s="74"/>
      <c r="O20" s="74"/>
      <c r="P20" s="74"/>
      <c r="Q20" s="74"/>
      <c r="R20" s="7"/>
      <c r="S20" s="7"/>
      <c r="T20" s="7"/>
      <c r="U20" s="7"/>
      <c r="V20" s="7"/>
    </row>
    <row r="21" spans="1:22" s="181" customFormat="1" ht="24" customHeight="1">
      <c r="A21" s="7"/>
      <c r="B21" s="211" t="s">
        <v>514</v>
      </c>
      <c r="C21" s="183">
        <v>2</v>
      </c>
      <c r="D21" s="183">
        <v>2</v>
      </c>
      <c r="E21" s="183">
        <v>3</v>
      </c>
      <c r="F21" s="183">
        <v>3</v>
      </c>
      <c r="G21" s="74"/>
      <c r="H21" s="74"/>
      <c r="I21" s="74"/>
      <c r="J21" s="74"/>
      <c r="K21" s="74"/>
      <c r="L21" s="74"/>
      <c r="M21" s="74"/>
      <c r="N21" s="74"/>
      <c r="O21" s="74"/>
      <c r="P21" s="74"/>
      <c r="Q21" s="74"/>
      <c r="R21" s="7"/>
      <c r="S21" s="7"/>
      <c r="T21" s="7"/>
      <c r="U21" s="7"/>
      <c r="V21" s="7"/>
    </row>
    <row r="22" spans="1:22" s="181" customFormat="1" ht="24" customHeight="1">
      <c r="A22" s="7"/>
      <c r="B22" s="211" t="s">
        <v>515</v>
      </c>
      <c r="C22" s="183">
        <v>1</v>
      </c>
      <c r="D22" s="183">
        <v>2</v>
      </c>
      <c r="E22" s="183">
        <v>3</v>
      </c>
      <c r="F22" s="183">
        <v>3</v>
      </c>
      <c r="G22" s="74"/>
      <c r="H22" s="74"/>
      <c r="I22" s="74"/>
      <c r="J22" s="74"/>
      <c r="K22" s="74"/>
      <c r="L22" s="74"/>
      <c r="M22" s="74"/>
      <c r="N22" s="74"/>
      <c r="O22" s="74"/>
      <c r="P22" s="74"/>
      <c r="Q22" s="74"/>
      <c r="R22" s="7"/>
      <c r="S22" s="7"/>
      <c r="T22" s="7"/>
      <c r="U22" s="7"/>
      <c r="V22" s="7"/>
    </row>
    <row r="23" spans="1:22" s="181" customFormat="1" ht="24" customHeight="1">
      <c r="A23" s="7"/>
      <c r="B23" s="211" t="s">
        <v>516</v>
      </c>
      <c r="C23" s="183">
        <v>1</v>
      </c>
      <c r="D23" s="183">
        <v>2</v>
      </c>
      <c r="E23" s="183">
        <v>3</v>
      </c>
      <c r="F23" s="183">
        <v>3</v>
      </c>
      <c r="G23" s="74"/>
      <c r="H23" s="74"/>
      <c r="I23" s="74"/>
      <c r="J23" s="74"/>
      <c r="K23" s="74"/>
      <c r="L23" s="74"/>
      <c r="M23" s="74"/>
      <c r="N23" s="74"/>
      <c r="O23" s="74"/>
      <c r="P23" s="74"/>
      <c r="Q23" s="74"/>
      <c r="R23" s="7"/>
      <c r="S23" s="7"/>
      <c r="T23" s="7"/>
      <c r="U23" s="7"/>
      <c r="V23" s="7"/>
    </row>
    <row r="24" spans="1:22" s="181" customFormat="1" ht="24" customHeight="1">
      <c r="A24" s="7"/>
      <c r="B24" s="211" t="s">
        <v>517</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518</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24" customHeight="1">
      <c r="A26" s="7"/>
      <c r="B26" s="211" t="s">
        <v>519</v>
      </c>
      <c r="C26" s="183">
        <v>1</v>
      </c>
      <c r="D26" s="183">
        <v>2</v>
      </c>
      <c r="E26" s="183">
        <v>2</v>
      </c>
      <c r="F26" s="183">
        <v>3</v>
      </c>
      <c r="G26" s="74"/>
      <c r="H26" s="74"/>
      <c r="I26" s="74"/>
      <c r="J26" s="74"/>
      <c r="K26" s="74"/>
      <c r="L26" s="74"/>
      <c r="M26" s="74"/>
      <c r="N26" s="74"/>
      <c r="O26" s="74"/>
      <c r="P26" s="74"/>
      <c r="Q26" s="74"/>
      <c r="R26" s="7"/>
      <c r="S26" s="7"/>
      <c r="T26" s="7"/>
      <c r="U26" s="7"/>
      <c r="V26" s="7"/>
    </row>
    <row r="27" spans="1:22" s="181" customFormat="1" ht="24" customHeight="1">
      <c r="A27" s="7"/>
      <c r="B27" s="211" t="s">
        <v>520</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521</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522</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523</v>
      </c>
      <c r="C30" s="183">
        <v>2</v>
      </c>
      <c r="D30" s="183">
        <v>2</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524</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525</v>
      </c>
      <c r="C32" s="183">
        <v>2</v>
      </c>
      <c r="D32" s="183">
        <v>2</v>
      </c>
      <c r="E32" s="183">
        <v>3</v>
      </c>
      <c r="F32" s="183">
        <v>3</v>
      </c>
      <c r="G32" s="74"/>
      <c r="H32" s="74"/>
      <c r="I32" s="74"/>
      <c r="J32" s="74"/>
      <c r="K32" s="74"/>
      <c r="L32" s="74"/>
      <c r="M32" s="74"/>
      <c r="N32" s="74"/>
      <c r="O32" s="74"/>
      <c r="P32" s="74"/>
      <c r="Q32" s="74"/>
      <c r="R32" s="7"/>
      <c r="S32" s="7"/>
      <c r="T32" s="7"/>
      <c r="U32" s="7"/>
      <c r="V32" s="7"/>
    </row>
    <row r="33" spans="1:25" s="181" customFormat="1" ht="36" customHeight="1">
      <c r="A33" s="7"/>
      <c r="B33" s="211" t="s">
        <v>526</v>
      </c>
      <c r="C33" s="183">
        <v>2</v>
      </c>
      <c r="D33" s="183">
        <v>3</v>
      </c>
      <c r="E33" s="183">
        <v>3</v>
      </c>
      <c r="F33" s="183">
        <v>3</v>
      </c>
      <c r="G33" s="74"/>
      <c r="H33" s="74"/>
      <c r="I33" s="74"/>
      <c r="J33" s="74"/>
      <c r="K33" s="74"/>
      <c r="L33" s="74"/>
      <c r="M33" s="74"/>
      <c r="N33" s="74"/>
      <c r="O33" s="74"/>
      <c r="P33" s="74"/>
      <c r="Q33" s="74"/>
      <c r="R33" s="7"/>
      <c r="S33" s="7"/>
      <c r="T33" s="7"/>
      <c r="U33" s="7"/>
      <c r="V33" s="7"/>
    </row>
    <row r="34" spans="1:25" s="181" customFormat="1" ht="42" customHeight="1">
      <c r="A34" s="7"/>
      <c r="B34" s="211" t="s">
        <v>527</v>
      </c>
      <c r="C34" s="183">
        <v>2</v>
      </c>
      <c r="D34" s="183">
        <v>3</v>
      </c>
      <c r="E34" s="183">
        <v>3</v>
      </c>
      <c r="F34" s="183">
        <v>3</v>
      </c>
      <c r="G34" s="74"/>
      <c r="H34" s="74"/>
      <c r="I34" s="74"/>
      <c r="J34" s="74"/>
      <c r="K34" s="74"/>
      <c r="L34" s="74"/>
      <c r="M34" s="74"/>
      <c r="N34" s="74"/>
      <c r="O34" s="74"/>
      <c r="P34" s="74"/>
      <c r="Q34" s="74"/>
      <c r="R34" s="7"/>
      <c r="S34" s="7"/>
      <c r="T34" s="7"/>
      <c r="U34" s="7"/>
      <c r="V34" s="7"/>
    </row>
    <row r="35" spans="1:25" s="181" customFormat="1" ht="39" customHeight="1">
      <c r="A35" s="20"/>
      <c r="B35" s="211" t="s">
        <v>528</v>
      </c>
      <c r="C35" s="184">
        <v>2</v>
      </c>
      <c r="D35" s="184">
        <v>2</v>
      </c>
      <c r="E35" s="184">
        <v>2</v>
      </c>
      <c r="F35" s="184">
        <v>3</v>
      </c>
      <c r="G35" s="88"/>
      <c r="H35" s="88"/>
      <c r="I35" s="88"/>
      <c r="J35" s="88"/>
      <c r="K35" s="88"/>
      <c r="L35" s="88"/>
      <c r="M35" s="88"/>
      <c r="N35" s="88"/>
      <c r="O35" s="88"/>
      <c r="P35" s="88"/>
      <c r="Q35" s="88"/>
      <c r="R35" s="20"/>
      <c r="S35" s="20"/>
      <c r="T35" s="20"/>
      <c r="U35" s="20"/>
      <c r="V35" s="20"/>
    </row>
    <row r="36" spans="1:25" ht="32.25" customHeight="1">
      <c r="A36" s="20"/>
      <c r="B36" s="211" t="s">
        <v>529</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405</v>
      </c>
      <c r="F40" s="19" t="s">
        <v>405</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406</v>
      </c>
      <c r="D41" s="15" t="s">
        <v>407</v>
      </c>
      <c r="E41" s="15" t="s">
        <v>408</v>
      </c>
      <c r="F41" s="15" t="s">
        <v>409</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1" t="s">
        <v>414</v>
      </c>
      <c r="D46" s="196" t="s">
        <v>415</v>
      </c>
      <c r="E46" s="193" t="s">
        <v>416</v>
      </c>
      <c r="F46" s="19" t="s">
        <v>380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417</v>
      </c>
      <c r="D47" s="16" t="s">
        <v>418</v>
      </c>
      <c r="E47" s="19" t="s">
        <v>419</v>
      </c>
      <c r="F47" s="19" t="s">
        <v>420</v>
      </c>
      <c r="G47" s="24"/>
      <c r="H47" s="24"/>
      <c r="I47" s="24"/>
      <c r="J47" s="24"/>
      <c r="K47" s="24"/>
      <c r="L47" s="24"/>
      <c r="M47" s="24"/>
      <c r="N47" s="24"/>
      <c r="O47" s="24"/>
      <c r="P47" s="24"/>
      <c r="Q47" s="24"/>
      <c r="R47" s="24"/>
      <c r="S47" s="24"/>
      <c r="T47" s="24"/>
      <c r="U47" s="24"/>
      <c r="V47" s="24"/>
      <c r="W47" s="24"/>
      <c r="X47" s="24"/>
      <c r="Y47" s="24"/>
    </row>
    <row r="48" spans="1:25" s="76" customFormat="1" ht="20.25" customHeight="1">
      <c r="A48" s="74"/>
      <c r="B48" s="18" t="s">
        <v>565</v>
      </c>
      <c r="C48" s="18"/>
      <c r="D48" s="18"/>
      <c r="E48" s="18"/>
      <c r="F48" s="18"/>
      <c r="G48" s="367"/>
      <c r="H48" s="75"/>
      <c r="I48" s="75"/>
      <c r="J48" s="75"/>
      <c r="K48" s="75"/>
      <c r="L48" s="75"/>
      <c r="M48" s="75"/>
      <c r="N48" s="75"/>
      <c r="O48" s="75"/>
      <c r="P48" s="75"/>
      <c r="Q48" s="75"/>
      <c r="R48" s="75"/>
      <c r="S48" s="75"/>
      <c r="T48" s="75"/>
      <c r="U48" s="75"/>
      <c r="V48" s="75"/>
    </row>
    <row r="49" spans="1:23" s="217" customFormat="1" ht="98.25" customHeight="1">
      <c r="A49" s="7"/>
      <c r="B49" s="10" t="s">
        <v>637</v>
      </c>
      <c r="C49" s="368" t="s">
        <v>625</v>
      </c>
      <c r="D49" s="368" t="s">
        <v>626</v>
      </c>
      <c r="E49" s="368" t="s">
        <v>627</v>
      </c>
      <c r="F49" s="211"/>
      <c r="G49" s="364"/>
      <c r="H49" s="9"/>
      <c r="I49" s="9"/>
      <c r="J49" s="9"/>
      <c r="K49" s="9"/>
      <c r="L49" s="9"/>
      <c r="M49" s="9"/>
      <c r="N49" s="9"/>
      <c r="O49" s="74"/>
      <c r="P49" s="74"/>
      <c r="Q49" s="74"/>
      <c r="R49" s="74"/>
      <c r="S49" s="7"/>
      <c r="T49" s="7"/>
      <c r="U49" s="7"/>
      <c r="V49" s="7"/>
      <c r="W49" s="7"/>
    </row>
    <row r="50" spans="1:23" s="217" customFormat="1" ht="81.75" customHeight="1">
      <c r="A50" s="7"/>
      <c r="B50" s="10" t="s">
        <v>571</v>
      </c>
      <c r="C50" s="368" t="s">
        <v>628</v>
      </c>
      <c r="D50" s="368" t="s">
        <v>629</v>
      </c>
      <c r="E50" s="368" t="s">
        <v>630</v>
      </c>
      <c r="F50" s="211"/>
      <c r="G50" s="364"/>
      <c r="H50" s="9"/>
      <c r="I50" s="9"/>
      <c r="J50" s="9"/>
      <c r="K50" s="9"/>
      <c r="L50" s="9"/>
      <c r="M50" s="9"/>
      <c r="N50" s="9"/>
      <c r="O50" s="74"/>
      <c r="P50" s="74"/>
      <c r="Q50" s="74"/>
      <c r="R50" s="74"/>
      <c r="S50" s="7"/>
      <c r="T50" s="7"/>
      <c r="U50" s="7"/>
      <c r="V50" s="7"/>
      <c r="W50" s="7"/>
    </row>
    <row r="51" spans="1:23" s="217" customFormat="1" ht="226.5" customHeight="1">
      <c r="A51" s="7"/>
      <c r="B51" s="10" t="s">
        <v>574</v>
      </c>
      <c r="C51" s="368" t="s">
        <v>631</v>
      </c>
      <c r="D51" s="368" t="s">
        <v>632</v>
      </c>
      <c r="E51" s="368" t="s">
        <v>633</v>
      </c>
      <c r="F51" s="216"/>
      <c r="G51" s="364"/>
      <c r="H51" s="9"/>
      <c r="I51" s="9"/>
      <c r="J51" s="9"/>
      <c r="K51" s="9"/>
      <c r="L51" s="9"/>
      <c r="M51" s="9"/>
      <c r="N51" s="9"/>
      <c r="O51" s="74"/>
      <c r="P51" s="74"/>
      <c r="Q51" s="74"/>
      <c r="R51" s="74"/>
      <c r="S51" s="7"/>
      <c r="T51" s="7"/>
      <c r="U51" s="7"/>
      <c r="V51" s="7"/>
      <c r="W51" s="7"/>
    </row>
    <row r="52" spans="1:23" s="217" customFormat="1" ht="180.75" customHeight="1">
      <c r="A52" s="7"/>
      <c r="B52" s="10" t="s">
        <v>579</v>
      </c>
      <c r="C52" s="368" t="s">
        <v>634</v>
      </c>
      <c r="D52" s="368" t="s">
        <v>635</v>
      </c>
      <c r="E52" s="368" t="s">
        <v>636</v>
      </c>
      <c r="F52" s="218"/>
      <c r="G52" s="364"/>
      <c r="H52" s="9"/>
      <c r="I52" s="9"/>
      <c r="J52" s="9"/>
      <c r="K52" s="9"/>
      <c r="L52" s="9"/>
      <c r="M52" s="9"/>
      <c r="N52" s="9"/>
      <c r="O52" s="74"/>
      <c r="P52" s="74"/>
      <c r="Q52" s="74"/>
      <c r="R52" s="74"/>
      <c r="S52" s="7"/>
      <c r="T52" s="7"/>
      <c r="U52" s="7"/>
      <c r="V52" s="7"/>
      <c r="W52" s="7"/>
    </row>
    <row r="53" spans="1:23" ht="14.25" customHeight="1">
      <c r="A53" s="7"/>
      <c r="B53" s="7"/>
      <c r="C53" s="9"/>
      <c r="D53" s="9"/>
      <c r="E53" s="9"/>
      <c r="F53" s="9"/>
      <c r="G53" s="9"/>
      <c r="H53" s="9"/>
      <c r="I53" s="9"/>
      <c r="J53" s="9"/>
      <c r="K53" s="9"/>
      <c r="L53" s="9"/>
      <c r="M53" s="9"/>
      <c r="N53" s="9"/>
      <c r="O53" s="9"/>
      <c r="P53" s="9"/>
      <c r="Q53" s="9"/>
      <c r="R53" s="9"/>
      <c r="S53" s="9"/>
      <c r="T53" s="9"/>
    </row>
    <row r="54" spans="1:23" ht="14.25" customHeight="1">
      <c r="A54" s="7"/>
      <c r="B54" s="283" t="s">
        <v>52</v>
      </c>
      <c r="C54" s="258"/>
      <c r="D54" s="258"/>
      <c r="E54" s="258"/>
      <c r="F54" s="258"/>
      <c r="G54" s="9"/>
      <c r="H54" s="9"/>
      <c r="I54" s="9"/>
      <c r="J54" s="9"/>
      <c r="K54" s="9"/>
      <c r="L54" s="9"/>
      <c r="M54" s="9"/>
      <c r="N54" s="9"/>
      <c r="O54" s="9"/>
      <c r="P54" s="9"/>
      <c r="Q54" s="9"/>
      <c r="R54" s="9"/>
      <c r="S54" s="9"/>
      <c r="T54" s="9"/>
    </row>
    <row r="55" spans="1:23" ht="59.25" customHeight="1">
      <c r="A55" s="7"/>
      <c r="B55" s="11" t="s">
        <v>53</v>
      </c>
      <c r="C55" s="284" t="s">
        <v>54</v>
      </c>
      <c r="D55" s="285"/>
      <c r="E55" s="285"/>
      <c r="F55" s="286"/>
      <c r="G55" s="100"/>
      <c r="H55" s="100"/>
      <c r="I55" s="100"/>
      <c r="J55" s="100"/>
      <c r="K55" s="100"/>
      <c r="L55" s="100"/>
      <c r="M55" s="100"/>
      <c r="N55" s="100"/>
      <c r="O55" s="100"/>
      <c r="P55" s="100"/>
      <c r="Q55" s="100"/>
      <c r="R55" s="100"/>
      <c r="S55" s="100"/>
      <c r="T55" s="100"/>
      <c r="U55" s="101"/>
    </row>
    <row r="56" spans="1:23" ht="84" customHeight="1">
      <c r="A56" s="7"/>
      <c r="B56" s="11" t="s">
        <v>55</v>
      </c>
      <c r="C56" s="287" t="s">
        <v>56</v>
      </c>
      <c r="D56" s="288"/>
      <c r="E56" s="288"/>
      <c r="F56" s="289"/>
      <c r="G56" s="102"/>
      <c r="H56" s="102"/>
      <c r="I56" s="102"/>
      <c r="J56" s="102"/>
      <c r="K56" s="102"/>
      <c r="L56" s="102"/>
      <c r="M56" s="102"/>
      <c r="N56" s="102"/>
      <c r="O56" s="102"/>
      <c r="P56" s="102"/>
      <c r="Q56" s="102"/>
      <c r="R56" s="102"/>
      <c r="S56" s="103"/>
      <c r="T56" s="103"/>
      <c r="U56" s="101"/>
    </row>
    <row r="57" spans="1:23" ht="78.95" customHeight="1">
      <c r="A57" s="7"/>
      <c r="B57" s="11" t="s">
        <v>57</v>
      </c>
      <c r="C57" s="290" t="s">
        <v>58</v>
      </c>
      <c r="D57" s="291"/>
      <c r="E57" s="291"/>
      <c r="F57" s="292"/>
      <c r="G57" s="100"/>
      <c r="H57" s="100"/>
      <c r="I57" s="100"/>
      <c r="J57" s="100"/>
      <c r="K57" s="100"/>
      <c r="L57" s="100"/>
      <c r="M57" s="100"/>
      <c r="N57" s="100"/>
      <c r="O57" s="100"/>
      <c r="P57" s="100"/>
      <c r="Q57" s="100"/>
      <c r="R57" s="100"/>
      <c r="S57" s="100"/>
      <c r="T57" s="100"/>
      <c r="U57" s="101"/>
    </row>
    <row r="58" spans="1:23" ht="14.25" customHeight="1">
      <c r="A58" s="7"/>
      <c r="B58" s="7"/>
      <c r="C58" s="103"/>
      <c r="D58" s="103"/>
      <c r="E58" s="103"/>
      <c r="F58" s="103"/>
      <c r="G58" s="9"/>
      <c r="H58" s="9"/>
      <c r="I58" s="9"/>
      <c r="J58" s="9"/>
      <c r="K58" s="9"/>
      <c r="L58" s="9"/>
      <c r="M58" s="9"/>
      <c r="N58" s="9"/>
      <c r="O58" s="9"/>
      <c r="P58" s="9"/>
      <c r="Q58" s="9"/>
      <c r="R58" s="9"/>
      <c r="S58" s="9"/>
      <c r="T58" s="9"/>
    </row>
    <row r="59" spans="1:23" ht="14.25" customHeight="1">
      <c r="A59" s="7"/>
      <c r="B59" s="7"/>
      <c r="C59" s="9"/>
      <c r="D59" s="9"/>
      <c r="E59" s="9"/>
      <c r="F59" s="9"/>
      <c r="G59" s="9"/>
      <c r="H59" s="9"/>
      <c r="I59" s="9"/>
      <c r="J59" s="9"/>
      <c r="K59" s="9"/>
      <c r="L59" s="9"/>
      <c r="M59" s="9"/>
      <c r="N59" s="9"/>
      <c r="O59" s="9"/>
      <c r="P59" s="9"/>
      <c r="Q59" s="9"/>
      <c r="R59" s="9"/>
      <c r="S59" s="9"/>
      <c r="T59" s="9"/>
    </row>
    <row r="60" spans="1:23" ht="14.25" customHeight="1">
      <c r="A60" s="7"/>
      <c r="B60" s="7"/>
      <c r="C60" s="9"/>
      <c r="D60" s="9"/>
      <c r="E60" s="9"/>
      <c r="F60" s="9"/>
      <c r="G60" s="9"/>
      <c r="H60" s="9"/>
      <c r="I60" s="9"/>
      <c r="J60" s="9"/>
      <c r="K60" s="9"/>
      <c r="L60" s="9"/>
      <c r="M60" s="9"/>
      <c r="N60" s="9"/>
      <c r="O60" s="9"/>
      <c r="P60" s="9"/>
      <c r="Q60" s="9"/>
      <c r="R60" s="9"/>
      <c r="S60" s="9"/>
      <c r="T60" s="9"/>
    </row>
    <row r="61" spans="1:23" ht="14.25" customHeight="1">
      <c r="A61" s="7"/>
      <c r="B61" s="7"/>
      <c r="C61" s="9"/>
      <c r="D61" s="9"/>
      <c r="E61" s="9"/>
      <c r="F61" s="9"/>
      <c r="G61" s="9"/>
      <c r="H61" s="9"/>
      <c r="I61" s="9"/>
      <c r="J61" s="9"/>
      <c r="K61" s="9"/>
      <c r="L61" s="9"/>
      <c r="M61" s="9"/>
      <c r="N61" s="9"/>
      <c r="O61" s="9"/>
      <c r="P61" s="9"/>
      <c r="Q61" s="9"/>
      <c r="R61" s="9"/>
      <c r="S61" s="9"/>
      <c r="T61" s="9"/>
    </row>
    <row r="62" spans="1:23" ht="14.25" customHeight="1">
      <c r="A62" s="7"/>
      <c r="B62" s="7"/>
      <c r="C62" s="9"/>
      <c r="D62" s="9"/>
      <c r="E62" s="9"/>
      <c r="F62" s="9"/>
      <c r="G62" s="9"/>
      <c r="H62" s="9"/>
      <c r="I62" s="9"/>
      <c r="J62" s="9"/>
      <c r="K62" s="9"/>
      <c r="L62" s="9"/>
      <c r="M62" s="9"/>
      <c r="N62" s="9"/>
      <c r="O62" s="9"/>
      <c r="P62" s="9"/>
      <c r="Q62" s="9"/>
      <c r="R62" s="9"/>
      <c r="S62" s="9"/>
      <c r="T62" s="9"/>
    </row>
    <row r="63" spans="1:23" ht="14.25" customHeight="1">
      <c r="A63" s="7"/>
      <c r="B63" s="7"/>
      <c r="C63" s="9"/>
      <c r="D63" s="9"/>
      <c r="E63" s="9"/>
      <c r="F63" s="9"/>
      <c r="G63" s="9"/>
      <c r="H63" s="9"/>
      <c r="I63" s="9"/>
      <c r="J63" s="9"/>
      <c r="K63" s="9"/>
      <c r="L63" s="9"/>
      <c r="M63" s="9"/>
      <c r="N63" s="9"/>
      <c r="O63" s="9"/>
      <c r="P63" s="9"/>
      <c r="Q63" s="9"/>
      <c r="R63" s="9"/>
      <c r="S63" s="9"/>
      <c r="T63" s="9"/>
    </row>
    <row r="64" spans="1:23" ht="14.25" customHeight="1">
      <c r="A64" s="7"/>
      <c r="B64" s="7"/>
      <c r="C64" s="9"/>
      <c r="D64" s="9"/>
      <c r="E64" s="9"/>
      <c r="F64" s="9"/>
      <c r="G64" s="9"/>
      <c r="H64" s="9"/>
      <c r="I64" s="9"/>
      <c r="J64" s="9"/>
      <c r="K64" s="9"/>
      <c r="L64" s="9"/>
      <c r="M64" s="9"/>
      <c r="N64" s="9"/>
      <c r="O64" s="9"/>
      <c r="P64" s="9"/>
      <c r="Q64" s="9"/>
      <c r="R64" s="9"/>
      <c r="S64" s="9"/>
      <c r="T64" s="9"/>
    </row>
    <row r="65" spans="1:20" ht="14.25" customHeight="1">
      <c r="A65" s="7"/>
      <c r="B65" s="7"/>
      <c r="C65" s="9"/>
      <c r="D65" s="9"/>
      <c r="E65" s="9"/>
      <c r="F65" s="9"/>
      <c r="G65" s="9"/>
      <c r="H65" s="9"/>
      <c r="I65" s="9"/>
      <c r="J65" s="9"/>
      <c r="K65" s="9"/>
      <c r="L65" s="9"/>
      <c r="M65" s="9"/>
      <c r="N65" s="9"/>
      <c r="O65" s="9"/>
      <c r="P65" s="9"/>
      <c r="Q65" s="9"/>
      <c r="R65" s="9"/>
      <c r="S65" s="9"/>
      <c r="T65" s="9"/>
    </row>
    <row r="66" spans="1:20" ht="14.25" customHeight="1">
      <c r="A66" s="7"/>
      <c r="B66" s="7"/>
    </row>
    <row r="67" spans="1:20" ht="14.25" customHeight="1">
      <c r="A67" s="7"/>
      <c r="B67" s="7"/>
    </row>
    <row r="68" spans="1:20" ht="14.25" customHeight="1">
      <c r="A68" s="7"/>
      <c r="B68" s="7"/>
    </row>
    <row r="69" spans="1:20" ht="14.25" customHeight="1">
      <c r="A69" s="7"/>
      <c r="B69" s="7"/>
    </row>
    <row r="70" spans="1:20" ht="14.25" customHeight="1">
      <c r="A70" s="7"/>
      <c r="B70" s="7"/>
    </row>
    <row r="71" spans="1:20" ht="14.25" customHeight="1">
      <c r="A71" s="7"/>
      <c r="B71" s="7"/>
    </row>
    <row r="72" spans="1:20" ht="14.25" customHeight="1">
      <c r="A72" s="7"/>
      <c r="B72" s="7"/>
    </row>
    <row r="73" spans="1:20" ht="14.25" customHeight="1">
      <c r="A73" s="7"/>
      <c r="B73" s="7"/>
    </row>
    <row r="74" spans="1:20" ht="14.25" customHeight="1">
      <c r="A74" s="7"/>
      <c r="B74" s="7"/>
    </row>
    <row r="75" spans="1:20" ht="14.25" customHeight="1">
      <c r="A75" s="7"/>
      <c r="B75" s="7"/>
    </row>
    <row r="76" spans="1:20" ht="14.25" customHeight="1">
      <c r="A76" s="7"/>
      <c r="B76" s="7"/>
    </row>
    <row r="77" spans="1:20" ht="14.25" customHeight="1">
      <c r="A77" s="7"/>
      <c r="B77" s="7"/>
    </row>
    <row r="78" spans="1:20" ht="14.25" customHeight="1">
      <c r="A78" s="7"/>
      <c r="B78" s="7"/>
    </row>
    <row r="79" spans="1:20" ht="14.25" customHeight="1">
      <c r="A79" s="7"/>
      <c r="B79" s="7"/>
    </row>
    <row r="80" spans="1:20"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row r="999" spans="1:2" ht="14.25" customHeight="1">
      <c r="A999" s="7"/>
      <c r="B999" s="7"/>
    </row>
    <row r="1000" spans="1:2" ht="14.25" customHeight="1">
      <c r="A1000" s="7"/>
      <c r="B1000" s="7"/>
    </row>
    <row r="1001" spans="1:2" ht="14.25" customHeight="1">
      <c r="A1001" s="7"/>
      <c r="B1001" s="7"/>
    </row>
  </sheetData>
  <mergeCells count="8">
    <mergeCell ref="C56:F56"/>
    <mergeCell ref="C57:F57"/>
    <mergeCell ref="B1:B4"/>
    <mergeCell ref="C1:E4"/>
    <mergeCell ref="C5:F5"/>
    <mergeCell ref="C6:F6"/>
    <mergeCell ref="B54:F54"/>
    <mergeCell ref="C55:F55"/>
  </mergeCells>
  <pageMargins left="0.7" right="0.7" top="0.75" bottom="0.75" header="0" footer="0"/>
  <pageSetup paperSize="9"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1001"/>
  <sheetViews>
    <sheetView topLeftCell="A45" zoomScale="70" zoomScaleNormal="70" workbookViewId="0">
      <selection activeCell="C51" sqref="C51"/>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9"/>
      <c r="C1" s="225" t="s">
        <v>8</v>
      </c>
      <c r="D1" s="295"/>
      <c r="E1" s="296"/>
      <c r="F1" s="5" t="s">
        <v>421</v>
      </c>
      <c r="G1" s="6"/>
      <c r="H1" s="6"/>
      <c r="I1" s="6"/>
      <c r="J1" s="6"/>
      <c r="K1" s="6"/>
      <c r="L1" s="6"/>
      <c r="M1" s="6"/>
      <c r="N1" s="6"/>
      <c r="O1" s="6"/>
      <c r="P1" s="6"/>
      <c r="Q1" s="6"/>
      <c r="R1" s="6"/>
      <c r="S1" s="6"/>
      <c r="T1" s="6"/>
      <c r="U1" s="6"/>
      <c r="V1" s="6"/>
      <c r="W1" s="6"/>
      <c r="X1" s="6"/>
      <c r="Y1" s="6"/>
    </row>
    <row r="2" spans="1:25" ht="18.75" customHeight="1">
      <c r="A2" s="4"/>
      <c r="B2" s="250"/>
      <c r="C2" s="297"/>
      <c r="D2" s="298"/>
      <c r="E2" s="299"/>
      <c r="F2" s="106" t="s">
        <v>9</v>
      </c>
      <c r="G2" s="6"/>
      <c r="H2" s="6"/>
      <c r="I2" s="6"/>
      <c r="J2" s="6"/>
      <c r="K2" s="6"/>
      <c r="L2" s="6"/>
      <c r="M2" s="6"/>
      <c r="N2" s="6"/>
      <c r="O2" s="6"/>
      <c r="P2" s="6"/>
      <c r="Q2" s="6"/>
      <c r="R2" s="6"/>
      <c r="S2" s="6"/>
      <c r="T2" s="6"/>
      <c r="U2" s="6"/>
      <c r="V2" s="6"/>
      <c r="W2" s="6"/>
      <c r="X2" s="6"/>
      <c r="Y2" s="6"/>
    </row>
    <row r="3" spans="1:25" ht="18.75" customHeight="1">
      <c r="A3" s="4"/>
      <c r="B3" s="250"/>
      <c r="C3" s="297"/>
      <c r="D3" s="298"/>
      <c r="E3" s="299"/>
      <c r="F3" s="106" t="s">
        <v>10</v>
      </c>
      <c r="G3" s="6"/>
      <c r="H3" s="6"/>
      <c r="I3" s="6"/>
      <c r="J3" s="6"/>
      <c r="K3" s="6"/>
      <c r="L3" s="6"/>
      <c r="M3" s="6"/>
      <c r="N3" s="6"/>
      <c r="O3" s="6"/>
      <c r="P3" s="6"/>
      <c r="Q3" s="6"/>
      <c r="R3" s="6"/>
      <c r="S3" s="6"/>
      <c r="T3" s="6"/>
      <c r="U3" s="6"/>
      <c r="V3" s="6"/>
      <c r="W3" s="6"/>
      <c r="X3" s="6"/>
      <c r="Y3" s="6"/>
    </row>
    <row r="4" spans="1:25" ht="14.1" customHeight="1">
      <c r="A4" s="4"/>
      <c r="B4" s="251"/>
      <c r="C4" s="300"/>
      <c r="D4" s="301"/>
      <c r="E4" s="302"/>
      <c r="F4" s="106" t="s">
        <v>11</v>
      </c>
      <c r="G4" s="6"/>
      <c r="H4" s="6"/>
      <c r="I4" s="6"/>
      <c r="J4" s="6"/>
      <c r="K4" s="6"/>
      <c r="L4" s="6"/>
      <c r="M4" s="6"/>
      <c r="N4" s="6"/>
      <c r="O4" s="6"/>
      <c r="P4" s="6"/>
      <c r="Q4" s="6"/>
      <c r="R4" s="6"/>
      <c r="S4" s="6"/>
      <c r="T4" s="6"/>
      <c r="U4" s="6"/>
      <c r="V4" s="6"/>
      <c r="W4" s="6"/>
      <c r="X4" s="6"/>
      <c r="Y4" s="6"/>
    </row>
    <row r="5" spans="1:25" ht="14.25" customHeight="1">
      <c r="A5" s="7"/>
      <c r="B5" s="8" t="s">
        <v>12</v>
      </c>
      <c r="C5" s="234"/>
      <c r="D5" s="293"/>
      <c r="E5" s="293"/>
      <c r="F5" s="261"/>
      <c r="G5" s="9"/>
      <c r="H5" s="9"/>
      <c r="I5" s="9"/>
      <c r="J5" s="9"/>
      <c r="K5" s="9"/>
      <c r="L5" s="9"/>
      <c r="M5" s="9"/>
      <c r="N5" s="9"/>
      <c r="O5" s="9"/>
      <c r="P5" s="9"/>
      <c r="Q5" s="9"/>
      <c r="R5" s="9"/>
      <c r="S5" s="9"/>
      <c r="T5" s="9"/>
      <c r="U5" s="9"/>
      <c r="V5" s="9"/>
      <c r="W5" s="9"/>
      <c r="X5" s="9"/>
      <c r="Y5" s="9"/>
    </row>
    <row r="6" spans="1:25" ht="25.7" customHeight="1">
      <c r="A6" s="7"/>
      <c r="B6" s="10" t="s">
        <v>13</v>
      </c>
      <c r="C6" s="237" t="s">
        <v>454</v>
      </c>
      <c r="D6" s="294"/>
      <c r="E6" s="294"/>
      <c r="F6" s="261"/>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424</v>
      </c>
      <c r="F7" s="11" t="s">
        <v>425</v>
      </c>
      <c r="G7" s="9"/>
      <c r="H7" s="9"/>
      <c r="I7" s="9"/>
      <c r="J7" s="9"/>
      <c r="K7" s="9"/>
      <c r="L7" s="9"/>
      <c r="M7" s="9"/>
      <c r="N7" s="9"/>
      <c r="O7" s="9"/>
      <c r="P7" s="9"/>
      <c r="Q7" s="9"/>
      <c r="R7" s="9"/>
      <c r="S7" s="9"/>
      <c r="T7" s="9"/>
      <c r="U7" s="9"/>
      <c r="V7" s="9"/>
      <c r="W7" s="9"/>
      <c r="X7" s="9"/>
      <c r="Y7" s="9"/>
    </row>
    <row r="8" spans="1:25" ht="14.25" customHeight="1">
      <c r="A8" s="7"/>
      <c r="B8" s="10" t="s">
        <v>16</v>
      </c>
      <c r="C8" s="11" t="s">
        <v>277</v>
      </c>
      <c r="D8" s="194" t="s">
        <v>426</v>
      </c>
      <c r="E8" s="11" t="s">
        <v>238</v>
      </c>
      <c r="F8" s="11" t="s">
        <v>427</v>
      </c>
      <c r="G8" s="9"/>
      <c r="H8" s="9"/>
      <c r="I8" s="9"/>
      <c r="J8" s="9"/>
      <c r="K8" s="9"/>
      <c r="L8" s="9"/>
      <c r="M8" s="9"/>
      <c r="N8" s="9"/>
      <c r="O8" s="9"/>
      <c r="P8" s="9"/>
      <c r="Q8" s="9"/>
      <c r="R8" s="9"/>
      <c r="S8" s="9"/>
      <c r="T8" s="9"/>
      <c r="U8" s="9"/>
      <c r="V8" s="9"/>
      <c r="W8" s="9"/>
      <c r="X8" s="9"/>
      <c r="Y8" s="9"/>
    </row>
    <row r="9" spans="1:25" ht="14.25" customHeight="1">
      <c r="A9" s="7"/>
      <c r="B9" s="10" t="s">
        <v>17</v>
      </c>
      <c r="C9" s="194" t="s">
        <v>426</v>
      </c>
      <c r="D9" s="11" t="s">
        <v>238</v>
      </c>
      <c r="E9" s="11" t="s">
        <v>427</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430</v>
      </c>
      <c r="D11" s="177" t="s">
        <v>431</v>
      </c>
      <c r="E11" s="177" t="s">
        <v>432</v>
      </c>
      <c r="F11" s="201" t="s">
        <v>433</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7" t="s">
        <v>437</v>
      </c>
      <c r="D12" s="187" t="s">
        <v>436</v>
      </c>
      <c r="E12" s="187" t="s">
        <v>435</v>
      </c>
      <c r="F12" s="195" t="s">
        <v>434</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331</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438</v>
      </c>
      <c r="D17" s="15" t="s">
        <v>439</v>
      </c>
      <c r="E17" s="15" t="s">
        <v>440</v>
      </c>
      <c r="F17" s="15" t="s">
        <v>441</v>
      </c>
    </row>
    <row r="18" spans="1:22" ht="14.25" customHeight="1">
      <c r="A18" s="7"/>
      <c r="B18" s="10" t="s">
        <v>25</v>
      </c>
      <c r="C18" s="19"/>
      <c r="D18" s="19"/>
      <c r="E18" s="19"/>
      <c r="F18" s="19"/>
    </row>
    <row r="19" spans="1:22" s="185" customFormat="1" ht="24" customHeight="1">
      <c r="A19" s="7"/>
      <c r="B19" s="211" t="s">
        <v>494</v>
      </c>
      <c r="C19" s="110">
        <v>1</v>
      </c>
      <c r="D19" s="110">
        <v>2</v>
      </c>
      <c r="E19" s="110">
        <v>2</v>
      </c>
      <c r="F19" s="188">
        <v>3</v>
      </c>
      <c r="G19" s="74"/>
      <c r="H19" s="74"/>
      <c r="I19" s="74"/>
      <c r="J19" s="74"/>
      <c r="K19" s="74"/>
      <c r="L19" s="74"/>
      <c r="M19" s="74"/>
      <c r="N19" s="74"/>
      <c r="O19" s="74"/>
      <c r="P19" s="74"/>
      <c r="Q19" s="74"/>
      <c r="R19" s="7"/>
      <c r="S19" s="7"/>
      <c r="T19" s="7"/>
      <c r="U19" s="7"/>
      <c r="V19" s="7"/>
    </row>
    <row r="20" spans="1:22" s="185" customFormat="1" ht="24" customHeight="1">
      <c r="A20" s="7"/>
      <c r="B20" s="211" t="s">
        <v>495</v>
      </c>
      <c r="C20" s="188">
        <v>2</v>
      </c>
      <c r="D20" s="188">
        <v>2</v>
      </c>
      <c r="E20" s="188">
        <v>3</v>
      </c>
      <c r="F20" s="188">
        <v>3</v>
      </c>
      <c r="G20" s="74"/>
      <c r="H20" s="74"/>
      <c r="I20" s="74"/>
      <c r="J20" s="74"/>
      <c r="K20" s="74"/>
      <c r="L20" s="74"/>
      <c r="M20" s="74"/>
      <c r="N20" s="74"/>
      <c r="O20" s="74"/>
      <c r="P20" s="74"/>
      <c r="Q20" s="74"/>
      <c r="R20" s="7"/>
      <c r="S20" s="7"/>
      <c r="T20" s="7"/>
      <c r="U20" s="7"/>
      <c r="V20" s="7"/>
    </row>
    <row r="21" spans="1:22" s="185" customFormat="1" ht="24" customHeight="1">
      <c r="A21" s="7"/>
      <c r="B21" s="211" t="s">
        <v>496</v>
      </c>
      <c r="C21" s="188">
        <v>2</v>
      </c>
      <c r="D21" s="188">
        <v>2</v>
      </c>
      <c r="E21" s="188">
        <v>3</v>
      </c>
      <c r="F21" s="188">
        <v>3</v>
      </c>
      <c r="G21" s="74"/>
      <c r="H21" s="74"/>
      <c r="I21" s="74"/>
      <c r="J21" s="74"/>
      <c r="K21" s="74"/>
      <c r="L21" s="74"/>
      <c r="M21" s="74"/>
      <c r="N21" s="74"/>
      <c r="O21" s="74"/>
      <c r="P21" s="74"/>
      <c r="Q21" s="74"/>
      <c r="R21" s="7"/>
      <c r="S21" s="7"/>
      <c r="T21" s="7"/>
      <c r="U21" s="7"/>
      <c r="V21" s="7"/>
    </row>
    <row r="22" spans="1:22" s="185" customFormat="1" ht="24" customHeight="1">
      <c r="A22" s="7"/>
      <c r="B22" s="211" t="s">
        <v>497</v>
      </c>
      <c r="C22" s="188">
        <v>1</v>
      </c>
      <c r="D22" s="188">
        <v>2</v>
      </c>
      <c r="E22" s="188">
        <v>3</v>
      </c>
      <c r="F22" s="188">
        <v>2</v>
      </c>
      <c r="G22" s="74"/>
      <c r="H22" s="74"/>
      <c r="I22" s="74"/>
      <c r="J22" s="74"/>
      <c r="K22" s="74"/>
      <c r="L22" s="74"/>
      <c r="M22" s="74"/>
      <c r="N22" s="74"/>
      <c r="O22" s="74"/>
      <c r="P22" s="74"/>
      <c r="Q22" s="74"/>
      <c r="R22" s="7"/>
      <c r="S22" s="7"/>
      <c r="T22" s="7"/>
      <c r="U22" s="7"/>
      <c r="V22" s="7"/>
    </row>
    <row r="23" spans="1:22" s="185" customFormat="1" ht="24" customHeight="1">
      <c r="A23" s="7"/>
      <c r="B23" s="211" t="s">
        <v>498</v>
      </c>
      <c r="C23" s="188">
        <v>1</v>
      </c>
      <c r="D23" s="188">
        <v>2</v>
      </c>
      <c r="E23" s="188">
        <v>3</v>
      </c>
      <c r="F23" s="188">
        <v>3</v>
      </c>
      <c r="G23" s="74"/>
      <c r="H23" s="74"/>
      <c r="I23" s="74"/>
      <c r="J23" s="74"/>
      <c r="K23" s="74"/>
      <c r="L23" s="74"/>
      <c r="M23" s="74"/>
      <c r="N23" s="74"/>
      <c r="O23" s="74"/>
      <c r="P23" s="74"/>
      <c r="Q23" s="74"/>
      <c r="R23" s="7"/>
      <c r="S23" s="7"/>
      <c r="T23" s="7"/>
      <c r="U23" s="7"/>
      <c r="V23" s="7"/>
    </row>
    <row r="24" spans="1:22" s="185" customFormat="1" ht="24" customHeight="1">
      <c r="A24" s="7"/>
      <c r="B24" s="211" t="s">
        <v>499</v>
      </c>
      <c r="C24" s="188">
        <v>2</v>
      </c>
      <c r="D24" s="188">
        <v>2</v>
      </c>
      <c r="E24" s="188">
        <v>2</v>
      </c>
      <c r="F24" s="188">
        <v>3</v>
      </c>
      <c r="G24" s="74"/>
      <c r="H24" s="74"/>
      <c r="I24" s="74"/>
      <c r="J24" s="74"/>
      <c r="K24" s="74"/>
      <c r="L24" s="74"/>
      <c r="M24" s="74"/>
      <c r="N24" s="74"/>
      <c r="O24" s="74"/>
      <c r="P24" s="74"/>
      <c r="Q24" s="74"/>
      <c r="R24" s="7"/>
      <c r="S24" s="7"/>
      <c r="T24" s="7"/>
      <c r="U24" s="7"/>
      <c r="V24" s="7"/>
    </row>
    <row r="25" spans="1:22" s="185" customFormat="1" ht="24" customHeight="1">
      <c r="A25" s="7"/>
      <c r="B25" s="211" t="s">
        <v>500</v>
      </c>
      <c r="C25" s="188">
        <v>2</v>
      </c>
      <c r="D25" s="188">
        <v>2</v>
      </c>
      <c r="E25" s="188">
        <v>2</v>
      </c>
      <c r="F25" s="188">
        <v>3</v>
      </c>
      <c r="G25" s="74"/>
      <c r="H25" s="74"/>
      <c r="I25" s="74"/>
      <c r="J25" s="74"/>
      <c r="K25" s="74"/>
      <c r="L25" s="74"/>
      <c r="M25" s="74"/>
      <c r="N25" s="74"/>
      <c r="O25" s="74"/>
      <c r="P25" s="74"/>
      <c r="Q25" s="74"/>
      <c r="R25" s="7"/>
      <c r="S25" s="7"/>
      <c r="T25" s="7"/>
      <c r="U25" s="7"/>
      <c r="V25" s="7"/>
    </row>
    <row r="26" spans="1:22" s="185" customFormat="1" ht="24" customHeight="1">
      <c r="A26" s="7"/>
      <c r="B26" s="211" t="s">
        <v>501</v>
      </c>
      <c r="C26" s="188">
        <v>1</v>
      </c>
      <c r="D26" s="188">
        <v>2</v>
      </c>
      <c r="E26" s="188">
        <v>2</v>
      </c>
      <c r="F26" s="188">
        <v>3</v>
      </c>
      <c r="G26" s="74"/>
      <c r="H26" s="74"/>
      <c r="I26" s="74"/>
      <c r="J26" s="74"/>
      <c r="K26" s="74"/>
      <c r="L26" s="74"/>
      <c r="M26" s="74"/>
      <c r="N26" s="74"/>
      <c r="O26" s="74"/>
      <c r="P26" s="74"/>
      <c r="Q26" s="74"/>
      <c r="R26" s="7"/>
      <c r="S26" s="7"/>
      <c r="T26" s="7"/>
      <c r="U26" s="7"/>
      <c r="V26" s="7"/>
    </row>
    <row r="27" spans="1:22" s="185" customFormat="1" ht="24" customHeight="1">
      <c r="A27" s="7"/>
      <c r="B27" s="211" t="s">
        <v>502</v>
      </c>
      <c r="C27" s="188">
        <v>1</v>
      </c>
      <c r="D27" s="188">
        <v>2</v>
      </c>
      <c r="E27" s="188">
        <v>2</v>
      </c>
      <c r="F27" s="188">
        <v>2</v>
      </c>
      <c r="G27" s="74"/>
      <c r="H27" s="74"/>
      <c r="I27" s="74"/>
      <c r="J27" s="74"/>
      <c r="K27" s="74"/>
      <c r="L27" s="74"/>
      <c r="M27" s="74"/>
      <c r="N27" s="74"/>
      <c r="O27" s="74"/>
      <c r="P27" s="74"/>
      <c r="Q27" s="74"/>
      <c r="R27" s="7"/>
      <c r="S27" s="7"/>
      <c r="T27" s="7"/>
      <c r="U27" s="7"/>
      <c r="V27" s="7"/>
    </row>
    <row r="28" spans="1:22" s="185" customFormat="1" ht="39" customHeight="1">
      <c r="A28" s="7"/>
      <c r="B28" s="211" t="s">
        <v>503</v>
      </c>
      <c r="C28" s="188">
        <v>2</v>
      </c>
      <c r="D28" s="188">
        <v>2</v>
      </c>
      <c r="E28" s="188">
        <v>2</v>
      </c>
      <c r="F28" s="188">
        <v>3</v>
      </c>
      <c r="G28" s="74"/>
      <c r="H28" s="74"/>
      <c r="I28" s="74"/>
      <c r="J28" s="74"/>
      <c r="K28" s="74"/>
      <c r="L28" s="74"/>
      <c r="M28" s="74"/>
      <c r="N28" s="74"/>
      <c r="O28" s="74"/>
      <c r="P28" s="74"/>
      <c r="Q28" s="74"/>
      <c r="R28" s="7"/>
      <c r="S28" s="7"/>
      <c r="T28" s="7"/>
      <c r="U28" s="7"/>
      <c r="V28" s="7"/>
    </row>
    <row r="29" spans="1:22" s="185" customFormat="1" ht="31.5" customHeight="1">
      <c r="A29" s="7"/>
      <c r="B29" s="211" t="s">
        <v>504</v>
      </c>
      <c r="C29" s="188">
        <v>2</v>
      </c>
      <c r="D29" s="188">
        <v>3</v>
      </c>
      <c r="E29" s="188">
        <v>3</v>
      </c>
      <c r="F29" s="188">
        <v>3</v>
      </c>
      <c r="G29" s="74"/>
      <c r="H29" s="74"/>
      <c r="I29" s="74"/>
      <c r="J29" s="74"/>
      <c r="K29" s="74"/>
      <c r="L29" s="74"/>
      <c r="M29" s="74"/>
      <c r="N29" s="74"/>
      <c r="O29" s="74"/>
      <c r="P29" s="74"/>
      <c r="Q29" s="74"/>
      <c r="R29" s="7"/>
      <c r="S29" s="7"/>
      <c r="T29" s="7"/>
      <c r="U29" s="7"/>
      <c r="V29" s="7"/>
    </row>
    <row r="30" spans="1:22" s="185" customFormat="1" ht="30.75" customHeight="1">
      <c r="A30" s="7"/>
      <c r="B30" s="211" t="s">
        <v>505</v>
      </c>
      <c r="C30" s="188">
        <v>2</v>
      </c>
      <c r="D30" s="188">
        <v>2</v>
      </c>
      <c r="E30" s="188">
        <v>3</v>
      </c>
      <c r="F30" s="188">
        <v>3</v>
      </c>
      <c r="G30" s="74"/>
      <c r="H30" s="74"/>
      <c r="I30" s="74"/>
      <c r="J30" s="74"/>
      <c r="K30" s="74"/>
      <c r="L30" s="74"/>
      <c r="M30" s="74"/>
      <c r="N30" s="74"/>
      <c r="O30" s="74"/>
      <c r="P30" s="74"/>
      <c r="Q30" s="74"/>
      <c r="R30" s="7"/>
      <c r="S30" s="7"/>
      <c r="T30" s="7"/>
      <c r="U30" s="7"/>
      <c r="V30" s="7"/>
    </row>
    <row r="31" spans="1:22" s="185" customFormat="1" ht="43.5" customHeight="1">
      <c r="A31" s="7"/>
      <c r="B31" s="211" t="s">
        <v>506</v>
      </c>
      <c r="C31" s="188">
        <v>2</v>
      </c>
      <c r="D31" s="188">
        <v>2</v>
      </c>
      <c r="E31" s="188">
        <v>3</v>
      </c>
      <c r="F31" s="188">
        <v>3</v>
      </c>
      <c r="G31" s="74"/>
      <c r="H31" s="74"/>
      <c r="I31" s="74"/>
      <c r="J31" s="74"/>
      <c r="K31" s="74"/>
      <c r="L31" s="74"/>
      <c r="M31" s="74"/>
      <c r="N31" s="74"/>
      <c r="O31" s="74"/>
      <c r="P31" s="74"/>
      <c r="Q31" s="74"/>
      <c r="R31" s="7"/>
      <c r="S31" s="7"/>
      <c r="T31" s="7"/>
      <c r="U31" s="7"/>
      <c r="V31" s="7"/>
    </row>
    <row r="32" spans="1:22" s="185" customFormat="1" ht="34.5" customHeight="1">
      <c r="A32" s="7"/>
      <c r="B32" s="211" t="s">
        <v>507</v>
      </c>
      <c r="C32" s="188">
        <v>2</v>
      </c>
      <c r="D32" s="188">
        <v>2</v>
      </c>
      <c r="E32" s="188">
        <v>3</v>
      </c>
      <c r="F32" s="188">
        <v>3</v>
      </c>
      <c r="G32" s="74"/>
      <c r="H32" s="74"/>
      <c r="I32" s="74"/>
      <c r="J32" s="74"/>
      <c r="K32" s="74"/>
      <c r="L32" s="74"/>
      <c r="M32" s="74"/>
      <c r="N32" s="74"/>
      <c r="O32" s="74"/>
      <c r="P32" s="74"/>
      <c r="Q32" s="74"/>
      <c r="R32" s="7"/>
      <c r="S32" s="7"/>
      <c r="T32" s="7"/>
      <c r="U32" s="7"/>
      <c r="V32" s="7"/>
    </row>
    <row r="33" spans="1:25" s="185" customFormat="1" ht="33.75" customHeight="1">
      <c r="A33" s="7"/>
      <c r="B33" s="211" t="s">
        <v>508</v>
      </c>
      <c r="C33" s="188">
        <v>2</v>
      </c>
      <c r="D33" s="188">
        <v>3</v>
      </c>
      <c r="E33" s="188">
        <v>3</v>
      </c>
      <c r="F33" s="188">
        <v>3</v>
      </c>
      <c r="G33" s="74"/>
      <c r="H33" s="74"/>
      <c r="I33" s="74"/>
      <c r="J33" s="74"/>
      <c r="K33" s="74"/>
      <c r="L33" s="74"/>
      <c r="M33" s="74"/>
      <c r="N33" s="74"/>
      <c r="O33" s="74"/>
      <c r="P33" s="74"/>
      <c r="Q33" s="74"/>
      <c r="R33" s="7"/>
      <c r="S33" s="7"/>
      <c r="T33" s="7"/>
      <c r="U33" s="7"/>
      <c r="V33" s="7"/>
    </row>
    <row r="34" spans="1:25" s="185" customFormat="1" ht="28.5" customHeight="1">
      <c r="A34" s="7"/>
      <c r="B34" s="211" t="s">
        <v>509</v>
      </c>
      <c r="C34" s="188">
        <v>2</v>
      </c>
      <c r="D34" s="188">
        <v>3</v>
      </c>
      <c r="E34" s="188">
        <v>3</v>
      </c>
      <c r="F34" s="188">
        <v>3</v>
      </c>
      <c r="G34" s="74"/>
      <c r="H34" s="74"/>
      <c r="I34" s="74"/>
      <c r="J34" s="74"/>
      <c r="K34" s="74"/>
      <c r="L34" s="74"/>
      <c r="M34" s="74"/>
      <c r="N34" s="74"/>
      <c r="O34" s="74"/>
      <c r="P34" s="74"/>
      <c r="Q34" s="74"/>
      <c r="R34" s="7"/>
      <c r="S34" s="7"/>
      <c r="T34" s="7"/>
      <c r="U34" s="7"/>
      <c r="V34" s="7"/>
    </row>
    <row r="35" spans="1:25" s="185" customFormat="1" ht="54.75" customHeight="1">
      <c r="A35" s="20"/>
      <c r="B35" s="211" t="s">
        <v>510</v>
      </c>
      <c r="C35" s="189">
        <v>2</v>
      </c>
      <c r="D35" s="189">
        <v>2</v>
      </c>
      <c r="E35" s="189">
        <v>2</v>
      </c>
      <c r="F35" s="189">
        <v>3</v>
      </c>
      <c r="G35" s="88"/>
      <c r="H35" s="88"/>
      <c r="I35" s="88"/>
      <c r="J35" s="88"/>
      <c r="K35" s="88"/>
      <c r="L35" s="88"/>
      <c r="M35" s="88"/>
      <c r="N35" s="88"/>
      <c r="O35" s="88"/>
      <c r="P35" s="88"/>
      <c r="Q35" s="88"/>
      <c r="R35" s="20"/>
      <c r="S35" s="20"/>
      <c r="T35" s="20"/>
      <c r="U35" s="20"/>
      <c r="V35" s="20"/>
    </row>
    <row r="36" spans="1:25" ht="58.5" customHeight="1">
      <c r="A36" s="20"/>
      <c r="B36" s="211" t="s">
        <v>511</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442</v>
      </c>
      <c r="D41" s="15" t="s">
        <v>443</v>
      </c>
      <c r="E41" s="15" t="s">
        <v>444</v>
      </c>
      <c r="F41" s="15" t="s">
        <v>445</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2" t="s">
        <v>446</v>
      </c>
      <c r="D46" s="203" t="s">
        <v>447</v>
      </c>
      <c r="E46" s="204" t="s">
        <v>448</v>
      </c>
      <c r="F46" s="19" t="s">
        <v>449</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450</v>
      </c>
      <c r="D47" s="16" t="s">
        <v>451</v>
      </c>
      <c r="E47" s="19" t="s">
        <v>452</v>
      </c>
      <c r="F47" s="19" t="s">
        <v>453</v>
      </c>
      <c r="G47" s="24"/>
      <c r="H47" s="24"/>
      <c r="I47" s="24"/>
      <c r="J47" s="24"/>
      <c r="K47" s="24"/>
      <c r="L47" s="24"/>
      <c r="M47" s="24"/>
      <c r="N47" s="24"/>
      <c r="O47" s="24"/>
      <c r="P47" s="24"/>
      <c r="Q47" s="24"/>
      <c r="R47" s="24"/>
      <c r="S47" s="24"/>
      <c r="T47" s="24"/>
      <c r="U47" s="24"/>
      <c r="V47" s="24"/>
      <c r="W47" s="24"/>
      <c r="X47" s="24"/>
      <c r="Y47" s="24"/>
    </row>
    <row r="48" spans="1:25" s="76" customFormat="1" ht="20.25" customHeight="1">
      <c r="A48" s="74"/>
      <c r="B48" s="18" t="s">
        <v>565</v>
      </c>
      <c r="C48" s="18"/>
      <c r="D48" s="18"/>
      <c r="E48" s="18"/>
      <c r="F48" s="18"/>
      <c r="G48" s="367"/>
      <c r="H48" s="75"/>
      <c r="I48" s="75"/>
      <c r="J48" s="75"/>
      <c r="K48" s="75"/>
      <c r="L48" s="75"/>
      <c r="M48" s="75"/>
      <c r="N48" s="75"/>
      <c r="O48" s="75"/>
      <c r="P48" s="75"/>
      <c r="Q48" s="75"/>
      <c r="R48" s="75"/>
      <c r="S48" s="75"/>
      <c r="T48" s="75"/>
      <c r="U48" s="75"/>
      <c r="V48" s="75"/>
    </row>
    <row r="49" spans="1:23" s="217" customFormat="1" ht="98.25" customHeight="1">
      <c r="A49" s="7"/>
      <c r="B49" s="10" t="s">
        <v>637</v>
      </c>
      <c r="C49" s="368" t="s">
        <v>638</v>
      </c>
      <c r="D49" s="368" t="s">
        <v>639</v>
      </c>
      <c r="E49" s="368" t="s">
        <v>640</v>
      </c>
      <c r="F49" s="211"/>
      <c r="G49" s="364"/>
      <c r="H49" s="9"/>
      <c r="I49" s="9"/>
      <c r="J49" s="9"/>
      <c r="K49" s="9"/>
      <c r="L49" s="9"/>
      <c r="M49" s="9"/>
      <c r="N49" s="9"/>
      <c r="O49" s="74"/>
      <c r="P49" s="74"/>
      <c r="Q49" s="74"/>
      <c r="R49" s="74"/>
      <c r="S49" s="7"/>
      <c r="T49" s="7"/>
      <c r="U49" s="7"/>
      <c r="V49" s="7"/>
      <c r="W49" s="7"/>
    </row>
    <row r="50" spans="1:23" s="217" customFormat="1" ht="81.75" customHeight="1">
      <c r="A50" s="7"/>
      <c r="B50" s="10" t="s">
        <v>571</v>
      </c>
      <c r="C50" s="369" t="s">
        <v>646</v>
      </c>
      <c r="D50" s="368" t="s">
        <v>647</v>
      </c>
      <c r="E50" s="368" t="s">
        <v>648</v>
      </c>
      <c r="F50" s="211"/>
      <c r="G50" s="364"/>
      <c r="H50" s="9"/>
      <c r="I50" s="9"/>
      <c r="J50" s="9"/>
      <c r="K50" s="9"/>
      <c r="L50" s="9"/>
      <c r="M50" s="9"/>
      <c r="N50" s="9"/>
      <c r="O50" s="74"/>
      <c r="P50" s="74"/>
      <c r="Q50" s="74"/>
      <c r="R50" s="74"/>
      <c r="S50" s="7"/>
      <c r="T50" s="7"/>
      <c r="U50" s="7"/>
      <c r="V50" s="7"/>
      <c r="W50" s="7"/>
    </row>
    <row r="51" spans="1:23" s="217" customFormat="1" ht="210" customHeight="1">
      <c r="A51" s="7"/>
      <c r="B51" s="10" t="s">
        <v>574</v>
      </c>
      <c r="C51" s="368" t="s">
        <v>649</v>
      </c>
      <c r="D51" s="368" t="s">
        <v>641</v>
      </c>
      <c r="E51" s="368" t="s">
        <v>642</v>
      </c>
      <c r="F51" s="216"/>
      <c r="G51" s="364"/>
      <c r="H51" s="9"/>
      <c r="I51" s="9"/>
      <c r="J51" s="9"/>
      <c r="K51" s="9"/>
      <c r="L51" s="9"/>
      <c r="M51" s="9"/>
      <c r="N51" s="9"/>
      <c r="O51" s="74"/>
      <c r="P51" s="74"/>
      <c r="Q51" s="74"/>
      <c r="R51" s="74"/>
      <c r="S51" s="7"/>
      <c r="T51" s="7"/>
      <c r="U51" s="7"/>
      <c r="V51" s="7"/>
      <c r="W51" s="7"/>
    </row>
    <row r="52" spans="1:23" s="217" customFormat="1" ht="180.75" customHeight="1">
      <c r="A52" s="7"/>
      <c r="B52" s="10" t="s">
        <v>579</v>
      </c>
      <c r="C52" s="368" t="s">
        <v>643</v>
      </c>
      <c r="D52" s="368" t="s">
        <v>644</v>
      </c>
      <c r="E52" s="368" t="s">
        <v>645</v>
      </c>
      <c r="F52" s="218"/>
      <c r="G52" s="364"/>
      <c r="H52" s="9"/>
      <c r="I52" s="9"/>
      <c r="J52" s="9"/>
      <c r="K52" s="9"/>
      <c r="L52" s="9"/>
      <c r="M52" s="9"/>
      <c r="N52" s="9"/>
      <c r="O52" s="74"/>
      <c r="P52" s="74"/>
      <c r="Q52" s="74"/>
      <c r="R52" s="74"/>
      <c r="S52" s="7"/>
      <c r="T52" s="7"/>
      <c r="U52" s="7"/>
      <c r="V52" s="7"/>
      <c r="W52" s="7"/>
    </row>
    <row r="53" spans="1:23" ht="14.25" customHeight="1">
      <c r="A53" s="7"/>
      <c r="B53" s="7"/>
      <c r="C53" s="9"/>
      <c r="D53" s="9"/>
      <c r="E53" s="9"/>
      <c r="F53" s="9"/>
      <c r="G53" s="9"/>
      <c r="H53" s="9"/>
      <c r="I53" s="9"/>
      <c r="J53" s="9"/>
      <c r="K53" s="9"/>
      <c r="L53" s="9"/>
      <c r="M53" s="9"/>
      <c r="N53" s="9"/>
      <c r="O53" s="9"/>
      <c r="P53" s="9"/>
      <c r="Q53" s="9"/>
      <c r="R53" s="9"/>
      <c r="S53" s="9"/>
      <c r="T53" s="9"/>
    </row>
    <row r="54" spans="1:23" ht="14.25" customHeight="1">
      <c r="A54" s="7"/>
      <c r="B54" s="283" t="s">
        <v>52</v>
      </c>
      <c r="C54" s="258"/>
      <c r="D54" s="258"/>
      <c r="E54" s="258"/>
      <c r="F54" s="258"/>
      <c r="G54" s="9"/>
      <c r="H54" s="9"/>
      <c r="I54" s="9"/>
      <c r="J54" s="9"/>
      <c r="K54" s="9"/>
      <c r="L54" s="9"/>
      <c r="M54" s="9"/>
      <c r="N54" s="9"/>
      <c r="O54" s="9"/>
      <c r="P54" s="9"/>
      <c r="Q54" s="9"/>
      <c r="R54" s="9"/>
      <c r="S54" s="9"/>
      <c r="T54" s="9"/>
    </row>
    <row r="55" spans="1:23" ht="59.25" customHeight="1">
      <c r="A55" s="7"/>
      <c r="B55" s="11" t="s">
        <v>53</v>
      </c>
      <c r="C55" s="284" t="s">
        <v>54</v>
      </c>
      <c r="D55" s="285"/>
      <c r="E55" s="285"/>
      <c r="F55" s="286"/>
      <c r="G55" s="100"/>
      <c r="H55" s="100"/>
      <c r="I55" s="100"/>
      <c r="J55" s="100"/>
      <c r="K55" s="100"/>
      <c r="L55" s="100"/>
      <c r="M55" s="100"/>
      <c r="N55" s="100"/>
      <c r="O55" s="100"/>
      <c r="P55" s="100"/>
      <c r="Q55" s="100"/>
      <c r="R55" s="100"/>
      <c r="S55" s="100"/>
      <c r="T55" s="100"/>
      <c r="U55" s="101"/>
    </row>
    <row r="56" spans="1:23" ht="84" customHeight="1">
      <c r="A56" s="7"/>
      <c r="B56" s="11" t="s">
        <v>55</v>
      </c>
      <c r="C56" s="287" t="s">
        <v>56</v>
      </c>
      <c r="D56" s="288"/>
      <c r="E56" s="288"/>
      <c r="F56" s="289"/>
      <c r="G56" s="102"/>
      <c r="H56" s="102"/>
      <c r="I56" s="102"/>
      <c r="J56" s="102"/>
      <c r="K56" s="102"/>
      <c r="L56" s="102"/>
      <c r="M56" s="102"/>
      <c r="N56" s="102"/>
      <c r="O56" s="102"/>
      <c r="P56" s="102"/>
      <c r="Q56" s="102"/>
      <c r="R56" s="102"/>
      <c r="S56" s="103"/>
      <c r="T56" s="103"/>
      <c r="U56" s="101"/>
    </row>
    <row r="57" spans="1:23" ht="78.95" customHeight="1">
      <c r="A57" s="7"/>
      <c r="B57" s="11" t="s">
        <v>57</v>
      </c>
      <c r="C57" s="290" t="s">
        <v>58</v>
      </c>
      <c r="D57" s="291"/>
      <c r="E57" s="291"/>
      <c r="F57" s="292"/>
      <c r="G57" s="100"/>
      <c r="H57" s="100"/>
      <c r="I57" s="100"/>
      <c r="J57" s="100"/>
      <c r="K57" s="100"/>
      <c r="L57" s="100"/>
      <c r="M57" s="100"/>
      <c r="N57" s="100"/>
      <c r="O57" s="100"/>
      <c r="P57" s="100"/>
      <c r="Q57" s="100"/>
      <c r="R57" s="100"/>
      <c r="S57" s="100"/>
      <c r="T57" s="100"/>
      <c r="U57" s="101"/>
    </row>
    <row r="58" spans="1:23" ht="14.25" customHeight="1">
      <c r="A58" s="7"/>
      <c r="B58" s="7"/>
      <c r="C58" s="103"/>
      <c r="D58" s="103"/>
      <c r="E58" s="103"/>
      <c r="F58" s="103"/>
      <c r="G58" s="9"/>
      <c r="H58" s="9"/>
      <c r="I58" s="9"/>
      <c r="J58" s="9"/>
      <c r="K58" s="9"/>
      <c r="L58" s="9"/>
      <c r="M58" s="9"/>
      <c r="N58" s="9"/>
      <c r="O58" s="9"/>
      <c r="P58" s="9"/>
      <c r="Q58" s="9"/>
      <c r="R58" s="9"/>
      <c r="S58" s="9"/>
      <c r="T58" s="9"/>
    </row>
    <row r="59" spans="1:23" ht="14.25" customHeight="1">
      <c r="A59" s="7"/>
      <c r="B59" s="7"/>
      <c r="C59" s="9"/>
      <c r="D59" s="9"/>
      <c r="E59" s="9"/>
      <c r="F59" s="9"/>
      <c r="G59" s="9"/>
      <c r="H59" s="9"/>
      <c r="I59" s="9"/>
      <c r="J59" s="9"/>
      <c r="K59" s="9"/>
      <c r="L59" s="9"/>
      <c r="M59" s="9"/>
      <c r="N59" s="9"/>
      <c r="O59" s="9"/>
      <c r="P59" s="9"/>
      <c r="Q59" s="9"/>
      <c r="R59" s="9"/>
      <c r="S59" s="9"/>
      <c r="T59" s="9"/>
    </row>
    <row r="60" spans="1:23" ht="14.25" customHeight="1">
      <c r="A60" s="7"/>
      <c r="B60" s="7"/>
      <c r="C60" s="9"/>
      <c r="D60" s="9"/>
      <c r="E60" s="9"/>
      <c r="F60" s="9"/>
      <c r="G60" s="9"/>
      <c r="H60" s="9"/>
      <c r="I60" s="9"/>
      <c r="J60" s="9"/>
      <c r="K60" s="9"/>
      <c r="L60" s="9"/>
      <c r="M60" s="9"/>
      <c r="N60" s="9"/>
      <c r="O60" s="9"/>
      <c r="P60" s="9"/>
      <c r="Q60" s="9"/>
      <c r="R60" s="9"/>
      <c r="S60" s="9"/>
      <c r="T60" s="9"/>
    </row>
    <row r="61" spans="1:23" ht="14.25" customHeight="1">
      <c r="A61" s="7"/>
      <c r="B61" s="7"/>
      <c r="C61" s="9"/>
      <c r="D61" s="9"/>
      <c r="E61" s="9"/>
      <c r="F61" s="9"/>
      <c r="G61" s="9"/>
      <c r="H61" s="9"/>
      <c r="I61" s="9"/>
      <c r="J61" s="9"/>
      <c r="K61" s="9"/>
      <c r="L61" s="9"/>
      <c r="M61" s="9"/>
      <c r="N61" s="9"/>
      <c r="O61" s="9"/>
      <c r="P61" s="9"/>
      <c r="Q61" s="9"/>
      <c r="R61" s="9"/>
      <c r="S61" s="9"/>
      <c r="T61" s="9"/>
    </row>
    <row r="62" spans="1:23" ht="14.25" customHeight="1">
      <c r="A62" s="7"/>
      <c r="B62" s="7"/>
      <c r="C62" s="9"/>
      <c r="D62" s="9"/>
      <c r="E62" s="9"/>
      <c r="F62" s="9"/>
      <c r="G62" s="9"/>
      <c r="H62" s="9"/>
      <c r="I62" s="9"/>
      <c r="J62" s="9"/>
      <c r="K62" s="9"/>
      <c r="L62" s="9"/>
      <c r="M62" s="9"/>
      <c r="N62" s="9"/>
      <c r="O62" s="9"/>
      <c r="P62" s="9"/>
      <c r="Q62" s="9"/>
      <c r="R62" s="9"/>
      <c r="S62" s="9"/>
      <c r="T62" s="9"/>
    </row>
    <row r="63" spans="1:23" ht="14.25" customHeight="1">
      <c r="A63" s="7"/>
      <c r="B63" s="7"/>
      <c r="C63" s="9"/>
      <c r="D63" s="9"/>
      <c r="E63" s="9"/>
      <c r="F63" s="9"/>
      <c r="G63" s="9"/>
      <c r="H63" s="9"/>
      <c r="I63" s="9"/>
      <c r="J63" s="9"/>
      <c r="K63" s="9"/>
      <c r="L63" s="9"/>
      <c r="M63" s="9"/>
      <c r="N63" s="9"/>
      <c r="O63" s="9"/>
      <c r="P63" s="9"/>
      <c r="Q63" s="9"/>
      <c r="R63" s="9"/>
      <c r="S63" s="9"/>
      <c r="T63" s="9"/>
    </row>
    <row r="64" spans="1:23" ht="14.25" customHeight="1">
      <c r="A64" s="7"/>
      <c r="B64" s="7"/>
      <c r="C64" s="9"/>
      <c r="D64" s="9"/>
      <c r="E64" s="9"/>
      <c r="F64" s="9"/>
      <c r="G64" s="9"/>
      <c r="H64" s="9"/>
      <c r="I64" s="9"/>
      <c r="J64" s="9"/>
      <c r="K64" s="9"/>
      <c r="L64" s="9"/>
      <c r="M64" s="9"/>
      <c r="N64" s="9"/>
      <c r="O64" s="9"/>
      <c r="P64" s="9"/>
      <c r="Q64" s="9"/>
      <c r="R64" s="9"/>
      <c r="S64" s="9"/>
      <c r="T64" s="9"/>
    </row>
    <row r="65" spans="1:20" ht="14.25" customHeight="1">
      <c r="A65" s="7"/>
      <c r="B65" s="7"/>
      <c r="C65" s="9"/>
      <c r="D65" s="9"/>
      <c r="E65" s="9"/>
      <c r="F65" s="9"/>
      <c r="G65" s="9"/>
      <c r="H65" s="9"/>
      <c r="I65" s="9"/>
      <c r="J65" s="9"/>
      <c r="K65" s="9"/>
      <c r="L65" s="9"/>
      <c r="M65" s="9"/>
      <c r="N65" s="9"/>
      <c r="O65" s="9"/>
      <c r="P65" s="9"/>
      <c r="Q65" s="9"/>
      <c r="R65" s="9"/>
      <c r="S65" s="9"/>
      <c r="T65" s="9"/>
    </row>
    <row r="66" spans="1:20" ht="14.25" customHeight="1">
      <c r="A66" s="7"/>
      <c r="B66" s="7"/>
    </row>
    <row r="67" spans="1:20" ht="14.25" customHeight="1">
      <c r="A67" s="7"/>
      <c r="B67" s="7"/>
    </row>
    <row r="68" spans="1:20" ht="14.25" customHeight="1">
      <c r="A68" s="7"/>
      <c r="B68" s="7"/>
    </row>
    <row r="69" spans="1:20" ht="14.25" customHeight="1">
      <c r="A69" s="7"/>
      <c r="B69" s="7"/>
    </row>
    <row r="70" spans="1:20" ht="14.25" customHeight="1">
      <c r="A70" s="7"/>
      <c r="B70" s="7"/>
    </row>
    <row r="71" spans="1:20" ht="14.25" customHeight="1">
      <c r="A71" s="7"/>
      <c r="B71" s="7"/>
    </row>
    <row r="72" spans="1:20" ht="14.25" customHeight="1">
      <c r="A72" s="7"/>
      <c r="B72" s="7"/>
    </row>
    <row r="73" spans="1:20" ht="14.25" customHeight="1">
      <c r="A73" s="7"/>
      <c r="B73" s="7"/>
    </row>
    <row r="74" spans="1:20" ht="14.25" customHeight="1">
      <c r="A74" s="7"/>
      <c r="B74" s="7"/>
    </row>
    <row r="75" spans="1:20" ht="14.25" customHeight="1">
      <c r="A75" s="7"/>
      <c r="B75" s="7"/>
    </row>
    <row r="76" spans="1:20" ht="14.25" customHeight="1">
      <c r="A76" s="7"/>
      <c r="B76" s="7"/>
    </row>
    <row r="77" spans="1:20" ht="14.25" customHeight="1">
      <c r="A77" s="7"/>
      <c r="B77" s="7"/>
    </row>
    <row r="78" spans="1:20" ht="14.25" customHeight="1">
      <c r="A78" s="7"/>
      <c r="B78" s="7"/>
    </row>
    <row r="79" spans="1:20" ht="14.25" customHeight="1">
      <c r="A79" s="7"/>
      <c r="B79" s="7"/>
    </row>
    <row r="80" spans="1:20"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row r="999" spans="1:2" ht="14.25" customHeight="1">
      <c r="A999" s="7"/>
      <c r="B999" s="7"/>
    </row>
    <row r="1000" spans="1:2" ht="14.25" customHeight="1">
      <c r="A1000" s="7"/>
      <c r="B1000" s="7"/>
    </row>
    <row r="1001" spans="1:2" ht="14.25" customHeight="1">
      <c r="A1001" s="7"/>
      <c r="B1001" s="7"/>
    </row>
  </sheetData>
  <mergeCells count="8">
    <mergeCell ref="C56:F56"/>
    <mergeCell ref="C57:F57"/>
    <mergeCell ref="B1:B4"/>
    <mergeCell ref="C1:E4"/>
    <mergeCell ref="C5:F5"/>
    <mergeCell ref="C6:F6"/>
    <mergeCell ref="B54:F54"/>
    <mergeCell ref="C55:F55"/>
  </mergeCells>
  <pageMargins left="0.7" right="0.7" top="0.75" bottom="0.75" header="0" footer="0"/>
  <pageSetup paperSize="9"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33"/>
      <c r="C1" s="334" t="s">
        <v>8</v>
      </c>
      <c r="D1" s="334"/>
      <c r="E1" s="26" t="s">
        <v>155</v>
      </c>
    </row>
    <row r="2" spans="1:5" s="27" customFormat="1" ht="19.350000000000001" customHeight="1">
      <c r="A2" s="25"/>
      <c r="B2" s="333"/>
      <c r="C2" s="334"/>
      <c r="D2" s="334"/>
      <c r="E2" s="107" t="s">
        <v>9</v>
      </c>
    </row>
    <row r="3" spans="1:5" s="27" customFormat="1" ht="19.350000000000001" customHeight="1">
      <c r="A3" s="25"/>
      <c r="B3" s="333"/>
      <c r="C3" s="334"/>
      <c r="D3" s="334"/>
      <c r="E3" s="107" t="s">
        <v>10</v>
      </c>
    </row>
    <row r="4" spans="1:5" s="27" customFormat="1" ht="19.350000000000001" customHeight="1">
      <c r="A4" s="25"/>
      <c r="B4" s="333"/>
      <c r="C4" s="334"/>
      <c r="D4" s="334"/>
      <c r="E4" s="107" t="s">
        <v>11</v>
      </c>
    </row>
    <row r="5" spans="1:5" ht="14.45" customHeight="1">
      <c r="B5" s="29" t="s">
        <v>12</v>
      </c>
      <c r="C5" s="335"/>
      <c r="D5" s="336"/>
      <c r="E5" s="337"/>
    </row>
    <row r="6" spans="1:5" ht="14.45" customHeight="1">
      <c r="B6" s="31" t="s">
        <v>13</v>
      </c>
      <c r="C6" s="338" t="s">
        <v>240</v>
      </c>
      <c r="D6" s="339"/>
      <c r="E6" s="340"/>
    </row>
    <row r="7" spans="1:5" ht="15.75">
      <c r="B7" s="31" t="s">
        <v>15</v>
      </c>
      <c r="C7" s="32" t="s">
        <v>235</v>
      </c>
      <c r="D7" s="341" t="s">
        <v>236</v>
      </c>
      <c r="E7" s="342"/>
    </row>
    <row r="8" spans="1:5" ht="15.75">
      <c r="B8" s="31" t="s">
        <v>16</v>
      </c>
      <c r="C8" s="126" t="s">
        <v>237</v>
      </c>
      <c r="D8" s="343" t="s">
        <v>238</v>
      </c>
      <c r="E8" s="344"/>
    </row>
    <row r="9" spans="1:5" ht="15.75">
      <c r="B9" s="31" t="s">
        <v>17</v>
      </c>
      <c r="C9" s="33" t="s">
        <v>238</v>
      </c>
      <c r="D9" s="345" t="s">
        <v>188</v>
      </c>
      <c r="E9" s="346"/>
    </row>
    <row r="10" spans="1:5" s="36" customFormat="1" ht="20.45" customHeight="1">
      <c r="A10" s="34"/>
      <c r="B10" s="35" t="s">
        <v>18</v>
      </c>
      <c r="C10" s="29"/>
      <c r="D10" s="347"/>
      <c r="E10" s="348"/>
    </row>
    <row r="11" spans="1:5" s="36" customFormat="1" ht="93.75" customHeight="1">
      <c r="A11" s="34"/>
      <c r="B11" s="31" t="s">
        <v>19</v>
      </c>
      <c r="C11" s="142" t="s">
        <v>311</v>
      </c>
      <c r="D11" s="349" t="s">
        <v>312</v>
      </c>
      <c r="E11" s="350"/>
    </row>
    <row r="12" spans="1:5" ht="289.5" customHeight="1">
      <c r="B12" s="327" t="s">
        <v>20</v>
      </c>
      <c r="C12" s="321" t="s">
        <v>242</v>
      </c>
      <c r="D12" s="323" t="s">
        <v>243</v>
      </c>
      <c r="E12" s="324"/>
    </row>
    <row r="13" spans="1:5" ht="54" hidden="1" customHeight="1">
      <c r="B13" s="328"/>
      <c r="C13" s="322"/>
      <c r="D13" s="325"/>
      <c r="E13" s="326"/>
    </row>
    <row r="14" spans="1:5" s="39" customFormat="1" ht="15.75">
      <c r="A14" s="37"/>
      <c r="B14" s="38" t="s">
        <v>21</v>
      </c>
      <c r="C14" s="16" t="s">
        <v>22</v>
      </c>
      <c r="D14" s="329" t="s">
        <v>22</v>
      </c>
      <c r="E14" s="330"/>
    </row>
    <row r="15" spans="1:5" s="39" customFormat="1" ht="31.5">
      <c r="A15" s="37"/>
      <c r="B15" s="38" t="s">
        <v>23</v>
      </c>
      <c r="C15" s="16" t="s">
        <v>22</v>
      </c>
      <c r="D15" s="329" t="s">
        <v>22</v>
      </c>
      <c r="E15" s="330"/>
    </row>
    <row r="16" spans="1:5" ht="21" customHeight="1">
      <c r="B16" s="40" t="s">
        <v>24</v>
      </c>
      <c r="C16" s="41"/>
      <c r="D16" s="351"/>
      <c r="E16" s="352"/>
    </row>
    <row r="17" spans="1:21" ht="207" customHeight="1">
      <c r="B17" s="10" t="s">
        <v>115</v>
      </c>
      <c r="C17" s="143" t="s">
        <v>244</v>
      </c>
      <c r="D17" s="353" t="s">
        <v>245</v>
      </c>
      <c r="E17" s="354"/>
    </row>
    <row r="18" spans="1:21" ht="15.75">
      <c r="B18" s="31" t="s">
        <v>25</v>
      </c>
      <c r="C18" s="42"/>
      <c r="D18" s="319"/>
      <c r="E18" s="352"/>
    </row>
    <row r="19" spans="1:21" s="146" customFormat="1" ht="24" customHeight="1">
      <c r="A19" s="7"/>
      <c r="B19" s="93" t="s">
        <v>100</v>
      </c>
      <c r="C19" s="127">
        <v>2</v>
      </c>
      <c r="D19" s="355">
        <v>2</v>
      </c>
      <c r="E19" s="356"/>
      <c r="F19" s="74"/>
      <c r="G19" s="74"/>
      <c r="H19" s="74"/>
      <c r="I19" s="74"/>
      <c r="J19" s="74"/>
      <c r="K19" s="74"/>
      <c r="L19" s="74"/>
      <c r="M19" s="74"/>
      <c r="N19" s="74"/>
      <c r="O19" s="74"/>
      <c r="P19" s="74"/>
      <c r="Q19" s="7"/>
      <c r="R19" s="7"/>
      <c r="S19" s="7"/>
      <c r="T19" s="7"/>
      <c r="U19" s="7"/>
    </row>
    <row r="20" spans="1:21" s="146" customFormat="1" ht="24" customHeight="1">
      <c r="A20" s="7"/>
      <c r="B20" s="93" t="s">
        <v>101</v>
      </c>
      <c r="C20" s="147">
        <v>2</v>
      </c>
      <c r="D20" s="331">
        <v>3</v>
      </c>
      <c r="E20" s="332"/>
      <c r="F20" s="74"/>
      <c r="G20" s="74"/>
      <c r="H20" s="74"/>
      <c r="I20" s="74"/>
      <c r="J20" s="74"/>
      <c r="K20" s="74"/>
      <c r="L20" s="74"/>
      <c r="M20" s="74"/>
      <c r="N20" s="74"/>
      <c r="O20" s="74"/>
      <c r="P20" s="74"/>
      <c r="Q20" s="7"/>
      <c r="R20" s="7"/>
      <c r="S20" s="7"/>
      <c r="T20" s="7"/>
      <c r="U20" s="7"/>
    </row>
    <row r="21" spans="1:21" s="146" customFormat="1" ht="24" customHeight="1">
      <c r="A21" s="7"/>
      <c r="B21" s="93" t="s">
        <v>102</v>
      </c>
      <c r="C21" s="147">
        <v>2</v>
      </c>
      <c r="D21" s="331">
        <v>3</v>
      </c>
      <c r="E21" s="332"/>
      <c r="F21" s="74"/>
      <c r="G21" s="74"/>
      <c r="H21" s="74"/>
      <c r="I21" s="74"/>
      <c r="J21" s="74"/>
      <c r="K21" s="74"/>
      <c r="L21" s="74"/>
      <c r="M21" s="74"/>
      <c r="N21" s="74"/>
      <c r="O21" s="74"/>
      <c r="P21" s="74"/>
      <c r="Q21" s="7"/>
      <c r="R21" s="7"/>
      <c r="S21" s="7"/>
      <c r="T21" s="7"/>
      <c r="U21" s="7"/>
    </row>
    <row r="22" spans="1:21" s="146" customFormat="1" ht="24" customHeight="1">
      <c r="A22" s="7"/>
      <c r="B22" s="93" t="s">
        <v>103</v>
      </c>
      <c r="C22" s="147">
        <v>2</v>
      </c>
      <c r="D22" s="331">
        <v>3</v>
      </c>
      <c r="E22" s="332"/>
      <c r="F22" s="74"/>
      <c r="G22" s="74"/>
      <c r="H22" s="74"/>
      <c r="I22" s="74"/>
      <c r="J22" s="74"/>
      <c r="K22" s="74"/>
      <c r="L22" s="74"/>
      <c r="M22" s="74"/>
      <c r="N22" s="74"/>
      <c r="O22" s="74"/>
      <c r="P22" s="74"/>
      <c r="Q22" s="7"/>
      <c r="R22" s="7"/>
      <c r="S22" s="7"/>
      <c r="T22" s="7"/>
      <c r="U22" s="7"/>
    </row>
    <row r="23" spans="1:21" s="146" customFormat="1" ht="24" customHeight="1">
      <c r="A23" s="7"/>
      <c r="B23" s="93" t="s">
        <v>104</v>
      </c>
      <c r="C23" s="147">
        <v>3</v>
      </c>
      <c r="D23" s="331">
        <v>3</v>
      </c>
      <c r="E23" s="332"/>
      <c r="F23" s="74"/>
      <c r="G23" s="74"/>
      <c r="H23" s="74"/>
      <c r="I23" s="74"/>
      <c r="J23" s="74"/>
      <c r="K23" s="74"/>
      <c r="L23" s="74"/>
      <c r="M23" s="74"/>
      <c r="N23" s="74"/>
      <c r="O23" s="74"/>
      <c r="P23" s="74"/>
      <c r="Q23" s="7"/>
      <c r="R23" s="7"/>
      <c r="S23" s="7"/>
      <c r="T23" s="7"/>
      <c r="U23" s="7"/>
    </row>
    <row r="24" spans="1:21" s="146" customFormat="1" ht="24" customHeight="1">
      <c r="A24" s="7"/>
      <c r="B24" s="93" t="s">
        <v>105</v>
      </c>
      <c r="C24" s="147">
        <v>2</v>
      </c>
      <c r="D24" s="331">
        <v>3</v>
      </c>
      <c r="E24" s="332"/>
      <c r="F24" s="74"/>
      <c r="G24" s="74"/>
      <c r="H24" s="74"/>
      <c r="I24" s="74"/>
      <c r="J24" s="74"/>
      <c r="K24" s="74"/>
      <c r="L24" s="74"/>
      <c r="M24" s="74"/>
      <c r="N24" s="74"/>
      <c r="O24" s="74"/>
      <c r="P24" s="74"/>
      <c r="Q24" s="7"/>
      <c r="R24" s="7"/>
      <c r="S24" s="7"/>
      <c r="T24" s="7"/>
      <c r="U24" s="7"/>
    </row>
    <row r="25" spans="1:21" s="146" customFormat="1" ht="24" customHeight="1">
      <c r="A25" s="7"/>
      <c r="B25" s="93" t="s">
        <v>106</v>
      </c>
      <c r="C25" s="147">
        <v>3</v>
      </c>
      <c r="D25" s="331">
        <v>3</v>
      </c>
      <c r="E25" s="332"/>
      <c r="F25" s="74"/>
      <c r="G25" s="74"/>
      <c r="H25" s="74"/>
      <c r="I25" s="74"/>
      <c r="J25" s="74"/>
      <c r="K25" s="74"/>
      <c r="L25" s="74"/>
      <c r="M25" s="74"/>
      <c r="N25" s="74"/>
      <c r="O25" s="74"/>
      <c r="P25" s="74"/>
      <c r="Q25" s="7"/>
      <c r="R25" s="7"/>
      <c r="S25" s="7"/>
      <c r="T25" s="7"/>
      <c r="U25" s="7"/>
    </row>
    <row r="26" spans="1:21" s="146" customFormat="1" ht="24" customHeight="1">
      <c r="A26" s="7"/>
      <c r="B26" s="93" t="s">
        <v>107</v>
      </c>
      <c r="C26" s="147">
        <v>1</v>
      </c>
      <c r="D26" s="331">
        <v>2</v>
      </c>
      <c r="E26" s="332"/>
      <c r="F26" s="74"/>
      <c r="G26" s="74"/>
      <c r="H26" s="74"/>
      <c r="I26" s="74"/>
      <c r="J26" s="74"/>
      <c r="K26" s="74"/>
      <c r="L26" s="74"/>
      <c r="M26" s="74"/>
      <c r="N26" s="74"/>
      <c r="O26" s="74"/>
      <c r="P26" s="74"/>
      <c r="Q26" s="7"/>
      <c r="R26" s="7"/>
      <c r="S26" s="7"/>
      <c r="T26" s="7"/>
      <c r="U26" s="7"/>
    </row>
    <row r="27" spans="1:21" s="146" customFormat="1" ht="24" customHeight="1">
      <c r="A27" s="7"/>
      <c r="B27" s="93" t="s">
        <v>108</v>
      </c>
      <c r="C27" s="147">
        <v>2</v>
      </c>
      <c r="D27" s="331">
        <v>3</v>
      </c>
      <c r="E27" s="332"/>
      <c r="F27" s="74"/>
      <c r="G27" s="74"/>
      <c r="H27" s="74"/>
      <c r="I27" s="74"/>
      <c r="J27" s="74"/>
      <c r="K27" s="74"/>
      <c r="L27" s="74"/>
      <c r="M27" s="74"/>
      <c r="N27" s="74"/>
      <c r="O27" s="74"/>
      <c r="P27" s="74"/>
      <c r="Q27" s="7"/>
      <c r="R27" s="7"/>
      <c r="S27" s="7"/>
      <c r="T27" s="7"/>
      <c r="U27" s="7"/>
    </row>
    <row r="28" spans="1:21" s="146" customFormat="1" ht="24" customHeight="1">
      <c r="A28" s="7"/>
      <c r="B28" s="93" t="s">
        <v>109</v>
      </c>
      <c r="C28" s="147">
        <v>2</v>
      </c>
      <c r="D28" s="331">
        <v>2</v>
      </c>
      <c r="E28" s="332"/>
      <c r="F28" s="74"/>
      <c r="G28" s="74"/>
      <c r="H28" s="74"/>
      <c r="I28" s="74"/>
      <c r="J28" s="74"/>
      <c r="K28" s="74"/>
      <c r="L28" s="74"/>
      <c r="M28" s="74"/>
      <c r="N28" s="74"/>
      <c r="O28" s="74"/>
      <c r="P28" s="74"/>
      <c r="Q28" s="7"/>
      <c r="R28" s="7"/>
      <c r="S28" s="7"/>
      <c r="T28" s="7"/>
      <c r="U28" s="7"/>
    </row>
    <row r="29" spans="1:21" s="146" customFormat="1" ht="24" customHeight="1">
      <c r="A29" s="7"/>
      <c r="B29" s="93" t="s">
        <v>177</v>
      </c>
      <c r="C29" s="147">
        <v>3</v>
      </c>
      <c r="D29" s="331">
        <v>3</v>
      </c>
      <c r="E29" s="331"/>
      <c r="F29" s="74"/>
      <c r="G29" s="74"/>
      <c r="H29" s="74"/>
      <c r="I29" s="74"/>
      <c r="J29" s="74"/>
      <c r="K29" s="74"/>
      <c r="L29" s="74"/>
      <c r="M29" s="74"/>
      <c r="N29" s="74"/>
      <c r="O29" s="74"/>
      <c r="P29" s="74"/>
      <c r="Q29" s="7"/>
      <c r="R29" s="7"/>
      <c r="S29" s="7"/>
      <c r="T29" s="7"/>
      <c r="U29" s="7"/>
    </row>
    <row r="30" spans="1:21" s="146" customFormat="1" ht="30.75" customHeight="1">
      <c r="A30" s="7"/>
      <c r="B30" s="93" t="s">
        <v>183</v>
      </c>
      <c r="C30" s="147">
        <v>2</v>
      </c>
      <c r="D30" s="331">
        <v>3</v>
      </c>
      <c r="E30" s="332"/>
      <c r="F30" s="74"/>
      <c r="G30" s="74"/>
      <c r="H30" s="74"/>
      <c r="I30" s="74"/>
      <c r="J30" s="74"/>
      <c r="K30" s="74"/>
      <c r="L30" s="74"/>
      <c r="M30" s="74"/>
      <c r="N30" s="74"/>
      <c r="O30" s="74"/>
      <c r="P30" s="74"/>
      <c r="Q30" s="7"/>
      <c r="R30" s="7"/>
      <c r="S30" s="7"/>
      <c r="T30" s="7"/>
      <c r="U30" s="7"/>
    </row>
    <row r="31" spans="1:21" s="146" customFormat="1" ht="33.75" customHeight="1">
      <c r="A31" s="7"/>
      <c r="B31" s="93" t="s">
        <v>110</v>
      </c>
      <c r="C31" s="147">
        <v>2</v>
      </c>
      <c r="D31" s="331">
        <v>2</v>
      </c>
      <c r="E31" s="332"/>
      <c r="F31" s="74"/>
      <c r="G31" s="74"/>
      <c r="H31" s="74"/>
      <c r="I31" s="74"/>
      <c r="J31" s="74"/>
      <c r="K31" s="74"/>
      <c r="L31" s="74"/>
      <c r="M31" s="74"/>
      <c r="N31" s="74"/>
      <c r="O31" s="74"/>
      <c r="P31" s="74"/>
      <c r="Q31" s="7"/>
      <c r="R31" s="7"/>
      <c r="S31" s="7"/>
      <c r="T31" s="7"/>
      <c r="U31" s="7"/>
    </row>
    <row r="32" spans="1:21" s="146" customFormat="1" ht="24" customHeight="1">
      <c r="A32" s="7"/>
      <c r="B32" s="93" t="s">
        <v>111</v>
      </c>
      <c r="C32" s="147">
        <v>2</v>
      </c>
      <c r="D32" s="331">
        <v>3</v>
      </c>
      <c r="E32" s="332"/>
      <c r="F32" s="74"/>
      <c r="G32" s="74"/>
      <c r="H32" s="74"/>
      <c r="I32" s="74"/>
      <c r="J32" s="74"/>
      <c r="K32" s="74"/>
      <c r="L32" s="74"/>
      <c r="M32" s="74"/>
      <c r="N32" s="74"/>
      <c r="O32" s="74"/>
      <c r="P32" s="74"/>
      <c r="Q32" s="7"/>
      <c r="R32" s="7"/>
      <c r="S32" s="7"/>
      <c r="T32" s="7"/>
      <c r="U32" s="7"/>
    </row>
    <row r="33" spans="1:21" s="146" customFormat="1" ht="24" customHeight="1">
      <c r="A33" s="7"/>
      <c r="B33" s="93" t="s">
        <v>112</v>
      </c>
      <c r="C33" s="147">
        <v>3</v>
      </c>
      <c r="D33" s="331">
        <v>3</v>
      </c>
      <c r="E33" s="332"/>
      <c r="F33" s="74"/>
      <c r="G33" s="74"/>
      <c r="H33" s="74"/>
      <c r="I33" s="74"/>
      <c r="J33" s="74"/>
      <c r="K33" s="74"/>
      <c r="L33" s="74"/>
      <c r="M33" s="74"/>
      <c r="N33" s="74"/>
      <c r="O33" s="74"/>
      <c r="P33" s="74"/>
      <c r="Q33" s="7"/>
      <c r="R33" s="7"/>
      <c r="S33" s="7"/>
      <c r="T33" s="7"/>
      <c r="U33" s="7"/>
    </row>
    <row r="34" spans="1:21" s="146" customFormat="1" ht="24" customHeight="1">
      <c r="A34" s="7"/>
      <c r="B34" s="93" t="s">
        <v>113</v>
      </c>
      <c r="C34" s="147">
        <v>3</v>
      </c>
      <c r="D34" s="331">
        <v>3</v>
      </c>
      <c r="E34" s="332"/>
      <c r="F34" s="74"/>
      <c r="G34" s="74"/>
      <c r="H34" s="74"/>
      <c r="I34" s="74"/>
      <c r="J34" s="74"/>
      <c r="K34" s="74"/>
      <c r="L34" s="74"/>
      <c r="M34" s="74"/>
      <c r="N34" s="74"/>
      <c r="O34" s="74"/>
      <c r="P34" s="74"/>
      <c r="Q34" s="7"/>
      <c r="R34" s="7"/>
      <c r="S34" s="7"/>
      <c r="T34" s="7"/>
      <c r="U34" s="7"/>
    </row>
    <row r="35" spans="1:21" s="146" customFormat="1" ht="39" customHeight="1">
      <c r="A35" s="20"/>
      <c r="B35" s="93" t="s">
        <v>178</v>
      </c>
      <c r="C35" s="148">
        <v>2</v>
      </c>
      <c r="D35" s="357">
        <v>3</v>
      </c>
      <c r="E35" s="357"/>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9">
        <v>2</v>
      </c>
      <c r="E36" s="360"/>
    </row>
    <row r="37" spans="1:21" ht="17.45" customHeight="1">
      <c r="B37" s="40" t="s">
        <v>26</v>
      </c>
      <c r="C37" s="41"/>
      <c r="D37" s="129"/>
      <c r="E37" s="117"/>
    </row>
    <row r="38" spans="1:21" ht="29.25" customHeight="1">
      <c r="B38" s="31" t="s">
        <v>27</v>
      </c>
      <c r="C38" s="77" t="s">
        <v>28</v>
      </c>
      <c r="D38" s="309" t="s">
        <v>28</v>
      </c>
      <c r="E38" s="358"/>
    </row>
    <row r="39" spans="1:21" ht="15.75" customHeight="1">
      <c r="B39" s="31" t="s">
        <v>29</v>
      </c>
      <c r="C39" s="145" t="s">
        <v>30</v>
      </c>
      <c r="D39" s="309" t="s">
        <v>30</v>
      </c>
      <c r="E39" s="310"/>
    </row>
    <row r="40" spans="1:21" ht="17.45" customHeight="1">
      <c r="B40" s="31" t="s">
        <v>31</v>
      </c>
      <c r="C40" s="145" t="s">
        <v>32</v>
      </c>
      <c r="D40" s="309" t="s">
        <v>67</v>
      </c>
      <c r="E40" s="310"/>
    </row>
    <row r="41" spans="1:21" ht="15.75">
      <c r="B41" s="31" t="s">
        <v>33</v>
      </c>
      <c r="C41" s="145" t="s">
        <v>35</v>
      </c>
      <c r="D41" s="311" t="s">
        <v>213</v>
      </c>
      <c r="E41" s="312"/>
    </row>
    <row r="42" spans="1:21" ht="15.75">
      <c r="B42" s="31" t="s">
        <v>38</v>
      </c>
      <c r="C42" s="150"/>
      <c r="D42" s="309"/>
      <c r="E42" s="310"/>
    </row>
    <row r="43" spans="1:21" ht="15.75" customHeight="1">
      <c r="B43" s="31" t="s">
        <v>42</v>
      </c>
      <c r="C43" s="145" t="s">
        <v>68</v>
      </c>
      <c r="D43" s="309" t="s">
        <v>69</v>
      </c>
      <c r="E43" s="310"/>
    </row>
    <row r="44" spans="1:21" ht="15.75">
      <c r="B44" s="40" t="s">
        <v>46</v>
      </c>
      <c r="C44" s="149"/>
      <c r="D44" s="313"/>
      <c r="E44" s="314"/>
    </row>
    <row r="45" spans="1:21" ht="15.75">
      <c r="B45" s="31" t="s">
        <v>47</v>
      </c>
      <c r="C45" s="150"/>
      <c r="D45" s="309"/>
      <c r="E45" s="310"/>
    </row>
    <row r="46" spans="1:21" s="47" customFormat="1" ht="66.75" customHeight="1">
      <c r="A46" s="46"/>
      <c r="B46" s="31" t="s">
        <v>48</v>
      </c>
      <c r="C46" s="145" t="s">
        <v>246</v>
      </c>
      <c r="D46" s="317" t="s">
        <v>247</v>
      </c>
      <c r="E46" s="318"/>
    </row>
    <row r="47" spans="1:21" s="47" customFormat="1" ht="78.75">
      <c r="A47" s="46"/>
      <c r="B47" s="31" t="s">
        <v>49</v>
      </c>
      <c r="C47" s="150" t="s">
        <v>249</v>
      </c>
      <c r="D47" s="319" t="s">
        <v>248</v>
      </c>
      <c r="E47" s="320"/>
    </row>
    <row r="48" spans="1:21" ht="20.45" customHeight="1">
      <c r="B48" s="48" t="s">
        <v>50</v>
      </c>
      <c r="C48" s="149"/>
      <c r="D48" s="149"/>
      <c r="E48" s="131"/>
    </row>
    <row r="49" spans="2:19" ht="94.5" customHeight="1">
      <c r="B49" s="31" t="s">
        <v>51</v>
      </c>
      <c r="C49" s="144" t="s">
        <v>250</v>
      </c>
      <c r="D49" s="315" t="s">
        <v>251</v>
      </c>
      <c r="E49" s="316"/>
    </row>
    <row r="50" spans="2:19">
      <c r="C50" s="130"/>
      <c r="D50" s="303"/>
      <c r="E50" s="304"/>
    </row>
    <row r="51" spans="2:19">
      <c r="B51" s="118" t="s">
        <v>52</v>
      </c>
      <c r="C51" s="119"/>
      <c r="D51" s="303"/>
      <c r="E51" s="304"/>
    </row>
    <row r="52" spans="2:19" ht="59.45" customHeight="1">
      <c r="B52" s="81" t="s">
        <v>53</v>
      </c>
      <c r="C52" s="132" t="s">
        <v>54</v>
      </c>
      <c r="D52" s="305"/>
      <c r="E52" s="306"/>
      <c r="F52" s="100"/>
      <c r="G52" s="100"/>
      <c r="H52" s="100"/>
      <c r="I52" s="100"/>
      <c r="J52" s="100"/>
      <c r="K52" s="100"/>
      <c r="L52" s="100"/>
      <c r="M52" s="100"/>
      <c r="N52" s="100"/>
      <c r="O52" s="100"/>
      <c r="P52" s="100"/>
      <c r="Q52" s="100"/>
      <c r="R52" s="100"/>
      <c r="S52" s="100"/>
    </row>
    <row r="53" spans="2:19" ht="59.45" customHeight="1">
      <c r="B53" s="43" t="s">
        <v>55</v>
      </c>
      <c r="C53" s="116" t="s">
        <v>56</v>
      </c>
      <c r="D53" s="307"/>
      <c r="E53" s="308"/>
      <c r="F53" s="100"/>
      <c r="G53" s="100"/>
      <c r="H53" s="100"/>
      <c r="I53" s="100"/>
      <c r="J53" s="100"/>
      <c r="K53" s="100"/>
      <c r="L53" s="100"/>
      <c r="M53" s="100"/>
      <c r="N53" s="100"/>
      <c r="O53" s="100"/>
      <c r="P53" s="100"/>
      <c r="Q53" s="100"/>
      <c r="R53" s="100"/>
      <c r="S53" s="100"/>
    </row>
    <row r="54" spans="2:19" ht="59.45" customHeight="1">
      <c r="B54" s="43" t="s">
        <v>57</v>
      </c>
      <c r="C54" s="115" t="s">
        <v>58</v>
      </c>
      <c r="D54" s="307"/>
      <c r="E54" s="308"/>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9"/>
      <c r="C1" s="361" t="s">
        <v>8</v>
      </c>
      <c r="D1" s="5" t="s">
        <v>156</v>
      </c>
    </row>
    <row r="2" spans="1:4" ht="18.75" customHeight="1">
      <c r="A2" s="4"/>
      <c r="B2" s="250"/>
      <c r="C2" s="250"/>
      <c r="D2" s="106" t="s">
        <v>9</v>
      </c>
    </row>
    <row r="3" spans="1:4" ht="18.75" customHeight="1">
      <c r="A3" s="4"/>
      <c r="B3" s="250"/>
      <c r="C3" s="250"/>
      <c r="D3" s="106" t="s">
        <v>10</v>
      </c>
    </row>
    <row r="4" spans="1:4" ht="14.1" customHeight="1">
      <c r="A4" s="4"/>
      <c r="B4" s="251"/>
      <c r="C4" s="251"/>
      <c r="D4" s="106" t="s">
        <v>11</v>
      </c>
    </row>
    <row r="5" spans="1:4" ht="14.25" customHeight="1">
      <c r="A5" s="7"/>
      <c r="B5" s="8" t="s">
        <v>12</v>
      </c>
      <c r="C5" s="234"/>
      <c r="D5" s="261"/>
    </row>
    <row r="6" spans="1:4" ht="25.7" customHeight="1">
      <c r="A6" s="7"/>
      <c r="B6" s="10" t="s">
        <v>13</v>
      </c>
      <c r="C6" s="237" t="s">
        <v>356</v>
      </c>
      <c r="D6" s="261"/>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62" t="s">
        <v>147</v>
      </c>
      <c r="D11" s="363"/>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44" t="s">
        <v>195</v>
      </c>
      <c r="D45" s="246"/>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1" t="s">
        <v>200</v>
      </c>
      <c r="D49" s="141" t="s">
        <v>201</v>
      </c>
    </row>
    <row r="50" spans="1:4" ht="14.25" customHeight="1">
      <c r="A50" s="7"/>
      <c r="B50" s="7"/>
      <c r="C50" s="9"/>
      <c r="D50" s="9"/>
    </row>
    <row r="51" spans="1:4" ht="14.25" customHeight="1">
      <c r="A51" s="7"/>
      <c r="B51" s="283" t="s">
        <v>52</v>
      </c>
      <c r="C51" s="258"/>
      <c r="D51" s="258"/>
    </row>
    <row r="52" spans="1:4" ht="59.25" customHeight="1">
      <c r="A52" s="7"/>
      <c r="B52" s="11" t="s">
        <v>53</v>
      </c>
      <c r="C52" s="284" t="s">
        <v>54</v>
      </c>
      <c r="D52" s="286"/>
    </row>
    <row r="53" spans="1:4" ht="84" customHeight="1">
      <c r="A53" s="7"/>
      <c r="B53" s="11" t="s">
        <v>55</v>
      </c>
      <c r="C53" s="287" t="s">
        <v>56</v>
      </c>
      <c r="D53" s="289"/>
    </row>
    <row r="54" spans="1:4" ht="78.95" customHeight="1">
      <c r="A54" s="7"/>
      <c r="B54" s="11" t="s">
        <v>57</v>
      </c>
      <c r="C54" s="290" t="s">
        <v>58</v>
      </c>
      <c r="D54" s="292"/>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2025-12-19T08:19:36Z</dcterms:modified>
  <cp:category/>
  <cp:contentStatus/>
</cp:coreProperties>
</file>