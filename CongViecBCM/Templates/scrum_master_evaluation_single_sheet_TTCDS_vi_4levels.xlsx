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rum Master Evaluation" sheetId="1" r:id="rId1"/>
  </sheets>
  <calcPr calcId="124519" fullCalcOnLoad="1"/>
</workbook>
</file>

<file path=xl/sharedStrings.xml><?xml version="1.0" encoding="utf-8"?>
<sst xmlns="http://schemas.openxmlformats.org/spreadsheetml/2006/main" count="45" uniqueCount="45">
  <si>
    <t>PHIẾU ĐÁNH GIÁ SCRUM MASTER - SINGLE SHEET</t>
  </si>
  <si>
    <t>Họ tên:</t>
  </si>
  <si>
    <t>Level hiện tại (SM1–SM4):</t>
  </si>
  <si>
    <t>Kỳ đánh giá:</t>
  </si>
  <si>
    <t>STT</t>
  </si>
  <si>
    <t>Kỹ năng / Skill (Scrum Master)</t>
  </si>
  <si>
    <t>Trọng số (%)</t>
  </si>
  <si>
    <t>Điểm (1–3)</t>
  </si>
  <si>
    <t>Điểm quy đổi</t>
  </si>
  <si>
    <t>Ghi chú</t>
  </si>
  <si>
    <t>Hiểu rõ nguyên lý và giá trị Agile, Scrum</t>
  </si>
  <si>
    <t>Nắm vững vai trò, sự kiện và artefact trong Scrum</t>
  </si>
  <si>
    <t>Lập kế hoạch Sprint và hỗ trợ xây dựng Sprint Goal</t>
  </si>
  <si>
    <t>Dẫn dắt Daily Scrum hiệu quả</t>
  </si>
  <si>
    <t>Dẫn dắt Sprint Review và kết nối với Stakeholder</t>
  </si>
  <si>
    <t>Dẫn dắt Sprint Retrospective và thúc đẩy cải tiến liên tục</t>
  </si>
  <si>
    <t>Bảo vệ team khỏi gián đoạn và quản lý impediments</t>
  </si>
  <si>
    <t>Theo dõi và sử dụng các chỉ số (velocity, burndown, lead time, v.v.) để hỗ trợ team</t>
  </si>
  <si>
    <t>Kỹ năng facilitation (workshop, họp, thảo luận nhóm)</t>
  </si>
  <si>
    <t>Kỹ năng giao tiếp và lắng nghe với Dev, PO, Business và lãnh đạo</t>
  </si>
  <si>
    <t>Hỗ trợ Product Owner trong quản lý và refinement Product Backlog</t>
  </si>
  <si>
    <t>Coaching team về tự tổ chức và tự quản lý</t>
  </si>
  <si>
    <t>Quản lý xung đột và xây dựng môi trường làm việc tin cậy</t>
  </si>
  <si>
    <t>Huấn luyện tổ chức về Agile/Scrum (training nội bộ, chia sẻ kiến thức)</t>
  </si>
  <si>
    <t>Dẫn dắt nhiều team Scrum hoặc Scrum of Scrums</t>
  </si>
  <si>
    <t>Tham gia thiết kế và hoàn thiện quy trình phát triển sản phẩm ở cấp tổ chức</t>
  </si>
  <si>
    <t>Đo lường và cải tiến mức độ trưởng thành Agile của team/đơn vị</t>
  </si>
  <si>
    <t>Thúc đẩy văn hóa học hỏi, cải tiến và cộng tác liên phòng ban</t>
  </si>
  <si>
    <t>Tổng trọng số:</t>
  </si>
  <si>
    <t>Tổng điểm (theo trọng số):</t>
  </si>
  <si>
    <t>Điểm % (0–100):</t>
  </si>
  <si>
    <t>Gợi ý phân loại level (SM1–SM4):</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</si>
  <si>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</si>
  <si>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</si>
  <si>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</si>
  <si>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</si>
  <si>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</si>
  <si>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</si>
  <si>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SM1–SM4 (có thể điều chỉnh): &lt;60=SM1; 60–69=SM2; 70–79=SM3; ≥80=SM4.</t>
  </si>
  <si>
    <t>Hướng dẫn sử dụng tóm tắt:</t>
  </si>
  <si>
    <t>B1: Điền Họ tên, Level hiện tại (SM1–SM4),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</si>
  <si>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</si>
  <si>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</si>
  <si>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(SM1–SM4)' để tham khảo đề xuất level.</t>
  </si>
  <si>
    <t>B5: Kết hợp kết quả này với đánh giá định tính (thái độ, vai trò dự án, mức độ chủ động và tinh thần trách nhiệm) trước khi ra quyết định chính thức.</t>
  </si>
</sst>
</file>

<file path=xl/styles.xml><?xml version="1.0" encoding="utf-8"?>
<styleSheet xmlns="http://schemas.openxmlformats.org/spreadsheetml/2006/main">
  <fonts count="4">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width="6.7109375" customWidth="1"/>
    <col min="2" max="2" width="75.7109375" customWidth="1"/>
    <col min="3" max="3" width="12.7109375" customWidth="1"/>
    <col min="4" max="4" width="14.7109375" customWidth="1"/>
    <col min="5" max="5" width="16.7109375" customWidth="1"/>
    <col min="6" max="6" width="30.7109375" customWidth="1"/>
  </cols>
  <sheetData>
    <row r="1" spans="1:6">
      <c r="A1" s="1" t="s">
        <v>0</v>
      </c>
    </row>
    <row r="3" spans="1:6">
      <c r="A3" t="s">
        <v>1</v>
      </c>
      <c r="D3" t="s">
        <v>2</v>
      </c>
      <c r="F3" t="s">
        <v>3</v>
      </c>
    </row>
    <row r="5" spans="1:6">
      <c r="A5" s="2" t="s">
        <v>4</v>
      </c>
      <c r="B5" s="2" t="s">
        <v>5</v>
      </c>
      <c r="C5" s="2" t="s">
        <v>6</v>
      </c>
      <c r="D5" s="2" t="s">
        <v>7</v>
      </c>
      <c r="E5" s="2" t="s">
        <v>8</v>
      </c>
      <c r="F5" s="2" t="s">
        <v>9</v>
      </c>
    </row>
    <row r="6" spans="1:6">
      <c r="A6" s="3">
        <v>1</v>
      </c>
      <c r="B6" s="4" t="s">
        <v>10</v>
      </c>
      <c r="C6" s="3">
        <v>7</v>
      </c>
      <c r="D6" s="3"/>
      <c r="E6" s="3">
        <f>IF(D6="","",D6/3*C6)</f>
        <v>0</v>
      </c>
      <c r="F6" s="3"/>
    </row>
    <row r="7" spans="1:6">
      <c r="A7" s="3">
        <v>2</v>
      </c>
      <c r="B7" s="4" t="s">
        <v>11</v>
      </c>
      <c r="C7" s="3">
        <v>7</v>
      </c>
      <c r="D7" s="3"/>
      <c r="E7" s="3">
        <f>IF(D7="","",D7/3*C7)</f>
        <v>0</v>
      </c>
      <c r="F7" s="3"/>
    </row>
    <row r="8" spans="1:6">
      <c r="A8" s="3">
        <v>3</v>
      </c>
      <c r="B8" s="4" t="s">
        <v>12</v>
      </c>
      <c r="C8" s="3">
        <v>7</v>
      </c>
      <c r="D8" s="3"/>
      <c r="E8" s="3">
        <f>IF(D8="","",D8/3*C8)</f>
        <v>0</v>
      </c>
      <c r="F8" s="3"/>
    </row>
    <row r="9" spans="1:6">
      <c r="A9" s="3">
        <v>4</v>
      </c>
      <c r="B9" s="4" t="s">
        <v>13</v>
      </c>
      <c r="C9" s="3">
        <v>7</v>
      </c>
      <c r="D9" s="3"/>
      <c r="E9" s="3">
        <f>IF(D9="","",D9/3*C9)</f>
        <v>0</v>
      </c>
      <c r="F9" s="3"/>
    </row>
    <row r="10" spans="1:6">
      <c r="A10" s="3">
        <v>5</v>
      </c>
      <c r="B10" s="4" t="s">
        <v>14</v>
      </c>
      <c r="C10" s="3">
        <v>7</v>
      </c>
      <c r="D10" s="3"/>
      <c r="E10" s="3">
        <f>IF(D10="","",D10/3*C10)</f>
        <v>0</v>
      </c>
      <c r="F10" s="3"/>
    </row>
    <row r="11" spans="1:6">
      <c r="A11" s="3">
        <v>6</v>
      </c>
      <c r="B11" s="4" t="s">
        <v>15</v>
      </c>
      <c r="C11" s="3">
        <v>7</v>
      </c>
      <c r="D11" s="3"/>
      <c r="E11" s="3">
        <f>IF(D11="","",D11/3*C11)</f>
        <v>0</v>
      </c>
      <c r="F11" s="3"/>
    </row>
    <row r="12" spans="1:6">
      <c r="A12" s="3">
        <v>7</v>
      </c>
      <c r="B12" s="4" t="s">
        <v>16</v>
      </c>
      <c r="C12" s="3">
        <v>7</v>
      </c>
      <c r="D12" s="3"/>
      <c r="E12" s="3">
        <f>IF(D12="","",D12/3*C12)</f>
        <v>0</v>
      </c>
      <c r="F12" s="3"/>
    </row>
    <row r="13" spans="1:6">
      <c r="A13" s="3">
        <v>8</v>
      </c>
      <c r="B13" s="4" t="s">
        <v>17</v>
      </c>
      <c r="C13" s="3">
        <v>6</v>
      </c>
      <c r="D13" s="3"/>
      <c r="E13" s="3">
        <f>IF(D13="","",D13/3*C13)</f>
        <v>0</v>
      </c>
      <c r="F13" s="3"/>
    </row>
    <row r="14" spans="1:6">
      <c r="A14" s="3">
        <v>9</v>
      </c>
      <c r="B14" s="4" t="s">
        <v>18</v>
      </c>
      <c r="C14" s="3">
        <v>5</v>
      </c>
      <c r="D14" s="3"/>
      <c r="E14" s="3">
        <f>IF(D14="","",D14/3*C14)</f>
        <v>0</v>
      </c>
      <c r="F14" s="3"/>
    </row>
    <row r="15" spans="1:6">
      <c r="A15" s="3">
        <v>10</v>
      </c>
      <c r="B15" s="4" t="s">
        <v>19</v>
      </c>
      <c r="C15" s="3">
        <v>5</v>
      </c>
      <c r="D15" s="3"/>
      <c r="E15" s="3">
        <f>IF(D15="","",D15/3*C15)</f>
        <v>0</v>
      </c>
      <c r="F15" s="3"/>
    </row>
    <row r="16" spans="1:6">
      <c r="A16" s="3">
        <v>11</v>
      </c>
      <c r="B16" s="4" t="s">
        <v>20</v>
      </c>
      <c r="C16" s="3">
        <v>5</v>
      </c>
      <c r="D16" s="3"/>
      <c r="E16" s="3">
        <f>IF(D16="","",D16/3*C16)</f>
        <v>0</v>
      </c>
      <c r="F16" s="3"/>
    </row>
    <row r="17" spans="1:6">
      <c r="A17" s="3">
        <v>12</v>
      </c>
      <c r="B17" s="4" t="s">
        <v>21</v>
      </c>
      <c r="C17" s="3">
        <v>5</v>
      </c>
      <c r="D17" s="3"/>
      <c r="E17" s="3">
        <f>IF(D17="","",D17/3*C17)</f>
        <v>0</v>
      </c>
      <c r="F17" s="3"/>
    </row>
    <row r="18" spans="1:6">
      <c r="A18" s="3">
        <v>13</v>
      </c>
      <c r="B18" s="4" t="s">
        <v>22</v>
      </c>
      <c r="C18" s="3">
        <v>5</v>
      </c>
      <c r="D18" s="3"/>
      <c r="E18" s="3">
        <f>IF(D18="","",D18/3*C18)</f>
        <v>0</v>
      </c>
      <c r="F18" s="3"/>
    </row>
    <row r="19" spans="1:6">
      <c r="A19" s="3">
        <v>14</v>
      </c>
      <c r="B19" s="4" t="s">
        <v>23</v>
      </c>
      <c r="C19" s="3">
        <v>4</v>
      </c>
      <c r="D19" s="3"/>
      <c r="E19" s="3">
        <f>IF(D19="","",D19/3*C19)</f>
        <v>0</v>
      </c>
      <c r="F19" s="3"/>
    </row>
    <row r="20" spans="1:6">
      <c r="A20" s="3">
        <v>15</v>
      </c>
      <c r="B20" s="4" t="s">
        <v>24</v>
      </c>
      <c r="C20" s="3">
        <v>4</v>
      </c>
      <c r="D20" s="3"/>
      <c r="E20" s="3">
        <f>IF(D20="","",D20/3*C20)</f>
        <v>0</v>
      </c>
      <c r="F20" s="3"/>
    </row>
    <row r="21" spans="1:6">
      <c r="A21" s="3">
        <v>16</v>
      </c>
      <c r="B21" s="4" t="s">
        <v>25</v>
      </c>
      <c r="C21" s="3">
        <v>4</v>
      </c>
      <c r="D21" s="3"/>
      <c r="E21" s="3">
        <f>IF(D21="","",D21/3*C21)</f>
        <v>0</v>
      </c>
      <c r="F21" s="3"/>
    </row>
    <row r="22" spans="1:6">
      <c r="A22" s="3">
        <v>17</v>
      </c>
      <c r="B22" s="4" t="s">
        <v>26</v>
      </c>
      <c r="C22" s="3">
        <v>4</v>
      </c>
      <c r="D22" s="3"/>
      <c r="E22" s="3">
        <f>IF(D22="","",D22/3*C22)</f>
        <v>0</v>
      </c>
      <c r="F22" s="3"/>
    </row>
    <row r="23" spans="1:6">
      <c r="A23" s="3">
        <v>18</v>
      </c>
      <c r="B23" s="4" t="s">
        <v>27</v>
      </c>
      <c r="C23" s="3">
        <v>4</v>
      </c>
      <c r="D23" s="3"/>
      <c r="E23" s="3">
        <f>IF(D23="","",D23/3*C23)</f>
        <v>0</v>
      </c>
      <c r="F23" s="3"/>
    </row>
    <row r="25" spans="1:6">
      <c r="B25" s="5" t="s">
        <v>28</v>
      </c>
      <c r="C25" s="3">
        <f>SUM(C6:C23)</f>
        <v>0</v>
      </c>
      <c r="D25" s="5" t="s">
        <v>29</v>
      </c>
      <c r="E25" s="3">
        <f>SUM(E6:E23)</f>
        <v>0</v>
      </c>
    </row>
    <row r="26" spans="1:6">
      <c r="D26" s="5" t="s">
        <v>30</v>
      </c>
      <c r="E26" s="3">
        <f>IF(C25=0,"",E25/C25*100)</f>
        <v>0</v>
      </c>
    </row>
    <row r="27" spans="1:6">
      <c r="D27" s="5" t="s">
        <v>31</v>
      </c>
      <c r="E27" s="3">
        <f>IF(E26="","",IF(E26&gt;=80,"Đề xuất SM4",IF(E26&gt;=70,"Đề xuất SM3",IF(E26&gt;=60,"Đề xuất SM2","Đề xuất SM1"))))</f>
        <v>0</v>
      </c>
    </row>
    <row r="29" spans="1:6">
      <c r="A29" s="5" t="s">
        <v>32</v>
      </c>
    </row>
    <row r="30" spans="1:6">
      <c r="A30" s="6" t="s">
        <v>33</v>
      </c>
    </row>
    <row r="31" spans="1:6">
      <c r="A31" s="6" t="s">
        <v>34</v>
      </c>
    </row>
    <row r="32" spans="1:6">
      <c r="A32" s="6" t="s">
        <v>35</v>
      </c>
    </row>
    <row r="33" spans="1:1">
      <c r="A33" s="6" t="s">
        <v>36</v>
      </c>
    </row>
    <row r="35" spans="1:1">
      <c r="A35" s="6" t="s">
        <v>37</v>
      </c>
    </row>
    <row r="36" spans="1:1">
      <c r="A36" s="6" t="s">
        <v>38</v>
      </c>
    </row>
    <row r="38" spans="1:1">
      <c r="A38" s="5" t="s">
        <v>39</v>
      </c>
    </row>
    <row r="39" spans="1:1">
      <c r="A39" s="6" t="s">
        <v>40</v>
      </c>
    </row>
    <row r="40" spans="1:1">
      <c r="A40" s="6" t="s">
        <v>41</v>
      </c>
    </row>
    <row r="41" spans="1:1">
      <c r="A41" s="6" t="s">
        <v>42</v>
      </c>
    </row>
    <row r="42" spans="1:1">
      <c r="A42" s="6" t="s">
        <v>43</v>
      </c>
    </row>
    <row r="43" spans="1:1">
      <c r="A43" s="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Scrum Master 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2025-12-17T07:32:58Z</dcterms:created>
  <dcterms:modified xsi:type="dcterms:W3CDTF">2025-12-17T07:32:58Z</dcterms:modified>
</cp:coreProperties>
</file>