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vOps Evaluation" sheetId="1" r:id="rId1"/>
  </sheets>
  <calcPr calcId="124519" fullCalcOnLoad="1"/>
</workbook>
</file>

<file path=xl/sharedStrings.xml><?xml version="1.0" encoding="utf-8"?>
<sst xmlns="http://schemas.openxmlformats.org/spreadsheetml/2006/main" count="45" uniqueCount="45">
  <si>
    <t>PHIẾU ĐÁNH GIÁ DEVOPS ENGINEER - SINGLE SHEET</t>
  </si>
  <si>
    <t>Họ tên:</t>
  </si>
  <si>
    <t>Level hiện tại (DevOps1–DevOps4):</t>
  </si>
  <si>
    <t>Kỳ đánh giá:</t>
  </si>
  <si>
    <t>STT</t>
  </si>
  <si>
    <t>Kỹ năng / Skill (DevOps Engineer)</t>
  </si>
  <si>
    <t>Trọng số (%)</t>
  </si>
  <si>
    <t>Điểm (1–3)</t>
  </si>
  <si>
    <t>Điểm quy đổi</t>
  </si>
  <si>
    <t>Ghi chú</t>
  </si>
  <si>
    <t>Hiểu biết nền tảng về hệ điều hành, mạng và kiến trúc hệ thống</t>
  </si>
  <si>
    <t>Quản lý máy chủ, container và môi trường chạy ứng dụng (VM, Docker, v.v.)</t>
  </si>
  <si>
    <t>Thiết lập và vận hành pipeline CI/CD</t>
  </si>
  <si>
    <t>Giám sát hệ thống (monitoring) và logging</t>
  </si>
  <si>
    <t>Hạ tầng như mã (Infrastructure as Code – IaC)</t>
  </si>
  <si>
    <t>Bảo mật cơ bản trong triển khai và vận hành (DevSecOps cơ bản)</t>
  </si>
  <si>
    <t>Quản lý cấu hình và biến môi trường cho các môi trường (dev/test/prod)</t>
  </si>
  <si>
    <t>Xử lý sự cố và khắc phục sự cố (incident handling &amp; troubleshooting)</t>
  </si>
  <si>
    <t>Làm việc với hạ tầng cloud/on-prem (máy ảo, storage, load balancer, v.v.)</t>
  </si>
  <si>
    <t>Tự động hóa bằng script (Bash, PowerShell, Python, v.v.)</t>
  </si>
  <si>
    <t>Quản lý mã nguồn và quy trình nhánh (Git, branching strategy)</t>
  </si>
  <si>
    <t>Phối hợp với Dev, Tester, PO/BA trong quá trình phát triển và triển khai</t>
  </si>
  <si>
    <t>Viết tài liệu vận hành, runbook và hướng dẫn sử dụng hệ thống</t>
  </si>
  <si>
    <t>Thiết kế kiến trúc CI/CD và quy trình release cho nhiều hệ thống</t>
  </si>
  <si>
    <t>Thiết kế kiến trúc quan sát tổng thể (monitoring, logging, alerting) cho hệ thống</t>
  </si>
  <si>
    <t>Thiết kế và tối ưu chi phí hạ tầng (scaling, tối ưu tài nguyên)</t>
  </si>
  <si>
    <t>Quản lý bảo mật, tuân thủ và phân quyền truy cập (IAM, secret management)</t>
  </si>
  <si>
    <t>Dẫn dắt đội ngũ về thực hành DevOps/SRE và cải tiến quy trình liên tục</t>
  </si>
  <si>
    <t>Tổng trọng số:</t>
  </si>
  <si>
    <t>Tổng điểm (theo trọng số):</t>
  </si>
  <si>
    <t>Điểm % (0–100):</t>
  </si>
  <si>
    <t>Gợi ý phân loại level (DevOps1–DevOps4):</t>
  </si>
  <si>
    <t>Ghi chú:</t>
  </si>
  <si>
    <t>Điểm đánh giá:</t>
  </si>
  <si>
    <t>1 = Có kiến thức cơ bản; Biết một số kỹ thuật/quy trình quen thuộc để áp dụng; Có khả năng thực hiện các công việc đơn giản hoặc thường xuyên theo sự phân công.</t>
  </si>
  <si>
    <t>2 = Có kiến thức trung bình; Biết nhiều kỹ thuật/phương pháp và có thể chọn cách phù hợp nhất để áp dụng; Có khả năng xác định vấn đề, giải quyết vấn đề phức tạp; Có thể huấn luyện và chỉ đạo người khác trong công việc chung.</t>
  </si>
  <si>
    <t>3 = Có kiến thức nâng cao; Biết nhiều kỹ thuật/phương pháp và có thể bắt đầu cách tiếp cận tương đối mới; Có khả năng xác định vấn đề, giải quyết vấn đề phức tạp; Có thể lãnh đạo và quản lý Nhóm hoặc dự án/chương trình để hoàn thành các nhiệm vụ rất phức tạp.</t>
  </si>
  <si>
    <t>- Điểm quy đổi = (Điểm / 3) × Trọng số. Tổng điểm tối đa ≈ 100 nếu tất cả kỹ năng đạt tốt.</t>
  </si>
  <si>
    <t>- Ngưỡng gợi ý DevOps1–DevOps4 (có thể điều chỉnh): &lt;60=DevOps1; 60–69=DevOps2; 70–79=DevOps3; ≥80=DevOps4.</t>
  </si>
  <si>
    <t>Hướng dẫn sử dụng tóm tắt:</t>
  </si>
  <si>
    <t>B1: Điền Họ tên, Level hiện tại (DevOps1–DevOps4), Kỳ đánh giá.</t>
  </si>
  <si>
    <t>B2: Với từng kỹ năng, chấm Điểm 1–3 dựa trên yêu cầu thực tế và mô tả chi tiết ở phần Điểm đánh giá.</t>
  </si>
  <si>
    <t>B3: Kiểm tra 'Tổng trọng số' ≈ 100 (trừ khi bạn chủ động sửa trọng số).</t>
  </si>
  <si>
    <t>B4: Xem 'Tổng điểm', 'Điểm %' và 'Gợi ý phân loại level (DevOps1–DevOps4)' để tham khảo đề xuất level.</t>
  </si>
  <si>
    <t>B5: Kết hợp kết quả này với đánh giá định tính (thái độ, vai trò dự án, mức độ chủ động và tinh thần trách nhiệm) trước khi ra quyết định chính thức.</t>
  </si>
</sst>
</file>

<file path=xl/styles.xml><?xml version="1.0" encoding="utf-8"?>
<styleSheet xmlns="http://schemas.openxmlformats.org/spreadsheetml/2006/main">
  <fonts count="4">
    <font>
      <sz val="11"/>
      <color theme="1"/>
      <name val="Calibri"/>
      <family val="2"/>
      <scheme val="minor"/>
    </font>
    <font>
      <b/>
      <sz val="14"/>
      <color theme="1"/>
      <name val="Calibri"/>
      <family val="2"/>
      <scheme val="minor"/>
    </font>
    <font>
      <b/>
      <sz val="11"/>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rgb="FFD9E1F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xf numFmtId="0" fontId="2" fillId="2" borderId="1" xfId="0" applyFont="1" applyFill="1" applyBorder="1"/>
    <xf numFmtId="0" fontId="0" fillId="0" borderId="1" xfId="0" applyBorder="1"/>
    <xf numFmtId="0" fontId="0" fillId="0" borderId="1" xfId="0" applyBorder="1" applyAlignment="1">
      <alignment wrapText="1"/>
    </xf>
    <xf numFmtId="0" fontId="3" fillId="0" borderId="0" xfId="0" applyFont="1"/>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43"/>
  <sheetViews>
    <sheetView tabSelected="1" workbookViewId="0"/>
  </sheetViews>
  <sheetFormatPr defaultRowHeight="15"/>
  <cols>
    <col min="1" max="1" width="6.7109375" customWidth="1"/>
    <col min="2" max="2" width="75.7109375" customWidth="1"/>
    <col min="3" max="3" width="12.7109375" customWidth="1"/>
    <col min="4" max="4" width="14.7109375" customWidth="1"/>
    <col min="5" max="5" width="16.7109375" customWidth="1"/>
    <col min="6" max="6" width="30.7109375" customWidth="1"/>
  </cols>
  <sheetData>
    <row r="1" spans="1:6">
      <c r="A1" s="1" t="s">
        <v>0</v>
      </c>
    </row>
    <row r="3" spans="1:6">
      <c r="A3" t="s">
        <v>1</v>
      </c>
      <c r="D3" t="s">
        <v>2</v>
      </c>
      <c r="F3" t="s">
        <v>3</v>
      </c>
    </row>
    <row r="5" spans="1:6">
      <c r="A5" s="2" t="s">
        <v>4</v>
      </c>
      <c r="B5" s="2" t="s">
        <v>5</v>
      </c>
      <c r="C5" s="2" t="s">
        <v>6</v>
      </c>
      <c r="D5" s="2" t="s">
        <v>7</v>
      </c>
      <c r="E5" s="2" t="s">
        <v>8</v>
      </c>
      <c r="F5" s="2" t="s">
        <v>9</v>
      </c>
    </row>
    <row r="6" spans="1:6">
      <c r="A6" s="3">
        <v>1</v>
      </c>
      <c r="B6" s="4" t="s">
        <v>10</v>
      </c>
      <c r="C6" s="3">
        <v>7</v>
      </c>
      <c r="D6" s="3"/>
      <c r="E6" s="3">
        <f>IF(D6="","",D6/3*C6)</f>
        <v>0</v>
      </c>
      <c r="F6" s="3"/>
    </row>
    <row r="7" spans="1:6">
      <c r="A7" s="3">
        <v>2</v>
      </c>
      <c r="B7" s="4" t="s">
        <v>11</v>
      </c>
      <c r="C7" s="3">
        <v>7</v>
      </c>
      <c r="D7" s="3"/>
      <c r="E7" s="3">
        <f>IF(D7="","",D7/3*C7)</f>
        <v>0</v>
      </c>
      <c r="F7" s="3"/>
    </row>
    <row r="8" spans="1:6">
      <c r="A8" s="3">
        <v>3</v>
      </c>
      <c r="B8" s="4" t="s">
        <v>12</v>
      </c>
      <c r="C8" s="3">
        <v>7</v>
      </c>
      <c r="D8" s="3"/>
      <c r="E8" s="3">
        <f>IF(D8="","",D8/3*C8)</f>
        <v>0</v>
      </c>
      <c r="F8" s="3"/>
    </row>
    <row r="9" spans="1:6">
      <c r="A9" s="3">
        <v>4</v>
      </c>
      <c r="B9" s="4" t="s">
        <v>13</v>
      </c>
      <c r="C9" s="3">
        <v>7</v>
      </c>
      <c r="D9" s="3"/>
      <c r="E9" s="3">
        <f>IF(D9="","",D9/3*C9)</f>
        <v>0</v>
      </c>
      <c r="F9" s="3"/>
    </row>
    <row r="10" spans="1:6">
      <c r="A10" s="3">
        <v>5</v>
      </c>
      <c r="B10" s="4" t="s">
        <v>14</v>
      </c>
      <c r="C10" s="3">
        <v>7</v>
      </c>
      <c r="D10" s="3"/>
      <c r="E10" s="3">
        <f>IF(D10="","",D10/3*C10)</f>
        <v>0</v>
      </c>
      <c r="F10" s="3"/>
    </row>
    <row r="11" spans="1:6">
      <c r="A11" s="3">
        <v>6</v>
      </c>
      <c r="B11" s="4" t="s">
        <v>15</v>
      </c>
      <c r="C11" s="3">
        <v>7</v>
      </c>
      <c r="D11" s="3"/>
      <c r="E11" s="3">
        <f>IF(D11="","",D11/3*C11)</f>
        <v>0</v>
      </c>
      <c r="F11" s="3"/>
    </row>
    <row r="12" spans="1:6">
      <c r="A12" s="3">
        <v>7</v>
      </c>
      <c r="B12" s="4" t="s">
        <v>16</v>
      </c>
      <c r="C12" s="3">
        <v>7</v>
      </c>
      <c r="D12" s="3"/>
      <c r="E12" s="3">
        <f>IF(D12="","",D12/3*C12)</f>
        <v>0</v>
      </c>
      <c r="F12" s="3"/>
    </row>
    <row r="13" spans="1:6">
      <c r="A13" s="3">
        <v>8</v>
      </c>
      <c r="B13" s="4" t="s">
        <v>17</v>
      </c>
      <c r="C13" s="3">
        <v>6</v>
      </c>
      <c r="D13" s="3"/>
      <c r="E13" s="3">
        <f>IF(D13="","",D13/3*C13)</f>
        <v>0</v>
      </c>
      <c r="F13" s="3"/>
    </row>
    <row r="14" spans="1:6">
      <c r="A14" s="3">
        <v>9</v>
      </c>
      <c r="B14" s="4" t="s">
        <v>18</v>
      </c>
      <c r="C14" s="3">
        <v>5</v>
      </c>
      <c r="D14" s="3"/>
      <c r="E14" s="3">
        <f>IF(D14="","",D14/3*C14)</f>
        <v>0</v>
      </c>
      <c r="F14" s="3"/>
    </row>
    <row r="15" spans="1:6">
      <c r="A15" s="3">
        <v>10</v>
      </c>
      <c r="B15" s="4" t="s">
        <v>19</v>
      </c>
      <c r="C15" s="3">
        <v>5</v>
      </c>
      <c r="D15" s="3"/>
      <c r="E15" s="3">
        <f>IF(D15="","",D15/3*C15)</f>
        <v>0</v>
      </c>
      <c r="F15" s="3"/>
    </row>
    <row r="16" spans="1:6">
      <c r="A16" s="3">
        <v>11</v>
      </c>
      <c r="B16" s="4" t="s">
        <v>20</v>
      </c>
      <c r="C16" s="3">
        <v>5</v>
      </c>
      <c r="D16" s="3"/>
      <c r="E16" s="3">
        <f>IF(D16="","",D16/3*C16)</f>
        <v>0</v>
      </c>
      <c r="F16" s="3"/>
    </row>
    <row r="17" spans="1:6">
      <c r="A17" s="3">
        <v>12</v>
      </c>
      <c r="B17" s="4" t="s">
        <v>21</v>
      </c>
      <c r="C17" s="3">
        <v>5</v>
      </c>
      <c r="D17" s="3"/>
      <c r="E17" s="3">
        <f>IF(D17="","",D17/3*C17)</f>
        <v>0</v>
      </c>
      <c r="F17" s="3"/>
    </row>
    <row r="18" spans="1:6">
      <c r="A18" s="3">
        <v>13</v>
      </c>
      <c r="B18" s="4" t="s">
        <v>22</v>
      </c>
      <c r="C18" s="3">
        <v>5</v>
      </c>
      <c r="D18" s="3"/>
      <c r="E18" s="3">
        <f>IF(D18="","",D18/3*C18)</f>
        <v>0</v>
      </c>
      <c r="F18" s="3"/>
    </row>
    <row r="19" spans="1:6">
      <c r="A19" s="3">
        <v>14</v>
      </c>
      <c r="B19" s="4" t="s">
        <v>23</v>
      </c>
      <c r="C19" s="3">
        <v>4</v>
      </c>
      <c r="D19" s="3"/>
      <c r="E19" s="3">
        <f>IF(D19="","",D19/3*C19)</f>
        <v>0</v>
      </c>
      <c r="F19" s="3"/>
    </row>
    <row r="20" spans="1:6">
      <c r="A20" s="3">
        <v>15</v>
      </c>
      <c r="B20" s="4" t="s">
        <v>24</v>
      </c>
      <c r="C20" s="3">
        <v>4</v>
      </c>
      <c r="D20" s="3"/>
      <c r="E20" s="3">
        <f>IF(D20="","",D20/3*C20)</f>
        <v>0</v>
      </c>
      <c r="F20" s="3"/>
    </row>
    <row r="21" spans="1:6">
      <c r="A21" s="3">
        <v>16</v>
      </c>
      <c r="B21" s="4" t="s">
        <v>25</v>
      </c>
      <c r="C21" s="3">
        <v>4</v>
      </c>
      <c r="D21" s="3"/>
      <c r="E21" s="3">
        <f>IF(D21="","",D21/3*C21)</f>
        <v>0</v>
      </c>
      <c r="F21" s="3"/>
    </row>
    <row r="22" spans="1:6">
      <c r="A22" s="3">
        <v>17</v>
      </c>
      <c r="B22" s="4" t="s">
        <v>26</v>
      </c>
      <c r="C22" s="3">
        <v>4</v>
      </c>
      <c r="D22" s="3"/>
      <c r="E22" s="3">
        <f>IF(D22="","",D22/3*C22)</f>
        <v>0</v>
      </c>
      <c r="F22" s="3"/>
    </row>
    <row r="23" spans="1:6">
      <c r="A23" s="3">
        <v>18</v>
      </c>
      <c r="B23" s="4" t="s">
        <v>27</v>
      </c>
      <c r="C23" s="3">
        <v>4</v>
      </c>
      <c r="D23" s="3"/>
      <c r="E23" s="3">
        <f>IF(D23="","",D23/3*C23)</f>
        <v>0</v>
      </c>
      <c r="F23" s="3"/>
    </row>
    <row r="25" spans="1:6">
      <c r="B25" s="5" t="s">
        <v>28</v>
      </c>
      <c r="C25" s="3">
        <f>SUM(C6:C23)</f>
        <v>0</v>
      </c>
      <c r="D25" s="5" t="s">
        <v>29</v>
      </c>
      <c r="E25" s="3">
        <f>SUM(E6:E23)</f>
        <v>0</v>
      </c>
    </row>
    <row r="26" spans="1:6">
      <c r="D26" s="5" t="s">
        <v>30</v>
      </c>
      <c r="E26" s="3">
        <f>IF(C25=0,"",E25/C25*100)</f>
        <v>0</v>
      </c>
    </row>
    <row r="27" spans="1:6">
      <c r="D27" s="5" t="s">
        <v>31</v>
      </c>
      <c r="E27" s="3">
        <f>IF(E26="","",IF(E26&gt;=80,"Đề xuất DevOps4",IF(E26&gt;=70,"Đề xuất DevOps3",IF(E26&gt;=60,"Đề xuất DevOps2","Đề xuất DevOps1"))))</f>
        <v>0</v>
      </c>
    </row>
    <row r="29" spans="1:6">
      <c r="A29" s="5" t="s">
        <v>32</v>
      </c>
    </row>
    <row r="30" spans="1:6">
      <c r="A30" s="6" t="s">
        <v>33</v>
      </c>
    </row>
    <row r="31" spans="1:6">
      <c r="A31" s="6" t="s">
        <v>34</v>
      </c>
    </row>
    <row r="32" spans="1:6">
      <c r="A32" s="6" t="s">
        <v>35</v>
      </c>
    </row>
    <row r="33" spans="1:1">
      <c r="A33" s="6" t="s">
        <v>36</v>
      </c>
    </row>
    <row r="35" spans="1:1">
      <c r="A35" s="6" t="s">
        <v>37</v>
      </c>
    </row>
    <row r="36" spans="1:1">
      <c r="A36" s="6" t="s">
        <v>38</v>
      </c>
    </row>
    <row r="38" spans="1:1">
      <c r="A38" s="5" t="s">
        <v>39</v>
      </c>
    </row>
    <row r="39" spans="1:1">
      <c r="A39" s="6" t="s">
        <v>40</v>
      </c>
    </row>
    <row r="40" spans="1:1">
      <c r="A40" s="6" t="s">
        <v>41</v>
      </c>
    </row>
    <row r="41" spans="1:1">
      <c r="A41" s="6" t="s">
        <v>42</v>
      </c>
    </row>
    <row r="42" spans="1:1">
      <c r="A42" s="6" t="s">
        <v>43</v>
      </c>
    </row>
    <row r="43" spans="1:1">
      <c r="A43" s="6"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DevOps Evaluation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2025-12-17T07:10:20Z</dcterms:created>
  <dcterms:modified xsi:type="dcterms:W3CDTF">2025-12-17T07:10:20Z</dcterms:modified>
</cp:coreProperties>
</file>