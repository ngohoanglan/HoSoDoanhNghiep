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er Evaluation" sheetId="1" r:id="rId1"/>
  </sheets>
  <calcPr calcId="124519" fullCalcOnLoad="1"/>
</workbook>
</file>

<file path=xl/sharedStrings.xml><?xml version="1.0" encoding="utf-8"?>
<sst xmlns="http://schemas.openxmlformats.org/spreadsheetml/2006/main" count="45" uniqueCount="45">
  <si>
    <t>PHIẾU ĐÁNH GIÁ TESTER / QA - SINGLE SHEET</t>
  </si>
  <si>
    <t>Họ tên:</t>
  </si>
  <si>
    <t>Level hiện tại (Tester1–Tester4):</t>
  </si>
  <si>
    <t>Kỳ đánh giá:</t>
  </si>
  <si>
    <t>STT</t>
  </si>
  <si>
    <t>Kỹ năng / Skill (Tester)</t>
  </si>
  <si>
    <t>Trọng số (%)</t>
  </si>
  <si>
    <t>Điểm (1–3)</t>
  </si>
  <si>
    <t>Điểm quy đổi</t>
  </si>
  <si>
    <t>Ghi chú</t>
  </si>
  <si>
    <t>Hiểu yêu cầu và nghiệp vụ cần kiểm thử</t>
  </si>
  <si>
    <t>Phân tích yêu cầu và thiết kế test case / test scenario</t>
  </si>
  <si>
    <t>Thực hiện kiểm thử chức năng (manual testing)</t>
  </si>
  <si>
    <t>Kiểm thử hồi quy (regression) và xác nhận fix lỗi</t>
  </si>
  <si>
    <t>Sử dụng công cụ quản lý lỗi và quản lý test (Jira, Azure DevOps, v.v.)</t>
  </si>
  <si>
    <t>Kiểm thử tích hợp / end-to-end giữa các hệ thống</t>
  </si>
  <si>
    <t>Kiểm thử API (REST, SOAP, v.v.) và dữ liệu liên quan</t>
  </si>
  <si>
    <t>Ghi nhận, phân tích và báo cáo kết quả kiểm thử</t>
  </si>
  <si>
    <t>Viết tài liệu kiểm thử (test plan, test report, checklist)</t>
  </si>
  <si>
    <t>Giao tiếp và phối hợp với Dev, PO/BA và các bên liên quan</t>
  </si>
  <si>
    <t>Tham gia và tuân thủ quy trình Agile/Scrum (planning, refinement, review, retro)</t>
  </si>
  <si>
    <t>Tư duy logic, chú ý chi tiết và mindset chất lượng</t>
  </si>
  <si>
    <t>Sử dụng công cụ hỗ trợ kiểm thử (Excel, công cụ test management, SQL cơ bản)</t>
  </si>
  <si>
    <t>Thiết kế chiến lược kiểm thử cho dự án / module (test strategy, test approach)</t>
  </si>
  <si>
    <t>Tự động hóa kiểm thử (test automation) – viết và duy trì script</t>
  </si>
  <si>
    <t>Kiểm thử hiệu năng, bảo mật hoặc các kiểm thử phi chức năng nâng cao khác</t>
  </si>
  <si>
    <t>Đề xuất và triển khai cải tiến quy trình kiểm thử / chất lượng</t>
  </si>
  <si>
    <t>Hướng dẫn, kèm cặp và review công việc cho các Tester khác</t>
  </si>
  <si>
    <t>Tổng trọng số:</t>
  </si>
  <si>
    <t>Tổng điểm (theo trọng số):</t>
  </si>
  <si>
    <t>Điểm % (0–100):</t>
  </si>
  <si>
    <t>Gợi ý phân loại level (Tester1–Tester4):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</si>
  <si>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</si>
  <si>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</si>
  <si>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</si>
  <si>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</si>
  <si>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</si>
  <si>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</si>
  <si>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Tester1–Tester4 (có thể điều chỉnh): &lt;60=Tester1; 60–69=Tester2; 70–79=Tester3; ≥80=Tester4.</t>
  </si>
  <si>
    <t>Hướng dẫn sử dụng tóm tắt:</t>
  </si>
  <si>
    <t>B1: Điền Họ tên, Level hiện tại (Tester1–Tester4),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</si>
  <si>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</si>
  <si>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</si>
  <si>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(Tester1–Tester4)' để tham khảo đề xuất level.</t>
  </si>
  <si>
    <t>B5: Kết hợp kết quả này với đánh giá định tính (thái độ, vai trò dự án, mức độ chủ động và tinh thần trách nhiệm) trước khi ra quyết định chính thức.</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</si>
</sst>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width="6.7109375" customWidth="1"/>
    <col min="2" max="2" width="70.7109375" customWidth="1"/>
    <col min="3" max="3" width="12.7109375" customWidth="1"/>
    <col min="4" max="4" width="14.7109375" customWidth="1"/>
    <col min="5" max="5" width="16.7109375" customWidth="1"/>
    <col min="6" max="6" width="30.7109375" customWidth="1"/>
  </cols>
  <sheetData>
    <row r="1" spans="1:6">
      <c r="A1" s="1" t="s">
        <v>0</v>
      </c>
    </row>
    <row r="3" spans="1:6">
      <c r="A3" t="s">
        <v>1</v>
      </c>
      <c r="D3" t="s">
        <v>2</v>
      </c>
      <c r="F3" t="s">
        <v>3</v>
      </c>
    </row>
    <row r="5" spans="1:6">
      <c r="A5" s="2" t="s">
        <v>4</v>
      </c>
      <c r="B5" s="2" t="s">
        <v>5</v>
      </c>
      <c r="C5" s="2" t="s">
        <v>6</v>
      </c>
      <c r="D5" s="2" t="s">
        <v>7</v>
      </c>
      <c r="E5" s="2" t="s">
        <v>8</v>
      </c>
      <c r="F5" s="2" t="s">
        <v>9</v>
      </c>
    </row>
    <row r="6" spans="1:6">
      <c r="A6" s="3">
        <v>1</v>
      </c>
      <c r="B6" s="4" t="s">
        <v>10</v>
      </c>
      <c r="C6" s="3">
        <v>7</v>
      </c>
      <c r="D6" s="3"/>
      <c r="E6" s="3">
        <f>IF(D6="","",D6/3*C6)</f>
        <v>0</v>
      </c>
      <c r="F6" s="3"/>
    </row>
    <row r="7" spans="1:6">
      <c r="A7" s="3">
        <v>2</v>
      </c>
      <c r="B7" s="4" t="s">
        <v>11</v>
      </c>
      <c r="C7" s="3">
        <v>7</v>
      </c>
      <c r="D7" s="3"/>
      <c r="E7" s="3">
        <f>IF(D7="","",D7/3*C7)</f>
        <v>0</v>
      </c>
      <c r="F7" s="3"/>
    </row>
    <row r="8" spans="1:6">
      <c r="A8" s="3">
        <v>3</v>
      </c>
      <c r="B8" s="4" t="s">
        <v>12</v>
      </c>
      <c r="C8" s="3">
        <v>7</v>
      </c>
      <c r="D8" s="3"/>
      <c r="E8" s="3">
        <f>IF(D8="","",D8/3*C8)</f>
        <v>0</v>
      </c>
      <c r="F8" s="3"/>
    </row>
    <row r="9" spans="1:6">
      <c r="A9" s="3">
        <v>4</v>
      </c>
      <c r="B9" s="4" t="s">
        <v>13</v>
      </c>
      <c r="C9" s="3">
        <v>7</v>
      </c>
      <c r="D9" s="3"/>
      <c r="E9" s="3">
        <f>IF(D9="","",D9/3*C9)</f>
        <v>0</v>
      </c>
      <c r="F9" s="3"/>
    </row>
    <row r="10" spans="1:6">
      <c r="A10" s="3">
        <v>5</v>
      </c>
      <c r="B10" s="4" t="s">
        <v>14</v>
      </c>
      <c r="C10" s="3">
        <v>7</v>
      </c>
      <c r="D10" s="3"/>
      <c r="E10" s="3">
        <f>IF(D10="","",D10/3*C10)</f>
        <v>0</v>
      </c>
      <c r="F10" s="3"/>
    </row>
    <row r="11" spans="1:6">
      <c r="A11" s="3">
        <v>6</v>
      </c>
      <c r="B11" s="4" t="s">
        <v>15</v>
      </c>
      <c r="C11" s="3">
        <v>7</v>
      </c>
      <c r="D11" s="3"/>
      <c r="E11" s="3">
        <f>IF(D11="","",D11/3*C11)</f>
        <v>0</v>
      </c>
      <c r="F11" s="3"/>
    </row>
    <row r="12" spans="1:6">
      <c r="A12" s="3">
        <v>7</v>
      </c>
      <c r="B12" s="4" t="s">
        <v>16</v>
      </c>
      <c r="C12" s="3">
        <v>7</v>
      </c>
      <c r="D12" s="3"/>
      <c r="E12" s="3">
        <f>IF(D12="","",D12/3*C12)</f>
        <v>0</v>
      </c>
      <c r="F12" s="3"/>
    </row>
    <row r="13" spans="1:6">
      <c r="A13" s="3">
        <v>8</v>
      </c>
      <c r="B13" s="4" t="s">
        <v>17</v>
      </c>
      <c r="C13" s="3">
        <v>6</v>
      </c>
      <c r="D13" s="3"/>
      <c r="E13" s="3">
        <f>IF(D13="","",D13/3*C13)</f>
        <v>0</v>
      </c>
      <c r="F13" s="3"/>
    </row>
    <row r="14" spans="1:6">
      <c r="A14" s="3">
        <v>9</v>
      </c>
      <c r="B14" s="4" t="s">
        <v>18</v>
      </c>
      <c r="C14" s="3">
        <v>5</v>
      </c>
      <c r="D14" s="3"/>
      <c r="E14" s="3">
        <f>IF(D14="","",D14/3*C14)</f>
        <v>0</v>
      </c>
      <c r="F14" s="3"/>
    </row>
    <row r="15" spans="1:6">
      <c r="A15" s="3">
        <v>10</v>
      </c>
      <c r="B15" s="4" t="s">
        <v>19</v>
      </c>
      <c r="C15" s="3">
        <v>5</v>
      </c>
      <c r="D15" s="3"/>
      <c r="E15" s="3">
        <f>IF(D15="","",D15/3*C15)</f>
        <v>0</v>
      </c>
      <c r="F15" s="3"/>
    </row>
    <row r="16" spans="1:6">
      <c r="A16" s="3">
        <v>11</v>
      </c>
      <c r="B16" s="4" t="s">
        <v>20</v>
      </c>
      <c r="C16" s="3">
        <v>5</v>
      </c>
      <c r="D16" s="3"/>
      <c r="E16" s="3">
        <f>IF(D16="","",D16/3*C16)</f>
        <v>0</v>
      </c>
      <c r="F16" s="3"/>
    </row>
    <row r="17" spans="1:6">
      <c r="A17" s="3">
        <v>12</v>
      </c>
      <c r="B17" s="4" t="s">
        <v>21</v>
      </c>
      <c r="C17" s="3">
        <v>5</v>
      </c>
      <c r="D17" s="3"/>
      <c r="E17" s="3">
        <f>IF(D17="","",D17/3*C17)</f>
        <v>0</v>
      </c>
      <c r="F17" s="3"/>
    </row>
    <row r="18" spans="1:6">
      <c r="A18" s="3">
        <v>13</v>
      </c>
      <c r="B18" s="4" t="s">
        <v>22</v>
      </c>
      <c r="C18" s="3">
        <v>5</v>
      </c>
      <c r="D18" s="3"/>
      <c r="E18" s="3">
        <f>IF(D18="","",D18/3*C18)</f>
        <v>0</v>
      </c>
      <c r="F18" s="3"/>
    </row>
    <row r="19" spans="1:6">
      <c r="A19" s="3">
        <v>14</v>
      </c>
      <c r="B19" s="4" t="s">
        <v>23</v>
      </c>
      <c r="C19" s="3">
        <v>4</v>
      </c>
      <c r="D19" s="3"/>
      <c r="E19" s="3">
        <f>IF(D19="","",D19/3*C19)</f>
        <v>0</v>
      </c>
      <c r="F19" s="3"/>
    </row>
    <row r="20" spans="1:6">
      <c r="A20" s="3">
        <v>15</v>
      </c>
      <c r="B20" s="4" t="s">
        <v>24</v>
      </c>
      <c r="C20" s="3">
        <v>4</v>
      </c>
      <c r="D20" s="3"/>
      <c r="E20" s="3">
        <f>IF(D20="","",D20/3*C20)</f>
        <v>0</v>
      </c>
      <c r="F20" s="3"/>
    </row>
    <row r="21" spans="1:6">
      <c r="A21" s="3">
        <v>16</v>
      </c>
      <c r="B21" s="4" t="s">
        <v>25</v>
      </c>
      <c r="C21" s="3">
        <v>4</v>
      </c>
      <c r="D21" s="3"/>
      <c r="E21" s="3">
        <f>IF(D21="","",D21/3*C21)</f>
        <v>0</v>
      </c>
      <c r="F21" s="3"/>
    </row>
    <row r="22" spans="1:6">
      <c r="A22" s="3">
        <v>17</v>
      </c>
      <c r="B22" s="4" t="s">
        <v>26</v>
      </c>
      <c r="C22" s="3">
        <v>4</v>
      </c>
      <c r="D22" s="3"/>
      <c r="E22" s="3">
        <f>IF(D22="","",D22/3*C22)</f>
        <v>0</v>
      </c>
      <c r="F22" s="3"/>
    </row>
    <row r="23" spans="1:6">
      <c r="A23" s="3">
        <v>18</v>
      </c>
      <c r="B23" s="4" t="s">
        <v>27</v>
      </c>
      <c r="C23" s="3">
        <v>4</v>
      </c>
      <c r="D23" s="3"/>
      <c r="E23" s="3">
        <f>IF(D23="","",D23/3*C23)</f>
        <v>0</v>
      </c>
      <c r="F23" s="3"/>
    </row>
    <row r="25" spans="1:6">
      <c r="B25" s="5" t="s">
        <v>28</v>
      </c>
      <c r="C25" s="3">
        <f>SUM(C6:C23)</f>
        <v>0</v>
      </c>
      <c r="D25" s="5" t="s">
        <v>29</v>
      </c>
      <c r="E25" s="3">
        <f>SUM(E6:E23)</f>
        <v>0</v>
      </c>
    </row>
    <row r="26" spans="1:6">
      <c r="D26" s="5" t="s">
        <v>30</v>
      </c>
      <c r="E26" s="3">
        <f>IF(C25=0,"",E25/C25*100)</f>
        <v>0</v>
      </c>
    </row>
    <row r="27" spans="1:6">
      <c r="D27" s="5" t="s">
        <v>31</v>
      </c>
      <c r="E27" s="3">
        <f>IF(E26="","",IF(E26&gt;=80,"Đề xuất Tester4",IF(E26&gt;=70,"Đề xuất Tester3",IF(E26&gt;=60,"Đề xuất Tester2","Đề xuất Tester1"))))</f>
        <v>0</v>
      </c>
    </row>
    <row r="29" spans="1:6">
      <c r="A29" s="5" t="s">
        <v>32</v>
      </c>
    </row>
    <row r="30" spans="1:6">
      <c r="A30" s="6" t="s">
        <v>33</v>
      </c>
    </row>
    <row r="31" spans="1:6">
      <c r="A31" s="6" t="s">
        <v>34</v>
      </c>
    </row>
    <row r="32" spans="1:6">
      <c r="A32" s="6" t="s">
        <v>35</v>
      </c>
    </row>
    <row r="33" spans="1:1">
      <c r="A33" s="6" t="s">
        <v>36</v>
      </c>
    </row>
    <row r="35" spans="1:1">
      <c r="A35" s="6" t="s">
        <v>37</v>
      </c>
    </row>
    <row r="36" spans="1:1">
      <c r="A36" s="6" t="s">
        <v>38</v>
      </c>
    </row>
    <row r="38" spans="1:1">
      <c r="A38" s="5" t="s">
        <v>39</v>
      </c>
    </row>
    <row r="39" spans="1:1">
      <c r="A39" s="6" t="s">
        <v>40</v>
      </c>
    </row>
    <row r="40" spans="1:1">
      <c r="A40" s="6" t="s">
        <v>41</v>
      </c>
    </row>
    <row r="41" spans="1:1">
      <c r="A41" s="6" t="s">
        <v>42</v>
      </c>
    </row>
    <row r="42" spans="1:1">
      <c r="A42" s="6" t="s">
        <v>43</v>
      </c>
    </row>
    <row r="43" spans="1:1">
      <c r="A43" s="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Tester 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2025-12-16T09:02:48Z</dcterms:created>
  <dcterms:modified xsi:type="dcterms:W3CDTF">2025-12-16T09:02:48Z</dcterms:modified>
</cp:coreProperties>
</file>