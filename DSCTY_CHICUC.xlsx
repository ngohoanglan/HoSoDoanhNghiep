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uLieu 2023- KE TOAN CHI CUC\AD\"/>
    </mc:Choice>
  </mc:AlternateContent>
  <bookViews>
    <workbookView xWindow="0" yWindow="0" windowWidth="20490" windowHeight="7650" firstSheet="2" activeTab="2"/>
  </bookViews>
  <sheets>
    <sheet name="TAM NGỪNG HOẠT ĐỘNG" sheetId="1" r:id="rId1"/>
    <sheet name="KHAI BAO QUY " sheetId="2" r:id="rId2"/>
    <sheet name="PHU TRACH Q3-26" sheetId="7" r:id="rId3"/>
    <sheet name="KHAI BAO THANG" sheetId="3" r:id="rId4"/>
    <sheet name="BAO CAO FDI-NHNN- THUE XUONG" sheetId="4" r:id="rId5"/>
    <sheet name="Sheet1" sheetId="8" r:id="rId6"/>
  </sheets>
  <definedNames>
    <definedName name="_xlnm._FilterDatabase" localSheetId="1" hidden="1">'KHAI BAO QUY '!$A$5:$U$119</definedName>
    <definedName name="_xlnm._FilterDatabase" localSheetId="2" hidden="1">'PHU TRACH Q3-26'!$B$5:$AB$113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2" i="7" l="1"/>
  <c r="F155" i="7" l="1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E155" i="7"/>
  <c r="I143" i="7" l="1"/>
  <c r="H143" i="7" l="1"/>
  <c r="F141" i="7" l="1"/>
  <c r="G141" i="7" s="1"/>
  <c r="H141" i="7" s="1"/>
  <c r="H136" i="7" l="1"/>
  <c r="I136" i="7" s="1"/>
  <c r="W136" i="7" s="1"/>
  <c r="X136" i="7" s="1"/>
  <c r="H135" i="7"/>
  <c r="I135" i="7" s="1"/>
  <c r="W135" i="7" s="1"/>
  <c r="X135" i="7" s="1"/>
  <c r="G134" i="7" l="1"/>
  <c r="H134" i="7" s="1"/>
  <c r="I134" i="7" s="1"/>
  <c r="W134" i="7" s="1"/>
  <c r="X134" i="7" s="1"/>
  <c r="F135" i="7" l="1"/>
  <c r="F136" i="7"/>
  <c r="F133" i="7"/>
  <c r="G133" i="7" s="1"/>
  <c r="H133" i="7" s="1"/>
  <c r="I133" i="7" s="1"/>
  <c r="W133" i="7" s="1"/>
  <c r="X133" i="7" s="1"/>
  <c r="E132" i="7"/>
  <c r="E137" i="7" s="1"/>
  <c r="F132" i="7" l="1"/>
  <c r="G132" i="7" s="1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H132" i="7" l="1"/>
  <c r="H137" i="7" s="1"/>
  <c r="I132" i="7"/>
  <c r="F137" i="7"/>
  <c r="G137" i="7"/>
  <c r="A30" i="4"/>
  <c r="A31" i="4" s="1"/>
  <c r="W132" i="7" l="1"/>
  <c r="I137" i="7"/>
  <c r="A15" i="3"/>
  <c r="A16" i="3" s="1"/>
  <c r="A17" i="3" s="1"/>
  <c r="A18" i="3" s="1"/>
  <c r="A19" i="3" s="1"/>
  <c r="A20" i="3" s="1"/>
  <c r="X132" i="7" l="1"/>
  <c r="W137" i="7"/>
  <c r="X137" i="7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7" i="3"/>
  <c r="A8" i="3" s="1"/>
  <c r="A9" i="3" s="1"/>
  <c r="A42" i="2" l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22" i="2" l="1"/>
</calcChain>
</file>

<file path=xl/comments1.xml><?xml version="1.0" encoding="utf-8"?>
<comments xmlns="http://schemas.openxmlformats.org/spreadsheetml/2006/main">
  <authors>
    <author>ASUS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6/3/2026-CHUA NOP TIEN TNDN +TNCN 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6/3/2026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7/3/2026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11/2-NOP TNCN HH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NOP BC 7/3/2026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7/3/2026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NOP 10/3/2026</t>
        </r>
      </text>
    </comment>
  </commentList>
</comments>
</file>

<file path=xl/sharedStrings.xml><?xml version="1.0" encoding="utf-8"?>
<sst xmlns="http://schemas.openxmlformats.org/spreadsheetml/2006/main" count="2552" uniqueCount="411">
  <si>
    <t xml:space="preserve">DANH SACH CÔNG TY BÁO CÁO THUẾ </t>
  </si>
  <si>
    <t>NĂM 2026</t>
  </si>
  <si>
    <t>STT</t>
  </si>
  <si>
    <t xml:space="preserve">TÊN CTY </t>
  </si>
  <si>
    <t>MST</t>
  </si>
  <si>
    <t xml:space="preserve">NĂM </t>
  </si>
  <si>
    <t xml:space="preserve">KHU VỰC </t>
  </si>
  <si>
    <t>KHUÔN TRƯỜNG PHÁT</t>
  </si>
  <si>
    <t>CÔNG TY CỔ PHẦN MCGOLDSON</t>
  </si>
  <si>
    <t>CÔNG TY TNHH THƯƠNG MẠI HUASHENG</t>
  </si>
  <si>
    <t>CÔNG TY TNHH HONG TAO</t>
  </si>
  <si>
    <t>CÔNG TY TNHH BAO QI</t>
  </si>
  <si>
    <t>CÔNG TY TNHH SẢN XUẤT KHUÔN QUÂN HẠO</t>
  </si>
  <si>
    <t>CÔNG TY TNHH HỒNG HƯNG VIỆT NAM</t>
  </si>
  <si>
    <t>CÔNG TY TNHH MỘT THÀNH VIÊN SUẤT ĂN CÔNG NGHIỆP TRẦN PHA LIL</t>
  </si>
  <si>
    <t>DOANH NGHIỆP TƯ NHÂN KHÁCH SẠN NEW HOTEL LUXURY</t>
  </si>
  <si>
    <t>CÔNG TY TNHH AIDOS LOGISTICS</t>
  </si>
  <si>
    <t>HỒNG HUY PHÁT</t>
  </si>
  <si>
    <t>CÔNG TY TNHH NGŨ KIM HỶ BẰNG</t>
  </si>
  <si>
    <t>LIÊN PHÁT</t>
  </si>
  <si>
    <t>MẠNH QUANG</t>
  </si>
  <si>
    <t>CITI HOME</t>
  </si>
  <si>
    <t>NAM THÀNH VINH</t>
  </si>
  <si>
    <t>Hưng Thịnh Phát TP</t>
  </si>
  <si>
    <t>HUA BANG</t>
  </si>
  <si>
    <t>PHÚC LƯƠNG</t>
  </si>
  <si>
    <t>TRƯỜNG THỊNH</t>
  </si>
  <si>
    <t>Hằng Lâm</t>
  </si>
  <si>
    <t>HAPPY FOOD</t>
  </si>
  <si>
    <t>Di Khánh</t>
  </si>
  <si>
    <t>Vân Gia -2024</t>
  </si>
  <si>
    <t>Hồng Nhuận VN</t>
  </si>
  <si>
    <t>ANH ĐÀO</t>
  </si>
  <si>
    <t>SƠN HÀ VINA</t>
  </si>
  <si>
    <t>GỖ ĐẠT THÀNH</t>
  </si>
  <si>
    <t>CÔNG TY THIÊN VINH</t>
  </si>
  <si>
    <t>CTY TỰ ĐỘNG HÓA VƯỢNG THỊNH</t>
  </si>
  <si>
    <t>TÍN PHÁT VINH</t>
  </si>
  <si>
    <t>FM DŨNG ĐINH</t>
  </si>
  <si>
    <t>DƯƠNG PHÁT</t>
  </si>
  <si>
    <t>TAM THÁI</t>
  </si>
  <si>
    <t>KIM MINH PHÁT</t>
  </si>
  <si>
    <t>CTY GỖ THIÊN PHÚ</t>
  </si>
  <si>
    <t>THÀNH PHÁT BD</t>
  </si>
  <si>
    <t>YUELONG</t>
  </si>
  <si>
    <t>CTY TƯ VẤN TTN</t>
  </si>
  <si>
    <t>Ván ép MInh Khang</t>
  </si>
  <si>
    <t>Venus manufacuring</t>
  </si>
  <si>
    <t>CTY CHANG HONG</t>
  </si>
  <si>
    <t>HẢI DUYÊN PHÁT</t>
  </si>
  <si>
    <t>THIÊN ÂN</t>
  </si>
  <si>
    <t>ĐẠT THÀNH BD</t>
  </si>
  <si>
    <t>ĐẠI HỒNG PHAT</t>
  </si>
  <si>
    <t>NHÀ HÀNG VỌNG QUỐC</t>
  </si>
  <si>
    <t>8544760787-001</t>
  </si>
  <si>
    <t>NHÀ HÀNG HỒ NAM</t>
  </si>
  <si>
    <t>HỒNG THÁI HƯNG</t>
  </si>
  <si>
    <t>GAO TE</t>
  </si>
  <si>
    <t>VĨNH KIẾT</t>
  </si>
  <si>
    <t>GIANG THÀNH PHÁT (03/11/2025)</t>
  </si>
  <si>
    <t>LIBO (14/11/2025)</t>
  </si>
  <si>
    <t>CỌ DẦU</t>
  </si>
  <si>
    <t xml:space="preserve">TÂN UYÊN </t>
  </si>
  <si>
    <t>QUÝ 1</t>
  </si>
  <si>
    <t xml:space="preserve">GTGT </t>
  </si>
  <si>
    <t xml:space="preserve">TNCN </t>
  </si>
  <si>
    <t xml:space="preserve">GHI CHÚ </t>
  </si>
  <si>
    <t>CTY KIM HỢP PHÁT</t>
  </si>
  <si>
    <t xml:space="preserve"> CTY AN NGUYÊN</t>
  </si>
  <si>
    <t>CTY NHỰA ĐÔNG BÌNH</t>
  </si>
  <si>
    <t>CTY THUẬN PHÁT VINA</t>
  </si>
  <si>
    <t xml:space="preserve">TÍN NỒNG </t>
  </si>
  <si>
    <t xml:space="preserve">ĐẠT PHÁT </t>
  </si>
  <si>
    <t xml:space="preserve">VENNUS </t>
  </si>
  <si>
    <t xml:space="preserve">PHÚC HẢI -KHAI THUÊ VP </t>
  </si>
  <si>
    <t xml:space="preserve">LANGUIFANG-THUÊ VP </t>
  </si>
  <si>
    <t>CÓ</t>
  </si>
  <si>
    <t>VENNUS PERFECT</t>
  </si>
  <si>
    <t>Bảo Anh Phát-THUÊ XE -THUÊ VP</t>
  </si>
  <si>
    <t xml:space="preserve"> GIẢI PHÁP TOÀN CẦU</t>
  </si>
  <si>
    <t xml:space="preserve">DĨ AN </t>
  </si>
  <si>
    <t xml:space="preserve">THUÂN AN </t>
  </si>
  <si>
    <t xml:space="preserve">THỦ DẦU MỘT </t>
  </si>
  <si>
    <t>BẾN CÁT</t>
  </si>
  <si>
    <t>BÀU BÀNG</t>
  </si>
  <si>
    <t>HKD LYLY2</t>
  </si>
  <si>
    <t>HKD NHI TRÙM SỈ</t>
  </si>
  <si>
    <t>BETTER ( FDI, NHNN)</t>
  </si>
  <si>
    <t>CÔNG TY TNHH YU MORI - THUÊ XƯỞNG  QUÝ</t>
  </si>
  <si>
    <t xml:space="preserve">CÔNG TY TNHH NGŨ KIM VIỆT THÁI -THUÊ XƯỞNG QUÝ </t>
  </si>
  <si>
    <t>LAN GUI FANG -NHNN, THUE VP -THÁNG</t>
  </si>
  <si>
    <t xml:space="preserve">CHÚNG KIỆT -THUÊ XƯỞNG QUÝ </t>
  </si>
  <si>
    <t>QUANG MINH PHÁT -KHAI VP, THUÊ XE ….</t>
  </si>
  <si>
    <t xml:space="preserve">VIỆT THUẬN PHÁT-THUE XE QUÝ </t>
  </si>
  <si>
    <t xml:space="preserve">Nhà hàng Phúc Hải -THUE VP THÁNG </t>
  </si>
  <si>
    <t xml:space="preserve">CỤC THUẾ </t>
  </si>
  <si>
    <t xml:space="preserve">TRICOLOR - FDI ,NHNN -THÁNG </t>
  </si>
  <si>
    <t xml:space="preserve">HONGSHENG -KHAI NHNN -THÁNG </t>
  </si>
  <si>
    <t>NGẠN CHÂU (FDI, NHNN- THÁNG )</t>
  </si>
  <si>
    <t xml:space="preserve">BẢO LUÂN -NHNN- THÁNG </t>
  </si>
  <si>
    <t xml:space="preserve">SẮC MÀU -THUÊ TAI SAN QUÝ, NHNN -THÁNG </t>
  </si>
  <si>
    <t>THỦ DẦU MỘT</t>
  </si>
  <si>
    <t xml:space="preserve">HONG KAI -CHI NHÁNH TÂN UYÊN </t>
  </si>
  <si>
    <t xml:space="preserve">CTY SIX -THUÊ TÀI SẢN -QUÝ </t>
  </si>
  <si>
    <t xml:space="preserve">CONDAN -KHAI THUÊ XƯỞNG </t>
  </si>
  <si>
    <t>VƯỢNG THỊNH HAI</t>
  </si>
  <si>
    <t>VƯỢNG THỊNH</t>
  </si>
  <si>
    <t xml:space="preserve">LONG CHENG </t>
  </si>
  <si>
    <t xml:space="preserve">TƯỜNG SANG </t>
  </si>
  <si>
    <t xml:space="preserve">CAFÉ NHIỆT ĐỚI </t>
  </si>
  <si>
    <t xml:space="preserve">MINAKANSAI </t>
  </si>
  <si>
    <t xml:space="preserve">VĨNH HIỆP THUẬN </t>
  </si>
  <si>
    <t xml:space="preserve">THỜI HẠN </t>
  </si>
  <si>
    <t xml:space="preserve">THIÊN THỊNH PHÁT </t>
  </si>
  <si>
    <t xml:space="preserve">HƯNG THỊNH PHÁT -GIẢI THẾ </t>
  </si>
  <si>
    <t xml:space="preserve">HOÀNG PHÚC </t>
  </si>
  <si>
    <t>X</t>
  </si>
  <si>
    <t xml:space="preserve">KHAI BÁO NGOÀI HỆ THỐNG NHÀ NƯỚC </t>
  </si>
  <si>
    <t xml:space="preserve">THÁNG </t>
  </si>
  <si>
    <t xml:space="preserve">GTGT-TNCN </t>
  </si>
  <si>
    <t>GTGT</t>
  </si>
  <si>
    <t>TÀI SẢN</t>
  </si>
  <si>
    <t>NHNN</t>
  </si>
  <si>
    <t>LOẠI BÁO CÁO</t>
  </si>
  <si>
    <t>x</t>
  </si>
  <si>
    <t>KHÁCH SẠN THỌ LẬP 5-NEW</t>
  </si>
  <si>
    <t xml:space="preserve">x -nộp thuế TNCN </t>
  </si>
  <si>
    <t xml:space="preserve">CTY VẬN TẢI THANH VIỆT </t>
  </si>
  <si>
    <t xml:space="preserve">THỦ DÂU MỘT </t>
  </si>
  <si>
    <t>NỘP BCTC NĂM 2025</t>
  </si>
  <si>
    <t xml:space="preserve">CTY NGAN CHÂU - FDI -NHNN , BC FDI </t>
  </si>
  <si>
    <t xml:space="preserve">CUC THUE </t>
  </si>
  <si>
    <t xml:space="preserve">PHÒNG KHÁM LÊ HIỆU  </t>
  </si>
  <si>
    <t>3703421166</t>
  </si>
  <si>
    <t>CONG TY NỘI THẤT VIỆT DŨNG</t>
  </si>
  <si>
    <t>3703443547</t>
  </si>
  <si>
    <t>HCM</t>
  </si>
  <si>
    <t xml:space="preserve">CTY HƯƠNG QUỲNH </t>
  </si>
  <si>
    <t>BCTC-2025</t>
  </si>
  <si>
    <t xml:space="preserve">X-OK </t>
  </si>
  <si>
    <t>CÔNG TY PVS</t>
  </si>
  <si>
    <t xml:space="preserve">X-ok </t>
  </si>
  <si>
    <t xml:space="preserve">CTY FIFANG </t>
  </si>
  <si>
    <t xml:space="preserve">HUASHENG </t>
  </si>
  <si>
    <t>1-4-&gt;31-12-2026</t>
  </si>
  <si>
    <t>HKD KHÁCH SẠN THỌ LẬP 2</t>
  </si>
  <si>
    <t>HKD KHÁCH SẠN THỌ LẬP 3</t>
  </si>
  <si>
    <t>HKD KHÁCH SẠN 4 MÙA</t>
  </si>
  <si>
    <t xml:space="preserve">CTY BÁCH LỢI </t>
  </si>
  <si>
    <t xml:space="preserve">THUAN AN </t>
  </si>
  <si>
    <t>3703403960</t>
  </si>
  <si>
    <t>3703459071</t>
  </si>
  <si>
    <t xml:space="preserve">NGÀY ĐĂNG
 KY GPKD </t>
  </si>
  <si>
    <t>13/11/2025</t>
  </si>
  <si>
    <t>12/03/2026</t>
  </si>
  <si>
    <t>03/04/2026</t>
  </si>
  <si>
    <t>3703449549</t>
  </si>
  <si>
    <t xml:space="preserve">CÔNG TY CẨM VẬN </t>
  </si>
  <si>
    <t>3703445713</t>
  </si>
  <si>
    <t xml:space="preserve">PHƯỜNG CHÁNH HIỆP </t>
  </si>
  <si>
    <t>HƯƠNG VỊ VỌNG QUỐC</t>
  </si>
  <si>
    <t>3703457518</t>
  </si>
  <si>
    <t xml:space="preserve">XÃ BÀU BÀNG </t>
  </si>
  <si>
    <t>02/04/2026</t>
  </si>
  <si>
    <t xml:space="preserve">CTY CHANGDE </t>
  </si>
  <si>
    <t>3703460496</t>
  </si>
  <si>
    <t>07/04/2026</t>
  </si>
  <si>
    <t xml:space="preserve">CTY MECURY </t>
  </si>
  <si>
    <t>0316360601</t>
  </si>
  <si>
    <t xml:space="preserve">PHƯỜNG BÌNH THẠNH </t>
  </si>
  <si>
    <t>03/07/2020</t>
  </si>
  <si>
    <t>3703450008</t>
  </si>
  <si>
    <t>16/03/2026</t>
  </si>
  <si>
    <t>C</t>
  </si>
  <si>
    <t xml:space="preserve">HKD NEW SKY </t>
  </si>
  <si>
    <t xml:space="preserve">CHUA NOP TIEN </t>
  </si>
  <si>
    <t xml:space="preserve">KHÁCH SẠN LAVEDER </t>
  </si>
  <si>
    <t xml:space="preserve">CTY GỖ CÔNG NGHIỆP </t>
  </si>
  <si>
    <t xml:space="preserve">TẠM NGỪNG </t>
  </si>
  <si>
    <t xml:space="preserve">GỖ CÔNG NGHIỆP </t>
  </si>
  <si>
    <t>01/05/2026-31/12/2026</t>
  </si>
  <si>
    <t xml:space="preserve">NHÀ HÀNG NHẤT PHẨM </t>
  </si>
  <si>
    <t>X 1-4</t>
  </si>
  <si>
    <t xml:space="preserve">X- CHUA NOP </t>
  </si>
  <si>
    <t xml:space="preserve">chưa nộp tiền </t>
  </si>
  <si>
    <t xml:space="preserve">CTY KIM  AN TECH </t>
  </si>
  <si>
    <t xml:space="preserve">CHUA NOP THUE </t>
  </si>
  <si>
    <t xml:space="preserve">CHƯA NOP TIEN </t>
  </si>
  <si>
    <t xml:space="preserve">BỎ KHÔNG KE KHAI </t>
  </si>
  <si>
    <t>THẢO</t>
  </si>
  <si>
    <t>NGA</t>
  </si>
  <si>
    <t xml:space="preserve">CHỊ CÚC </t>
  </si>
  <si>
    <t>TRANG</t>
  </si>
  <si>
    <t xml:space="preserve">TRANG </t>
  </si>
  <si>
    <t>PHỤ TRÁCH</t>
  </si>
  <si>
    <t>CHỊ CÚC</t>
  </si>
  <si>
    <t>QUÝ 2</t>
  </si>
  <si>
    <t xml:space="preserve">NỘP
 THUẾ </t>
  </si>
  <si>
    <t xml:space="preserve">THUÊ
 TÀI SẢN </t>
  </si>
  <si>
    <t xml:space="preserve">PHỤ
 TRÁCH CTY </t>
  </si>
  <si>
    <t>YEN</t>
  </si>
  <si>
    <t xml:space="preserve">THAO </t>
  </si>
  <si>
    <t xml:space="preserve">CTY LỢI KHÁCH </t>
  </si>
  <si>
    <t xml:space="preserve">CTY KHÁCH SẠN NEW SKY 2- HCM </t>
  </si>
  <si>
    <t xml:space="preserve">VU-TRANG </t>
  </si>
  <si>
    <t xml:space="preserve">CTY THC ASEAN </t>
  </si>
  <si>
    <t>3703481623</t>
  </si>
  <si>
    <t xml:space="preserve">CTY  TH CABINET </t>
  </si>
  <si>
    <t>0319547044</t>
  </si>
  <si>
    <t xml:space="preserve">PHƯỜNG PHÚ LỢI </t>
  </si>
  <si>
    <t xml:space="preserve">PHƯỜNG AN NHƠN -HCM </t>
  </si>
  <si>
    <t>0316288793</t>
  </si>
  <si>
    <t xml:space="preserve">CHỢ LỚN -HCM </t>
  </si>
  <si>
    <t xml:space="preserve">CTY ĂN UỒNG HỒNG THUẬN -HỒNG CÔ NƯƠNG </t>
  </si>
  <si>
    <t xml:space="preserve">NGÀNH KINH DOANH </t>
  </si>
  <si>
    <t>MUA BÁN</t>
  </si>
  <si>
    <t>SẢN XUẤT -TKCP 621-622-627; DT : 5112</t>
  </si>
  <si>
    <t>NHÀ HÀNG-SẢN XUẤT ( TK CP : 621-622-627)</t>
  </si>
  <si>
    <t>VẬN CHUYỂN -SẢN XUẤT ( TK CP : 621-622-627)</t>
  </si>
  <si>
    <t>GD -TKCP 621-622-627; DT : 5112</t>
  </si>
  <si>
    <t xml:space="preserve">THƯƠNG MẠI </t>
  </si>
  <si>
    <t>CÔNG TRÌNH -TKCP 621-622-627; DT : 5112</t>
  </si>
  <si>
    <t>TẠM GHĨ</t>
  </si>
  <si>
    <t>KHÁCH SẠN -621-622-627</t>
  </si>
  <si>
    <t>THƯƠNG MẠI</t>
  </si>
  <si>
    <t>GARA- SẢN XUẤT 621-622-627</t>
  </si>
  <si>
    <t xml:space="preserve">THƯƠNG MẠI -SẢN XUẤT </t>
  </si>
  <si>
    <t xml:space="preserve">THƯƠG MẠI </t>
  </si>
  <si>
    <t xml:space="preserve">THƯƠNG MẠI- DỊCH VỤ </t>
  </si>
  <si>
    <t xml:space="preserve">THƯƠG MẠI -XUẤT KHẨU </t>
  </si>
  <si>
    <t>NHÀ  HÀNG SẢN XUẤT -TKCP 621-622-627; DT : 5112</t>
  </si>
  <si>
    <t xml:space="preserve">CTY HUY HOÀNG PHÁT </t>
  </si>
  <si>
    <t xml:space="preserve">trang thuế điện tử </t>
  </si>
  <si>
    <t>3702448694</t>
  </si>
  <si>
    <t>SẢN XUẤT-THUONG MAI  -TKCP 621-622-627; DT : 5112</t>
  </si>
  <si>
    <t>CÔNG TY TNHH DEMAN (VIỆT NAM)
 MÁY NÉN KHÍ TIẾT KIỆM NĂNG LƯỢNG</t>
  </si>
  <si>
    <t>0318876085</t>
  </si>
  <si>
    <t xml:space="preserve">TM - FDI KIỂM TOÁN </t>
  </si>
  <si>
    <t>CTY JUSTLINK GOLBAL</t>
  </si>
  <si>
    <t>CUC-NGA</t>
  </si>
  <si>
    <t xml:space="preserve">CTY GIÁO DỤC MINH PHÚ </t>
  </si>
  <si>
    <t>3702689442</t>
  </si>
  <si>
    <t xml:space="preserve">DỊCH VỤ GIÁO DỤC </t>
  </si>
  <si>
    <t>TRANG-VU</t>
  </si>
  <si>
    <t>TRANG-YEN</t>
  </si>
  <si>
    <t>TRANG -VU</t>
  </si>
  <si>
    <t>THẢO-YÊN</t>
  </si>
  <si>
    <t>THẢO-VŨ</t>
  </si>
  <si>
    <t>01/07/2026-30-30/2027</t>
  </si>
  <si>
    <t>DA NOP BCTC XONG 2026</t>
  </si>
  <si>
    <t>1/7/2026-30/6/2027</t>
  </si>
  <si>
    <t xml:space="preserve">XONG </t>
  </si>
  <si>
    <t xml:space="preserve">TẠM NGỪNG -XONG </t>
  </si>
  <si>
    <t xml:space="preserve">CTY HONGSHENG </t>
  </si>
  <si>
    <t xml:space="preserve">GIẢI THỂ </t>
  </si>
  <si>
    <t xml:space="preserve">NOP XONG BÁO CÁO </t>
  </si>
  <si>
    <t>FDI :sub\5404773288; Stc@1234567</t>
  </si>
  <si>
    <t>FDI</t>
  </si>
  <si>
    <t>NHNN :0318876085; Nangluong12@</t>
  </si>
  <si>
    <t>3703324194; MK : hqn570o</t>
  </si>
  <si>
    <t>KHA3703253271 Mật khẩu: chv245d -; Đang nhập : 3703253271</t>
  </si>
  <si>
    <t>KHA3703221632 MK ghj495j  -3703221632</t>
  </si>
  <si>
    <t>F513702307012 ; MK : 3702307012@125a@</t>
  </si>
  <si>
    <t>CTY BERTER</t>
  </si>
  <si>
    <t>3703369011; Mật khẩu: QTD4bJm#</t>
  </si>
  <si>
    <t>CHÚNG KIÊT-THUÊ XƯỞNG</t>
  </si>
  <si>
    <t>CTY VIỆT THÁI -THUÊ XƯỞNG</t>
  </si>
  <si>
    <t xml:space="preserve">CTY THỌ LẬP 5 - THUÊ XƯỞNG </t>
  </si>
  <si>
    <t xml:space="preserve">HONG KAI -THUÊ XƯỞNG </t>
  </si>
  <si>
    <t xml:space="preserve">SẮC MÀU -THUÊ XƯỞNG </t>
  </si>
  <si>
    <t>A</t>
  </si>
  <si>
    <t>B</t>
  </si>
  <si>
    <t xml:space="preserve">KHAI THUÊ XƯỞNG </t>
  </si>
  <si>
    <t>ID: sub\9840172062 ; Mk: ebb@b4F5BUQx</t>
  </si>
  <si>
    <t xml:space="preserve">CTY MAY MẶC NGUYỄN THỊNH </t>
  </si>
  <si>
    <t>SẢN XUẤT -GIA CÔNG MAY MẶC</t>
  </si>
  <si>
    <t>3703402822</t>
  </si>
  <si>
    <t xml:space="preserve">ngày đăng
 ký GPKD </t>
  </si>
  <si>
    <t>3703485498</t>
  </si>
  <si>
    <t>TM -SHOPPE</t>
  </si>
  <si>
    <t xml:space="preserve">CTY NAM THÁI HỒ CHÍ MINH </t>
  </si>
  <si>
    <t>3703492375</t>
  </si>
  <si>
    <t>THAO</t>
  </si>
  <si>
    <t xml:space="preserve">TRẠM SẠC - TMDV </t>
  </si>
  <si>
    <t xml:space="preserve">giải thể </t>
  </si>
  <si>
    <t xml:space="preserve">KHÔNG BÁO CÁO </t>
  </si>
  <si>
    <t xml:space="preserve">CTY INTERIOR </t>
  </si>
  <si>
    <t xml:space="preserve">TMDV </t>
  </si>
  <si>
    <t>3703495168</t>
  </si>
  <si>
    <t>TRICOLOR</t>
  </si>
  <si>
    <t>CTY VENNUS</t>
  </si>
  <si>
    <t>CHUA NOP TIEN Q2</t>
  </si>
  <si>
    <t xml:space="preserve">CTY  JUSTLINK GLOBAL </t>
  </si>
  <si>
    <t>0319490038</t>
  </si>
  <si>
    <t>VENNUS</t>
  </si>
  <si>
    <t>CHỊ CÚC - NGA</t>
  </si>
  <si>
    <t xml:space="preserve">BÁO CÁO FDI  -QUÝ </t>
  </si>
  <si>
    <t>BÁO CÁO GIÁM SAT MAU 13-17</t>
  </si>
  <si>
    <t>MẪU 13-17</t>
  </si>
  <si>
    <t xml:space="preserve">CTY TỰ LÀM </t>
  </si>
  <si>
    <t xml:space="preserve">CONDAN- THUÊ XƯỞNG THÁNG </t>
  </si>
  <si>
    <t>CTY AUTO NH4 Ô TÔ</t>
  </si>
  <si>
    <t xml:space="preserve">CTY QUỐC TẾ QUÁN NGUYÊN </t>
  </si>
  <si>
    <t>CTY LONG THUẬN</t>
  </si>
  <si>
    <t>CTY KIM THÀNH (TRƯỜNG THÀNH)</t>
  </si>
  <si>
    <t xml:space="preserve">THƯƠNG MẠI - NGHĨ </t>
  </si>
  <si>
    <t xml:space="preserve">CTY VẠN THUẬN </t>
  </si>
  <si>
    <t>3703211271</t>
  </si>
  <si>
    <t xml:space="preserve">TM -SAN XUAT </t>
  </si>
  <si>
    <t xml:space="preserve">CTY VINBRIC TECH </t>
  </si>
  <si>
    <t>TÍN ANH</t>
  </si>
  <si>
    <t xml:space="preserve">NGA- CHI CUC </t>
  </si>
  <si>
    <t xml:space="preserve">TẠM NGỪNG - GIẢI THỂ </t>
  </si>
  <si>
    <t>TN -Q3</t>
  </si>
  <si>
    <t>TN-Q3</t>
  </si>
  <si>
    <t xml:space="preserve">TỔNG CỘNG </t>
  </si>
  <si>
    <t>YẾN-VU</t>
  </si>
  <si>
    <t>THAO -VU</t>
  </si>
  <si>
    <t>TRANG -VU-YEN</t>
  </si>
  <si>
    <t xml:space="preserve">CTY MÃN VIÊN </t>
  </si>
  <si>
    <t>3703473163</t>
  </si>
  <si>
    <t xml:space="preserve">TM </t>
  </si>
  <si>
    <t>QUÝ 3</t>
  </si>
  <si>
    <t>NGÀY NHẬN BC</t>
  </si>
  <si>
    <t xml:space="preserve">TỔNG HỢP DANH SÁCH </t>
  </si>
  <si>
    <t xml:space="preserve">CTY ĐIỆN CƠ HOÀNG THẠCH </t>
  </si>
  <si>
    <t>3703399908</t>
  </si>
  <si>
    <t>THƯƠNG MẠI - GIA CÔNG - 621-622-627</t>
  </si>
  <si>
    <t xml:space="preserve">CÔNG TY TNHH YU QUAN </t>
  </si>
  <si>
    <t>3703500749</t>
  </si>
  <si>
    <t>SẢN XUẤT -621-622-627</t>
  </si>
  <si>
    <t xml:space="preserve">CÔNG TY TNHH TMDV  XIANG YU ( TIỆM MÌ) </t>
  </si>
  <si>
    <t>3703500788</t>
  </si>
  <si>
    <t xml:space="preserve">ĂN UỐNG </t>
  </si>
  <si>
    <t xml:space="preserve">ngày nhận
 Báo cáo </t>
  </si>
  <si>
    <t xml:space="preserve">hoạt động trở lại </t>
  </si>
  <si>
    <t xml:space="preserve">CTY SÁT HẠCH LÁI XE QUANG MINH PHÁT </t>
  </si>
  <si>
    <t>3703502873</t>
  </si>
  <si>
    <t>SÁT HẠCH LÁI XE</t>
  </si>
  <si>
    <t xml:space="preserve">CÔNG TY PHONG TRIỂN </t>
  </si>
  <si>
    <t xml:space="preserve">TM -BÁN VẢI </t>
  </si>
  <si>
    <t>3703481503</t>
  </si>
  <si>
    <t xml:space="preserve">CTY ĐA HÀ PHÁT </t>
  </si>
  <si>
    <t xml:space="preserve">SẢN XUẤT </t>
  </si>
  <si>
    <t xml:space="preserve">CTY PHÒNG KHÁM LÊ HIỆU </t>
  </si>
  <si>
    <t xml:space="preserve">CTY PHONG TRIỂN </t>
  </si>
  <si>
    <t xml:space="preserve">CTY TÂN THUẬN </t>
  </si>
  <si>
    <t>3703255568</t>
  </si>
  <si>
    <t>tháng 8</t>
  </si>
  <si>
    <t>tháng 9</t>
  </si>
  <si>
    <t>3702307012 ; MK : 3702307012@125a@</t>
  </si>
  <si>
    <t xml:space="preserve">NGÀY NHẬN BÁO CÁO </t>
  </si>
  <si>
    <t>3703478003</t>
  </si>
  <si>
    <t xml:space="preserve">CTY PLASTIC HÒA THỊNH </t>
  </si>
  <si>
    <t xml:space="preserve">THẢO- YẾN </t>
  </si>
  <si>
    <t>-</t>
  </si>
  <si>
    <t xml:space="preserve">công vinbric </t>
  </si>
  <si>
    <t>01/10/2026-30/9/2027</t>
  </si>
  <si>
    <t>10/8/2026-10/8/2027</t>
  </si>
  <si>
    <t xml:space="preserve">xong </t>
  </si>
  <si>
    <t>CTY VIỆT PHÚC VINA</t>
  </si>
  <si>
    <t>3703509572</t>
  </si>
  <si>
    <t>SX</t>
  </si>
  <si>
    <t>CTY ZHONG YUE SHUN VIET NAM</t>
  </si>
  <si>
    <t>3703509325</t>
  </si>
  <si>
    <t xml:space="preserve">GIA CONG -SX </t>
  </si>
  <si>
    <t xml:space="preserve">CTY NGU KIM SUNRISE  VIET NAM </t>
  </si>
  <si>
    <t>3703377171</t>
  </si>
  <si>
    <t>HIEN</t>
  </si>
  <si>
    <t xml:space="preserve">CTY HOÀNG THẠCH </t>
  </si>
  <si>
    <t>CTY GAOTE</t>
  </si>
  <si>
    <t>3703418702, MK : ks*4UZfe</t>
  </si>
  <si>
    <t>T10</t>
  </si>
  <si>
    <t>t10</t>
  </si>
  <si>
    <t>không kê khai từ t10</t>
  </si>
  <si>
    <t>T11</t>
  </si>
  <si>
    <t>T09</t>
  </si>
  <si>
    <t>T12</t>
  </si>
  <si>
    <t>KKK</t>
  </si>
  <si>
    <t xml:space="preserve">CTY YU QUAN </t>
  </si>
  <si>
    <t xml:space="preserve">CTY HÒA XƯƠNG </t>
  </si>
  <si>
    <t xml:space="preserve">CTY HÒA THUẬN </t>
  </si>
  <si>
    <t>0319703053</t>
  </si>
  <si>
    <t>CTY NHÀ HÀNG YUZAO</t>
  </si>
  <si>
    <t>QUYEN</t>
  </si>
  <si>
    <t>3703483638</t>
  </si>
  <si>
    <t>GTGT-Q3</t>
  </si>
  <si>
    <t>TNCN-Q3</t>
  </si>
  <si>
    <t>DTT</t>
  </si>
  <si>
    <t xml:space="preserve">CTY KHÁCH SẠN NEW SKY 3-BÌNH DƯƠNG </t>
  </si>
  <si>
    <t>3703518506</t>
  </si>
  <si>
    <t>TM -DV</t>
  </si>
  <si>
    <t xml:space="preserve">CTY HÓA CHẤT HỢP LỰC </t>
  </si>
  <si>
    <t xml:space="preserve">HIỀN </t>
  </si>
  <si>
    <t>3604123105</t>
  </si>
  <si>
    <t xml:space="preserve">GIA CONG -SX HÓA CHẤT </t>
  </si>
  <si>
    <t>THÁNG 10</t>
  </si>
  <si>
    <t>GTGTQ3-26</t>
  </si>
  <si>
    <t xml:space="preserve">HKD NEW SKY 1-BÌNH DƯƠNG </t>
  </si>
  <si>
    <t>Q3-26</t>
  </si>
  <si>
    <t>Q1-26</t>
  </si>
  <si>
    <t>Q2-26</t>
  </si>
  <si>
    <r>
      <t>sub\</t>
    </r>
    <r>
      <rPr>
        <sz val="13"/>
        <color theme="1"/>
        <rFont val="Times New Roman"/>
        <family val="1"/>
      </rPr>
      <t>8740216721; Mật khẩu: Admin@123</t>
    </r>
  </si>
  <si>
    <t>Id: sub\9800654636; Mk: Stc@1234567</t>
  </si>
  <si>
    <t xml:space="preserve">bỏ </t>
  </si>
  <si>
    <t>thieu q2+q3</t>
  </si>
  <si>
    <t xml:space="preserve">ngừng hoạt động </t>
  </si>
  <si>
    <t xml:space="preserve">CTY NHÀ HÀNG GIA HUY </t>
  </si>
  <si>
    <t>NHÀ HÀNG -621-22-627</t>
  </si>
  <si>
    <t>3703506243</t>
  </si>
  <si>
    <t>Q2+Q3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</si>
</sst>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rgb="FF081B3A"/>
      <name val="SegoeuiPc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.5"/>
      <color rgb="FF081B3A"/>
      <name val="Segoe UI"/>
      <family val="2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SegoeuiPc"/>
    </font>
    <font>
      <b/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SegoeuiPc"/>
    </font>
    <font>
      <sz val="8"/>
      <color rgb="FFFF0000"/>
      <name val="Times New Roman"/>
      <family val="1"/>
    </font>
    <font>
      <sz val="9"/>
      <color rgb="FFFF0000"/>
      <name val="Times New Roman"/>
      <family val="1"/>
    </font>
    <font>
      <sz val="12"/>
      <color rgb="FFFF0000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0"/>
      <color rgb="FF1D2228"/>
      <name val="Arial"/>
      <family val="2"/>
    </font>
    <font>
      <sz val="13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B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4" fontId="0" fillId="0" borderId="0" xfId="0" applyNumberFormat="1"/>
    <xf numFmtId="0" fontId="4" fillId="3" borderId="0" xfId="0" applyFont="1" applyFill="1" applyBorder="1" applyAlignment="1">
      <alignment horizontal="center" wrapText="1"/>
    </xf>
    <xf numFmtId="0" fontId="8" fillId="0" borderId="0" xfId="0" applyFont="1"/>
    <xf numFmtId="0" fontId="0" fillId="4" borderId="0" xfId="0" applyFill="1"/>
    <xf numFmtId="0" fontId="4" fillId="4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2" fillId="4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3" fillId="0" borderId="0" xfId="0" applyFont="1" applyFill="1"/>
    <xf numFmtId="0" fontId="3" fillId="0" borderId="2" xfId="0" applyFont="1" applyFill="1" applyBorder="1"/>
    <xf numFmtId="0" fontId="3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0" fillId="5" borderId="0" xfId="0" applyFill="1"/>
    <xf numFmtId="0" fontId="6" fillId="5" borderId="1" xfId="0" applyFont="1" applyFill="1" applyBorder="1" applyAlignment="1">
      <alignment wrapText="1"/>
    </xf>
    <xf numFmtId="0" fontId="9" fillId="5" borderId="0" xfId="0" applyFont="1" applyFill="1" applyBorder="1" applyAlignment="1">
      <alignment horizontal="center" wrapText="1"/>
    </xf>
    <xf numFmtId="0" fontId="13" fillId="5" borderId="0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wrapText="1"/>
    </xf>
    <xf numFmtId="0" fontId="7" fillId="5" borderId="0" xfId="0" applyFont="1" applyFill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3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 wrapText="1"/>
    </xf>
    <xf numFmtId="0" fontId="3" fillId="4" borderId="0" xfId="0" applyFont="1" applyFill="1"/>
    <xf numFmtId="0" fontId="3" fillId="4" borderId="2" xfId="0" applyFont="1" applyFill="1" applyBorder="1"/>
    <xf numFmtId="0" fontId="3" fillId="4" borderId="2" xfId="0" applyFont="1" applyFill="1" applyBorder="1" applyAlignment="1">
      <alignment horizontal="left" wrapText="1"/>
    </xf>
    <xf numFmtId="0" fontId="10" fillId="4" borderId="0" xfId="0" applyFont="1" applyFill="1"/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7" fillId="4" borderId="2" xfId="0" applyFont="1" applyFill="1" applyBorder="1" applyAlignment="1">
      <alignment horizontal="left" wrapText="1"/>
    </xf>
    <xf numFmtId="0" fontId="3" fillId="6" borderId="0" xfId="0" applyFont="1" applyFill="1"/>
    <xf numFmtId="14" fontId="3" fillId="6" borderId="0" xfId="0" quotePrefix="1" applyNumberFormat="1" applyFont="1" applyFill="1"/>
    <xf numFmtId="14" fontId="3" fillId="0" borderId="2" xfId="0" applyNumberFormat="1" applyFont="1" applyFill="1" applyBorder="1"/>
    <xf numFmtId="0" fontId="10" fillId="6" borderId="0" xfId="0" applyFont="1" applyFill="1"/>
    <xf numFmtId="14" fontId="10" fillId="6" borderId="0" xfId="0" applyNumberFormat="1" applyFont="1" applyFill="1"/>
    <xf numFmtId="0" fontId="5" fillId="6" borderId="2" xfId="0" applyFont="1" applyFill="1" applyBorder="1"/>
    <xf numFmtId="0" fontId="5" fillId="6" borderId="2" xfId="0" quotePrefix="1" applyFont="1" applyFill="1" applyBorder="1"/>
    <xf numFmtId="0" fontId="5" fillId="6" borderId="0" xfId="0" applyFont="1" applyFill="1"/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left" wrapText="1"/>
    </xf>
    <xf numFmtId="0" fontId="0" fillId="0" borderId="0" xfId="0" applyFill="1"/>
    <xf numFmtId="0" fontId="4" fillId="0" borderId="0" xfId="0" applyFont="1" applyFill="1" applyBorder="1" applyAlignment="1">
      <alignment horizontal="center" wrapText="1"/>
    </xf>
    <xf numFmtId="0" fontId="10" fillId="5" borderId="0" xfId="0" applyFont="1" applyFill="1"/>
    <xf numFmtId="0" fontId="12" fillId="5" borderId="0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wrapText="1"/>
    </xf>
    <xf numFmtId="0" fontId="8" fillId="0" borderId="0" xfId="0" applyFont="1" applyFill="1"/>
    <xf numFmtId="0" fontId="17" fillId="4" borderId="0" xfId="0" applyFont="1" applyFill="1"/>
    <xf numFmtId="0" fontId="18" fillId="4" borderId="0" xfId="0" applyFont="1" applyFill="1" applyBorder="1" applyAlignment="1">
      <alignment horizontal="center" wrapText="1"/>
    </xf>
    <xf numFmtId="0" fontId="6" fillId="5" borderId="0" xfId="0" applyFont="1" applyFill="1" applyBorder="1" applyAlignment="1">
      <alignment wrapText="1"/>
    </xf>
    <xf numFmtId="14" fontId="5" fillId="6" borderId="2" xfId="0" quotePrefix="1" applyNumberFormat="1" applyFont="1" applyFill="1" applyBorder="1"/>
    <xf numFmtId="0" fontId="3" fillId="0" borderId="0" xfId="0" quotePrefix="1" applyFont="1" applyFill="1"/>
    <xf numFmtId="14" fontId="3" fillId="0" borderId="0" xfId="0" applyNumberFormat="1" applyFont="1" applyFill="1"/>
    <xf numFmtId="0" fontId="3" fillId="6" borderId="2" xfId="0" applyFont="1" applyFill="1" applyBorder="1"/>
    <xf numFmtId="0" fontId="0" fillId="6" borderId="0" xfId="0" applyFill="1"/>
    <xf numFmtId="0" fontId="17" fillId="6" borderId="0" xfId="0" applyFont="1" applyFill="1"/>
    <xf numFmtId="0" fontId="6" fillId="0" borderId="0" xfId="0" applyFont="1" applyFill="1" applyBorder="1" applyAlignment="1">
      <alignment wrapText="1"/>
    </xf>
    <xf numFmtId="0" fontId="0" fillId="0" borderId="0" xfId="0" applyFill="1" applyBorder="1"/>
    <xf numFmtId="0" fontId="4" fillId="0" borderId="0" xfId="0" quotePrefix="1" applyFont="1" applyFill="1" applyBorder="1" applyAlignment="1">
      <alignment horizontal="center" wrapText="1"/>
    </xf>
    <xf numFmtId="0" fontId="10" fillId="0" borderId="0" xfId="0" applyFont="1" applyFill="1"/>
    <xf numFmtId="0" fontId="5" fillId="0" borderId="2" xfId="0" applyFont="1" applyFill="1" applyBorder="1" applyAlignment="1">
      <alignment wrapText="1"/>
    </xf>
    <xf numFmtId="0" fontId="13" fillId="0" borderId="0" xfId="0" applyFont="1" applyFill="1" applyBorder="1" applyAlignment="1">
      <alignment horizontal="center" wrapText="1"/>
    </xf>
    <xf numFmtId="0" fontId="0" fillId="4" borderId="0" xfId="0" applyFill="1" applyBorder="1"/>
    <xf numFmtId="0" fontId="6" fillId="4" borderId="0" xfId="0" applyFont="1" applyFill="1" applyBorder="1" applyAlignment="1">
      <alignment wrapText="1"/>
    </xf>
    <xf numFmtId="0" fontId="4" fillId="4" borderId="0" xfId="0" quotePrefix="1" applyFont="1" applyFill="1" applyBorder="1" applyAlignment="1">
      <alignment horizontal="center" wrapText="1"/>
    </xf>
    <xf numFmtId="0" fontId="9" fillId="4" borderId="0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19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wrapText="1"/>
    </xf>
    <xf numFmtId="0" fontId="7" fillId="6" borderId="2" xfId="0" applyFont="1" applyFill="1" applyBorder="1" applyAlignment="1">
      <alignment horizontal="left" wrapText="1"/>
    </xf>
    <xf numFmtId="14" fontId="5" fillId="6" borderId="2" xfId="0" applyNumberFormat="1" applyFont="1" applyFill="1" applyBorder="1"/>
    <xf numFmtId="0" fontId="5" fillId="0" borderId="2" xfId="0" applyFont="1" applyFill="1" applyBorder="1" applyAlignment="1">
      <alignment horizontal="left" wrapText="1"/>
    </xf>
    <xf numFmtId="0" fontId="20" fillId="6" borderId="2" xfId="0" applyFont="1" applyFill="1" applyBorder="1" applyAlignment="1">
      <alignment horizontal="left" wrapText="1"/>
    </xf>
    <xf numFmtId="17" fontId="5" fillId="6" borderId="2" xfId="0" quotePrefix="1" applyNumberFormat="1" applyFont="1" applyFill="1" applyBorder="1"/>
    <xf numFmtId="0" fontId="5" fillId="6" borderId="2" xfId="0" applyFont="1" applyFill="1" applyBorder="1" applyAlignment="1">
      <alignment horizontal="left"/>
    </xf>
    <xf numFmtId="0" fontId="3" fillId="7" borderId="2" xfId="0" applyFont="1" applyFill="1" applyBorder="1"/>
    <xf numFmtId="0" fontId="3" fillId="7" borderId="2" xfId="0" applyFont="1" applyFill="1" applyBorder="1" applyAlignment="1">
      <alignment wrapText="1"/>
    </xf>
    <xf numFmtId="0" fontId="3" fillId="7" borderId="2" xfId="0" applyFont="1" applyFill="1" applyBorder="1" applyAlignment="1">
      <alignment horizontal="left" wrapText="1"/>
    </xf>
    <xf numFmtId="0" fontId="7" fillId="7" borderId="2" xfId="0" applyFont="1" applyFill="1" applyBorder="1" applyAlignment="1">
      <alignment horizontal="left" wrapText="1"/>
    </xf>
    <xf numFmtId="0" fontId="3" fillId="7" borderId="0" xfId="0" applyFont="1" applyFill="1"/>
    <xf numFmtId="0" fontId="5" fillId="7" borderId="2" xfId="0" applyFont="1" applyFill="1" applyBorder="1" applyAlignment="1">
      <alignment horizontal="left" wrapText="1"/>
    </xf>
    <xf numFmtId="0" fontId="3" fillId="7" borderId="2" xfId="0" quotePrefix="1" applyFont="1" applyFill="1" applyBorder="1"/>
    <xf numFmtId="14" fontId="3" fillId="7" borderId="2" xfId="0" quotePrefix="1" applyNumberFormat="1" applyFont="1" applyFill="1" applyBorder="1"/>
    <xf numFmtId="14" fontId="5" fillId="6" borderId="2" xfId="0" quotePrefix="1" applyNumberFormat="1" applyFont="1" applyFill="1" applyBorder="1" applyAlignment="1">
      <alignment horizontal="left"/>
    </xf>
    <xf numFmtId="0" fontId="5" fillId="6" borderId="0" xfId="0" quotePrefix="1" applyFont="1" applyFill="1"/>
    <xf numFmtId="14" fontId="5" fillId="6" borderId="0" xfId="0" applyNumberFormat="1" applyFont="1" applyFill="1"/>
    <xf numFmtId="0" fontId="21" fillId="6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4" fontId="3" fillId="0" borderId="0" xfId="0" quotePrefix="1" applyNumberFormat="1" applyFont="1" applyFill="1"/>
    <xf numFmtId="0" fontId="3" fillId="0" borderId="2" xfId="0" quotePrefix="1" applyFont="1" applyFill="1" applyBorder="1"/>
    <xf numFmtId="0" fontId="3" fillId="0" borderId="0" xfId="0" applyFont="1" applyFill="1" applyBorder="1"/>
    <xf numFmtId="0" fontId="22" fillId="0" borderId="2" xfId="0" applyFont="1" applyFill="1" applyBorder="1" applyAlignment="1">
      <alignment horizontal="left" wrapText="1"/>
    </xf>
    <xf numFmtId="0" fontId="23" fillId="0" borderId="2" xfId="0" applyFont="1" applyFill="1" applyBorder="1" applyAlignment="1">
      <alignment horizontal="left" wrapText="1"/>
    </xf>
    <xf numFmtId="0" fontId="3" fillId="0" borderId="4" xfId="0" applyFont="1" applyFill="1" applyBorder="1"/>
    <xf numFmtId="0" fontId="3" fillId="0" borderId="2" xfId="0" applyFont="1" applyFill="1" applyBorder="1" applyAlignment="1">
      <alignment horizontal="left"/>
    </xf>
    <xf numFmtId="17" fontId="3" fillId="0" borderId="2" xfId="0" quotePrefix="1" applyNumberFormat="1" applyFont="1" applyFill="1" applyBorder="1"/>
    <xf numFmtId="14" fontId="3" fillId="0" borderId="2" xfId="0" quotePrefix="1" applyNumberFormat="1" applyFont="1" applyFill="1" applyBorder="1"/>
    <xf numFmtId="0" fontId="3" fillId="6" borderId="2" xfId="0" applyFont="1" applyFill="1" applyBorder="1" applyAlignment="1">
      <alignment wrapText="1"/>
    </xf>
    <xf numFmtId="0" fontId="17" fillId="0" borderId="0" xfId="0" applyFont="1" applyFill="1"/>
    <xf numFmtId="0" fontId="3" fillId="0" borderId="1" xfId="0" applyFont="1" applyFill="1" applyBorder="1" applyAlignment="1">
      <alignment wrapText="1"/>
    </xf>
    <xf numFmtId="14" fontId="3" fillId="0" borderId="0" xfId="0" applyNumberFormat="1" applyFont="1" applyFill="1" applyBorder="1"/>
    <xf numFmtId="0" fontId="3" fillId="0" borderId="0" xfId="0" quotePrefix="1" applyFont="1" applyFill="1" applyBorder="1"/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/>
    <xf numFmtId="14" fontId="3" fillId="0" borderId="5" xfId="0" applyNumberFormat="1" applyFont="1" applyFill="1" applyBorder="1"/>
    <xf numFmtId="0" fontId="3" fillId="0" borderId="5" xfId="0" quotePrefix="1" applyFont="1" applyFill="1" applyBorder="1"/>
    <xf numFmtId="0" fontId="3" fillId="0" borderId="5" xfId="0" applyFont="1" applyFill="1" applyBorder="1" applyAlignment="1">
      <alignment horizontal="left" wrapText="1"/>
    </xf>
    <xf numFmtId="41" fontId="0" fillId="0" borderId="0" xfId="0" applyNumberFormat="1"/>
    <xf numFmtId="0" fontId="1" fillId="6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5" fillId="0" borderId="2" xfId="0" applyFont="1" applyFill="1" applyBorder="1"/>
    <xf numFmtId="0" fontId="24" fillId="0" borderId="2" xfId="0" quotePrefix="1" applyFont="1" applyFill="1" applyBorder="1"/>
    <xf numFmtId="14" fontId="5" fillId="0" borderId="0" xfId="0" applyNumberFormat="1" applyFont="1" applyFill="1"/>
    <xf numFmtId="0" fontId="5" fillId="6" borderId="4" xfId="0" applyFont="1" applyFill="1" applyBorder="1"/>
    <xf numFmtId="0" fontId="25" fillId="6" borderId="2" xfId="0" quotePrefix="1" applyFont="1" applyFill="1" applyBorder="1"/>
    <xf numFmtId="0" fontId="24" fillId="0" borderId="0" xfId="0" quotePrefix="1" applyFont="1" applyFill="1" applyBorder="1"/>
    <xf numFmtId="0" fontId="26" fillId="0" borderId="0" xfId="0" applyFont="1"/>
    <xf numFmtId="0" fontId="3" fillId="8" borderId="0" xfId="0" applyFont="1" applyFill="1"/>
    <xf numFmtId="0" fontId="3" fillId="8" borderId="2" xfId="0" applyFont="1" applyFill="1" applyBorder="1"/>
    <xf numFmtId="0" fontId="3" fillId="8" borderId="2" xfId="0" quotePrefix="1" applyFont="1" applyFill="1" applyBorder="1"/>
    <xf numFmtId="0" fontId="3" fillId="8" borderId="2" xfId="0" applyFont="1" applyFill="1" applyBorder="1" applyAlignment="1">
      <alignment horizontal="left" wrapText="1"/>
    </xf>
    <xf numFmtId="14" fontId="3" fillId="8" borderId="2" xfId="0" applyNumberFormat="1" applyFont="1" applyFill="1" applyBorder="1"/>
    <xf numFmtId="0" fontId="3" fillId="8" borderId="4" xfId="0" applyFont="1" applyFill="1" applyBorder="1"/>
    <xf numFmtId="0" fontId="3" fillId="0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topLeftCell="A13" workbookViewId="0">
      <selection activeCell="B22" sqref="B22"/>
    </sheetView>
  </sheetViews>
  <sheetFormatPr defaultRowHeight="15"/>
  <cols>
    <col min="2" max="2" width="35.5703125" customWidth="1"/>
    <col min="3" max="3" width="26.85546875" customWidth="1"/>
    <col min="4" max="4" width="18.7109375" customWidth="1"/>
  </cols>
  <sheetData>
    <row r="2" spans="1:9">
      <c r="I2" t="s">
        <v>0</v>
      </c>
    </row>
    <row r="3" spans="1:9">
      <c r="I3" t="s">
        <v>1</v>
      </c>
    </row>
    <row r="4" spans="1:9">
      <c r="A4" t="s">
        <v>2</v>
      </c>
      <c r="B4" t="s">
        <v>3</v>
      </c>
      <c r="C4" t="s">
        <v>112</v>
      </c>
    </row>
    <row r="5" spans="1:9">
      <c r="A5">
        <v>1</v>
      </c>
      <c r="B5" t="s">
        <v>19</v>
      </c>
      <c r="C5" s="5">
        <v>46203</v>
      </c>
      <c r="D5" t="s">
        <v>250</v>
      </c>
      <c r="E5" t="s">
        <v>251</v>
      </c>
    </row>
    <row r="6" spans="1:9">
      <c r="B6" t="s">
        <v>105</v>
      </c>
      <c r="C6" s="5">
        <v>46203</v>
      </c>
      <c r="D6" t="s">
        <v>250</v>
      </c>
      <c r="E6" t="s">
        <v>251</v>
      </c>
    </row>
    <row r="7" spans="1:9">
      <c r="B7" t="s">
        <v>106</v>
      </c>
      <c r="C7" s="5">
        <v>46387</v>
      </c>
    </row>
    <row r="8" spans="1:9">
      <c r="B8" t="s">
        <v>107</v>
      </c>
      <c r="C8" s="5">
        <v>46387</v>
      </c>
    </row>
    <row r="9" spans="1:9" s="49" customFormat="1">
      <c r="B9" s="49" t="s">
        <v>108</v>
      </c>
      <c r="C9" s="50">
        <v>46244</v>
      </c>
      <c r="D9" t="s">
        <v>358</v>
      </c>
      <c r="E9" s="49" t="s">
        <v>359</v>
      </c>
    </row>
    <row r="10" spans="1:9">
      <c r="B10" t="s">
        <v>109</v>
      </c>
      <c r="C10" s="5">
        <v>46387</v>
      </c>
    </row>
    <row r="11" spans="1:9">
      <c r="B11" t="s">
        <v>110</v>
      </c>
      <c r="C11" s="5">
        <v>46387</v>
      </c>
    </row>
    <row r="12" spans="1:9">
      <c r="B12" t="s">
        <v>111</v>
      </c>
      <c r="C12" s="5">
        <v>46387</v>
      </c>
      <c r="D12" t="s">
        <v>335</v>
      </c>
    </row>
    <row r="13" spans="1:9">
      <c r="B13" t="s">
        <v>113</v>
      </c>
      <c r="C13" s="5">
        <v>46387</v>
      </c>
    </row>
    <row r="14" spans="1:9">
      <c r="B14" t="s">
        <v>114</v>
      </c>
    </row>
    <row r="15" spans="1:9">
      <c r="B15" t="s">
        <v>115</v>
      </c>
      <c r="C15" s="5">
        <v>46387</v>
      </c>
    </row>
    <row r="16" spans="1:9">
      <c r="B16" t="s">
        <v>143</v>
      </c>
      <c r="C16" t="s">
        <v>144</v>
      </c>
    </row>
    <row r="17" spans="2:5">
      <c r="B17" t="s">
        <v>179</v>
      </c>
      <c r="C17" t="s">
        <v>180</v>
      </c>
      <c r="E17" t="s">
        <v>251</v>
      </c>
    </row>
    <row r="18" spans="2:5">
      <c r="B18" s="35" t="s">
        <v>23</v>
      </c>
      <c r="C18" s="36">
        <v>3703115680</v>
      </c>
      <c r="D18" s="36" t="s">
        <v>188</v>
      </c>
    </row>
    <row r="19" spans="2:5">
      <c r="B19" s="21" t="s">
        <v>167</v>
      </c>
      <c r="C19" t="s">
        <v>248</v>
      </c>
      <c r="D19" t="s">
        <v>249</v>
      </c>
    </row>
    <row r="20" spans="2:5">
      <c r="B20" t="s">
        <v>253</v>
      </c>
      <c r="C20" t="s">
        <v>254</v>
      </c>
      <c r="D20" t="s">
        <v>255</v>
      </c>
    </row>
    <row r="21" spans="2:5">
      <c r="B21" t="s">
        <v>356</v>
      </c>
      <c r="C21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U124"/>
  <sheetViews>
    <sheetView topLeftCell="A95" workbookViewId="0">
      <selection activeCell="B107" sqref="A2:U124"/>
    </sheetView>
  </sheetViews>
  <sheetFormatPr defaultRowHeight="15"/>
  <cols>
    <col min="1" max="1" width="10.42578125" style="20" bestFit="1" customWidth="1"/>
    <col min="2" max="2" width="45" style="20" customWidth="1"/>
    <col min="3" max="3" width="6.28515625" style="20" customWidth="1"/>
    <col min="4" max="5" width="14.85546875" style="20" customWidth="1"/>
    <col min="6" max="6" width="14.140625" style="38" customWidth="1"/>
    <col min="7" max="7" width="41" style="38" customWidth="1"/>
    <col min="8" max="8" width="27.7109375" style="38" hidden="1" customWidth="1"/>
    <col min="9" max="9" width="16.85546875" style="20" hidden="1" customWidth="1"/>
    <col min="10" max="10" width="28" style="20" hidden="1" customWidth="1"/>
    <col min="11" max="11" width="11.85546875" style="20" hidden="1" customWidth="1"/>
    <col min="12" max="12" width="10.7109375" style="46" hidden="1" customWidth="1"/>
    <col min="13" max="13" width="0" style="20" hidden="1" customWidth="1"/>
    <col min="14" max="14" width="9.42578125" style="20" hidden="1" customWidth="1"/>
    <col min="15" max="15" width="9.140625" style="38" hidden="1" customWidth="1"/>
    <col min="16" max="16" width="10.140625" style="46" customWidth="1"/>
    <col min="17" max="17" width="8.42578125" style="46" customWidth="1"/>
    <col min="18" max="18" width="9.7109375" style="20" customWidth="1"/>
    <col min="19" max="19" width="10" style="38" customWidth="1"/>
    <col min="20" max="20" width="9.140625" style="20"/>
    <col min="21" max="21" width="17.140625" style="20" customWidth="1"/>
    <col min="22" max="16384" width="9.140625" style="20"/>
  </cols>
  <sheetData>
    <row r="2" spans="1:20">
      <c r="B2" s="143" t="s">
        <v>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3" spans="1:20">
      <c r="B3" s="143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</row>
    <row r="4" spans="1:20">
      <c r="A4" s="38"/>
      <c r="B4" s="38"/>
      <c r="C4" s="38"/>
      <c r="D4" s="38"/>
      <c r="E4" s="38"/>
      <c r="I4" s="38"/>
      <c r="J4" s="38"/>
      <c r="K4" s="38"/>
      <c r="L4" s="144" t="s">
        <v>63</v>
      </c>
      <c r="M4" s="144"/>
      <c r="N4" s="144"/>
      <c r="P4" s="144" t="s">
        <v>196</v>
      </c>
      <c r="Q4" s="144"/>
      <c r="R4" s="144"/>
      <c r="S4" s="144"/>
      <c r="T4" s="38"/>
    </row>
    <row r="5" spans="1:20" ht="45">
      <c r="A5" s="39" t="s">
        <v>2</v>
      </c>
      <c r="B5" s="39" t="s">
        <v>3</v>
      </c>
      <c r="C5" s="39"/>
      <c r="D5" s="39" t="s">
        <v>4</v>
      </c>
      <c r="E5" s="43" t="s">
        <v>277</v>
      </c>
      <c r="F5" s="42" t="s">
        <v>199</v>
      </c>
      <c r="G5" s="21" t="s">
        <v>214</v>
      </c>
      <c r="H5" s="21" t="s">
        <v>232</v>
      </c>
      <c r="I5" s="43" t="s">
        <v>152</v>
      </c>
      <c r="J5" s="39" t="s">
        <v>6</v>
      </c>
      <c r="K5" s="39" t="s">
        <v>138</v>
      </c>
      <c r="L5" s="71" t="s">
        <v>64</v>
      </c>
      <c r="M5" s="39" t="s">
        <v>65</v>
      </c>
      <c r="N5" s="43" t="s">
        <v>198</v>
      </c>
      <c r="O5" s="43" t="s">
        <v>197</v>
      </c>
      <c r="P5" s="71" t="s">
        <v>64</v>
      </c>
      <c r="Q5" s="71" t="s">
        <v>65</v>
      </c>
      <c r="R5" s="43" t="s">
        <v>198</v>
      </c>
      <c r="S5" s="43" t="s">
        <v>197</v>
      </c>
      <c r="T5" s="39" t="s">
        <v>66</v>
      </c>
    </row>
    <row r="6" spans="1:20" s="53" customFormat="1" ht="30" hidden="1">
      <c r="A6" s="51">
        <v>1</v>
      </c>
      <c r="B6" s="54" t="s">
        <v>88</v>
      </c>
      <c r="C6" s="54" t="s">
        <v>173</v>
      </c>
      <c r="D6" s="55">
        <v>3702984511</v>
      </c>
      <c r="E6" s="55"/>
      <c r="F6" s="55" t="s">
        <v>189</v>
      </c>
      <c r="G6" s="55" t="s">
        <v>215</v>
      </c>
      <c r="H6" s="55"/>
      <c r="I6" s="55"/>
      <c r="J6" s="51"/>
      <c r="K6" s="51" t="s">
        <v>139</v>
      </c>
      <c r="L6" s="51"/>
      <c r="M6" s="51"/>
      <c r="N6" s="51"/>
      <c r="O6" s="51"/>
      <c r="P6" s="51" t="s">
        <v>116</v>
      </c>
      <c r="Q6" s="51" t="s">
        <v>116</v>
      </c>
      <c r="R6" s="51"/>
      <c r="S6" s="51"/>
      <c r="T6" s="51" t="s">
        <v>76</v>
      </c>
    </row>
    <row r="7" spans="1:20" s="53" customFormat="1" ht="30" hidden="1">
      <c r="A7" s="51">
        <f>A6+1</f>
        <v>2</v>
      </c>
      <c r="B7" s="54" t="s">
        <v>89</v>
      </c>
      <c r="C7" s="54"/>
      <c r="D7" s="55">
        <v>3702924424</v>
      </c>
      <c r="E7" s="55"/>
      <c r="F7" s="55" t="s">
        <v>189</v>
      </c>
      <c r="G7" s="55" t="s">
        <v>216</v>
      </c>
      <c r="H7" s="55"/>
      <c r="I7" s="55"/>
      <c r="J7" s="51"/>
      <c r="K7" s="51" t="s">
        <v>139</v>
      </c>
      <c r="L7" s="51" t="s">
        <v>116</v>
      </c>
      <c r="M7" s="51" t="s">
        <v>116</v>
      </c>
      <c r="N7" s="51" t="s">
        <v>182</v>
      </c>
      <c r="O7" s="51" t="s">
        <v>116</v>
      </c>
      <c r="P7" s="51" t="s">
        <v>116</v>
      </c>
      <c r="Q7" s="51" t="s">
        <v>116</v>
      </c>
      <c r="R7" s="51"/>
      <c r="S7" s="51"/>
      <c r="T7" s="51"/>
    </row>
    <row r="8" spans="1:20" s="53" customFormat="1">
      <c r="A8" s="51">
        <f t="shared" ref="A8:A71" si="0">A7+1</f>
        <v>3</v>
      </c>
      <c r="B8" s="54" t="s">
        <v>300</v>
      </c>
      <c r="C8" s="54"/>
      <c r="D8" s="55">
        <v>3703153421</v>
      </c>
      <c r="E8" s="55"/>
      <c r="F8" s="55" t="s">
        <v>190</v>
      </c>
      <c r="G8" s="55" t="s">
        <v>216</v>
      </c>
      <c r="H8" s="55"/>
      <c r="I8" s="55"/>
      <c r="J8" s="51"/>
      <c r="K8" s="51" t="s">
        <v>139</v>
      </c>
      <c r="L8" s="51" t="s">
        <v>116</v>
      </c>
      <c r="M8" s="51" t="s">
        <v>116</v>
      </c>
      <c r="N8" s="51" t="s">
        <v>182</v>
      </c>
      <c r="O8" s="51"/>
      <c r="P8" s="51" t="s">
        <v>116</v>
      </c>
      <c r="Q8" s="51" t="s">
        <v>116</v>
      </c>
      <c r="R8" s="51"/>
      <c r="S8" s="51"/>
      <c r="T8" s="51"/>
    </row>
    <row r="9" spans="1:20" s="53" customFormat="1" hidden="1">
      <c r="A9" s="51">
        <f t="shared" si="0"/>
        <v>4</v>
      </c>
      <c r="B9" s="54" t="s">
        <v>97</v>
      </c>
      <c r="C9" s="54" t="s">
        <v>116</v>
      </c>
      <c r="D9" s="55">
        <v>3703221632</v>
      </c>
      <c r="E9" s="55"/>
      <c r="F9" s="55" t="s">
        <v>191</v>
      </c>
      <c r="G9" s="55" t="s">
        <v>216</v>
      </c>
      <c r="H9" s="55" t="s">
        <v>254</v>
      </c>
      <c r="I9" s="55" t="s">
        <v>116</v>
      </c>
      <c r="J9" s="51"/>
      <c r="K9" s="51" t="s">
        <v>139</v>
      </c>
      <c r="L9" s="51" t="s">
        <v>116</v>
      </c>
      <c r="M9" s="51" t="s">
        <v>116</v>
      </c>
      <c r="N9" s="51"/>
      <c r="O9" s="51"/>
      <c r="P9" s="51"/>
      <c r="Q9" s="51"/>
      <c r="R9" s="51"/>
      <c r="S9" s="51"/>
      <c r="T9" s="51" t="s">
        <v>284</v>
      </c>
    </row>
    <row r="10" spans="1:20" s="53" customFormat="1" ht="30">
      <c r="A10" s="51">
        <f t="shared" si="0"/>
        <v>5</v>
      </c>
      <c r="B10" s="84" t="s">
        <v>90</v>
      </c>
      <c r="C10" s="84"/>
      <c r="D10" s="85">
        <v>3703253271</v>
      </c>
      <c r="E10" s="85"/>
      <c r="F10" s="55" t="s">
        <v>190</v>
      </c>
      <c r="G10" s="55" t="s">
        <v>217</v>
      </c>
      <c r="H10" s="55"/>
      <c r="I10" s="85"/>
      <c r="J10" s="51"/>
      <c r="K10" s="51" t="s">
        <v>139</v>
      </c>
      <c r="L10" s="51" t="s">
        <v>116</v>
      </c>
      <c r="M10" s="51" t="s">
        <v>116</v>
      </c>
      <c r="N10" s="51"/>
      <c r="O10" s="51"/>
      <c r="P10" s="51" t="s">
        <v>116</v>
      </c>
      <c r="Q10" s="51" t="s">
        <v>116</v>
      </c>
      <c r="R10" s="51"/>
      <c r="S10" s="51"/>
      <c r="T10" s="51"/>
    </row>
    <row r="11" spans="1:20" ht="30">
      <c r="A11" s="21">
        <f t="shared" si="0"/>
        <v>6</v>
      </c>
      <c r="B11" s="22" t="s">
        <v>78</v>
      </c>
      <c r="C11" s="22" t="s">
        <v>173</v>
      </c>
      <c r="D11" s="24">
        <v>3703061805</v>
      </c>
      <c r="E11" s="24"/>
      <c r="F11" s="40" t="s">
        <v>190</v>
      </c>
      <c r="G11" s="40" t="s">
        <v>218</v>
      </c>
      <c r="H11" s="40"/>
      <c r="I11" s="24"/>
      <c r="J11" s="21"/>
      <c r="K11" s="21" t="s">
        <v>139</v>
      </c>
      <c r="L11" s="71"/>
      <c r="M11" s="21"/>
      <c r="N11" s="21"/>
      <c r="O11" s="39"/>
      <c r="P11" s="71"/>
      <c r="Q11" s="71"/>
      <c r="R11" s="21"/>
      <c r="S11" s="39"/>
      <c r="T11" s="21"/>
    </row>
    <row r="12" spans="1:20" s="53" customFormat="1" hidden="1">
      <c r="A12" s="51">
        <f t="shared" si="0"/>
        <v>7</v>
      </c>
      <c r="B12" s="54" t="s">
        <v>91</v>
      </c>
      <c r="C12" s="54"/>
      <c r="D12" s="55">
        <v>3703184243</v>
      </c>
      <c r="E12" s="55"/>
      <c r="F12" s="55" t="s">
        <v>189</v>
      </c>
      <c r="G12" s="55" t="s">
        <v>216</v>
      </c>
      <c r="H12" s="55"/>
      <c r="I12" s="55"/>
      <c r="J12" s="51"/>
      <c r="K12" s="51" t="s">
        <v>139</v>
      </c>
      <c r="L12" s="51" t="s">
        <v>116</v>
      </c>
      <c r="M12" s="51" t="s">
        <v>116</v>
      </c>
      <c r="N12" s="51" t="s">
        <v>182</v>
      </c>
      <c r="O12" s="51"/>
      <c r="P12" s="51" t="s">
        <v>116</v>
      </c>
      <c r="Q12" s="51" t="s">
        <v>116</v>
      </c>
      <c r="R12" s="51"/>
      <c r="S12" s="51"/>
      <c r="T12" s="51"/>
    </row>
    <row r="13" spans="1:20" s="53" customFormat="1" ht="30" hidden="1">
      <c r="A13" s="51">
        <f t="shared" si="0"/>
        <v>8</v>
      </c>
      <c r="B13" s="54" t="s">
        <v>92</v>
      </c>
      <c r="C13" s="54"/>
      <c r="D13" s="55">
        <v>3702420681</v>
      </c>
      <c r="E13" s="55"/>
      <c r="F13" s="55" t="s">
        <v>191</v>
      </c>
      <c r="G13" s="55" t="s">
        <v>219</v>
      </c>
      <c r="H13" s="55"/>
      <c r="I13" s="55"/>
      <c r="J13" s="51"/>
      <c r="K13" s="51" t="s">
        <v>139</v>
      </c>
      <c r="L13" s="51" t="s">
        <v>116</v>
      </c>
      <c r="M13" s="51"/>
      <c r="N13" s="51"/>
      <c r="O13" s="51"/>
      <c r="P13" s="51"/>
      <c r="Q13" s="51"/>
      <c r="R13" s="51"/>
      <c r="S13" s="51"/>
      <c r="T13" s="51"/>
    </row>
    <row r="14" spans="1:20" s="53" customFormat="1" ht="30" hidden="1">
      <c r="A14" s="51">
        <f t="shared" si="0"/>
        <v>9</v>
      </c>
      <c r="B14" s="84" t="s">
        <v>93</v>
      </c>
      <c r="C14" s="84"/>
      <c r="D14" s="85">
        <v>3703274225</v>
      </c>
      <c r="E14" s="85"/>
      <c r="F14" s="85" t="s">
        <v>192</v>
      </c>
      <c r="G14" s="55" t="s">
        <v>218</v>
      </c>
      <c r="H14" s="55"/>
      <c r="I14" s="85"/>
      <c r="J14" s="51" t="s">
        <v>81</v>
      </c>
      <c r="K14" s="51" t="s">
        <v>139</v>
      </c>
      <c r="L14" s="51" t="s">
        <v>116</v>
      </c>
      <c r="M14" s="51" t="s">
        <v>116</v>
      </c>
      <c r="N14" s="51" t="s">
        <v>116</v>
      </c>
      <c r="O14" s="51"/>
      <c r="P14" s="51" t="s">
        <v>116</v>
      </c>
      <c r="Q14" s="51" t="s">
        <v>116</v>
      </c>
      <c r="R14" s="51"/>
      <c r="S14" s="51"/>
      <c r="T14" s="51"/>
    </row>
    <row r="15" spans="1:20" s="53" customFormat="1" ht="30">
      <c r="A15" s="51">
        <f t="shared" si="0"/>
        <v>10</v>
      </c>
      <c r="B15" s="84" t="s">
        <v>94</v>
      </c>
      <c r="C15" s="84"/>
      <c r="D15" s="85">
        <v>3703325102</v>
      </c>
      <c r="E15" s="85"/>
      <c r="F15" s="85" t="s">
        <v>190</v>
      </c>
      <c r="G15" s="55" t="s">
        <v>217</v>
      </c>
      <c r="H15" s="55"/>
      <c r="I15" s="85"/>
      <c r="J15" s="51" t="s">
        <v>81</v>
      </c>
      <c r="K15" s="51" t="s">
        <v>139</v>
      </c>
      <c r="L15" s="51" t="s">
        <v>116</v>
      </c>
      <c r="M15" s="51" t="s">
        <v>116</v>
      </c>
      <c r="N15" s="51" t="s">
        <v>116</v>
      </c>
      <c r="O15" s="51"/>
      <c r="P15" s="51" t="s">
        <v>116</v>
      </c>
      <c r="Q15" s="51" t="s">
        <v>116</v>
      </c>
      <c r="R15" s="51"/>
      <c r="S15" s="51"/>
      <c r="T15" s="51" t="s">
        <v>186</v>
      </c>
    </row>
    <row r="16" spans="1:20" s="53" customFormat="1">
      <c r="A16" s="51">
        <f t="shared" si="0"/>
        <v>11</v>
      </c>
      <c r="B16" s="54" t="s">
        <v>96</v>
      </c>
      <c r="C16" s="54"/>
      <c r="D16" s="87">
        <v>3703048071</v>
      </c>
      <c r="E16" s="87"/>
      <c r="F16" s="87" t="s">
        <v>190</v>
      </c>
      <c r="G16" s="55" t="s">
        <v>216</v>
      </c>
      <c r="H16" s="55"/>
      <c r="I16" s="87"/>
      <c r="J16" s="51" t="s">
        <v>95</v>
      </c>
      <c r="K16" s="51" t="s">
        <v>139</v>
      </c>
      <c r="L16" s="51" t="s">
        <v>116</v>
      </c>
      <c r="M16" s="51" t="s">
        <v>116</v>
      </c>
      <c r="N16" s="51" t="s">
        <v>116</v>
      </c>
      <c r="O16" s="51"/>
      <c r="P16" s="51" t="s">
        <v>116</v>
      </c>
      <c r="Q16" s="51" t="s">
        <v>116</v>
      </c>
      <c r="R16" s="51"/>
      <c r="S16" s="51"/>
      <c r="T16" s="51"/>
    </row>
    <row r="17" spans="1:20" s="53" customFormat="1">
      <c r="A17" s="51">
        <f t="shared" si="0"/>
        <v>12</v>
      </c>
      <c r="B17" s="84" t="s">
        <v>87</v>
      </c>
      <c r="C17" s="84" t="s">
        <v>173</v>
      </c>
      <c r="D17" s="85">
        <v>3703369011</v>
      </c>
      <c r="E17" s="85"/>
      <c r="F17" s="85" t="s">
        <v>190</v>
      </c>
      <c r="G17" s="85" t="s">
        <v>220</v>
      </c>
      <c r="H17" s="85"/>
      <c r="I17" s="85"/>
      <c r="J17" s="51" t="s">
        <v>95</v>
      </c>
      <c r="K17" s="51" t="s">
        <v>139</v>
      </c>
      <c r="L17" s="51" t="s">
        <v>116</v>
      </c>
      <c r="M17" s="51" t="s">
        <v>116</v>
      </c>
      <c r="N17" s="51"/>
      <c r="O17" s="51"/>
      <c r="P17" s="51" t="s">
        <v>116</v>
      </c>
      <c r="Q17" s="51" t="s">
        <v>116</v>
      </c>
      <c r="R17" s="51"/>
      <c r="S17" s="51"/>
      <c r="T17" s="51"/>
    </row>
    <row r="18" spans="1:20" s="53" customFormat="1">
      <c r="A18" s="51">
        <f>A17+1</f>
        <v>13</v>
      </c>
      <c r="B18" s="84" t="s">
        <v>98</v>
      </c>
      <c r="C18" s="84"/>
      <c r="D18" s="85"/>
      <c r="E18" s="85"/>
      <c r="F18" s="85" t="s">
        <v>190</v>
      </c>
      <c r="G18" s="85" t="s">
        <v>220</v>
      </c>
      <c r="H18" s="85"/>
      <c r="I18" s="85"/>
      <c r="J18" s="51" t="s">
        <v>95</v>
      </c>
      <c r="K18" s="51" t="s">
        <v>139</v>
      </c>
      <c r="L18" s="51" t="s">
        <v>116</v>
      </c>
      <c r="M18" s="51" t="s">
        <v>116</v>
      </c>
      <c r="N18" s="51" t="s">
        <v>116</v>
      </c>
      <c r="O18" s="51"/>
      <c r="P18" s="51" t="s">
        <v>116</v>
      </c>
      <c r="Q18" s="51" t="s">
        <v>116</v>
      </c>
      <c r="R18" s="51"/>
      <c r="S18" s="51"/>
      <c r="T18" s="51"/>
    </row>
    <row r="19" spans="1:20" ht="30">
      <c r="A19" s="21">
        <f t="shared" si="0"/>
        <v>14</v>
      </c>
      <c r="B19" s="22" t="s">
        <v>58</v>
      </c>
      <c r="C19" s="22"/>
      <c r="D19" s="23"/>
      <c r="E19" s="23"/>
      <c r="F19" s="45" t="s">
        <v>190</v>
      </c>
      <c r="G19" s="40" t="s">
        <v>221</v>
      </c>
      <c r="H19" s="40"/>
      <c r="I19" s="23"/>
      <c r="J19" s="21" t="s">
        <v>95</v>
      </c>
      <c r="K19" s="21" t="s">
        <v>139</v>
      </c>
      <c r="L19" s="71" t="s">
        <v>116</v>
      </c>
      <c r="M19" s="21" t="s">
        <v>116</v>
      </c>
      <c r="N19" s="21" t="s">
        <v>183</v>
      </c>
      <c r="O19" s="39"/>
      <c r="P19" s="71"/>
      <c r="Q19" s="71"/>
      <c r="R19" s="21"/>
      <c r="S19" s="39"/>
      <c r="T19" s="21"/>
    </row>
    <row r="20" spans="1:20" hidden="1">
      <c r="A20" s="21">
        <f t="shared" si="0"/>
        <v>15</v>
      </c>
      <c r="B20" s="44" t="s">
        <v>99</v>
      </c>
      <c r="C20" s="44" t="s">
        <v>116</v>
      </c>
      <c r="D20" s="23">
        <v>3703324194</v>
      </c>
      <c r="E20" s="23"/>
      <c r="F20" s="45" t="s">
        <v>193</v>
      </c>
      <c r="G20" s="40" t="s">
        <v>216</v>
      </c>
      <c r="H20" s="40"/>
      <c r="I20" s="23"/>
      <c r="J20" s="21" t="s">
        <v>82</v>
      </c>
      <c r="K20" s="21" t="s">
        <v>139</v>
      </c>
      <c r="L20" s="71" t="s">
        <v>116</v>
      </c>
      <c r="M20" s="21" t="s">
        <v>116</v>
      </c>
      <c r="N20" s="21"/>
      <c r="O20" s="39"/>
      <c r="P20" s="71"/>
      <c r="Q20" s="71"/>
      <c r="R20" s="21"/>
      <c r="S20" s="39"/>
      <c r="T20" s="21"/>
    </row>
    <row r="21" spans="1:20" s="53" customFormat="1" hidden="1">
      <c r="A21" s="51">
        <f t="shared" si="0"/>
        <v>16</v>
      </c>
      <c r="B21" s="84" t="s">
        <v>100</v>
      </c>
      <c r="C21" s="84"/>
      <c r="D21" s="85">
        <v>3703319557</v>
      </c>
      <c r="E21" s="85"/>
      <c r="F21" s="55" t="s">
        <v>191</v>
      </c>
      <c r="G21" s="55" t="s">
        <v>216</v>
      </c>
      <c r="H21" s="55"/>
      <c r="I21" s="85"/>
      <c r="J21" s="51" t="s">
        <v>95</v>
      </c>
      <c r="K21" s="51" t="s">
        <v>139</v>
      </c>
      <c r="L21" s="51" t="s">
        <v>116</v>
      </c>
      <c r="M21" s="51" t="s">
        <v>116</v>
      </c>
      <c r="N21" s="51" t="s">
        <v>116</v>
      </c>
      <c r="O21" s="51"/>
      <c r="P21" s="51" t="s">
        <v>116</v>
      </c>
      <c r="Q21" s="51" t="s">
        <v>116</v>
      </c>
      <c r="R21" s="51"/>
      <c r="S21" s="51"/>
      <c r="T21" s="51"/>
    </row>
    <row r="22" spans="1:20" s="99" customFormat="1">
      <c r="A22" s="95">
        <f>A49+1</f>
        <v>44</v>
      </c>
      <c r="B22" s="96" t="s">
        <v>103</v>
      </c>
      <c r="C22" s="96"/>
      <c r="D22" s="97">
        <v>318025937</v>
      </c>
      <c r="E22" s="97"/>
      <c r="F22" s="97" t="s">
        <v>190</v>
      </c>
      <c r="G22" s="98" t="s">
        <v>305</v>
      </c>
      <c r="H22" s="98"/>
      <c r="I22" s="97"/>
      <c r="J22" s="95" t="s">
        <v>136</v>
      </c>
      <c r="K22" s="95" t="s">
        <v>139</v>
      </c>
      <c r="L22" s="95" t="s">
        <v>116</v>
      </c>
      <c r="M22" s="95" t="s">
        <v>116</v>
      </c>
      <c r="N22" s="95" t="s">
        <v>183</v>
      </c>
      <c r="O22" s="95"/>
      <c r="P22" s="95"/>
      <c r="Q22" s="95"/>
      <c r="R22" s="95"/>
      <c r="S22" s="95"/>
      <c r="T22" s="95"/>
    </row>
    <row r="23" spans="1:20" s="53" customFormat="1" hidden="1">
      <c r="A23" s="51">
        <f>A21+1</f>
        <v>17</v>
      </c>
      <c r="B23" s="54" t="s">
        <v>7</v>
      </c>
      <c r="C23" s="84" t="s">
        <v>116</v>
      </c>
      <c r="D23" s="55">
        <v>3702916695</v>
      </c>
      <c r="E23" s="55"/>
      <c r="F23" s="55" t="s">
        <v>189</v>
      </c>
      <c r="G23" s="55" t="s">
        <v>216</v>
      </c>
      <c r="H23" s="55"/>
      <c r="I23" s="55"/>
      <c r="J23" s="51" t="s">
        <v>62</v>
      </c>
      <c r="K23" s="51" t="s">
        <v>139</v>
      </c>
      <c r="L23" s="51" t="s">
        <v>116</v>
      </c>
      <c r="M23" s="51" t="s">
        <v>116</v>
      </c>
      <c r="N23" s="51"/>
      <c r="O23" s="51"/>
      <c r="P23" s="51" t="s">
        <v>116</v>
      </c>
      <c r="Q23" s="51" t="s">
        <v>116</v>
      </c>
      <c r="R23" s="51"/>
      <c r="S23" s="51"/>
      <c r="T23" s="51"/>
    </row>
    <row r="24" spans="1:20" s="53" customFormat="1" hidden="1">
      <c r="A24" s="51">
        <f t="shared" si="0"/>
        <v>18</v>
      </c>
      <c r="B24" s="54" t="s">
        <v>8</v>
      </c>
      <c r="C24" s="54" t="s">
        <v>173</v>
      </c>
      <c r="D24" s="55">
        <v>3702547906</v>
      </c>
      <c r="E24" s="55"/>
      <c r="F24" s="55" t="s">
        <v>189</v>
      </c>
      <c r="G24" s="55" t="s">
        <v>216</v>
      </c>
      <c r="H24" s="55"/>
      <c r="I24" s="55"/>
      <c r="J24" s="51"/>
      <c r="K24" s="51" t="s">
        <v>139</v>
      </c>
      <c r="L24" s="51"/>
      <c r="M24" s="51"/>
      <c r="N24" s="51"/>
      <c r="O24" s="51"/>
      <c r="P24" s="51" t="s">
        <v>116</v>
      </c>
      <c r="Q24" s="51" t="s">
        <v>116</v>
      </c>
      <c r="R24" s="51"/>
      <c r="S24" s="51"/>
      <c r="T24" s="51"/>
    </row>
    <row r="25" spans="1:20" s="99" customFormat="1" hidden="1">
      <c r="A25" s="95">
        <f t="shared" si="0"/>
        <v>19</v>
      </c>
      <c r="B25" s="96" t="s">
        <v>9</v>
      </c>
      <c r="C25" s="96" t="s">
        <v>116</v>
      </c>
      <c r="D25" s="97">
        <v>3702676186</v>
      </c>
      <c r="E25" s="97"/>
      <c r="F25" s="97" t="s">
        <v>191</v>
      </c>
      <c r="G25" s="100" t="s">
        <v>222</v>
      </c>
      <c r="H25" s="100"/>
      <c r="I25" s="97"/>
      <c r="J25" s="95"/>
      <c r="K25" s="95" t="s">
        <v>139</v>
      </c>
      <c r="L25" s="95" t="s">
        <v>116</v>
      </c>
      <c r="M25" s="95" t="s">
        <v>116</v>
      </c>
      <c r="N25" s="95"/>
      <c r="O25" s="95"/>
      <c r="P25" s="95"/>
      <c r="Q25" s="95"/>
      <c r="R25" s="95"/>
      <c r="S25" s="95"/>
      <c r="T25" s="95"/>
    </row>
    <row r="26" spans="1:20" s="53" customFormat="1" ht="30">
      <c r="A26" s="51">
        <f t="shared" si="0"/>
        <v>20</v>
      </c>
      <c r="B26" s="54" t="s">
        <v>10</v>
      </c>
      <c r="C26" s="54"/>
      <c r="D26" s="55">
        <v>3702589102</v>
      </c>
      <c r="E26" s="55"/>
      <c r="F26" s="55" t="s">
        <v>190</v>
      </c>
      <c r="G26" s="55" t="s">
        <v>221</v>
      </c>
      <c r="H26" s="55"/>
      <c r="I26" s="55"/>
      <c r="J26" s="51"/>
      <c r="K26" s="51" t="s">
        <v>139</v>
      </c>
      <c r="L26" s="51" t="s">
        <v>116</v>
      </c>
      <c r="M26" s="51" t="s">
        <v>116</v>
      </c>
      <c r="N26" s="51"/>
      <c r="O26" s="51"/>
      <c r="P26" s="51" t="s">
        <v>116</v>
      </c>
      <c r="Q26" s="51" t="s">
        <v>116</v>
      </c>
      <c r="R26" s="51"/>
      <c r="S26" s="51"/>
      <c r="T26" s="51"/>
    </row>
    <row r="27" spans="1:20" s="53" customFormat="1" hidden="1">
      <c r="A27" s="51">
        <f t="shared" si="0"/>
        <v>21</v>
      </c>
      <c r="B27" s="54" t="s">
        <v>11</v>
      </c>
      <c r="C27" s="54"/>
      <c r="D27" s="55">
        <v>3702781430</v>
      </c>
      <c r="E27" s="55"/>
      <c r="F27" s="55" t="s">
        <v>193</v>
      </c>
      <c r="G27" s="55" t="s">
        <v>216</v>
      </c>
      <c r="H27" s="55"/>
      <c r="I27" s="55"/>
      <c r="J27" s="51"/>
      <c r="K27" s="51" t="s">
        <v>139</v>
      </c>
      <c r="L27" s="51" t="s">
        <v>116</v>
      </c>
      <c r="M27" s="51" t="s">
        <v>116</v>
      </c>
      <c r="N27" s="51" t="s">
        <v>116</v>
      </c>
      <c r="O27" s="51" t="s">
        <v>116</v>
      </c>
      <c r="P27" s="51" t="s">
        <v>116</v>
      </c>
      <c r="Q27" s="51" t="s">
        <v>116</v>
      </c>
      <c r="R27" s="51"/>
      <c r="S27" s="51"/>
      <c r="T27" s="51"/>
    </row>
    <row r="28" spans="1:20" s="53" customFormat="1" ht="30" hidden="1">
      <c r="A28" s="51">
        <f t="shared" si="0"/>
        <v>22</v>
      </c>
      <c r="B28" s="54" t="s">
        <v>12</v>
      </c>
      <c r="C28" s="54"/>
      <c r="D28" s="55">
        <v>3702657909</v>
      </c>
      <c r="E28" s="55"/>
      <c r="F28" s="55" t="s">
        <v>189</v>
      </c>
      <c r="G28" s="55" t="s">
        <v>216</v>
      </c>
      <c r="H28" s="55"/>
      <c r="I28" s="55"/>
      <c r="J28" s="51"/>
      <c r="K28" s="51" t="s">
        <v>139</v>
      </c>
      <c r="L28" s="51" t="s">
        <v>116</v>
      </c>
      <c r="M28" s="51" t="s">
        <v>116</v>
      </c>
      <c r="N28" s="51"/>
      <c r="O28" s="51"/>
      <c r="P28" s="51" t="s">
        <v>116</v>
      </c>
      <c r="Q28" s="51" t="s">
        <v>116</v>
      </c>
      <c r="R28" s="51"/>
      <c r="S28" s="51"/>
      <c r="T28" s="51"/>
    </row>
    <row r="29" spans="1:20" s="53" customFormat="1" hidden="1">
      <c r="A29" s="51">
        <f t="shared" si="0"/>
        <v>23</v>
      </c>
      <c r="B29" s="54" t="s">
        <v>13</v>
      </c>
      <c r="C29" s="54"/>
      <c r="D29" s="55">
        <v>3702983941</v>
      </c>
      <c r="E29" s="55"/>
      <c r="F29" s="55" t="s">
        <v>193</v>
      </c>
      <c r="G29" s="55" t="s">
        <v>216</v>
      </c>
      <c r="H29" s="55"/>
      <c r="I29" s="55"/>
      <c r="J29" s="51"/>
      <c r="K29" s="51" t="s">
        <v>139</v>
      </c>
      <c r="L29" s="51" t="s">
        <v>116</v>
      </c>
      <c r="M29" s="51" t="s">
        <v>116</v>
      </c>
      <c r="N29" s="51"/>
      <c r="O29" s="51"/>
      <c r="P29" s="51" t="s">
        <v>116</v>
      </c>
      <c r="Q29" s="51" t="s">
        <v>116</v>
      </c>
      <c r="R29" s="51"/>
      <c r="S29" s="51"/>
      <c r="T29" s="51"/>
    </row>
    <row r="30" spans="1:20" s="53" customFormat="1" ht="30" hidden="1">
      <c r="A30" s="51">
        <f t="shared" si="0"/>
        <v>24</v>
      </c>
      <c r="B30" s="54" t="s">
        <v>14</v>
      </c>
      <c r="C30" s="54"/>
      <c r="D30" s="55">
        <v>3702379553</v>
      </c>
      <c r="E30" s="55"/>
      <c r="F30" s="55" t="s">
        <v>189</v>
      </c>
      <c r="G30" s="55" t="s">
        <v>216</v>
      </c>
      <c r="H30" s="55"/>
      <c r="I30" s="55"/>
      <c r="J30" s="51"/>
      <c r="K30" s="51" t="s">
        <v>139</v>
      </c>
      <c r="L30" s="51" t="s">
        <v>116</v>
      </c>
      <c r="M30" s="51" t="s">
        <v>116</v>
      </c>
      <c r="N30" s="51" t="s">
        <v>175</v>
      </c>
      <c r="O30" s="51"/>
      <c r="P30" s="51" t="s">
        <v>116</v>
      </c>
      <c r="Q30" s="51" t="s">
        <v>116</v>
      </c>
      <c r="R30" s="51"/>
      <c r="S30" s="51"/>
      <c r="T30" s="51"/>
    </row>
    <row r="31" spans="1:20" s="53" customFormat="1" ht="30" hidden="1">
      <c r="A31" s="51">
        <f t="shared" si="0"/>
        <v>25</v>
      </c>
      <c r="B31" s="54" t="s">
        <v>15</v>
      </c>
      <c r="C31" s="54"/>
      <c r="D31" s="55">
        <v>3702469239</v>
      </c>
      <c r="E31" s="55"/>
      <c r="F31" s="55" t="s">
        <v>189</v>
      </c>
      <c r="G31" s="55" t="s">
        <v>223</v>
      </c>
      <c r="H31" s="55"/>
      <c r="I31" s="55"/>
      <c r="J31" s="51"/>
      <c r="K31" s="51" t="s">
        <v>139</v>
      </c>
      <c r="L31" s="51" t="s">
        <v>116</v>
      </c>
      <c r="M31" s="51" t="s">
        <v>116</v>
      </c>
      <c r="N31" s="51"/>
      <c r="O31" s="51"/>
      <c r="P31" s="51" t="s">
        <v>116</v>
      </c>
      <c r="Q31" s="51" t="s">
        <v>116</v>
      </c>
      <c r="R31" s="51"/>
      <c r="S31" s="51"/>
      <c r="T31" s="51"/>
    </row>
    <row r="32" spans="1:20" s="53" customFormat="1" ht="30">
      <c r="A32" s="51">
        <f t="shared" si="0"/>
        <v>26</v>
      </c>
      <c r="B32" s="54" t="s">
        <v>16</v>
      </c>
      <c r="C32" s="54" t="s">
        <v>173</v>
      </c>
      <c r="D32" s="55">
        <v>3703042746</v>
      </c>
      <c r="E32" s="55"/>
      <c r="F32" s="55" t="s">
        <v>190</v>
      </c>
      <c r="G32" s="55" t="s">
        <v>218</v>
      </c>
      <c r="H32" s="55"/>
      <c r="I32" s="55"/>
      <c r="J32" s="51"/>
      <c r="K32" s="51" t="s">
        <v>139</v>
      </c>
      <c r="L32" s="51" t="s">
        <v>116</v>
      </c>
      <c r="M32" s="51" t="s">
        <v>116</v>
      </c>
      <c r="N32" s="51"/>
      <c r="O32" s="51"/>
      <c r="P32" s="51" t="s">
        <v>116</v>
      </c>
      <c r="Q32" s="51" t="s">
        <v>116</v>
      </c>
      <c r="R32" s="51"/>
      <c r="S32" s="51"/>
      <c r="T32" s="51"/>
    </row>
    <row r="33" spans="1:20" s="53" customFormat="1">
      <c r="A33" s="51">
        <f t="shared" si="0"/>
        <v>27</v>
      </c>
      <c r="B33" s="84" t="s">
        <v>67</v>
      </c>
      <c r="C33" s="84"/>
      <c r="D33" s="55">
        <v>3703043524</v>
      </c>
      <c r="E33" s="55"/>
      <c r="F33" s="55" t="s">
        <v>190</v>
      </c>
      <c r="G33" s="55" t="s">
        <v>220</v>
      </c>
      <c r="H33" s="55"/>
      <c r="I33" s="55"/>
      <c r="J33" s="51"/>
      <c r="K33" s="51" t="s">
        <v>139</v>
      </c>
      <c r="L33" s="51" t="s">
        <v>116</v>
      </c>
      <c r="M33" s="51" t="s">
        <v>116</v>
      </c>
      <c r="N33" s="51"/>
      <c r="O33" s="51"/>
      <c r="P33" s="51" t="s">
        <v>116</v>
      </c>
      <c r="Q33" s="51" t="s">
        <v>116</v>
      </c>
      <c r="R33" s="51"/>
      <c r="S33" s="51"/>
      <c r="T33" s="51"/>
    </row>
    <row r="34" spans="1:20" s="53" customFormat="1" hidden="1">
      <c r="A34" s="51">
        <f t="shared" si="0"/>
        <v>28</v>
      </c>
      <c r="B34" s="54" t="s">
        <v>301</v>
      </c>
      <c r="C34" s="54" t="s">
        <v>173</v>
      </c>
      <c r="D34" s="55">
        <v>3703070870</v>
      </c>
      <c r="E34" s="55"/>
      <c r="F34" s="55" t="s">
        <v>246</v>
      </c>
      <c r="G34" s="55" t="s">
        <v>225</v>
      </c>
      <c r="H34" s="55"/>
      <c r="I34" s="55"/>
      <c r="J34" s="51"/>
      <c r="K34" s="51" t="s">
        <v>139</v>
      </c>
      <c r="L34" s="51" t="s">
        <v>116</v>
      </c>
      <c r="M34" s="51" t="s">
        <v>116</v>
      </c>
      <c r="N34" s="51"/>
      <c r="O34" s="51"/>
      <c r="P34" s="51" t="s">
        <v>116</v>
      </c>
      <c r="Q34" s="51" t="s">
        <v>116</v>
      </c>
      <c r="R34" s="51"/>
      <c r="S34" s="51"/>
      <c r="T34" s="51"/>
    </row>
    <row r="35" spans="1:20" s="53" customFormat="1">
      <c r="A35" s="51">
        <f t="shared" si="0"/>
        <v>29</v>
      </c>
      <c r="B35" s="54" t="s">
        <v>68</v>
      </c>
      <c r="C35" s="54"/>
      <c r="D35" s="55">
        <v>3702693135</v>
      </c>
      <c r="E35" s="55"/>
      <c r="F35" s="55" t="s">
        <v>190</v>
      </c>
      <c r="G35" s="55" t="s">
        <v>216</v>
      </c>
      <c r="H35" s="55"/>
      <c r="I35" s="55"/>
      <c r="J35" s="51"/>
      <c r="K35" s="51" t="s">
        <v>139</v>
      </c>
      <c r="L35" s="51" t="s">
        <v>116</v>
      </c>
      <c r="M35" s="51" t="s">
        <v>116</v>
      </c>
      <c r="N35" s="51"/>
      <c r="O35" s="51"/>
      <c r="P35" s="51" t="s">
        <v>116</v>
      </c>
      <c r="Q35" s="51" t="s">
        <v>116</v>
      </c>
      <c r="R35" s="51"/>
      <c r="S35" s="51"/>
      <c r="T35" s="51"/>
    </row>
    <row r="36" spans="1:20" s="53" customFormat="1" hidden="1">
      <c r="A36" s="51">
        <f t="shared" si="0"/>
        <v>30</v>
      </c>
      <c r="B36" s="54" t="s">
        <v>69</v>
      </c>
      <c r="C36" s="54"/>
      <c r="D36" s="55">
        <v>3702494813</v>
      </c>
      <c r="E36" s="55"/>
      <c r="F36" s="55" t="s">
        <v>189</v>
      </c>
      <c r="G36" s="55" t="s">
        <v>216</v>
      </c>
      <c r="H36" s="55"/>
      <c r="I36" s="55"/>
      <c r="J36" s="51"/>
      <c r="K36" s="51" t="s">
        <v>139</v>
      </c>
      <c r="L36" s="51" t="s">
        <v>116</v>
      </c>
      <c r="M36" s="51" t="s">
        <v>116</v>
      </c>
      <c r="N36" s="51"/>
      <c r="O36" s="51"/>
      <c r="P36" s="51" t="s">
        <v>116</v>
      </c>
      <c r="Q36" s="51" t="s">
        <v>116</v>
      </c>
      <c r="R36" s="51"/>
      <c r="S36" s="51"/>
      <c r="T36" s="51"/>
    </row>
    <row r="37" spans="1:20" s="53" customFormat="1" hidden="1">
      <c r="A37" s="51">
        <f t="shared" si="0"/>
        <v>31</v>
      </c>
      <c r="B37" s="54" t="s">
        <v>70</v>
      </c>
      <c r="C37" s="54"/>
      <c r="D37" s="55">
        <v>3901315804</v>
      </c>
      <c r="E37" s="55"/>
      <c r="F37" s="55" t="s">
        <v>192</v>
      </c>
      <c r="G37" s="55" t="s">
        <v>226</v>
      </c>
      <c r="H37" s="55"/>
      <c r="I37" s="55"/>
      <c r="J37" s="51"/>
      <c r="K37" s="51" t="s">
        <v>139</v>
      </c>
      <c r="L37" s="51" t="s">
        <v>116</v>
      </c>
      <c r="M37" s="51" t="s">
        <v>116</v>
      </c>
      <c r="N37" s="51"/>
      <c r="O37" s="51"/>
      <c r="P37" s="51" t="s">
        <v>116</v>
      </c>
      <c r="Q37" s="51" t="s">
        <v>116</v>
      </c>
      <c r="R37" s="51"/>
      <c r="S37" s="51"/>
      <c r="T37" s="51"/>
    </row>
    <row r="38" spans="1:20" s="53" customFormat="1" hidden="1">
      <c r="A38" s="51">
        <f t="shared" si="0"/>
        <v>32</v>
      </c>
      <c r="B38" s="54" t="s">
        <v>17</v>
      </c>
      <c r="C38" s="54"/>
      <c r="D38" s="55">
        <v>3702352671</v>
      </c>
      <c r="E38" s="55"/>
      <c r="F38" s="55" t="s">
        <v>247</v>
      </c>
      <c r="G38" s="55" t="s">
        <v>227</v>
      </c>
      <c r="H38" s="55"/>
      <c r="I38" s="55"/>
      <c r="J38" s="51"/>
      <c r="K38" s="51" t="s">
        <v>139</v>
      </c>
      <c r="L38" s="51" t="s">
        <v>116</v>
      </c>
      <c r="M38" s="51" t="s">
        <v>116</v>
      </c>
      <c r="N38" s="51"/>
      <c r="O38" s="51"/>
      <c r="P38" s="51" t="s">
        <v>116</v>
      </c>
      <c r="Q38" s="51" t="s">
        <v>116</v>
      </c>
      <c r="R38" s="51"/>
      <c r="S38" s="51"/>
      <c r="T38" s="51"/>
    </row>
    <row r="39" spans="1:20" s="53" customFormat="1" hidden="1">
      <c r="A39" s="51">
        <f t="shared" si="0"/>
        <v>33</v>
      </c>
      <c r="B39" s="54" t="s">
        <v>18</v>
      </c>
      <c r="C39" s="54"/>
      <c r="D39" s="55">
        <v>3703091013</v>
      </c>
      <c r="E39" s="55"/>
      <c r="F39" s="55" t="s">
        <v>189</v>
      </c>
      <c r="G39" s="55" t="s">
        <v>227</v>
      </c>
      <c r="H39" s="55"/>
      <c r="I39" s="55"/>
      <c r="J39" s="51"/>
      <c r="K39" s="51" t="s">
        <v>139</v>
      </c>
      <c r="L39" s="51" t="s">
        <v>116</v>
      </c>
      <c r="M39" s="51" t="s">
        <v>116</v>
      </c>
      <c r="N39" s="51"/>
      <c r="O39" s="51"/>
      <c r="P39" s="51" t="s">
        <v>116</v>
      </c>
      <c r="Q39" s="51" t="s">
        <v>116</v>
      </c>
      <c r="R39" s="51"/>
      <c r="S39" s="51"/>
      <c r="T39" s="51"/>
    </row>
    <row r="40" spans="1:20" s="53" customFormat="1" ht="15.75" hidden="1">
      <c r="A40" s="51">
        <f t="shared" si="0"/>
        <v>34</v>
      </c>
      <c r="B40" s="54" t="s">
        <v>20</v>
      </c>
      <c r="C40" s="54"/>
      <c r="D40" s="106">
        <v>3702334513</v>
      </c>
      <c r="E40" s="106"/>
      <c r="F40" s="55" t="s">
        <v>243</v>
      </c>
      <c r="G40" s="55" t="s">
        <v>227</v>
      </c>
      <c r="H40" s="55"/>
      <c r="I40" s="106"/>
      <c r="J40" s="51"/>
      <c r="K40" s="51" t="s">
        <v>139</v>
      </c>
      <c r="L40" s="51" t="s">
        <v>116</v>
      </c>
      <c r="M40" s="51" t="s">
        <v>116</v>
      </c>
      <c r="N40" s="51"/>
      <c r="O40" s="51"/>
      <c r="P40" s="51" t="s">
        <v>116</v>
      </c>
      <c r="Q40" s="51" t="s">
        <v>116</v>
      </c>
      <c r="R40" s="51"/>
      <c r="S40" s="51"/>
      <c r="T40" s="51"/>
    </row>
    <row r="41" spans="1:20" s="53" customFormat="1" ht="15.75" hidden="1">
      <c r="A41" s="51">
        <f t="shared" si="0"/>
        <v>35</v>
      </c>
      <c r="B41" s="54" t="s">
        <v>22</v>
      </c>
      <c r="C41" s="54"/>
      <c r="D41" s="106">
        <v>3702509682</v>
      </c>
      <c r="E41" s="106"/>
      <c r="F41" s="55" t="s">
        <v>191</v>
      </c>
      <c r="G41" s="55" t="s">
        <v>227</v>
      </c>
      <c r="H41" s="55"/>
      <c r="I41" s="106"/>
      <c r="J41" s="51"/>
      <c r="K41" s="51" t="s">
        <v>139</v>
      </c>
      <c r="L41" s="51" t="s">
        <v>116</v>
      </c>
      <c r="M41" s="51" t="s">
        <v>116</v>
      </c>
      <c r="N41" s="51"/>
      <c r="O41" s="51" t="s">
        <v>175</v>
      </c>
      <c r="P41" s="51" t="s">
        <v>116</v>
      </c>
      <c r="Q41" s="51" t="s">
        <v>116</v>
      </c>
      <c r="R41" s="51"/>
      <c r="S41" s="51"/>
      <c r="T41" s="51"/>
    </row>
    <row r="42" spans="1:20" s="53" customFormat="1" hidden="1">
      <c r="A42" s="51">
        <f t="shared" si="0"/>
        <v>36</v>
      </c>
      <c r="B42" s="54" t="s">
        <v>25</v>
      </c>
      <c r="C42" s="54" t="s">
        <v>116</v>
      </c>
      <c r="D42" s="55">
        <v>3703126805</v>
      </c>
      <c r="E42" s="55"/>
      <c r="F42" s="55" t="s">
        <v>243</v>
      </c>
      <c r="G42" s="55" t="s">
        <v>216</v>
      </c>
      <c r="H42" s="55"/>
      <c r="I42" s="55" t="s">
        <v>116</v>
      </c>
      <c r="J42" s="51"/>
      <c r="K42" s="51" t="s">
        <v>139</v>
      </c>
      <c r="L42" s="51" t="s">
        <v>116</v>
      </c>
      <c r="M42" s="51" t="s">
        <v>116</v>
      </c>
      <c r="N42" s="51"/>
      <c r="O42" s="51"/>
      <c r="P42" s="51" t="s">
        <v>116</v>
      </c>
      <c r="Q42" s="51" t="s">
        <v>116</v>
      </c>
      <c r="R42" s="51"/>
      <c r="S42" s="51"/>
      <c r="T42" s="51"/>
    </row>
    <row r="43" spans="1:20" s="53" customFormat="1">
      <c r="A43" s="51">
        <f t="shared" si="0"/>
        <v>37</v>
      </c>
      <c r="B43" s="54" t="s">
        <v>77</v>
      </c>
      <c r="C43" s="54"/>
      <c r="D43" s="87">
        <v>3703150741</v>
      </c>
      <c r="E43" s="87"/>
      <c r="F43" s="87" t="s">
        <v>190</v>
      </c>
      <c r="G43" s="55" t="s">
        <v>216</v>
      </c>
      <c r="H43" s="55"/>
      <c r="I43" s="87"/>
      <c r="J43" s="51"/>
      <c r="K43" s="51" t="s">
        <v>139</v>
      </c>
      <c r="L43" s="51" t="s">
        <v>116</v>
      </c>
      <c r="M43" s="51" t="s">
        <v>116</v>
      </c>
      <c r="N43" s="51"/>
      <c r="O43" s="51" t="s">
        <v>187</v>
      </c>
      <c r="P43" s="51" t="s">
        <v>116</v>
      </c>
      <c r="Q43" s="51" t="s">
        <v>116</v>
      </c>
      <c r="R43" s="51"/>
      <c r="S43" s="51"/>
      <c r="T43" s="51"/>
    </row>
    <row r="44" spans="1:20" s="53" customFormat="1" hidden="1">
      <c r="A44" s="51">
        <f t="shared" si="0"/>
        <v>38</v>
      </c>
      <c r="B44" s="54" t="s">
        <v>26</v>
      </c>
      <c r="C44" s="54"/>
      <c r="D44" s="55">
        <v>3702601198</v>
      </c>
      <c r="E44" s="55"/>
      <c r="F44" s="55" t="s">
        <v>247</v>
      </c>
      <c r="G44" s="55" t="s">
        <v>224</v>
      </c>
      <c r="H44" s="55"/>
      <c r="I44" s="55"/>
      <c r="J44" s="51"/>
      <c r="K44" s="51" t="s">
        <v>139</v>
      </c>
      <c r="L44" s="51" t="s">
        <v>116</v>
      </c>
      <c r="M44" s="51" t="s">
        <v>116</v>
      </c>
      <c r="N44" s="51"/>
      <c r="O44" s="51"/>
      <c r="P44" s="51" t="s">
        <v>116</v>
      </c>
      <c r="Q44" s="51" t="s">
        <v>116</v>
      </c>
      <c r="R44" s="51"/>
      <c r="S44" s="51"/>
      <c r="T44" s="51"/>
    </row>
    <row r="45" spans="1:20" s="53" customFormat="1" hidden="1">
      <c r="A45" s="51">
        <f t="shared" si="0"/>
        <v>39</v>
      </c>
      <c r="B45" s="54" t="s">
        <v>27</v>
      </c>
      <c r="C45" s="54"/>
      <c r="D45" s="55">
        <v>3703173668</v>
      </c>
      <c r="E45" s="55"/>
      <c r="F45" s="55" t="s">
        <v>189</v>
      </c>
      <c r="G45" s="55" t="s">
        <v>216</v>
      </c>
      <c r="H45" s="55"/>
      <c r="I45" s="55"/>
      <c r="J45" s="51"/>
      <c r="K45" s="51" t="s">
        <v>139</v>
      </c>
      <c r="L45" s="51" t="s">
        <v>116</v>
      </c>
      <c r="M45" s="51" t="s">
        <v>116</v>
      </c>
      <c r="N45" s="51"/>
      <c r="O45" s="51"/>
      <c r="P45" s="51" t="s">
        <v>116</v>
      </c>
      <c r="Q45" s="51" t="s">
        <v>116</v>
      </c>
      <c r="R45" s="51"/>
      <c r="S45" s="51"/>
      <c r="T45" s="51"/>
    </row>
    <row r="46" spans="1:20" s="53" customFormat="1" hidden="1">
      <c r="A46" s="51">
        <f t="shared" si="0"/>
        <v>40</v>
      </c>
      <c r="B46" s="54" t="s">
        <v>28</v>
      </c>
      <c r="C46" s="54"/>
      <c r="D46" s="87">
        <v>3703175136</v>
      </c>
      <c r="E46" s="87"/>
      <c r="F46" s="55" t="s">
        <v>191</v>
      </c>
      <c r="G46" s="55" t="s">
        <v>216</v>
      </c>
      <c r="H46" s="55"/>
      <c r="I46" s="87"/>
      <c r="J46" s="51"/>
      <c r="K46" s="51" t="s">
        <v>139</v>
      </c>
      <c r="L46" s="51" t="s">
        <v>116</v>
      </c>
      <c r="M46" s="51" t="s">
        <v>116</v>
      </c>
      <c r="N46" s="51"/>
      <c r="O46" s="51"/>
      <c r="P46" s="51" t="s">
        <v>116</v>
      </c>
      <c r="Q46" s="51" t="s">
        <v>116</v>
      </c>
      <c r="R46" s="51"/>
      <c r="S46" s="51"/>
      <c r="T46" s="51"/>
    </row>
    <row r="47" spans="1:20" s="53" customFormat="1" hidden="1">
      <c r="A47" s="51">
        <f t="shared" si="0"/>
        <v>41</v>
      </c>
      <c r="B47" s="54" t="s">
        <v>29</v>
      </c>
      <c r="C47" s="54" t="s">
        <v>116</v>
      </c>
      <c r="D47" s="55">
        <v>3703172600</v>
      </c>
      <c r="E47" s="55"/>
      <c r="F47" s="85" t="s">
        <v>244</v>
      </c>
      <c r="G47" s="55" t="s">
        <v>224</v>
      </c>
      <c r="H47" s="55"/>
      <c r="I47" s="55"/>
      <c r="J47" s="51"/>
      <c r="K47" s="51" t="s">
        <v>139</v>
      </c>
      <c r="L47" s="51" t="s">
        <v>116</v>
      </c>
      <c r="M47" s="51" t="s">
        <v>116</v>
      </c>
      <c r="N47" s="51"/>
      <c r="O47" s="51"/>
      <c r="P47" s="51" t="s">
        <v>116</v>
      </c>
      <c r="Q47" s="51" t="s">
        <v>116</v>
      </c>
      <c r="R47" s="51"/>
      <c r="S47" s="51"/>
      <c r="T47" s="51"/>
    </row>
    <row r="48" spans="1:20" s="53" customFormat="1" hidden="1">
      <c r="A48" s="51">
        <f t="shared" si="0"/>
        <v>42</v>
      </c>
      <c r="B48" s="54" t="s">
        <v>30</v>
      </c>
      <c r="C48" s="54"/>
      <c r="D48" s="87">
        <v>3703190670</v>
      </c>
      <c r="E48" s="87"/>
      <c r="F48" s="55" t="s">
        <v>189</v>
      </c>
      <c r="G48" s="55" t="s">
        <v>226</v>
      </c>
      <c r="H48" s="55"/>
      <c r="I48" s="87"/>
      <c r="J48" s="51"/>
      <c r="K48" s="51" t="s">
        <v>139</v>
      </c>
      <c r="L48" s="51" t="s">
        <v>116</v>
      </c>
      <c r="M48" s="51" t="s">
        <v>116</v>
      </c>
      <c r="N48" s="51"/>
      <c r="O48" s="51"/>
      <c r="P48" s="51" t="s">
        <v>116</v>
      </c>
      <c r="Q48" s="51" t="s">
        <v>116</v>
      </c>
      <c r="R48" s="51"/>
      <c r="S48" s="51"/>
      <c r="T48" s="51"/>
    </row>
    <row r="49" spans="1:20" s="53" customFormat="1" hidden="1">
      <c r="A49" s="51">
        <f t="shared" si="0"/>
        <v>43</v>
      </c>
      <c r="B49" s="54" t="s">
        <v>31</v>
      </c>
      <c r="C49" s="54"/>
      <c r="D49" s="87">
        <v>3703192928</v>
      </c>
      <c r="E49" s="87"/>
      <c r="F49" s="87" t="s">
        <v>193</v>
      </c>
      <c r="G49" s="55" t="s">
        <v>216</v>
      </c>
      <c r="H49" s="55"/>
      <c r="I49" s="87"/>
      <c r="J49" s="51"/>
      <c r="K49" s="51" t="s">
        <v>139</v>
      </c>
      <c r="L49" s="51" t="s">
        <v>116</v>
      </c>
      <c r="M49" s="51" t="s">
        <v>116</v>
      </c>
      <c r="N49" s="51"/>
      <c r="O49" s="51"/>
      <c r="P49" s="51" t="s">
        <v>116</v>
      </c>
      <c r="Q49" s="51" t="s">
        <v>116</v>
      </c>
      <c r="R49" s="51"/>
      <c r="S49" s="51"/>
      <c r="T49" s="51"/>
    </row>
    <row r="50" spans="1:20" s="53" customFormat="1">
      <c r="A50" s="51">
        <f t="shared" si="0"/>
        <v>44</v>
      </c>
      <c r="B50" s="54" t="s">
        <v>102</v>
      </c>
      <c r="C50" s="54"/>
      <c r="D50" s="55">
        <v>3702928644</v>
      </c>
      <c r="E50" s="55"/>
      <c r="F50" s="55" t="s">
        <v>190</v>
      </c>
      <c r="G50" s="55" t="s">
        <v>216</v>
      </c>
      <c r="H50" s="55"/>
      <c r="I50" s="55"/>
      <c r="J50" s="51" t="s">
        <v>101</v>
      </c>
      <c r="K50" s="51" t="s">
        <v>139</v>
      </c>
      <c r="L50" s="51" t="s">
        <v>116</v>
      </c>
      <c r="M50" s="51" t="s">
        <v>116</v>
      </c>
      <c r="N50" s="51"/>
      <c r="O50" s="51" t="s">
        <v>184</v>
      </c>
      <c r="P50" s="51" t="s">
        <v>116</v>
      </c>
      <c r="Q50" s="51" t="s">
        <v>116</v>
      </c>
      <c r="R50" s="51"/>
      <c r="S50" s="51"/>
      <c r="T50" s="51"/>
    </row>
    <row r="51" spans="1:20" s="53" customFormat="1" ht="30">
      <c r="A51" s="51">
        <f t="shared" si="0"/>
        <v>45</v>
      </c>
      <c r="B51" s="84" t="s">
        <v>33</v>
      </c>
      <c r="C51" s="84"/>
      <c r="D51" s="85">
        <v>3703229529</v>
      </c>
      <c r="E51" s="85"/>
      <c r="F51" s="85" t="s">
        <v>190</v>
      </c>
      <c r="G51" s="55" t="s">
        <v>221</v>
      </c>
      <c r="H51" s="55"/>
      <c r="I51" s="85"/>
      <c r="J51" s="51" t="s">
        <v>101</v>
      </c>
      <c r="K51" s="51" t="s">
        <v>139</v>
      </c>
      <c r="L51" s="51" t="s">
        <v>116</v>
      </c>
      <c r="M51" s="51" t="s">
        <v>116</v>
      </c>
      <c r="N51" s="51"/>
      <c r="O51" s="51"/>
      <c r="P51" s="51" t="s">
        <v>116</v>
      </c>
      <c r="Q51" s="51" t="s">
        <v>116</v>
      </c>
      <c r="R51" s="51"/>
      <c r="S51" s="51"/>
      <c r="T51" s="51"/>
    </row>
    <row r="52" spans="1:20" s="53" customFormat="1" hidden="1">
      <c r="A52" s="51">
        <f t="shared" si="0"/>
        <v>46</v>
      </c>
      <c r="B52" s="84" t="s">
        <v>34</v>
      </c>
      <c r="C52" s="84"/>
      <c r="D52" s="85">
        <v>3703243650</v>
      </c>
      <c r="E52" s="85"/>
      <c r="F52" s="55" t="s">
        <v>189</v>
      </c>
      <c r="G52" s="55" t="s">
        <v>226</v>
      </c>
      <c r="H52" s="55"/>
      <c r="I52" s="85"/>
      <c r="J52" s="51" t="s">
        <v>81</v>
      </c>
      <c r="K52" s="51" t="s">
        <v>139</v>
      </c>
      <c r="L52" s="51" t="s">
        <v>116</v>
      </c>
      <c r="M52" s="51" t="s">
        <v>116</v>
      </c>
      <c r="N52" s="51"/>
      <c r="O52" s="51"/>
      <c r="P52" s="51" t="s">
        <v>116</v>
      </c>
      <c r="Q52" s="51" t="s">
        <v>116</v>
      </c>
      <c r="R52" s="51"/>
      <c r="S52" s="51"/>
      <c r="T52" s="51"/>
    </row>
    <row r="53" spans="1:20" s="46" customFormat="1">
      <c r="A53" s="71">
        <f t="shared" si="0"/>
        <v>47</v>
      </c>
      <c r="B53" s="88" t="s">
        <v>35</v>
      </c>
      <c r="C53" s="88"/>
      <c r="D53" s="89">
        <v>3703127125</v>
      </c>
      <c r="E53" s="89"/>
      <c r="F53" s="86" t="s">
        <v>190</v>
      </c>
      <c r="G53" s="55" t="s">
        <v>224</v>
      </c>
      <c r="H53" s="55"/>
      <c r="I53" s="89"/>
      <c r="J53" s="71" t="s">
        <v>101</v>
      </c>
      <c r="K53" s="71" t="s">
        <v>139</v>
      </c>
      <c r="L53" s="71" t="s">
        <v>116</v>
      </c>
      <c r="M53" s="71" t="s">
        <v>116</v>
      </c>
      <c r="N53" s="71"/>
      <c r="O53" s="71"/>
      <c r="P53" s="71" t="s">
        <v>116</v>
      </c>
      <c r="Q53" s="71"/>
      <c r="R53" s="71"/>
      <c r="S53" s="71"/>
      <c r="T53" s="71"/>
    </row>
    <row r="54" spans="1:20" s="53" customFormat="1" hidden="1">
      <c r="A54" s="51">
        <f t="shared" si="0"/>
        <v>48</v>
      </c>
      <c r="B54" s="84" t="s">
        <v>79</v>
      </c>
      <c r="C54" s="84"/>
      <c r="D54" s="85">
        <v>3703252694</v>
      </c>
      <c r="E54" s="85"/>
      <c r="F54" s="55" t="s">
        <v>191</v>
      </c>
      <c r="G54" s="55" t="s">
        <v>224</v>
      </c>
      <c r="H54" s="55"/>
      <c r="I54" s="85"/>
      <c r="J54" s="51" t="s">
        <v>80</v>
      </c>
      <c r="K54" s="51" t="s">
        <v>139</v>
      </c>
      <c r="L54" s="51" t="s">
        <v>116</v>
      </c>
      <c r="M54" s="51" t="s">
        <v>116</v>
      </c>
      <c r="N54" s="51"/>
      <c r="O54" s="51"/>
      <c r="P54" s="51" t="s">
        <v>116</v>
      </c>
      <c r="Q54" s="51" t="s">
        <v>116</v>
      </c>
      <c r="R54" s="51"/>
      <c r="S54" s="51"/>
      <c r="T54" s="51"/>
    </row>
    <row r="55" spans="1:20" s="53" customFormat="1" hidden="1">
      <c r="A55" s="51">
        <f t="shared" si="0"/>
        <v>49</v>
      </c>
      <c r="B55" s="84" t="s">
        <v>36</v>
      </c>
      <c r="C55" s="84" t="s">
        <v>116</v>
      </c>
      <c r="D55" s="85">
        <v>3703256579</v>
      </c>
      <c r="E55" s="85"/>
      <c r="F55" s="55" t="s">
        <v>189</v>
      </c>
      <c r="G55" s="55" t="s">
        <v>224</v>
      </c>
      <c r="H55" s="55"/>
      <c r="I55" s="85" t="s">
        <v>116</v>
      </c>
      <c r="J55" s="51" t="s">
        <v>81</v>
      </c>
      <c r="K55" s="51" t="s">
        <v>139</v>
      </c>
      <c r="L55" s="51" t="s">
        <v>116</v>
      </c>
      <c r="M55" s="51" t="s">
        <v>116</v>
      </c>
      <c r="N55" s="51"/>
      <c r="O55" s="51"/>
      <c r="P55" s="51" t="s">
        <v>116</v>
      </c>
      <c r="Q55" s="51" t="s">
        <v>116</v>
      </c>
      <c r="R55" s="51"/>
      <c r="S55" s="51"/>
      <c r="T55" s="51"/>
    </row>
    <row r="56" spans="1:20" s="53" customFormat="1" ht="30" hidden="1">
      <c r="A56" s="51">
        <f t="shared" si="0"/>
        <v>50</v>
      </c>
      <c r="B56" s="84" t="s">
        <v>37</v>
      </c>
      <c r="C56" s="84"/>
      <c r="D56" s="55">
        <v>3702617381</v>
      </c>
      <c r="E56" s="55"/>
      <c r="F56" s="55" t="s">
        <v>192</v>
      </c>
      <c r="G56" s="55" t="s">
        <v>221</v>
      </c>
      <c r="H56" s="55"/>
      <c r="I56" s="55"/>
      <c r="J56" s="51" t="s">
        <v>80</v>
      </c>
      <c r="K56" s="51" t="s">
        <v>139</v>
      </c>
      <c r="L56" s="51" t="s">
        <v>116</v>
      </c>
      <c r="M56" s="51" t="s">
        <v>116</v>
      </c>
      <c r="N56" s="51"/>
      <c r="O56" s="51"/>
      <c r="P56" s="51" t="s">
        <v>116</v>
      </c>
      <c r="Q56" s="51" t="s">
        <v>116</v>
      </c>
      <c r="R56" s="51"/>
      <c r="S56" s="51"/>
      <c r="T56" s="51"/>
    </row>
    <row r="57" spans="1:20" s="53" customFormat="1">
      <c r="A57" s="51">
        <f t="shared" si="0"/>
        <v>51</v>
      </c>
      <c r="B57" s="84" t="s">
        <v>38</v>
      </c>
      <c r="C57" s="84" t="s">
        <v>116</v>
      </c>
      <c r="D57" s="55">
        <v>3703270157</v>
      </c>
      <c r="E57" s="55"/>
      <c r="F57" s="55" t="s">
        <v>190</v>
      </c>
      <c r="G57" s="55" t="s">
        <v>224</v>
      </c>
      <c r="H57" s="55"/>
      <c r="I57" s="55"/>
      <c r="J57" s="51" t="s">
        <v>80</v>
      </c>
      <c r="K57" s="51" t="s">
        <v>139</v>
      </c>
      <c r="L57" s="51" t="s">
        <v>116</v>
      </c>
      <c r="M57" s="51" t="s">
        <v>116</v>
      </c>
      <c r="N57" s="51"/>
      <c r="O57" s="51"/>
      <c r="P57" s="51" t="s">
        <v>116</v>
      </c>
      <c r="Q57" s="51" t="s">
        <v>116</v>
      </c>
      <c r="R57" s="51"/>
      <c r="S57" s="51"/>
      <c r="T57" s="51"/>
    </row>
    <row r="58" spans="1:20" s="53" customFormat="1" hidden="1">
      <c r="A58" s="51">
        <f t="shared" si="0"/>
        <v>52</v>
      </c>
      <c r="B58" s="84" t="s">
        <v>39</v>
      </c>
      <c r="C58" s="84"/>
      <c r="D58" s="85">
        <v>3703272108</v>
      </c>
      <c r="E58" s="85"/>
      <c r="F58" s="55" t="s">
        <v>189</v>
      </c>
      <c r="G58" s="55" t="s">
        <v>216</v>
      </c>
      <c r="H58" s="55"/>
      <c r="I58" s="85"/>
      <c r="J58" s="51" t="s">
        <v>82</v>
      </c>
      <c r="K58" s="51" t="s">
        <v>139</v>
      </c>
      <c r="L58" s="51" t="s">
        <v>116</v>
      </c>
      <c r="M58" s="51" t="s">
        <v>116</v>
      </c>
      <c r="N58" s="51"/>
      <c r="O58" s="51"/>
      <c r="P58" s="51" t="s">
        <v>116</v>
      </c>
      <c r="Q58" s="51"/>
      <c r="R58" s="51"/>
      <c r="S58" s="51"/>
      <c r="T58" s="51" t="s">
        <v>291</v>
      </c>
    </row>
    <row r="59" spans="1:20" s="53" customFormat="1" hidden="1">
      <c r="A59" s="51">
        <f t="shared" si="0"/>
        <v>53</v>
      </c>
      <c r="B59" s="84" t="s">
        <v>41</v>
      </c>
      <c r="C59" s="84"/>
      <c r="D59" s="85">
        <v>3703280028</v>
      </c>
      <c r="E59" s="85"/>
      <c r="F59" s="55" t="s">
        <v>191</v>
      </c>
      <c r="G59" s="55" t="s">
        <v>224</v>
      </c>
      <c r="H59" s="55"/>
      <c r="I59" s="85"/>
      <c r="J59" s="51" t="s">
        <v>81</v>
      </c>
      <c r="K59" s="51" t="s">
        <v>139</v>
      </c>
      <c r="L59" s="51" t="s">
        <v>116</v>
      </c>
      <c r="M59" s="51" t="s">
        <v>116</v>
      </c>
      <c r="N59" s="51"/>
      <c r="O59" s="51"/>
      <c r="P59" s="51" t="s">
        <v>116</v>
      </c>
      <c r="Q59" s="51" t="s">
        <v>116</v>
      </c>
      <c r="R59" s="51"/>
      <c r="S59" s="51"/>
      <c r="T59" s="51"/>
    </row>
    <row r="60" spans="1:20" s="53" customFormat="1" hidden="1">
      <c r="A60" s="51">
        <f t="shared" si="0"/>
        <v>54</v>
      </c>
      <c r="B60" s="84" t="s">
        <v>310</v>
      </c>
      <c r="C60" s="84"/>
      <c r="D60" s="85">
        <v>3702754130</v>
      </c>
      <c r="E60" s="85"/>
      <c r="F60" s="55" t="s">
        <v>192</v>
      </c>
      <c r="G60" s="55" t="s">
        <v>216</v>
      </c>
      <c r="H60" s="55"/>
      <c r="I60" s="85"/>
      <c r="J60" s="51" t="s">
        <v>81</v>
      </c>
      <c r="K60" s="51" t="s">
        <v>139</v>
      </c>
      <c r="L60" s="51" t="s">
        <v>116</v>
      </c>
      <c r="M60" s="51" t="s">
        <v>116</v>
      </c>
      <c r="N60" s="51"/>
      <c r="O60" s="51"/>
      <c r="P60" s="51" t="s">
        <v>116</v>
      </c>
      <c r="Q60" s="51"/>
      <c r="R60" s="51"/>
      <c r="S60" s="51"/>
      <c r="T60" s="51"/>
    </row>
    <row r="61" spans="1:20" s="53" customFormat="1">
      <c r="A61" s="51">
        <f t="shared" si="0"/>
        <v>55</v>
      </c>
      <c r="B61" s="84" t="s">
        <v>140</v>
      </c>
      <c r="C61" s="84"/>
      <c r="D61" s="85">
        <v>3703319557</v>
      </c>
      <c r="E61" s="85"/>
      <c r="F61" s="85" t="s">
        <v>190</v>
      </c>
      <c r="G61" s="55" t="s">
        <v>224</v>
      </c>
      <c r="H61" s="55"/>
      <c r="I61" s="85"/>
      <c r="J61" s="51" t="s">
        <v>81</v>
      </c>
      <c r="K61" s="51" t="s">
        <v>139</v>
      </c>
      <c r="L61" s="51" t="s">
        <v>116</v>
      </c>
      <c r="M61" s="51" t="s">
        <v>116</v>
      </c>
      <c r="N61" s="51"/>
      <c r="O61" s="51"/>
      <c r="P61" s="51" t="s">
        <v>116</v>
      </c>
      <c r="Q61" s="51" t="s">
        <v>116</v>
      </c>
      <c r="R61" s="51"/>
      <c r="S61" s="51"/>
      <c r="T61" s="51"/>
    </row>
    <row r="62" spans="1:20" s="53" customFormat="1" hidden="1">
      <c r="A62" s="51">
        <f t="shared" si="0"/>
        <v>56</v>
      </c>
      <c r="B62" s="84" t="s">
        <v>42</v>
      </c>
      <c r="C62" s="84" t="s">
        <v>116</v>
      </c>
      <c r="D62" s="85">
        <v>3703029424</v>
      </c>
      <c r="E62" s="85"/>
      <c r="F62" s="55" t="s">
        <v>200</v>
      </c>
      <c r="G62" s="55" t="s">
        <v>224</v>
      </c>
      <c r="H62" s="55"/>
      <c r="I62" s="85"/>
      <c r="J62" s="51" t="s">
        <v>81</v>
      </c>
      <c r="K62" s="51" t="s">
        <v>139</v>
      </c>
      <c r="L62" s="51" t="s">
        <v>116</v>
      </c>
      <c r="M62" s="51" t="s">
        <v>116</v>
      </c>
      <c r="N62" s="51"/>
      <c r="O62" s="51"/>
      <c r="P62" s="51" t="s">
        <v>116</v>
      </c>
      <c r="Q62" s="51" t="s">
        <v>116</v>
      </c>
      <c r="R62" s="51"/>
      <c r="S62" s="51"/>
      <c r="T62" s="51"/>
    </row>
    <row r="63" spans="1:20" s="53" customFormat="1" hidden="1">
      <c r="A63" s="51">
        <f t="shared" si="0"/>
        <v>57</v>
      </c>
      <c r="B63" s="84" t="s">
        <v>43</v>
      </c>
      <c r="C63" s="84"/>
      <c r="D63" s="85">
        <v>3703331723</v>
      </c>
      <c r="E63" s="85"/>
      <c r="F63" s="55" t="s">
        <v>192</v>
      </c>
      <c r="G63" s="55" t="s">
        <v>224</v>
      </c>
      <c r="H63" s="55"/>
      <c r="I63" s="85"/>
      <c r="J63" s="51" t="s">
        <v>82</v>
      </c>
      <c r="K63" s="51" t="s">
        <v>139</v>
      </c>
      <c r="L63" s="51" t="s">
        <v>116</v>
      </c>
      <c r="M63" s="51" t="s">
        <v>116</v>
      </c>
      <c r="N63" s="51"/>
      <c r="O63" s="51" t="s">
        <v>116</v>
      </c>
      <c r="P63" s="51" t="s">
        <v>116</v>
      </c>
      <c r="Q63" s="51" t="s">
        <v>116</v>
      </c>
      <c r="R63" s="51"/>
      <c r="S63" s="51"/>
      <c r="T63" s="51"/>
    </row>
    <row r="64" spans="1:20" s="53" customFormat="1" hidden="1">
      <c r="A64" s="51">
        <f t="shared" si="0"/>
        <v>58</v>
      </c>
      <c r="B64" s="84" t="s">
        <v>44</v>
      </c>
      <c r="C64" s="84"/>
      <c r="D64" s="85">
        <v>3703332759</v>
      </c>
      <c r="E64" s="85"/>
      <c r="F64" s="55" t="s">
        <v>243</v>
      </c>
      <c r="G64" s="55" t="s">
        <v>224</v>
      </c>
      <c r="H64" s="55"/>
      <c r="I64" s="85"/>
      <c r="J64" s="51" t="s">
        <v>81</v>
      </c>
      <c r="K64" s="51" t="s">
        <v>139</v>
      </c>
      <c r="L64" s="51" t="s">
        <v>116</v>
      </c>
      <c r="M64" s="51" t="s">
        <v>116</v>
      </c>
      <c r="N64" s="51"/>
      <c r="O64" s="51"/>
      <c r="P64" s="51" t="s">
        <v>116</v>
      </c>
      <c r="Q64" s="51" t="s">
        <v>116</v>
      </c>
      <c r="R64" s="51"/>
      <c r="S64" s="51"/>
      <c r="T64" s="51"/>
    </row>
    <row r="65" spans="1:20" s="53" customFormat="1" hidden="1">
      <c r="A65" s="51">
        <f t="shared" si="0"/>
        <v>59</v>
      </c>
      <c r="B65" s="84" t="s">
        <v>45</v>
      </c>
      <c r="C65" s="84" t="s">
        <v>116</v>
      </c>
      <c r="D65" s="85">
        <v>3703316972</v>
      </c>
      <c r="E65" s="85"/>
      <c r="F65" s="55" t="s">
        <v>189</v>
      </c>
      <c r="G65" s="55" t="s">
        <v>228</v>
      </c>
      <c r="H65" s="55"/>
      <c r="I65" s="85"/>
      <c r="J65" s="51" t="s">
        <v>81</v>
      </c>
      <c r="K65" s="51" t="s">
        <v>139</v>
      </c>
      <c r="L65" s="51" t="s">
        <v>116</v>
      </c>
      <c r="M65" s="51" t="s">
        <v>116</v>
      </c>
      <c r="N65" s="51"/>
      <c r="O65" s="51"/>
      <c r="P65" s="51" t="s">
        <v>116</v>
      </c>
      <c r="Q65" s="51" t="s">
        <v>116</v>
      </c>
      <c r="R65" s="51"/>
      <c r="S65" s="51"/>
      <c r="T65" s="51"/>
    </row>
    <row r="66" spans="1:20" s="53" customFormat="1" hidden="1">
      <c r="A66" s="51">
        <f t="shared" si="0"/>
        <v>60</v>
      </c>
      <c r="B66" s="84" t="s">
        <v>46</v>
      </c>
      <c r="C66" s="84"/>
      <c r="D66" s="85">
        <v>3703333061</v>
      </c>
      <c r="E66" s="85"/>
      <c r="F66" s="85" t="s">
        <v>192</v>
      </c>
      <c r="G66" s="55" t="s">
        <v>224</v>
      </c>
      <c r="H66" s="55"/>
      <c r="I66" s="85"/>
      <c r="J66" s="51" t="s">
        <v>62</v>
      </c>
      <c r="K66" s="51" t="s">
        <v>139</v>
      </c>
      <c r="L66" s="51" t="s">
        <v>116</v>
      </c>
      <c r="M66" s="51" t="s">
        <v>116</v>
      </c>
      <c r="N66" s="51"/>
      <c r="O66" s="51"/>
      <c r="P66" s="51" t="s">
        <v>116</v>
      </c>
      <c r="Q66" s="51" t="s">
        <v>116</v>
      </c>
      <c r="R66" s="51"/>
      <c r="S66" s="51"/>
      <c r="T66" s="51"/>
    </row>
    <row r="67" spans="1:20" s="53" customFormat="1">
      <c r="A67" s="51">
        <f t="shared" si="0"/>
        <v>61</v>
      </c>
      <c r="B67" s="84" t="s">
        <v>47</v>
      </c>
      <c r="C67" s="84"/>
      <c r="D67" s="85">
        <v>3703335492</v>
      </c>
      <c r="E67" s="85"/>
      <c r="F67" s="85" t="s">
        <v>190</v>
      </c>
      <c r="G67" s="55" t="s">
        <v>216</v>
      </c>
      <c r="H67" s="55"/>
      <c r="I67" s="85"/>
      <c r="J67" s="51" t="s">
        <v>62</v>
      </c>
      <c r="K67" s="51" t="s">
        <v>139</v>
      </c>
      <c r="L67" s="51" t="s">
        <v>116</v>
      </c>
      <c r="M67" s="51" t="s">
        <v>116</v>
      </c>
      <c r="N67" s="51"/>
      <c r="O67" s="51"/>
      <c r="P67" s="51" t="s">
        <v>116</v>
      </c>
      <c r="Q67" s="51" t="s">
        <v>116</v>
      </c>
      <c r="R67" s="51"/>
      <c r="S67" s="51"/>
      <c r="T67" s="51"/>
    </row>
    <row r="68" spans="1:20" s="53" customFormat="1" hidden="1">
      <c r="A68" s="51">
        <f t="shared" si="0"/>
        <v>62</v>
      </c>
      <c r="B68" s="84" t="s">
        <v>48</v>
      </c>
      <c r="C68" s="84" t="s">
        <v>116</v>
      </c>
      <c r="D68" s="85">
        <v>3703338006</v>
      </c>
      <c r="E68" s="85"/>
      <c r="F68" s="55" t="s">
        <v>189</v>
      </c>
      <c r="G68" s="55" t="s">
        <v>226</v>
      </c>
      <c r="H68" s="55"/>
      <c r="I68" s="85"/>
      <c r="J68" s="51" t="s">
        <v>82</v>
      </c>
      <c r="K68" s="51" t="s">
        <v>139</v>
      </c>
      <c r="L68" s="51" t="s">
        <v>116</v>
      </c>
      <c r="M68" s="51" t="s">
        <v>116</v>
      </c>
      <c r="N68" s="51"/>
      <c r="O68" s="51"/>
      <c r="P68" s="51" t="s">
        <v>116</v>
      </c>
      <c r="Q68" s="51" t="s">
        <v>116</v>
      </c>
      <c r="R68" s="51"/>
      <c r="S68" s="51"/>
      <c r="T68" s="51"/>
    </row>
    <row r="69" spans="1:20" s="53" customFormat="1" hidden="1">
      <c r="A69" s="51">
        <f t="shared" si="0"/>
        <v>63</v>
      </c>
      <c r="B69" s="84" t="s">
        <v>49</v>
      </c>
      <c r="C69" s="84"/>
      <c r="D69" s="85">
        <v>3703328248</v>
      </c>
      <c r="E69" s="85"/>
      <c r="F69" s="55" t="s">
        <v>189</v>
      </c>
      <c r="G69" s="55" t="s">
        <v>216</v>
      </c>
      <c r="H69" s="55"/>
      <c r="I69" s="85"/>
      <c r="J69" s="51" t="s">
        <v>62</v>
      </c>
      <c r="K69" s="51" t="s">
        <v>139</v>
      </c>
      <c r="L69" s="51" t="s">
        <v>116</v>
      </c>
      <c r="M69" s="51" t="s">
        <v>116</v>
      </c>
      <c r="N69" s="51"/>
      <c r="O69" s="51"/>
      <c r="P69" s="51" t="s">
        <v>116</v>
      </c>
      <c r="Q69" s="51"/>
      <c r="R69" s="51"/>
      <c r="S69" s="51"/>
      <c r="T69" s="51" t="s">
        <v>291</v>
      </c>
    </row>
    <row r="70" spans="1:20" hidden="1">
      <c r="A70" s="21">
        <f t="shared" si="0"/>
        <v>64</v>
      </c>
      <c r="B70" s="44" t="s">
        <v>71</v>
      </c>
      <c r="C70" s="44"/>
      <c r="D70" s="23">
        <v>3703328248</v>
      </c>
      <c r="E70" s="23"/>
      <c r="F70" s="23" t="s">
        <v>192</v>
      </c>
      <c r="G70" s="91" t="s">
        <v>226</v>
      </c>
      <c r="H70" s="91"/>
      <c r="I70" s="23"/>
      <c r="J70" s="21" t="s">
        <v>81</v>
      </c>
      <c r="K70" s="21" t="s">
        <v>139</v>
      </c>
      <c r="L70" s="21" t="s">
        <v>116</v>
      </c>
      <c r="M70" s="21" t="s">
        <v>116</v>
      </c>
      <c r="N70" s="21"/>
      <c r="O70" s="21"/>
      <c r="P70" s="21"/>
      <c r="Q70" s="21"/>
      <c r="R70" s="21"/>
      <c r="S70" s="21"/>
      <c r="T70" s="21"/>
    </row>
    <row r="71" spans="1:20" s="53" customFormat="1" hidden="1">
      <c r="A71" s="51">
        <f t="shared" si="0"/>
        <v>65</v>
      </c>
      <c r="B71" s="84" t="s">
        <v>50</v>
      </c>
      <c r="C71" s="84" t="s">
        <v>116</v>
      </c>
      <c r="D71" s="85">
        <v>3703353854</v>
      </c>
      <c r="E71" s="85"/>
      <c r="F71" s="85" t="s">
        <v>192</v>
      </c>
      <c r="G71" s="55" t="s">
        <v>226</v>
      </c>
      <c r="H71" s="55"/>
      <c r="I71" s="85"/>
      <c r="J71" s="51" t="s">
        <v>80</v>
      </c>
      <c r="K71" s="51" t="s">
        <v>139</v>
      </c>
      <c r="L71" s="51" t="s">
        <v>116</v>
      </c>
      <c r="M71" s="51" t="s">
        <v>116</v>
      </c>
      <c r="N71" s="51"/>
      <c r="O71" s="51"/>
      <c r="P71" s="51" t="s">
        <v>116</v>
      </c>
      <c r="Q71" s="51" t="s">
        <v>116</v>
      </c>
      <c r="R71" s="51"/>
      <c r="S71" s="51"/>
      <c r="T71" s="51"/>
    </row>
    <row r="72" spans="1:20" s="53" customFormat="1" hidden="1">
      <c r="A72" s="51">
        <f t="shared" ref="A72:A117" si="1">A71+1</f>
        <v>66</v>
      </c>
      <c r="B72" s="84" t="s">
        <v>51</v>
      </c>
      <c r="C72" s="84"/>
      <c r="D72" s="92">
        <v>3703361319</v>
      </c>
      <c r="E72" s="92"/>
      <c r="F72" s="55" t="s">
        <v>189</v>
      </c>
      <c r="G72" s="55" t="s">
        <v>224</v>
      </c>
      <c r="H72" s="55"/>
      <c r="I72" s="92"/>
      <c r="J72" s="51" t="s">
        <v>81</v>
      </c>
      <c r="K72" s="51" t="s">
        <v>139</v>
      </c>
      <c r="L72" s="51" t="s">
        <v>116</v>
      </c>
      <c r="M72" s="51" t="s">
        <v>116</v>
      </c>
      <c r="N72" s="51"/>
      <c r="O72" s="51"/>
      <c r="P72" s="51" t="s">
        <v>116</v>
      </c>
      <c r="Q72" s="51" t="s">
        <v>116</v>
      </c>
      <c r="R72" s="51"/>
      <c r="S72" s="51"/>
      <c r="T72" s="51"/>
    </row>
    <row r="73" spans="1:20" s="53" customFormat="1" hidden="1">
      <c r="A73" s="51">
        <f t="shared" si="1"/>
        <v>67</v>
      </c>
      <c r="B73" s="84" t="s">
        <v>52</v>
      </c>
      <c r="C73" s="84"/>
      <c r="D73" s="85"/>
      <c r="E73" s="85"/>
      <c r="F73" s="55" t="s">
        <v>189</v>
      </c>
      <c r="G73" s="55" t="s">
        <v>224</v>
      </c>
      <c r="H73" s="55"/>
      <c r="I73" s="85"/>
      <c r="J73" s="51" t="s">
        <v>83</v>
      </c>
      <c r="K73" s="51" t="s">
        <v>139</v>
      </c>
      <c r="L73" s="51" t="s">
        <v>116</v>
      </c>
      <c r="M73" s="51" t="s">
        <v>116</v>
      </c>
      <c r="N73" s="51"/>
      <c r="O73" s="51"/>
      <c r="P73" s="51" t="s">
        <v>116</v>
      </c>
      <c r="Q73" s="51" t="s">
        <v>116</v>
      </c>
      <c r="R73" s="51"/>
      <c r="S73" s="51"/>
      <c r="T73" s="51"/>
    </row>
    <row r="74" spans="1:20" s="53" customFormat="1">
      <c r="A74" s="51">
        <f t="shared" si="1"/>
        <v>68</v>
      </c>
      <c r="B74" s="84" t="s">
        <v>53</v>
      </c>
      <c r="C74" s="84"/>
      <c r="D74" s="85" t="s">
        <v>54</v>
      </c>
      <c r="E74" s="85"/>
      <c r="F74" s="85" t="s">
        <v>190</v>
      </c>
      <c r="G74" s="55" t="s">
        <v>216</v>
      </c>
      <c r="H74" s="55"/>
      <c r="I74" s="85"/>
      <c r="J74" s="51" t="s">
        <v>84</v>
      </c>
      <c r="K74" s="51" t="s">
        <v>139</v>
      </c>
      <c r="L74" s="51" t="s">
        <v>116</v>
      </c>
      <c r="M74" s="51" t="s">
        <v>116</v>
      </c>
      <c r="N74" s="51"/>
      <c r="O74" s="51"/>
      <c r="P74" s="51" t="s">
        <v>116</v>
      </c>
      <c r="Q74" s="51" t="s">
        <v>116</v>
      </c>
      <c r="R74" s="51"/>
      <c r="S74" s="51"/>
      <c r="T74" s="51"/>
    </row>
    <row r="75" spans="1:20" s="53" customFormat="1" hidden="1">
      <c r="A75" s="51">
        <f t="shared" si="1"/>
        <v>69</v>
      </c>
      <c r="B75" s="84" t="s">
        <v>134</v>
      </c>
      <c r="C75" s="84"/>
      <c r="D75" s="85">
        <v>3703357489</v>
      </c>
      <c r="E75" s="85"/>
      <c r="F75" s="85" t="s">
        <v>245</v>
      </c>
      <c r="G75" s="55" t="s">
        <v>216</v>
      </c>
      <c r="H75" s="55"/>
      <c r="I75" s="85"/>
      <c r="J75" s="51" t="s">
        <v>81</v>
      </c>
      <c r="K75" s="51" t="s">
        <v>139</v>
      </c>
      <c r="L75" s="51" t="s">
        <v>116</v>
      </c>
      <c r="M75" s="51" t="s">
        <v>116</v>
      </c>
      <c r="N75" s="51"/>
      <c r="O75" s="51"/>
      <c r="P75" s="51" t="s">
        <v>116</v>
      </c>
      <c r="Q75" s="51" t="s">
        <v>116</v>
      </c>
      <c r="R75" s="51"/>
      <c r="S75" s="51"/>
      <c r="T75" s="51"/>
    </row>
    <row r="76" spans="1:20" s="53" customFormat="1">
      <c r="A76" s="51">
        <f t="shared" si="1"/>
        <v>70</v>
      </c>
      <c r="B76" s="84" t="s">
        <v>55</v>
      </c>
      <c r="C76" s="84"/>
      <c r="D76" s="85">
        <v>3703385020</v>
      </c>
      <c r="E76" s="85"/>
      <c r="F76" s="85" t="s">
        <v>190</v>
      </c>
      <c r="G76" s="55" t="s">
        <v>216</v>
      </c>
      <c r="H76" s="55"/>
      <c r="I76" s="85"/>
      <c r="J76" s="51" t="s">
        <v>81</v>
      </c>
      <c r="K76" s="51" t="s">
        <v>139</v>
      </c>
      <c r="L76" s="51"/>
      <c r="M76" s="51"/>
      <c r="N76" s="51"/>
      <c r="O76" s="51"/>
      <c r="P76" s="51" t="s">
        <v>116</v>
      </c>
      <c r="Q76" s="51" t="s">
        <v>116</v>
      </c>
      <c r="R76" s="51"/>
      <c r="S76" s="51"/>
      <c r="T76" s="51"/>
    </row>
    <row r="77" spans="1:20" s="53" customFormat="1" hidden="1">
      <c r="A77" s="51">
        <f t="shared" si="1"/>
        <v>71</v>
      </c>
      <c r="B77" s="84" t="s">
        <v>85</v>
      </c>
      <c r="C77" s="84"/>
      <c r="D77" s="85">
        <v>52195002711</v>
      </c>
      <c r="E77" s="85"/>
      <c r="F77" s="55" t="s">
        <v>192</v>
      </c>
      <c r="G77" s="55"/>
      <c r="H77" s="55"/>
      <c r="I77" s="85"/>
      <c r="J77" s="51" t="s">
        <v>81</v>
      </c>
      <c r="K77" s="51" t="s">
        <v>139</v>
      </c>
      <c r="L77" s="51" t="s">
        <v>116</v>
      </c>
      <c r="M77" s="51" t="s">
        <v>116</v>
      </c>
      <c r="N77" s="51" t="s">
        <v>116</v>
      </c>
      <c r="O77" s="51"/>
      <c r="P77" s="51" t="s">
        <v>116</v>
      </c>
      <c r="Q77" s="51" t="s">
        <v>116</v>
      </c>
      <c r="R77" s="51"/>
      <c r="S77" s="51"/>
      <c r="T77" s="51"/>
    </row>
    <row r="78" spans="1:20" s="53" customFormat="1" hidden="1">
      <c r="A78" s="51">
        <f t="shared" si="1"/>
        <v>72</v>
      </c>
      <c r="B78" s="84" t="s">
        <v>174</v>
      </c>
      <c r="C78" s="84"/>
      <c r="D78" s="85"/>
      <c r="E78" s="85"/>
      <c r="F78" s="55" t="s">
        <v>192</v>
      </c>
      <c r="G78" s="55"/>
      <c r="H78" s="55"/>
      <c r="I78" s="85"/>
      <c r="J78" s="51"/>
      <c r="K78" s="51" t="s">
        <v>139</v>
      </c>
      <c r="L78" s="51" t="s">
        <v>116</v>
      </c>
      <c r="M78" s="51" t="s">
        <v>116</v>
      </c>
      <c r="N78" s="51" t="s">
        <v>116</v>
      </c>
      <c r="O78" s="51"/>
      <c r="P78" s="51" t="s">
        <v>116</v>
      </c>
      <c r="Q78" s="51" t="s">
        <v>116</v>
      </c>
      <c r="R78" s="51"/>
      <c r="S78" s="51"/>
      <c r="T78" s="51"/>
    </row>
    <row r="79" spans="1:20" hidden="1">
      <c r="A79" s="21">
        <f t="shared" si="1"/>
        <v>73</v>
      </c>
      <c r="B79" s="44" t="s">
        <v>86</v>
      </c>
      <c r="C79" s="44"/>
      <c r="D79" s="23"/>
      <c r="E79" s="23"/>
      <c r="F79" s="40" t="s">
        <v>192</v>
      </c>
      <c r="G79" s="40"/>
      <c r="H79" s="40"/>
      <c r="I79" s="23"/>
      <c r="J79" s="21" t="s">
        <v>80</v>
      </c>
      <c r="K79" s="21" t="s">
        <v>139</v>
      </c>
      <c r="L79" s="71" t="s">
        <v>116</v>
      </c>
      <c r="M79" s="21" t="s">
        <v>116</v>
      </c>
      <c r="N79" s="21" t="s">
        <v>173</v>
      </c>
      <c r="O79" s="39"/>
      <c r="P79" s="71"/>
      <c r="Q79" s="71"/>
      <c r="R79" s="21"/>
      <c r="S79" s="39"/>
      <c r="T79" s="21"/>
    </row>
    <row r="80" spans="1:20" s="53" customFormat="1">
      <c r="A80" s="51">
        <f t="shared" si="1"/>
        <v>74</v>
      </c>
      <c r="B80" s="84" t="s">
        <v>56</v>
      </c>
      <c r="C80" s="84"/>
      <c r="D80" s="85"/>
      <c r="E80" s="85"/>
      <c r="F80" s="85" t="s">
        <v>190</v>
      </c>
      <c r="G80" s="55" t="s">
        <v>216</v>
      </c>
      <c r="H80" s="55"/>
      <c r="I80" s="85"/>
      <c r="J80" s="51" t="s">
        <v>81</v>
      </c>
      <c r="K80" s="51" t="s">
        <v>139</v>
      </c>
      <c r="L80" s="51" t="s">
        <v>116</v>
      </c>
      <c r="M80" s="51" t="s">
        <v>116</v>
      </c>
      <c r="N80" s="51"/>
      <c r="O80" s="51"/>
      <c r="P80" s="51" t="s">
        <v>116</v>
      </c>
      <c r="Q80" s="51" t="s">
        <v>116</v>
      </c>
      <c r="R80" s="51"/>
      <c r="S80" s="51"/>
      <c r="T80" s="51"/>
    </row>
    <row r="81" spans="1:20" s="53" customFormat="1" hidden="1">
      <c r="A81" s="51">
        <f t="shared" si="1"/>
        <v>75</v>
      </c>
      <c r="B81" s="84" t="s">
        <v>57</v>
      </c>
      <c r="C81" s="84"/>
      <c r="D81" s="85">
        <v>3703418702</v>
      </c>
      <c r="E81" s="85"/>
      <c r="F81" s="85" t="s">
        <v>193</v>
      </c>
      <c r="G81" s="55" t="s">
        <v>216</v>
      </c>
      <c r="H81" s="55"/>
      <c r="I81" s="85"/>
      <c r="J81" s="51" t="s">
        <v>62</v>
      </c>
      <c r="K81" s="51" t="s">
        <v>139</v>
      </c>
      <c r="L81" s="51" t="s">
        <v>116</v>
      </c>
      <c r="M81" s="51" t="s">
        <v>116</v>
      </c>
      <c r="N81" s="51"/>
      <c r="O81" s="51"/>
      <c r="P81" s="51" t="s">
        <v>116</v>
      </c>
      <c r="Q81" s="51" t="s">
        <v>116</v>
      </c>
      <c r="R81" s="51"/>
      <c r="S81" s="51"/>
      <c r="T81" s="51"/>
    </row>
    <row r="82" spans="1:20" s="46" customFormat="1" hidden="1">
      <c r="A82" s="71">
        <f t="shared" si="1"/>
        <v>76</v>
      </c>
      <c r="B82" s="88" t="s">
        <v>59</v>
      </c>
      <c r="C82" s="88"/>
      <c r="D82" s="89"/>
      <c r="E82" s="89"/>
      <c r="F82" s="89" t="s">
        <v>245</v>
      </c>
      <c r="G82" s="55" t="s">
        <v>224</v>
      </c>
      <c r="H82" s="55"/>
      <c r="I82" s="89"/>
      <c r="J82" s="71" t="s">
        <v>62</v>
      </c>
      <c r="K82" s="71" t="s">
        <v>139</v>
      </c>
      <c r="L82" s="71" t="s">
        <v>116</v>
      </c>
      <c r="M82" s="71" t="s">
        <v>116</v>
      </c>
      <c r="N82" s="71"/>
      <c r="O82" s="71"/>
      <c r="P82" s="71"/>
      <c r="Q82" s="71"/>
      <c r="R82" s="71"/>
      <c r="S82" s="71"/>
      <c r="T82" s="71"/>
    </row>
    <row r="83" spans="1:20" s="53" customFormat="1" hidden="1">
      <c r="A83" s="51">
        <f t="shared" si="1"/>
        <v>77</v>
      </c>
      <c r="B83" s="84" t="s">
        <v>60</v>
      </c>
      <c r="C83" s="84"/>
      <c r="D83" s="85"/>
      <c r="E83" s="85"/>
      <c r="F83" s="85" t="s">
        <v>193</v>
      </c>
      <c r="G83" s="55" t="s">
        <v>224</v>
      </c>
      <c r="H83" s="55"/>
      <c r="I83" s="85"/>
      <c r="J83" s="51" t="s">
        <v>81</v>
      </c>
      <c r="K83" s="51" t="s">
        <v>139</v>
      </c>
      <c r="L83" s="51" t="s">
        <v>116</v>
      </c>
      <c r="M83" s="51" t="s">
        <v>116</v>
      </c>
      <c r="N83" s="51"/>
      <c r="O83" s="51"/>
      <c r="P83" s="51" t="s">
        <v>116</v>
      </c>
      <c r="Q83" s="51" t="s">
        <v>116</v>
      </c>
      <c r="R83" s="51"/>
      <c r="S83" s="51"/>
      <c r="T83" s="51"/>
    </row>
    <row r="84" spans="1:20" s="53" customFormat="1" hidden="1">
      <c r="A84" s="51">
        <f t="shared" si="1"/>
        <v>78</v>
      </c>
      <c r="B84" s="84" t="s">
        <v>61</v>
      </c>
      <c r="C84" s="84"/>
      <c r="D84" s="85"/>
      <c r="E84" s="85"/>
      <c r="F84" s="55" t="s">
        <v>189</v>
      </c>
      <c r="G84" s="55" t="s">
        <v>216</v>
      </c>
      <c r="H84" s="55"/>
      <c r="I84" s="85"/>
      <c r="J84" s="51" t="s">
        <v>80</v>
      </c>
      <c r="K84" s="51" t="s">
        <v>139</v>
      </c>
      <c r="L84" s="51" t="s">
        <v>116</v>
      </c>
      <c r="M84" s="51" t="s">
        <v>116</v>
      </c>
      <c r="N84" s="51" t="s">
        <v>116</v>
      </c>
      <c r="O84" s="51"/>
      <c r="P84" s="51" t="s">
        <v>116</v>
      </c>
      <c r="Q84" s="51" t="s">
        <v>116</v>
      </c>
      <c r="R84" s="51"/>
      <c r="S84" s="51"/>
      <c r="T84" s="51"/>
    </row>
    <row r="85" spans="1:20" s="53" customFormat="1" hidden="1">
      <c r="A85" s="51">
        <f t="shared" si="1"/>
        <v>79</v>
      </c>
      <c r="B85" s="84" t="s">
        <v>132</v>
      </c>
      <c r="C85" s="84"/>
      <c r="D85" s="94">
        <v>3703366081</v>
      </c>
      <c r="E85" s="94"/>
      <c r="F85" s="94" t="s">
        <v>193</v>
      </c>
      <c r="G85" s="55" t="s">
        <v>226</v>
      </c>
      <c r="H85" s="55"/>
      <c r="I85" s="94"/>
      <c r="J85" s="51" t="s">
        <v>81</v>
      </c>
      <c r="K85" s="51" t="s">
        <v>139</v>
      </c>
      <c r="L85" s="51" t="s">
        <v>116</v>
      </c>
      <c r="M85" s="51" t="s">
        <v>116</v>
      </c>
      <c r="N85" s="51"/>
      <c r="O85" s="51"/>
      <c r="P85" s="51" t="s">
        <v>116</v>
      </c>
      <c r="Q85" s="51" t="s">
        <v>116</v>
      </c>
      <c r="R85" s="51"/>
      <c r="S85" s="51"/>
      <c r="T85" s="51"/>
    </row>
    <row r="86" spans="1:20" s="53" customFormat="1" hidden="1">
      <c r="A86" s="51">
        <f t="shared" si="1"/>
        <v>80</v>
      </c>
      <c r="B86" s="84" t="s">
        <v>185</v>
      </c>
      <c r="C86" s="84"/>
      <c r="D86" s="94"/>
      <c r="E86" s="94"/>
      <c r="F86" s="55" t="s">
        <v>189</v>
      </c>
      <c r="G86" s="55" t="s">
        <v>224</v>
      </c>
      <c r="H86" s="55"/>
      <c r="I86" s="94"/>
      <c r="J86" s="51" t="s">
        <v>82</v>
      </c>
      <c r="K86" s="51" t="s">
        <v>139</v>
      </c>
      <c r="L86" s="51" t="s">
        <v>116</v>
      </c>
      <c r="M86" s="51" t="s">
        <v>116</v>
      </c>
      <c r="N86" s="51"/>
      <c r="O86" s="51"/>
      <c r="P86" s="51" t="s">
        <v>116</v>
      </c>
      <c r="Q86" s="51" t="s">
        <v>116</v>
      </c>
      <c r="R86" s="51"/>
      <c r="S86" s="51"/>
      <c r="T86" s="51"/>
    </row>
    <row r="87" spans="1:20" s="53" customFormat="1" hidden="1">
      <c r="A87" s="51">
        <f t="shared" si="1"/>
        <v>81</v>
      </c>
      <c r="B87" s="51" t="s">
        <v>145</v>
      </c>
      <c r="C87" s="51"/>
      <c r="D87" s="51"/>
      <c r="E87" s="51"/>
      <c r="F87" s="51" t="s">
        <v>193</v>
      </c>
      <c r="G87" s="55" t="s">
        <v>224</v>
      </c>
      <c r="H87" s="55"/>
      <c r="I87" s="51"/>
      <c r="J87" s="51" t="s">
        <v>81</v>
      </c>
      <c r="K87" s="51" t="s">
        <v>139</v>
      </c>
      <c r="L87" s="51" t="s">
        <v>116</v>
      </c>
      <c r="M87" s="51" t="s">
        <v>116</v>
      </c>
      <c r="N87" s="51"/>
      <c r="O87" s="51"/>
      <c r="P87" s="51" t="s">
        <v>116</v>
      </c>
      <c r="Q87" s="51" t="s">
        <v>116</v>
      </c>
      <c r="R87" s="51"/>
      <c r="S87" s="51"/>
      <c r="T87" s="51"/>
    </row>
    <row r="88" spans="1:20" s="53" customFormat="1" hidden="1">
      <c r="A88" s="51">
        <f t="shared" si="1"/>
        <v>82</v>
      </c>
      <c r="B88" s="51" t="s">
        <v>146</v>
      </c>
      <c r="C88" s="51"/>
      <c r="D88" s="51"/>
      <c r="E88" s="51"/>
      <c r="F88" s="51" t="s">
        <v>193</v>
      </c>
      <c r="G88" s="55" t="s">
        <v>224</v>
      </c>
      <c r="H88" s="55"/>
      <c r="I88" s="51"/>
      <c r="J88" s="51" t="s">
        <v>81</v>
      </c>
      <c r="K88" s="51" t="s">
        <v>139</v>
      </c>
      <c r="L88" s="51" t="s">
        <v>116</v>
      </c>
      <c r="M88" s="51" t="s">
        <v>116</v>
      </c>
      <c r="N88" s="51"/>
      <c r="O88" s="51"/>
      <c r="P88" s="51" t="s">
        <v>116</v>
      </c>
      <c r="Q88" s="51" t="s">
        <v>116</v>
      </c>
      <c r="R88" s="51"/>
      <c r="S88" s="51"/>
      <c r="T88" s="51"/>
    </row>
    <row r="89" spans="1:20" s="53" customFormat="1" hidden="1">
      <c r="A89" s="51">
        <f t="shared" si="1"/>
        <v>83</v>
      </c>
      <c r="B89" s="51" t="s">
        <v>125</v>
      </c>
      <c r="C89" s="51"/>
      <c r="D89" s="52" t="s">
        <v>135</v>
      </c>
      <c r="E89" s="52"/>
      <c r="F89" s="51" t="s">
        <v>193</v>
      </c>
      <c r="G89" s="55" t="s">
        <v>224</v>
      </c>
      <c r="H89" s="55"/>
      <c r="I89" s="52"/>
      <c r="J89" s="51" t="s">
        <v>81</v>
      </c>
      <c r="K89" s="51" t="s">
        <v>139</v>
      </c>
      <c r="L89" s="51" t="s">
        <v>116</v>
      </c>
      <c r="M89" s="51" t="s">
        <v>116</v>
      </c>
      <c r="N89" s="51"/>
      <c r="O89" s="51"/>
      <c r="P89" s="51" t="s">
        <v>116</v>
      </c>
      <c r="Q89" s="51" t="s">
        <v>116</v>
      </c>
      <c r="R89" s="51"/>
      <c r="S89" s="51"/>
      <c r="T89" s="51"/>
    </row>
    <row r="90" spans="1:20" s="53" customFormat="1" hidden="1">
      <c r="A90" s="51">
        <f t="shared" si="1"/>
        <v>84</v>
      </c>
      <c r="B90" s="51" t="s">
        <v>147</v>
      </c>
      <c r="C90" s="51"/>
      <c r="D90" s="52"/>
      <c r="E90" s="52"/>
      <c r="F90" s="51" t="s">
        <v>193</v>
      </c>
      <c r="G90" s="55" t="s">
        <v>224</v>
      </c>
      <c r="H90" s="55"/>
      <c r="I90" s="68">
        <v>46117</v>
      </c>
      <c r="J90" s="51"/>
      <c r="K90" s="51" t="s">
        <v>139</v>
      </c>
      <c r="L90" s="51"/>
      <c r="M90" s="51"/>
      <c r="N90" s="51"/>
      <c r="O90" s="51"/>
      <c r="P90" s="51" t="s">
        <v>116</v>
      </c>
      <c r="Q90" s="51" t="s">
        <v>116</v>
      </c>
      <c r="R90" s="51"/>
      <c r="S90" s="51"/>
      <c r="T90" s="51"/>
    </row>
    <row r="91" spans="1:20" ht="30" hidden="1">
      <c r="A91" s="21">
        <f t="shared" si="1"/>
        <v>85</v>
      </c>
      <c r="B91" s="21" t="s">
        <v>127</v>
      </c>
      <c r="C91" s="21"/>
      <c r="D91" s="21"/>
      <c r="E91" s="21"/>
      <c r="F91" s="21" t="s">
        <v>193</v>
      </c>
      <c r="G91" s="24" t="s">
        <v>218</v>
      </c>
      <c r="H91" s="24"/>
      <c r="I91" s="21"/>
      <c r="J91" s="21" t="s">
        <v>128</v>
      </c>
      <c r="K91" s="21" t="s">
        <v>139</v>
      </c>
      <c r="L91" s="21" t="s">
        <v>116</v>
      </c>
      <c r="M91" s="21" t="s">
        <v>116</v>
      </c>
      <c r="N91" s="21"/>
      <c r="O91" s="21"/>
      <c r="P91" s="21"/>
      <c r="Q91" s="21"/>
      <c r="R91" s="21"/>
      <c r="S91" s="21"/>
      <c r="T91" s="21"/>
    </row>
    <row r="92" spans="1:20" s="53" customFormat="1">
      <c r="A92" s="51">
        <f t="shared" si="1"/>
        <v>86</v>
      </c>
      <c r="B92" s="51" t="s">
        <v>130</v>
      </c>
      <c r="C92" s="51"/>
      <c r="D92" s="51"/>
      <c r="E92" s="51"/>
      <c r="F92" s="51" t="s">
        <v>190</v>
      </c>
      <c r="G92" s="55" t="s">
        <v>224</v>
      </c>
      <c r="H92" s="55"/>
      <c r="I92" s="51"/>
      <c r="J92" s="51" t="s">
        <v>131</v>
      </c>
      <c r="K92" s="51" t="s">
        <v>139</v>
      </c>
      <c r="L92" s="51" t="s">
        <v>116</v>
      </c>
      <c r="M92" s="51" t="s">
        <v>116</v>
      </c>
      <c r="N92" s="51"/>
      <c r="O92" s="51" t="s">
        <v>186</v>
      </c>
      <c r="P92" s="51" t="s">
        <v>116</v>
      </c>
      <c r="Q92" s="51" t="s">
        <v>116</v>
      </c>
      <c r="R92" s="51"/>
      <c r="S92" s="51"/>
      <c r="T92" s="51"/>
    </row>
    <row r="93" spans="1:20" s="53" customFormat="1" hidden="1">
      <c r="A93" s="51">
        <f t="shared" si="1"/>
        <v>87</v>
      </c>
      <c r="B93" s="51" t="s">
        <v>304</v>
      </c>
      <c r="C93" s="51"/>
      <c r="D93" s="52" t="s">
        <v>133</v>
      </c>
      <c r="E93" s="52"/>
      <c r="F93" s="52" t="s">
        <v>193</v>
      </c>
      <c r="G93" s="55" t="s">
        <v>224</v>
      </c>
      <c r="H93" s="55"/>
      <c r="I93" s="52"/>
      <c r="J93" s="51" t="s">
        <v>81</v>
      </c>
      <c r="K93" s="51" t="s">
        <v>139</v>
      </c>
      <c r="L93" s="51" t="s">
        <v>116</v>
      </c>
      <c r="M93" s="51" t="s">
        <v>116</v>
      </c>
      <c r="N93" s="52"/>
      <c r="O93" s="51"/>
      <c r="P93" s="51" t="s">
        <v>116</v>
      </c>
      <c r="Q93" s="51" t="s">
        <v>116</v>
      </c>
      <c r="R93" s="51"/>
      <c r="S93" s="51"/>
      <c r="T93" s="51"/>
    </row>
    <row r="94" spans="1:20" s="53" customFormat="1">
      <c r="A94" s="51">
        <f t="shared" si="1"/>
        <v>88</v>
      </c>
      <c r="B94" s="51" t="s">
        <v>137</v>
      </c>
      <c r="C94" s="51"/>
      <c r="D94" s="51"/>
      <c r="E94" s="51"/>
      <c r="F94" s="51" t="s">
        <v>190</v>
      </c>
      <c r="G94" s="55" t="s">
        <v>216</v>
      </c>
      <c r="H94" s="55"/>
      <c r="I94" s="51"/>
      <c r="J94" s="51" t="s">
        <v>81</v>
      </c>
      <c r="K94" s="51" t="s">
        <v>139</v>
      </c>
      <c r="L94" s="51" t="s">
        <v>116</v>
      </c>
      <c r="M94" s="51" t="s">
        <v>116</v>
      </c>
      <c r="N94" s="51"/>
      <c r="O94" s="51"/>
      <c r="P94" s="51" t="s">
        <v>116</v>
      </c>
      <c r="Q94" s="51" t="s">
        <v>116</v>
      </c>
      <c r="R94" s="51"/>
      <c r="S94" s="51"/>
      <c r="T94" s="51"/>
    </row>
    <row r="95" spans="1:20" s="53" customFormat="1" ht="30">
      <c r="A95" s="51">
        <f t="shared" si="1"/>
        <v>89</v>
      </c>
      <c r="B95" s="51" t="s">
        <v>309</v>
      </c>
      <c r="C95" s="51" t="s">
        <v>173</v>
      </c>
      <c r="D95" s="52" t="s">
        <v>156</v>
      </c>
      <c r="E95" s="52"/>
      <c r="F95" s="55" t="s">
        <v>295</v>
      </c>
      <c r="G95" s="55" t="s">
        <v>216</v>
      </c>
      <c r="H95" s="55"/>
      <c r="I95" s="52" t="s">
        <v>154</v>
      </c>
      <c r="J95" s="51" t="s">
        <v>149</v>
      </c>
      <c r="K95" s="51" t="s">
        <v>139</v>
      </c>
      <c r="L95" s="51" t="s">
        <v>116</v>
      </c>
      <c r="M95" s="51" t="s">
        <v>116</v>
      </c>
      <c r="N95" s="51"/>
      <c r="O95" s="51"/>
      <c r="P95" s="51" t="s">
        <v>116</v>
      </c>
      <c r="Q95" s="51" t="s">
        <v>116</v>
      </c>
      <c r="R95" s="51"/>
      <c r="S95" s="51"/>
      <c r="T95" s="51"/>
    </row>
    <row r="96" spans="1:20" s="53" customFormat="1" ht="30">
      <c r="A96" s="51">
        <f t="shared" si="1"/>
        <v>90</v>
      </c>
      <c r="B96" s="51" t="s">
        <v>148</v>
      </c>
      <c r="C96" s="51" t="s">
        <v>173</v>
      </c>
      <c r="D96" s="52" t="s">
        <v>150</v>
      </c>
      <c r="E96" s="52"/>
      <c r="F96" s="55" t="s">
        <v>295</v>
      </c>
      <c r="G96" s="55" t="s">
        <v>224</v>
      </c>
      <c r="H96" s="55"/>
      <c r="I96" s="52" t="s">
        <v>153</v>
      </c>
      <c r="J96" s="51" t="s">
        <v>149</v>
      </c>
      <c r="K96" s="51" t="s">
        <v>139</v>
      </c>
      <c r="L96" s="51" t="s">
        <v>116</v>
      </c>
      <c r="M96" s="51" t="s">
        <v>116</v>
      </c>
      <c r="N96" s="51"/>
      <c r="O96" s="51"/>
      <c r="P96" s="51" t="s">
        <v>116</v>
      </c>
      <c r="Q96" s="51" t="s">
        <v>116</v>
      </c>
      <c r="R96" s="51"/>
      <c r="S96" s="51"/>
      <c r="T96" s="51"/>
    </row>
    <row r="97" spans="1:21" s="53" customFormat="1">
      <c r="A97" s="51">
        <f t="shared" si="1"/>
        <v>91</v>
      </c>
      <c r="B97" s="51" t="s">
        <v>303</v>
      </c>
      <c r="C97" s="51"/>
      <c r="D97" s="52" t="s">
        <v>151</v>
      </c>
      <c r="E97" s="52"/>
      <c r="F97" s="52" t="s">
        <v>190</v>
      </c>
      <c r="G97" s="55" t="s">
        <v>216</v>
      </c>
      <c r="H97" s="55"/>
      <c r="I97" s="52" t="s">
        <v>155</v>
      </c>
      <c r="J97" s="51" t="s">
        <v>149</v>
      </c>
      <c r="K97" s="51" t="s">
        <v>139</v>
      </c>
      <c r="L97" s="51" t="s">
        <v>116</v>
      </c>
      <c r="M97" s="51" t="s">
        <v>116</v>
      </c>
      <c r="N97" s="51"/>
      <c r="O97" s="51"/>
      <c r="P97" s="51" t="s">
        <v>116</v>
      </c>
      <c r="Q97" s="51" t="s">
        <v>116</v>
      </c>
      <c r="R97" s="51"/>
      <c r="S97" s="51"/>
      <c r="T97" s="51"/>
    </row>
    <row r="98" spans="1:21" s="53" customFormat="1">
      <c r="A98" s="51">
        <f t="shared" si="1"/>
        <v>92</v>
      </c>
      <c r="B98" s="51" t="s">
        <v>157</v>
      </c>
      <c r="C98" s="51" t="s">
        <v>173</v>
      </c>
      <c r="D98" s="52" t="s">
        <v>158</v>
      </c>
      <c r="E98" s="52"/>
      <c r="F98" s="52" t="s">
        <v>190</v>
      </c>
      <c r="G98" s="55" t="s">
        <v>216</v>
      </c>
      <c r="H98" s="55"/>
      <c r="I98" s="103">
        <v>46080</v>
      </c>
      <c r="J98" s="51" t="s">
        <v>159</v>
      </c>
      <c r="K98" s="51" t="s">
        <v>139</v>
      </c>
      <c r="L98" s="51" t="s">
        <v>116</v>
      </c>
      <c r="M98" s="51" t="s">
        <v>116</v>
      </c>
      <c r="N98" s="51"/>
      <c r="O98" s="51"/>
      <c r="P98" s="51" t="s">
        <v>116</v>
      </c>
      <c r="Q98" s="51" t="s">
        <v>116</v>
      </c>
      <c r="R98" s="51"/>
      <c r="S98" s="51"/>
      <c r="T98" s="51"/>
    </row>
    <row r="99" spans="1:21" s="53" customFormat="1">
      <c r="A99" s="51">
        <f t="shared" si="1"/>
        <v>93</v>
      </c>
      <c r="B99" s="51" t="s">
        <v>160</v>
      </c>
      <c r="C99" s="51"/>
      <c r="D99" s="52" t="s">
        <v>161</v>
      </c>
      <c r="E99" s="52"/>
      <c r="F99" s="52" t="s">
        <v>190</v>
      </c>
      <c r="G99" s="55" t="s">
        <v>216</v>
      </c>
      <c r="H99" s="55"/>
      <c r="I99" s="52" t="s">
        <v>163</v>
      </c>
      <c r="J99" s="51" t="s">
        <v>162</v>
      </c>
      <c r="K99" s="51" t="s">
        <v>139</v>
      </c>
      <c r="L99" s="51" t="s">
        <v>116</v>
      </c>
      <c r="M99" s="51" t="s">
        <v>116</v>
      </c>
      <c r="N99" s="51"/>
      <c r="O99" s="51"/>
      <c r="P99" s="51" t="s">
        <v>116</v>
      </c>
      <c r="Q99" s="51" t="s">
        <v>116</v>
      </c>
      <c r="R99" s="51"/>
      <c r="S99" s="51"/>
      <c r="T99" s="51"/>
    </row>
    <row r="100" spans="1:21" s="53" customFormat="1">
      <c r="A100" s="51">
        <f t="shared" si="1"/>
        <v>94</v>
      </c>
      <c r="B100" s="51" t="s">
        <v>164</v>
      </c>
      <c r="C100" s="51"/>
      <c r="D100" s="52" t="s">
        <v>165</v>
      </c>
      <c r="E100" s="52"/>
      <c r="F100" s="52" t="s">
        <v>190</v>
      </c>
      <c r="G100" s="55" t="s">
        <v>216</v>
      </c>
      <c r="H100" s="55"/>
      <c r="I100" s="52" t="s">
        <v>166</v>
      </c>
      <c r="J100" s="51"/>
      <c r="K100" s="51" t="s">
        <v>139</v>
      </c>
      <c r="L100" s="51" t="s">
        <v>116</v>
      </c>
      <c r="M100" s="51" t="s">
        <v>116</v>
      </c>
      <c r="N100" s="51"/>
      <c r="O100" s="51"/>
      <c r="P100" s="51" t="s">
        <v>116</v>
      </c>
      <c r="Q100" s="51" t="s">
        <v>116</v>
      </c>
      <c r="R100" s="51"/>
      <c r="S100" s="51"/>
      <c r="T100" s="51"/>
    </row>
    <row r="101" spans="1:21" s="53" customFormat="1">
      <c r="A101" s="51">
        <f t="shared" si="1"/>
        <v>95</v>
      </c>
      <c r="B101" s="51" t="s">
        <v>142</v>
      </c>
      <c r="C101" s="51"/>
      <c r="D101" s="52" t="s">
        <v>171</v>
      </c>
      <c r="E101" s="52"/>
      <c r="F101" s="52" t="s">
        <v>190</v>
      </c>
      <c r="G101" s="55" t="s">
        <v>216</v>
      </c>
      <c r="H101" s="55"/>
      <c r="I101" s="68" t="s">
        <v>172</v>
      </c>
      <c r="J101" s="51"/>
      <c r="K101" s="51" t="s">
        <v>139</v>
      </c>
      <c r="L101" s="51" t="s">
        <v>116</v>
      </c>
      <c r="M101" s="51"/>
      <c r="N101" s="51"/>
      <c r="O101" s="51"/>
      <c r="P101" s="51" t="s">
        <v>116</v>
      </c>
      <c r="Q101" s="51" t="s">
        <v>116</v>
      </c>
      <c r="R101" s="51"/>
      <c r="S101" s="51"/>
      <c r="T101" s="51"/>
    </row>
    <row r="102" spans="1:21" s="53" customFormat="1" hidden="1">
      <c r="A102" s="51">
        <f t="shared" si="1"/>
        <v>96</v>
      </c>
      <c r="B102" s="51" t="s">
        <v>167</v>
      </c>
      <c r="C102" s="51"/>
      <c r="D102" s="52" t="s">
        <v>168</v>
      </c>
      <c r="E102" s="52"/>
      <c r="F102" s="52" t="s">
        <v>191</v>
      </c>
      <c r="G102" s="52" t="s">
        <v>252</v>
      </c>
      <c r="H102" s="52"/>
      <c r="I102" s="52" t="s">
        <v>170</v>
      </c>
      <c r="J102" s="51" t="s">
        <v>169</v>
      </c>
      <c r="K102" s="51" t="s">
        <v>139</v>
      </c>
      <c r="L102" s="51" t="s">
        <v>116</v>
      </c>
      <c r="M102" s="51" t="s">
        <v>116</v>
      </c>
      <c r="N102" s="51" t="s">
        <v>116</v>
      </c>
      <c r="O102" s="51" t="s">
        <v>116</v>
      </c>
      <c r="P102" s="51" t="s">
        <v>116</v>
      </c>
      <c r="Q102" s="51" t="s">
        <v>116</v>
      </c>
      <c r="R102" s="51" t="s">
        <v>116</v>
      </c>
      <c r="S102" s="51" t="s">
        <v>116</v>
      </c>
      <c r="T102" s="51" t="s">
        <v>116</v>
      </c>
      <c r="U102" s="51" t="s">
        <v>116</v>
      </c>
    </row>
    <row r="103" spans="1:21" s="51" customFormat="1" hidden="1">
      <c r="A103" s="51">
        <f t="shared" si="1"/>
        <v>97</v>
      </c>
      <c r="B103" s="51" t="s">
        <v>176</v>
      </c>
      <c r="D103" s="52"/>
      <c r="E103" s="52"/>
      <c r="F103" s="55" t="s">
        <v>189</v>
      </c>
      <c r="G103" s="55" t="s">
        <v>223</v>
      </c>
      <c r="H103" s="55"/>
      <c r="I103" s="68"/>
      <c r="K103" s="51" t="s">
        <v>139</v>
      </c>
      <c r="L103" s="51" t="s">
        <v>116</v>
      </c>
      <c r="M103" s="51" t="s">
        <v>116</v>
      </c>
      <c r="P103" s="51" t="s">
        <v>116</v>
      </c>
      <c r="Q103" s="51" t="s">
        <v>116</v>
      </c>
    </row>
    <row r="104" spans="1:21" s="95" customFormat="1" hidden="1">
      <c r="A104" s="95">
        <f t="shared" si="1"/>
        <v>98</v>
      </c>
      <c r="B104" s="95" t="s">
        <v>177</v>
      </c>
      <c r="D104" s="101"/>
      <c r="E104" s="101"/>
      <c r="F104" s="97" t="s">
        <v>191</v>
      </c>
      <c r="G104" s="97" t="s">
        <v>178</v>
      </c>
      <c r="H104" s="97"/>
      <c r="I104" s="102"/>
      <c r="K104" s="95" t="s">
        <v>139</v>
      </c>
      <c r="L104" s="95" t="s">
        <v>116</v>
      </c>
      <c r="M104" s="95" t="s">
        <v>116</v>
      </c>
      <c r="N104" s="95" t="s">
        <v>178</v>
      </c>
    </row>
    <row r="105" spans="1:21" s="51" customFormat="1">
      <c r="A105" s="51">
        <f t="shared" si="1"/>
        <v>99</v>
      </c>
      <c r="B105" s="51" t="s">
        <v>181</v>
      </c>
      <c r="F105" s="55" t="s">
        <v>190</v>
      </c>
      <c r="G105" s="55" t="s">
        <v>216</v>
      </c>
      <c r="H105" s="55"/>
      <c r="K105" s="51" t="s">
        <v>139</v>
      </c>
      <c r="L105" s="51" t="s">
        <v>116</v>
      </c>
      <c r="M105" s="51" t="s">
        <v>116</v>
      </c>
      <c r="P105" s="51" t="s">
        <v>116</v>
      </c>
      <c r="Q105" s="51" t="s">
        <v>116</v>
      </c>
    </row>
    <row r="106" spans="1:21" s="51" customFormat="1" hidden="1">
      <c r="A106" s="51">
        <f t="shared" si="1"/>
        <v>100</v>
      </c>
      <c r="B106" s="51" t="s">
        <v>202</v>
      </c>
      <c r="E106" s="51">
        <v>2025</v>
      </c>
      <c r="F106" s="55" t="s">
        <v>189</v>
      </c>
      <c r="G106" s="55" t="s">
        <v>227</v>
      </c>
      <c r="H106" s="55"/>
      <c r="L106" s="51" t="s">
        <v>116</v>
      </c>
      <c r="M106" s="51" t="s">
        <v>116</v>
      </c>
      <c r="P106" s="51" t="s">
        <v>116</v>
      </c>
      <c r="Q106" s="51" t="s">
        <v>116</v>
      </c>
    </row>
    <row r="107" spans="1:21" s="51" customFormat="1">
      <c r="A107" s="51">
        <f t="shared" si="1"/>
        <v>101</v>
      </c>
      <c r="B107" s="51" t="s">
        <v>207</v>
      </c>
      <c r="D107" s="94">
        <v>3703475210</v>
      </c>
      <c r="E107" s="94">
        <v>2026</v>
      </c>
      <c r="F107" s="51" t="s">
        <v>190</v>
      </c>
      <c r="G107" s="55" t="s">
        <v>229</v>
      </c>
      <c r="H107" s="40"/>
      <c r="I107" s="48">
        <v>46156</v>
      </c>
      <c r="J107" s="21" t="s">
        <v>209</v>
      </c>
      <c r="K107" s="21"/>
      <c r="L107" s="71"/>
      <c r="M107" s="21"/>
      <c r="N107" s="21"/>
      <c r="O107" s="39"/>
      <c r="P107" s="51" t="s">
        <v>116</v>
      </c>
      <c r="Q107" s="51" t="s">
        <v>116</v>
      </c>
    </row>
    <row r="108" spans="1:21" s="51" customFormat="1" hidden="1">
      <c r="A108" s="51">
        <f t="shared" si="1"/>
        <v>102</v>
      </c>
      <c r="B108" s="51" t="s">
        <v>203</v>
      </c>
      <c r="D108" s="52" t="s">
        <v>208</v>
      </c>
      <c r="E108" s="52">
        <v>2026</v>
      </c>
      <c r="F108" s="51" t="s">
        <v>204</v>
      </c>
      <c r="G108" s="55" t="s">
        <v>223</v>
      </c>
      <c r="H108" s="55"/>
      <c r="I108" s="90">
        <v>46156</v>
      </c>
      <c r="J108" s="51" t="s">
        <v>210</v>
      </c>
      <c r="P108" s="51" t="s">
        <v>116</v>
      </c>
      <c r="Q108" s="51" t="s">
        <v>116</v>
      </c>
    </row>
    <row r="109" spans="1:21" s="51" customFormat="1" hidden="1">
      <c r="A109" s="51">
        <f t="shared" si="1"/>
        <v>103</v>
      </c>
      <c r="B109" s="51" t="s">
        <v>205</v>
      </c>
      <c r="D109" s="52" t="s">
        <v>206</v>
      </c>
      <c r="E109" s="52">
        <v>2026</v>
      </c>
      <c r="F109" s="55" t="s">
        <v>189</v>
      </c>
      <c r="G109" s="55" t="s">
        <v>227</v>
      </c>
      <c r="H109" s="55"/>
      <c r="I109" s="90">
        <v>46174</v>
      </c>
      <c r="J109" s="51" t="s">
        <v>82</v>
      </c>
      <c r="P109" s="51" t="s">
        <v>116</v>
      </c>
      <c r="Q109" s="51" t="s">
        <v>116</v>
      </c>
    </row>
    <row r="110" spans="1:21" s="51" customFormat="1" ht="30">
      <c r="A110" s="51">
        <f t="shared" si="1"/>
        <v>104</v>
      </c>
      <c r="B110" s="51" t="s">
        <v>213</v>
      </c>
      <c r="D110" s="52" t="s">
        <v>211</v>
      </c>
      <c r="E110" s="52"/>
      <c r="F110" s="51" t="s">
        <v>190</v>
      </c>
      <c r="G110" s="55" t="s">
        <v>230</v>
      </c>
      <c r="H110" s="55"/>
      <c r="I110" s="90"/>
      <c r="J110" s="51" t="s">
        <v>212</v>
      </c>
      <c r="P110" s="51" t="s">
        <v>116</v>
      </c>
    </row>
    <row r="111" spans="1:21" s="51" customFormat="1" ht="30" hidden="1">
      <c r="A111" s="51">
        <f t="shared" si="1"/>
        <v>105</v>
      </c>
      <c r="B111" s="51" t="s">
        <v>231</v>
      </c>
      <c r="D111" s="52" t="s">
        <v>233</v>
      </c>
      <c r="E111" s="52"/>
      <c r="F111" s="55" t="s">
        <v>189</v>
      </c>
      <c r="G111" s="55" t="s">
        <v>234</v>
      </c>
      <c r="I111" s="90"/>
      <c r="P111" s="51" t="s">
        <v>116</v>
      </c>
      <c r="Q111" s="51" t="s">
        <v>116</v>
      </c>
    </row>
    <row r="112" spans="1:21" s="51" customFormat="1" ht="30">
      <c r="A112" s="51">
        <f t="shared" si="1"/>
        <v>106</v>
      </c>
      <c r="B112" s="54" t="s">
        <v>235</v>
      </c>
      <c r="D112" s="52" t="s">
        <v>236</v>
      </c>
      <c r="E112" s="52">
        <v>2025</v>
      </c>
      <c r="F112" s="51" t="s">
        <v>190</v>
      </c>
      <c r="G112" s="55" t="s">
        <v>237</v>
      </c>
      <c r="I112" s="90"/>
      <c r="P112" s="51" t="s">
        <v>116</v>
      </c>
      <c r="Q112" s="51" t="s">
        <v>116</v>
      </c>
    </row>
    <row r="113" spans="1:17" s="51" customFormat="1">
      <c r="A113" s="51">
        <f t="shared" si="1"/>
        <v>107</v>
      </c>
      <c r="B113" s="54" t="s">
        <v>238</v>
      </c>
      <c r="D113" s="52"/>
      <c r="E113" s="52">
        <v>2026</v>
      </c>
      <c r="F113" s="51" t="s">
        <v>239</v>
      </c>
      <c r="G113" s="55" t="s">
        <v>237</v>
      </c>
      <c r="I113" s="90"/>
      <c r="P113" s="51" t="s">
        <v>116</v>
      </c>
      <c r="Q113" s="51" t="s">
        <v>116</v>
      </c>
    </row>
    <row r="114" spans="1:17" s="51" customFormat="1" hidden="1">
      <c r="A114" s="51">
        <f t="shared" si="1"/>
        <v>108</v>
      </c>
      <c r="B114" s="54" t="s">
        <v>240</v>
      </c>
      <c r="D114" s="52" t="s">
        <v>241</v>
      </c>
      <c r="E114" s="52"/>
      <c r="F114" s="55" t="s">
        <v>193</v>
      </c>
      <c r="G114" s="55" t="s">
        <v>242</v>
      </c>
      <c r="I114" s="90"/>
      <c r="P114" s="51" t="s">
        <v>116</v>
      </c>
      <c r="Q114" s="51" t="s">
        <v>116</v>
      </c>
    </row>
    <row r="115" spans="1:17" s="51" customFormat="1">
      <c r="A115" s="51">
        <f t="shared" si="1"/>
        <v>109</v>
      </c>
      <c r="B115" s="54" t="s">
        <v>274</v>
      </c>
      <c r="D115" s="52" t="s">
        <v>276</v>
      </c>
      <c r="E115" s="52">
        <v>2025</v>
      </c>
      <c r="F115" s="51" t="s">
        <v>190</v>
      </c>
      <c r="G115" s="55" t="s">
        <v>275</v>
      </c>
      <c r="I115" s="90"/>
      <c r="P115" s="51" t="s">
        <v>116</v>
      </c>
      <c r="Q115" s="51" t="s">
        <v>116</v>
      </c>
    </row>
    <row r="116" spans="1:17" s="51" customFormat="1">
      <c r="A116" s="51">
        <f t="shared" si="1"/>
        <v>110</v>
      </c>
      <c r="B116" s="51" t="s">
        <v>302</v>
      </c>
      <c r="D116" s="52" t="s">
        <v>278</v>
      </c>
      <c r="E116" s="93">
        <v>46174</v>
      </c>
      <c r="F116" s="51" t="s">
        <v>190</v>
      </c>
      <c r="G116" s="51" t="s">
        <v>279</v>
      </c>
      <c r="I116" s="90"/>
      <c r="P116" s="51" t="s">
        <v>116</v>
      </c>
      <c r="Q116" s="51" t="s">
        <v>116</v>
      </c>
    </row>
    <row r="117" spans="1:17" hidden="1">
      <c r="A117" s="21">
        <f t="shared" si="1"/>
        <v>111</v>
      </c>
      <c r="B117" s="20" t="s">
        <v>280</v>
      </c>
      <c r="D117" s="69" t="s">
        <v>281</v>
      </c>
      <c r="E117" s="70">
        <v>46206</v>
      </c>
      <c r="F117" s="38" t="s">
        <v>282</v>
      </c>
      <c r="G117" s="38" t="s">
        <v>283</v>
      </c>
    </row>
    <row r="118" spans="1:17">
      <c r="A118" s="20">
        <v>112</v>
      </c>
      <c r="B118" s="20" t="s">
        <v>286</v>
      </c>
      <c r="D118" s="69" t="s">
        <v>288</v>
      </c>
      <c r="E118" s="70">
        <v>46212</v>
      </c>
      <c r="F118" s="38" t="s">
        <v>190</v>
      </c>
      <c r="G118" s="38" t="s">
        <v>287</v>
      </c>
    </row>
    <row r="119" spans="1:17" s="53" customFormat="1">
      <c r="A119" s="53">
        <v>113</v>
      </c>
      <c r="B119" s="53" t="s">
        <v>306</v>
      </c>
      <c r="D119" s="104" t="s">
        <v>307</v>
      </c>
      <c r="E119" s="105">
        <v>45429</v>
      </c>
      <c r="F119" s="53" t="s">
        <v>239</v>
      </c>
      <c r="G119" s="55" t="s">
        <v>308</v>
      </c>
      <c r="P119" s="51" t="s">
        <v>116</v>
      </c>
      <c r="Q119" s="51" t="s">
        <v>116</v>
      </c>
    </row>
    <row r="121" spans="1:17">
      <c r="A121" s="47">
        <v>46229</v>
      </c>
      <c r="B121" s="46"/>
      <c r="C121" s="46"/>
      <c r="D121" s="46"/>
      <c r="E121" s="46"/>
    </row>
    <row r="122" spans="1:17">
      <c r="A122" s="46"/>
      <c r="B122" s="46" t="s">
        <v>201</v>
      </c>
      <c r="C122" s="46">
        <v>30</v>
      </c>
      <c r="D122" s="46"/>
      <c r="E122" s="46"/>
    </row>
    <row r="123" spans="1:17">
      <c r="A123" s="46"/>
      <c r="B123" s="46" t="s">
        <v>193</v>
      </c>
      <c r="C123" s="46">
        <v>32</v>
      </c>
      <c r="D123" s="46"/>
      <c r="E123" s="46"/>
    </row>
    <row r="124" spans="1:17">
      <c r="A124" s="46"/>
      <c r="B124" s="46" t="s">
        <v>190</v>
      </c>
      <c r="C124" s="46">
        <v>41</v>
      </c>
      <c r="D124" s="46"/>
      <c r="E124" s="46"/>
    </row>
  </sheetData>
  <autoFilter ref="A5:U119">
    <filterColumn colId="5">
      <filters>
        <filter val="CHỊ CÚC - NGA"/>
        <filter val="CUC-NGA"/>
        <filter val="NGA"/>
      </filters>
    </filterColumn>
  </autoFilter>
  <mergeCells count="4">
    <mergeCell ref="B2:T2"/>
    <mergeCell ref="B3:T3"/>
    <mergeCell ref="L4:N4"/>
    <mergeCell ref="P4:S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55"/>
  <sheetViews>
    <sheetView tabSelected="1" topLeftCell="A126" workbookViewId="0">
      <selection activeCell="F32" sqref="F32"/>
    </sheetView>
  </sheetViews>
  <sheetFormatPr defaultRowHeight="15"/>
  <cols>
    <col min="1" max="1" width="12.7109375" style="20" customWidth="1"/>
    <col min="2" max="2" width="10.42578125" style="20" bestFit="1" customWidth="1"/>
    <col min="3" max="3" width="50.28515625" style="20" customWidth="1"/>
    <col min="4" max="4" width="11.140625" style="20" customWidth="1"/>
    <col min="5" max="5" width="10.85546875" style="20" customWidth="1"/>
    <col min="6" max="6" width="20.42578125" style="20" customWidth="1"/>
    <col min="7" max="7" width="14.85546875" style="20" customWidth="1"/>
    <col min="8" max="8" width="17" style="20" customWidth="1"/>
    <col min="9" max="9" width="41" style="20" customWidth="1"/>
    <col min="10" max="10" width="27.7109375" style="20" hidden="1" customWidth="1"/>
    <col min="11" max="11" width="16.85546875" style="20" hidden="1" customWidth="1"/>
    <col min="12" max="12" width="28" style="20" hidden="1" customWidth="1"/>
    <col min="13" max="13" width="11.85546875" style="20" hidden="1" customWidth="1"/>
    <col min="14" max="14" width="10.7109375" style="20" hidden="1" customWidth="1"/>
    <col min="15" max="15" width="0" style="20" hidden="1" customWidth="1"/>
    <col min="16" max="16" width="9.42578125" style="20" hidden="1" customWidth="1"/>
    <col min="17" max="17" width="9.140625" style="20" hidden="1" customWidth="1"/>
    <col min="18" max="18" width="10.140625" style="20" hidden="1" customWidth="1"/>
    <col min="19" max="19" width="8.42578125" style="20" hidden="1" customWidth="1"/>
    <col min="20" max="20" width="9.7109375" style="20" hidden="1" customWidth="1"/>
    <col min="21" max="21" width="10" style="20" hidden="1" customWidth="1"/>
    <col min="22" max="22" width="0" style="20" hidden="1" customWidth="1"/>
    <col min="23" max="23" width="12.85546875" style="20" customWidth="1"/>
    <col min="24" max="24" width="12.42578125" style="20" customWidth="1"/>
    <col min="25" max="16384" width="9.140625" style="20"/>
  </cols>
  <sheetData>
    <row r="2" spans="1:27">
      <c r="C2" s="143" t="s">
        <v>0</v>
      </c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7">
      <c r="C3" s="143" t="s">
        <v>1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</row>
    <row r="4" spans="1:27">
      <c r="N4" s="145" t="s">
        <v>63</v>
      </c>
      <c r="O4" s="145"/>
      <c r="P4" s="145"/>
      <c r="R4" s="145" t="s">
        <v>196</v>
      </c>
      <c r="S4" s="145"/>
      <c r="T4" s="145"/>
      <c r="U4" s="145"/>
      <c r="W4" s="145" t="s">
        <v>322</v>
      </c>
      <c r="X4" s="145"/>
      <c r="Y4" s="145"/>
      <c r="Z4" s="145"/>
    </row>
    <row r="5" spans="1:27" ht="45">
      <c r="B5" s="21" t="s">
        <v>2</v>
      </c>
      <c r="C5" s="21" t="s">
        <v>3</v>
      </c>
      <c r="D5" s="21"/>
      <c r="E5" s="22" t="s">
        <v>334</v>
      </c>
      <c r="F5" s="21" t="s">
        <v>4</v>
      </c>
      <c r="G5" s="22" t="s">
        <v>277</v>
      </c>
      <c r="H5" s="107" t="s">
        <v>199</v>
      </c>
      <c r="I5" s="21" t="s">
        <v>214</v>
      </c>
      <c r="J5" s="21" t="s">
        <v>232</v>
      </c>
      <c r="K5" s="22" t="s">
        <v>152</v>
      </c>
      <c r="L5" s="21" t="s">
        <v>6</v>
      </c>
      <c r="M5" s="21" t="s">
        <v>138</v>
      </c>
      <c r="N5" s="21" t="s">
        <v>64</v>
      </c>
      <c r="O5" s="21" t="s">
        <v>65</v>
      </c>
      <c r="P5" s="22" t="s">
        <v>198</v>
      </c>
      <c r="Q5" s="22" t="s">
        <v>197</v>
      </c>
      <c r="R5" s="21" t="s">
        <v>64</v>
      </c>
      <c r="S5" s="21" t="s">
        <v>65</v>
      </c>
      <c r="T5" s="22" t="s">
        <v>198</v>
      </c>
      <c r="U5" s="22" t="s">
        <v>197</v>
      </c>
      <c r="V5" s="21" t="s">
        <v>66</v>
      </c>
      <c r="W5" s="21" t="s">
        <v>64</v>
      </c>
      <c r="X5" s="21" t="s">
        <v>65</v>
      </c>
      <c r="Y5" s="22" t="s">
        <v>198</v>
      </c>
      <c r="Z5" s="22" t="s">
        <v>197</v>
      </c>
      <c r="AA5" s="21" t="s">
        <v>66</v>
      </c>
    </row>
    <row r="6" spans="1:27" s="53" customFormat="1">
      <c r="A6" s="53" t="s">
        <v>116</v>
      </c>
      <c r="B6" s="51">
        <v>1</v>
      </c>
      <c r="C6" s="54" t="s">
        <v>88</v>
      </c>
      <c r="D6" s="54"/>
      <c r="E6" s="54" t="s">
        <v>173</v>
      </c>
      <c r="F6" s="55">
        <v>3702984511</v>
      </c>
      <c r="G6" s="55"/>
      <c r="H6" s="55" t="s">
        <v>189</v>
      </c>
      <c r="I6" s="55" t="s">
        <v>215</v>
      </c>
      <c r="J6" s="55"/>
      <c r="K6" s="55"/>
      <c r="L6" s="51"/>
      <c r="M6" s="51" t="s">
        <v>139</v>
      </c>
      <c r="N6" s="51"/>
      <c r="O6" s="51"/>
      <c r="P6" s="51"/>
      <c r="Q6" s="51"/>
      <c r="R6" s="51" t="s">
        <v>116</v>
      </c>
      <c r="S6" s="51" t="s">
        <v>116</v>
      </c>
      <c r="T6" s="51"/>
      <c r="U6" s="51"/>
      <c r="V6" s="51" t="s">
        <v>76</v>
      </c>
      <c r="W6" s="51"/>
      <c r="X6" s="51"/>
      <c r="Y6" s="51"/>
      <c r="Z6" s="51"/>
      <c r="AA6" s="51"/>
    </row>
    <row r="7" spans="1:27" s="53" customFormat="1" ht="30">
      <c r="B7" s="51">
        <f>B6+1</f>
        <v>2</v>
      </c>
      <c r="C7" s="54" t="s">
        <v>89</v>
      </c>
      <c r="D7" s="54"/>
      <c r="E7" s="54"/>
      <c r="F7" s="55">
        <v>3702924424</v>
      </c>
      <c r="G7" s="55"/>
      <c r="H7" s="55" t="s">
        <v>189</v>
      </c>
      <c r="I7" s="55" t="s">
        <v>216</v>
      </c>
      <c r="J7" s="55"/>
      <c r="K7" s="55"/>
      <c r="L7" s="51"/>
      <c r="M7" s="51" t="s">
        <v>139</v>
      </c>
      <c r="N7" s="51" t="s">
        <v>116</v>
      </c>
      <c r="O7" s="51" t="s">
        <v>116</v>
      </c>
      <c r="P7" s="51" t="s">
        <v>182</v>
      </c>
      <c r="Q7" s="51" t="s">
        <v>116</v>
      </c>
      <c r="R7" s="51" t="s">
        <v>116</v>
      </c>
      <c r="S7" s="51" t="s">
        <v>116</v>
      </c>
      <c r="T7" s="51"/>
      <c r="U7" s="51"/>
      <c r="V7" s="51"/>
      <c r="W7" s="51" t="s">
        <v>386</v>
      </c>
      <c r="X7" s="51" t="s">
        <v>387</v>
      </c>
      <c r="Y7" s="51"/>
      <c r="Z7" s="51"/>
      <c r="AA7" s="51"/>
    </row>
    <row r="8" spans="1:27" s="53" customFormat="1">
      <c r="A8" s="53" t="s">
        <v>116</v>
      </c>
      <c r="B8" s="51">
        <f t="shared" ref="B8:B71" si="0">B7+1</f>
        <v>3</v>
      </c>
      <c r="C8" s="54" t="s">
        <v>300</v>
      </c>
      <c r="D8" s="54"/>
      <c r="E8" s="54"/>
      <c r="F8" s="55">
        <v>3703153421</v>
      </c>
      <c r="G8" s="55"/>
      <c r="H8" s="55" t="s">
        <v>190</v>
      </c>
      <c r="I8" s="55" t="s">
        <v>216</v>
      </c>
      <c r="J8" s="55"/>
      <c r="K8" s="55"/>
      <c r="L8" s="51"/>
      <c r="M8" s="51" t="s">
        <v>139</v>
      </c>
      <c r="N8" s="51" t="s">
        <v>116</v>
      </c>
      <c r="O8" s="51" t="s">
        <v>116</v>
      </c>
      <c r="P8" s="51" t="s">
        <v>182</v>
      </c>
      <c r="Q8" s="51"/>
      <c r="R8" s="51" t="s">
        <v>116</v>
      </c>
      <c r="S8" s="51" t="s">
        <v>116</v>
      </c>
      <c r="T8" s="51"/>
      <c r="U8" s="51"/>
      <c r="V8" s="51"/>
      <c r="W8" s="51"/>
      <c r="X8" s="51"/>
      <c r="Y8" s="51"/>
      <c r="Z8" s="51"/>
      <c r="AA8" s="51"/>
    </row>
    <row r="9" spans="1:27" ht="30">
      <c r="B9" s="21">
        <f t="shared" si="0"/>
        <v>4</v>
      </c>
      <c r="C9" s="44" t="s">
        <v>90</v>
      </c>
      <c r="D9" s="44"/>
      <c r="E9" s="44"/>
      <c r="F9" s="23">
        <v>3703253271</v>
      </c>
      <c r="G9" s="23"/>
      <c r="H9" s="24" t="s">
        <v>190</v>
      </c>
      <c r="I9" s="24" t="s">
        <v>217</v>
      </c>
      <c r="J9" s="24"/>
      <c r="K9" s="23"/>
      <c r="L9" s="21"/>
      <c r="M9" s="21" t="s">
        <v>139</v>
      </c>
      <c r="N9" s="21" t="s">
        <v>116</v>
      </c>
      <c r="O9" s="21" t="s">
        <v>116</v>
      </c>
      <c r="P9" s="21"/>
      <c r="Q9" s="21"/>
      <c r="R9" s="21" t="s">
        <v>116</v>
      </c>
      <c r="S9" s="21" t="s">
        <v>116</v>
      </c>
      <c r="T9" s="21"/>
      <c r="U9" s="21"/>
      <c r="V9" s="21"/>
      <c r="W9" s="21"/>
      <c r="X9" s="21"/>
      <c r="Y9" s="21"/>
      <c r="Z9" s="21"/>
      <c r="AA9" s="21"/>
    </row>
    <row r="10" spans="1:27" ht="30">
      <c r="B10" s="21">
        <f t="shared" si="0"/>
        <v>5</v>
      </c>
      <c r="C10" s="22" t="s">
        <v>78</v>
      </c>
      <c r="D10" s="22"/>
      <c r="E10" s="22" t="s">
        <v>173</v>
      </c>
      <c r="F10" s="24">
        <v>3703061805</v>
      </c>
      <c r="G10" s="24"/>
      <c r="H10" s="24" t="s">
        <v>190</v>
      </c>
      <c r="I10" s="24" t="s">
        <v>218</v>
      </c>
      <c r="J10" s="24"/>
      <c r="K10" s="24"/>
      <c r="L10" s="21"/>
      <c r="M10" s="21" t="s">
        <v>139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53" customFormat="1">
      <c r="A11" s="53" t="s">
        <v>116</v>
      </c>
      <c r="B11" s="51">
        <f t="shared" si="0"/>
        <v>6</v>
      </c>
      <c r="C11" s="54" t="s">
        <v>91</v>
      </c>
      <c r="D11" s="54"/>
      <c r="E11" s="54"/>
      <c r="F11" s="55">
        <v>3703184243</v>
      </c>
      <c r="G11" s="55"/>
      <c r="H11" s="55" t="s">
        <v>189</v>
      </c>
      <c r="I11" s="55" t="s">
        <v>216</v>
      </c>
      <c r="J11" s="55"/>
      <c r="K11" s="55"/>
      <c r="L11" s="51"/>
      <c r="M11" s="51" t="s">
        <v>139</v>
      </c>
      <c r="N11" s="51" t="s">
        <v>116</v>
      </c>
      <c r="O11" s="51" t="s">
        <v>116</v>
      </c>
      <c r="P11" s="51" t="s">
        <v>182</v>
      </c>
      <c r="Q11" s="51"/>
      <c r="R11" s="51" t="s">
        <v>116</v>
      </c>
      <c r="S11" s="51" t="s">
        <v>116</v>
      </c>
      <c r="T11" s="51"/>
      <c r="U11" s="51"/>
      <c r="V11" s="51"/>
      <c r="W11" s="51"/>
      <c r="X11" s="51"/>
      <c r="Y11" s="51"/>
      <c r="Z11" s="51"/>
      <c r="AA11" s="51"/>
    </row>
    <row r="12" spans="1:27">
      <c r="B12" s="21">
        <f t="shared" si="0"/>
        <v>7</v>
      </c>
      <c r="C12" s="22" t="s">
        <v>92</v>
      </c>
      <c r="D12" s="22"/>
      <c r="E12" s="22"/>
      <c r="F12" s="24">
        <v>3702420681</v>
      </c>
      <c r="G12" s="24"/>
      <c r="H12" s="24" t="s">
        <v>191</v>
      </c>
      <c r="I12" s="24" t="s">
        <v>219</v>
      </c>
      <c r="J12" s="24"/>
      <c r="K12" s="24"/>
      <c r="L12" s="21"/>
      <c r="M12" s="21" t="s">
        <v>139</v>
      </c>
      <c r="N12" s="21" t="s">
        <v>116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s="53" customFormat="1" ht="30">
      <c r="B13" s="51">
        <f t="shared" si="0"/>
        <v>8</v>
      </c>
      <c r="C13" s="84" t="s">
        <v>93</v>
      </c>
      <c r="D13" s="84"/>
      <c r="E13" s="84"/>
      <c r="F13" s="85">
        <v>3703274225</v>
      </c>
      <c r="G13" s="85"/>
      <c r="H13" s="85" t="s">
        <v>192</v>
      </c>
      <c r="I13" s="55" t="s">
        <v>218</v>
      </c>
      <c r="J13" s="55"/>
      <c r="K13" s="85"/>
      <c r="L13" s="51" t="s">
        <v>81</v>
      </c>
      <c r="M13" s="51" t="s">
        <v>139</v>
      </c>
      <c r="N13" s="51" t="s">
        <v>116</v>
      </c>
      <c r="O13" s="51" t="s">
        <v>116</v>
      </c>
      <c r="P13" s="51" t="s">
        <v>116</v>
      </c>
      <c r="Q13" s="51"/>
      <c r="R13" s="51" t="s">
        <v>116</v>
      </c>
      <c r="S13" s="51" t="s">
        <v>116</v>
      </c>
      <c r="T13" s="51"/>
      <c r="U13" s="51"/>
      <c r="V13" s="51"/>
      <c r="W13" s="51"/>
      <c r="X13" s="51"/>
      <c r="Y13" s="51"/>
      <c r="Z13" s="51"/>
      <c r="AA13" s="51"/>
    </row>
    <row r="14" spans="1:27" ht="30">
      <c r="A14" s="20" t="s">
        <v>116</v>
      </c>
      <c r="B14" s="21">
        <f t="shared" si="0"/>
        <v>9</v>
      </c>
      <c r="C14" s="44" t="s">
        <v>94</v>
      </c>
      <c r="D14" s="44"/>
      <c r="E14" s="44"/>
      <c r="F14" s="23">
        <v>3703325102</v>
      </c>
      <c r="G14" s="23"/>
      <c r="H14" s="23" t="s">
        <v>190</v>
      </c>
      <c r="I14" s="24" t="s">
        <v>217</v>
      </c>
      <c r="J14" s="24"/>
      <c r="K14" s="23"/>
      <c r="L14" s="21" t="s">
        <v>81</v>
      </c>
      <c r="M14" s="21" t="s">
        <v>139</v>
      </c>
      <c r="N14" s="21" t="s">
        <v>116</v>
      </c>
      <c r="O14" s="21" t="s">
        <v>116</v>
      </c>
      <c r="P14" s="21" t="s">
        <v>116</v>
      </c>
      <c r="Q14" s="21"/>
      <c r="R14" s="21" t="s">
        <v>116</v>
      </c>
      <c r="S14" s="21" t="s">
        <v>116</v>
      </c>
      <c r="T14" s="21"/>
      <c r="U14" s="21"/>
      <c r="V14" s="21" t="s">
        <v>186</v>
      </c>
      <c r="W14" s="21"/>
      <c r="X14" s="21"/>
      <c r="Y14" s="21"/>
      <c r="Z14" s="21"/>
      <c r="AA14" s="21"/>
    </row>
    <row r="15" spans="1:27" s="53" customFormat="1">
      <c r="A15" s="53" t="s">
        <v>116</v>
      </c>
      <c r="B15" s="51">
        <f t="shared" si="0"/>
        <v>10</v>
      </c>
      <c r="C15" s="54" t="s">
        <v>96</v>
      </c>
      <c r="D15" s="54"/>
      <c r="E15" s="54"/>
      <c r="F15" s="87">
        <v>3703048071</v>
      </c>
      <c r="G15" s="87"/>
      <c r="H15" s="87" t="s">
        <v>190</v>
      </c>
      <c r="I15" s="55" t="s">
        <v>216</v>
      </c>
      <c r="J15" s="55"/>
      <c r="K15" s="87"/>
      <c r="L15" s="51" t="s">
        <v>95</v>
      </c>
      <c r="M15" s="51" t="s">
        <v>139</v>
      </c>
      <c r="N15" s="51" t="s">
        <v>116</v>
      </c>
      <c r="O15" s="51" t="s">
        <v>116</v>
      </c>
      <c r="P15" s="51" t="s">
        <v>116</v>
      </c>
      <c r="Q15" s="51"/>
      <c r="R15" s="51" t="s">
        <v>116</v>
      </c>
      <c r="S15" s="51" t="s">
        <v>116</v>
      </c>
      <c r="T15" s="51"/>
      <c r="U15" s="51"/>
      <c r="V15" s="51"/>
      <c r="W15" s="51"/>
      <c r="X15" s="51"/>
      <c r="Y15" s="51"/>
      <c r="Z15" s="51"/>
      <c r="AA15" s="51"/>
    </row>
    <row r="16" spans="1:27">
      <c r="A16" s="20" t="s">
        <v>116</v>
      </c>
      <c r="B16" s="21">
        <f t="shared" si="0"/>
        <v>11</v>
      </c>
      <c r="C16" s="44" t="s">
        <v>87</v>
      </c>
      <c r="D16" s="44"/>
      <c r="E16" s="44" t="s">
        <v>173</v>
      </c>
      <c r="F16" s="23">
        <v>3703369011</v>
      </c>
      <c r="G16" s="23"/>
      <c r="H16" s="23" t="s">
        <v>190</v>
      </c>
      <c r="I16" s="23" t="s">
        <v>220</v>
      </c>
      <c r="J16" s="23"/>
      <c r="K16" s="23"/>
      <c r="L16" s="21" t="s">
        <v>95</v>
      </c>
      <c r="M16" s="21" t="s">
        <v>139</v>
      </c>
      <c r="N16" s="21" t="s">
        <v>116</v>
      </c>
      <c r="O16" s="21" t="s">
        <v>116</v>
      </c>
      <c r="P16" s="21"/>
      <c r="Q16" s="21"/>
      <c r="R16" s="21" t="s">
        <v>116</v>
      </c>
      <c r="S16" s="21" t="s">
        <v>116</v>
      </c>
      <c r="T16" s="21"/>
      <c r="U16" s="21"/>
      <c r="V16" s="21"/>
      <c r="W16" s="21"/>
      <c r="X16" s="21"/>
      <c r="Y16" s="21"/>
      <c r="Z16" s="21"/>
      <c r="AA16" s="21"/>
    </row>
    <row r="17" spans="1:27">
      <c r="B17" s="21">
        <f t="shared" si="0"/>
        <v>12</v>
      </c>
      <c r="C17" s="44" t="s">
        <v>98</v>
      </c>
      <c r="D17" s="44"/>
      <c r="E17" s="44"/>
      <c r="F17" s="23"/>
      <c r="G17" s="23"/>
      <c r="H17" s="23" t="s">
        <v>190</v>
      </c>
      <c r="I17" s="23" t="s">
        <v>220</v>
      </c>
      <c r="J17" s="23"/>
      <c r="K17" s="23"/>
      <c r="L17" s="21" t="s">
        <v>95</v>
      </c>
      <c r="M17" s="21" t="s">
        <v>139</v>
      </c>
      <c r="N17" s="21" t="s">
        <v>116</v>
      </c>
      <c r="O17" s="21" t="s">
        <v>116</v>
      </c>
      <c r="P17" s="21" t="s">
        <v>116</v>
      </c>
      <c r="Q17" s="21"/>
      <c r="R17" s="21" t="s">
        <v>116</v>
      </c>
      <c r="S17" s="21" t="s">
        <v>116</v>
      </c>
      <c r="T17" s="21"/>
      <c r="U17" s="21"/>
      <c r="V17" s="21"/>
      <c r="W17" s="21"/>
      <c r="X17" s="21"/>
      <c r="Y17" s="21"/>
      <c r="Z17" s="21"/>
      <c r="AA17" s="21"/>
    </row>
    <row r="18" spans="1:27" ht="30">
      <c r="A18" s="20" t="s">
        <v>116</v>
      </c>
      <c r="B18" s="21">
        <f t="shared" si="0"/>
        <v>13</v>
      </c>
      <c r="C18" s="22" t="s">
        <v>58</v>
      </c>
      <c r="D18" s="22"/>
      <c r="E18" s="22"/>
      <c r="F18" s="23"/>
      <c r="G18" s="23"/>
      <c r="H18" s="23" t="s">
        <v>190</v>
      </c>
      <c r="I18" s="24" t="s">
        <v>221</v>
      </c>
      <c r="J18" s="24"/>
      <c r="K18" s="23"/>
      <c r="L18" s="21" t="s">
        <v>95</v>
      </c>
      <c r="M18" s="21" t="s">
        <v>139</v>
      </c>
      <c r="N18" s="21" t="s">
        <v>116</v>
      </c>
      <c r="O18" s="21" t="s">
        <v>116</v>
      </c>
      <c r="P18" s="21" t="s">
        <v>183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>
      <c r="B19" s="21">
        <f t="shared" si="0"/>
        <v>14</v>
      </c>
      <c r="C19" s="44" t="s">
        <v>99</v>
      </c>
      <c r="D19" s="44"/>
      <c r="E19" s="44" t="s">
        <v>116</v>
      </c>
      <c r="F19" s="23">
        <v>3703324194</v>
      </c>
      <c r="G19" s="23"/>
      <c r="H19" s="23" t="s">
        <v>193</v>
      </c>
      <c r="I19" s="24" t="s">
        <v>216</v>
      </c>
      <c r="J19" s="24"/>
      <c r="K19" s="23"/>
      <c r="L19" s="21" t="s">
        <v>82</v>
      </c>
      <c r="M19" s="21" t="s">
        <v>139</v>
      </c>
      <c r="N19" s="21" t="s">
        <v>116</v>
      </c>
      <c r="O19" s="21" t="s">
        <v>116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>
      <c r="A20" s="20" t="s">
        <v>116</v>
      </c>
      <c r="B20" s="21">
        <f t="shared" si="0"/>
        <v>15</v>
      </c>
      <c r="C20" s="44" t="s">
        <v>100</v>
      </c>
      <c r="D20" s="44"/>
      <c r="E20" s="44"/>
      <c r="F20" s="23">
        <v>3703319557</v>
      </c>
      <c r="G20" s="23"/>
      <c r="H20" s="24" t="s">
        <v>191</v>
      </c>
      <c r="I20" s="24" t="s">
        <v>216</v>
      </c>
      <c r="J20" s="24"/>
      <c r="K20" s="23"/>
      <c r="L20" s="21" t="s">
        <v>95</v>
      </c>
      <c r="M20" s="21" t="s">
        <v>139</v>
      </c>
      <c r="N20" s="21" t="s">
        <v>116</v>
      </c>
      <c r="O20" s="21" t="s">
        <v>116</v>
      </c>
      <c r="P20" s="21" t="s">
        <v>116</v>
      </c>
      <c r="Q20" s="21"/>
      <c r="R20" s="21" t="s">
        <v>116</v>
      </c>
      <c r="S20" s="21" t="s">
        <v>116</v>
      </c>
      <c r="T20" s="21"/>
      <c r="U20" s="21"/>
      <c r="V20" s="21"/>
      <c r="W20" s="21"/>
      <c r="X20" s="21"/>
      <c r="Y20" s="21"/>
      <c r="Z20" s="21"/>
      <c r="AA20" s="21"/>
    </row>
    <row r="21" spans="1:27" s="46" customFormat="1">
      <c r="A21" s="46" t="s">
        <v>388</v>
      </c>
      <c r="B21" s="71">
        <f t="shared" si="0"/>
        <v>16</v>
      </c>
      <c r="C21" s="117" t="s">
        <v>7</v>
      </c>
      <c r="D21" s="117"/>
      <c r="E21" s="88" t="s">
        <v>116</v>
      </c>
      <c r="F21" s="86">
        <v>3702916695</v>
      </c>
      <c r="G21" s="86"/>
      <c r="H21" s="86" t="s">
        <v>189</v>
      </c>
      <c r="I21" s="86" t="s">
        <v>216</v>
      </c>
      <c r="J21" s="86"/>
      <c r="K21" s="86"/>
      <c r="L21" s="71" t="s">
        <v>62</v>
      </c>
      <c r="M21" s="71" t="s">
        <v>139</v>
      </c>
      <c r="N21" s="71" t="s">
        <v>116</v>
      </c>
      <c r="O21" s="71" t="s">
        <v>116</v>
      </c>
      <c r="P21" s="71"/>
      <c r="Q21" s="71"/>
      <c r="R21" s="71" t="s">
        <v>116</v>
      </c>
      <c r="S21" s="71" t="s">
        <v>116</v>
      </c>
      <c r="T21" s="71"/>
      <c r="U21" s="71"/>
      <c r="V21" s="71"/>
      <c r="W21" s="71"/>
      <c r="X21" s="71"/>
      <c r="Y21" s="71"/>
      <c r="Z21" s="71"/>
      <c r="AA21" s="71"/>
    </row>
    <row r="22" spans="1:27">
      <c r="A22" s="20" t="s">
        <v>116</v>
      </c>
      <c r="B22" s="21">
        <f t="shared" si="0"/>
        <v>17</v>
      </c>
      <c r="C22" s="22" t="s">
        <v>8</v>
      </c>
      <c r="D22" s="22"/>
      <c r="E22" s="22" t="s">
        <v>173</v>
      </c>
      <c r="F22" s="24">
        <v>3702547906</v>
      </c>
      <c r="G22" s="24"/>
      <c r="H22" s="24" t="s">
        <v>189</v>
      </c>
      <c r="I22" s="24" t="s">
        <v>216</v>
      </c>
      <c r="J22" s="24"/>
      <c r="K22" s="24"/>
      <c r="L22" s="21"/>
      <c r="M22" s="21" t="s">
        <v>139</v>
      </c>
      <c r="N22" s="21"/>
      <c r="O22" s="21"/>
      <c r="P22" s="21"/>
      <c r="Q22" s="21"/>
      <c r="R22" s="21" t="s">
        <v>116</v>
      </c>
      <c r="S22" s="21" t="s">
        <v>116</v>
      </c>
      <c r="T22" s="21"/>
      <c r="U22" s="21"/>
      <c r="V22" s="21"/>
      <c r="W22" s="21"/>
      <c r="X22" s="21"/>
      <c r="Y22" s="21"/>
      <c r="Z22" s="21"/>
      <c r="AA22" s="21"/>
    </row>
    <row r="23" spans="1:27" ht="30">
      <c r="B23" s="21">
        <f t="shared" si="0"/>
        <v>18</v>
      </c>
      <c r="C23" s="22" t="s">
        <v>10</v>
      </c>
      <c r="D23" s="22"/>
      <c r="E23" s="22"/>
      <c r="F23" s="24">
        <v>3702589102</v>
      </c>
      <c r="G23" s="24"/>
      <c r="H23" s="24" t="s">
        <v>190</v>
      </c>
      <c r="I23" s="24" t="s">
        <v>221</v>
      </c>
      <c r="J23" s="24"/>
      <c r="K23" s="24"/>
      <c r="L23" s="21"/>
      <c r="M23" s="21" t="s">
        <v>139</v>
      </c>
      <c r="N23" s="21" t="s">
        <v>116</v>
      </c>
      <c r="O23" s="21" t="s">
        <v>116</v>
      </c>
      <c r="P23" s="21"/>
      <c r="Q23" s="21"/>
      <c r="R23" s="21" t="s">
        <v>116</v>
      </c>
      <c r="S23" s="21" t="s">
        <v>116</v>
      </c>
      <c r="T23" s="21"/>
      <c r="U23" s="21"/>
      <c r="V23" s="21"/>
      <c r="W23" s="21"/>
      <c r="X23" s="21"/>
      <c r="Y23" s="21"/>
      <c r="Z23" s="21"/>
      <c r="AA23" s="21"/>
    </row>
    <row r="24" spans="1:27" s="53" customFormat="1">
      <c r="A24" s="53" t="s">
        <v>116</v>
      </c>
      <c r="B24" s="51">
        <f t="shared" si="0"/>
        <v>19</v>
      </c>
      <c r="C24" s="54" t="s">
        <v>11</v>
      </c>
      <c r="D24" s="54"/>
      <c r="E24" s="54"/>
      <c r="F24" s="55">
        <v>3702781430</v>
      </c>
      <c r="G24" s="55"/>
      <c r="H24" s="55" t="s">
        <v>193</v>
      </c>
      <c r="I24" s="55" t="s">
        <v>216</v>
      </c>
      <c r="J24" s="55"/>
      <c r="K24" s="55"/>
      <c r="L24" s="51"/>
      <c r="M24" s="51" t="s">
        <v>139</v>
      </c>
      <c r="N24" s="51" t="s">
        <v>116</v>
      </c>
      <c r="O24" s="51" t="s">
        <v>116</v>
      </c>
      <c r="P24" s="51" t="s">
        <v>116</v>
      </c>
      <c r="Q24" s="51" t="s">
        <v>116</v>
      </c>
      <c r="R24" s="51" t="s">
        <v>116</v>
      </c>
      <c r="S24" s="51" t="s">
        <v>116</v>
      </c>
      <c r="T24" s="51"/>
      <c r="U24" s="51"/>
      <c r="V24" s="51"/>
      <c r="W24" s="51"/>
      <c r="X24" s="51"/>
      <c r="Y24" s="51"/>
      <c r="Z24" s="51"/>
      <c r="AA24" s="51"/>
    </row>
    <row r="25" spans="1:27" s="53" customFormat="1">
      <c r="A25" s="53" t="s">
        <v>116</v>
      </c>
      <c r="B25" s="51">
        <f t="shared" si="0"/>
        <v>20</v>
      </c>
      <c r="C25" s="54" t="s">
        <v>12</v>
      </c>
      <c r="D25" s="54"/>
      <c r="E25" s="54"/>
      <c r="F25" s="55">
        <v>3702657909</v>
      </c>
      <c r="G25" s="55"/>
      <c r="H25" s="55" t="s">
        <v>189</v>
      </c>
      <c r="I25" s="55" t="s">
        <v>216</v>
      </c>
      <c r="J25" s="55"/>
      <c r="K25" s="55"/>
      <c r="L25" s="51"/>
      <c r="M25" s="51" t="s">
        <v>139</v>
      </c>
      <c r="N25" s="51" t="s">
        <v>116</v>
      </c>
      <c r="O25" s="51" t="s">
        <v>116</v>
      </c>
      <c r="P25" s="51"/>
      <c r="Q25" s="51"/>
      <c r="R25" s="51" t="s">
        <v>116</v>
      </c>
      <c r="S25" s="51" t="s">
        <v>116</v>
      </c>
      <c r="T25" s="51"/>
      <c r="U25" s="51"/>
      <c r="V25" s="51"/>
      <c r="W25" s="51"/>
      <c r="X25" s="51"/>
      <c r="Y25" s="51"/>
      <c r="Z25" s="51"/>
      <c r="AA25" s="51"/>
    </row>
    <row r="26" spans="1:27" s="53" customFormat="1">
      <c r="B26" s="51">
        <f t="shared" si="0"/>
        <v>21</v>
      </c>
      <c r="C26" s="54" t="s">
        <v>13</v>
      </c>
      <c r="D26" s="54"/>
      <c r="E26" s="54"/>
      <c r="F26" s="55">
        <v>3702983941</v>
      </c>
      <c r="G26" s="55"/>
      <c r="H26" s="55" t="s">
        <v>193</v>
      </c>
      <c r="I26" s="55" t="s">
        <v>216</v>
      </c>
      <c r="J26" s="55"/>
      <c r="K26" s="55"/>
      <c r="L26" s="51"/>
      <c r="M26" s="51" t="s">
        <v>139</v>
      </c>
      <c r="N26" s="51" t="s">
        <v>116</v>
      </c>
      <c r="O26" s="51" t="s">
        <v>116</v>
      </c>
      <c r="P26" s="51"/>
      <c r="Q26" s="51"/>
      <c r="R26" s="51" t="s">
        <v>116</v>
      </c>
      <c r="S26" s="51" t="s">
        <v>116</v>
      </c>
      <c r="T26" s="51"/>
      <c r="U26" s="51"/>
      <c r="V26" s="51"/>
      <c r="W26" s="130" t="s">
        <v>386</v>
      </c>
      <c r="X26" s="130" t="s">
        <v>387</v>
      </c>
      <c r="Y26" s="51"/>
      <c r="Z26" s="51"/>
      <c r="AA26" s="51"/>
    </row>
    <row r="27" spans="1:27" ht="30">
      <c r="B27" s="21">
        <f t="shared" si="0"/>
        <v>22</v>
      </c>
      <c r="C27" s="22" t="s">
        <v>14</v>
      </c>
      <c r="D27" s="22"/>
      <c r="E27" s="22"/>
      <c r="F27" s="24">
        <v>3702379553</v>
      </c>
      <c r="G27" s="24"/>
      <c r="H27" s="24" t="s">
        <v>189</v>
      </c>
      <c r="I27" s="24" t="s">
        <v>216</v>
      </c>
      <c r="J27" s="24"/>
      <c r="K27" s="24"/>
      <c r="L27" s="21"/>
      <c r="M27" s="21" t="s">
        <v>139</v>
      </c>
      <c r="N27" s="21" t="s">
        <v>116</v>
      </c>
      <c r="O27" s="21" t="s">
        <v>116</v>
      </c>
      <c r="P27" s="21" t="s">
        <v>175</v>
      </c>
      <c r="Q27" s="21"/>
      <c r="R27" s="21" t="s">
        <v>116</v>
      </c>
      <c r="S27" s="21" t="s">
        <v>116</v>
      </c>
      <c r="T27" s="21"/>
      <c r="U27" s="21"/>
      <c r="V27" s="21"/>
      <c r="W27" s="21"/>
      <c r="X27" s="21"/>
      <c r="Y27" s="21"/>
      <c r="Z27" s="21"/>
      <c r="AA27" s="21"/>
    </row>
    <row r="28" spans="1:27" ht="30">
      <c r="B28" s="21">
        <f t="shared" si="0"/>
        <v>23</v>
      </c>
      <c r="C28" s="22" t="s">
        <v>15</v>
      </c>
      <c r="D28" s="22"/>
      <c r="E28" s="22"/>
      <c r="F28" s="24">
        <v>3702469239</v>
      </c>
      <c r="G28" s="24"/>
      <c r="H28" s="24" t="s">
        <v>189</v>
      </c>
      <c r="I28" s="24" t="s">
        <v>223</v>
      </c>
      <c r="J28" s="24"/>
      <c r="K28" s="24"/>
      <c r="L28" s="21"/>
      <c r="M28" s="21" t="s">
        <v>139</v>
      </c>
      <c r="N28" s="21" t="s">
        <v>116</v>
      </c>
      <c r="O28" s="21" t="s">
        <v>116</v>
      </c>
      <c r="P28" s="21"/>
      <c r="Q28" s="21"/>
      <c r="R28" s="21" t="s">
        <v>116</v>
      </c>
      <c r="S28" s="21" t="s">
        <v>116</v>
      </c>
      <c r="T28" s="21"/>
      <c r="U28" s="21"/>
      <c r="V28" s="21"/>
      <c r="W28" s="21"/>
      <c r="X28" s="21"/>
      <c r="Y28" s="21"/>
      <c r="Z28" s="21"/>
      <c r="AA28" s="21"/>
    </row>
    <row r="29" spans="1:27" ht="30">
      <c r="B29" s="21">
        <f t="shared" si="0"/>
        <v>24</v>
      </c>
      <c r="C29" s="22" t="s">
        <v>16</v>
      </c>
      <c r="D29" s="22"/>
      <c r="E29" s="22" t="s">
        <v>173</v>
      </c>
      <c r="F29" s="24">
        <v>3703042746</v>
      </c>
      <c r="G29" s="24"/>
      <c r="H29" s="24" t="s">
        <v>190</v>
      </c>
      <c r="I29" s="24" t="s">
        <v>218</v>
      </c>
      <c r="J29" s="24"/>
      <c r="K29" s="24"/>
      <c r="L29" s="21"/>
      <c r="M29" s="21" t="s">
        <v>139</v>
      </c>
      <c r="N29" s="21" t="s">
        <v>116</v>
      </c>
      <c r="O29" s="21" t="s">
        <v>116</v>
      </c>
      <c r="P29" s="21"/>
      <c r="Q29" s="21"/>
      <c r="R29" s="21" t="s">
        <v>116</v>
      </c>
      <c r="S29" s="21" t="s">
        <v>116</v>
      </c>
      <c r="T29" s="21"/>
      <c r="U29" s="21"/>
      <c r="V29" s="21"/>
      <c r="W29" s="21"/>
      <c r="X29" s="21"/>
      <c r="Y29" s="21"/>
      <c r="Z29" s="21"/>
      <c r="AA29" s="21"/>
    </row>
    <row r="30" spans="1:27" s="53" customFormat="1">
      <c r="B30" s="51">
        <f t="shared" si="0"/>
        <v>25</v>
      </c>
      <c r="C30" s="84" t="s">
        <v>67</v>
      </c>
      <c r="D30" s="84"/>
      <c r="E30" s="84"/>
      <c r="F30" s="55">
        <v>3703043524</v>
      </c>
      <c r="G30" s="55"/>
      <c r="H30" s="55" t="s">
        <v>190</v>
      </c>
      <c r="I30" s="55" t="s">
        <v>220</v>
      </c>
      <c r="J30" s="55"/>
      <c r="K30" s="55"/>
      <c r="L30" s="51"/>
      <c r="M30" s="51" t="s">
        <v>139</v>
      </c>
      <c r="N30" s="51" t="s">
        <v>116</v>
      </c>
      <c r="O30" s="51" t="s">
        <v>116</v>
      </c>
      <c r="P30" s="51"/>
      <c r="Q30" s="51"/>
      <c r="R30" s="51" t="s">
        <v>116</v>
      </c>
      <c r="S30" s="51" t="s">
        <v>116</v>
      </c>
      <c r="T30" s="51"/>
      <c r="U30" s="51"/>
      <c r="V30" s="51"/>
      <c r="W30" s="130" t="s">
        <v>386</v>
      </c>
      <c r="X30" s="130" t="s">
        <v>387</v>
      </c>
      <c r="Y30" s="51"/>
      <c r="Z30" s="51"/>
      <c r="AA30" s="51"/>
    </row>
    <row r="31" spans="1:27">
      <c r="A31" s="20" t="s">
        <v>410</v>
      </c>
      <c r="B31" s="21">
        <f t="shared" si="0"/>
        <v>26</v>
      </c>
      <c r="C31" s="22" t="s">
        <v>301</v>
      </c>
      <c r="D31" s="22"/>
      <c r="E31" s="22" t="s">
        <v>173</v>
      </c>
      <c r="F31" s="24">
        <v>3703070870</v>
      </c>
      <c r="G31" s="24"/>
      <c r="H31" s="24" t="s">
        <v>246</v>
      </c>
      <c r="I31" s="24" t="s">
        <v>225</v>
      </c>
      <c r="J31" s="24"/>
      <c r="K31" s="24"/>
      <c r="L31" s="21"/>
      <c r="M31" s="21" t="s">
        <v>139</v>
      </c>
      <c r="N31" s="21" t="s">
        <v>116</v>
      </c>
      <c r="O31" s="21" t="s">
        <v>116</v>
      </c>
      <c r="P31" s="21"/>
      <c r="Q31" s="21"/>
      <c r="R31" s="21" t="s">
        <v>116</v>
      </c>
      <c r="S31" s="21" t="s">
        <v>116</v>
      </c>
      <c r="T31" s="21"/>
      <c r="U31" s="21"/>
      <c r="V31" s="21"/>
      <c r="W31" s="21"/>
      <c r="X31" s="21"/>
      <c r="Y31" s="21"/>
      <c r="Z31" s="21"/>
      <c r="AA31" s="21"/>
    </row>
    <row r="32" spans="1:27" s="53" customFormat="1">
      <c r="B32" s="51">
        <f t="shared" si="0"/>
        <v>27</v>
      </c>
      <c r="C32" s="54" t="s">
        <v>68</v>
      </c>
      <c r="D32" s="54"/>
      <c r="E32" s="54"/>
      <c r="F32" s="55">
        <v>3702693135</v>
      </c>
      <c r="G32" s="55"/>
      <c r="H32" s="55" t="s">
        <v>190</v>
      </c>
      <c r="I32" s="55" t="s">
        <v>216</v>
      </c>
      <c r="J32" s="55"/>
      <c r="K32" s="55"/>
      <c r="L32" s="51"/>
      <c r="M32" s="51" t="s">
        <v>139</v>
      </c>
      <c r="N32" s="51" t="s">
        <v>116</v>
      </c>
      <c r="O32" s="51" t="s">
        <v>116</v>
      </c>
      <c r="P32" s="51"/>
      <c r="Q32" s="51"/>
      <c r="R32" s="51" t="s">
        <v>116</v>
      </c>
      <c r="S32" s="51" t="s">
        <v>116</v>
      </c>
      <c r="T32" s="51"/>
      <c r="U32" s="51"/>
      <c r="V32" s="51"/>
      <c r="W32" s="51"/>
      <c r="X32" s="51"/>
      <c r="Y32" s="51"/>
      <c r="Z32" s="51"/>
      <c r="AA32" s="51"/>
    </row>
    <row r="33" spans="1:27" s="53" customFormat="1">
      <c r="B33" s="51">
        <f t="shared" si="0"/>
        <v>28</v>
      </c>
      <c r="C33" s="54" t="s">
        <v>69</v>
      </c>
      <c r="D33" s="54"/>
      <c r="E33" s="54"/>
      <c r="F33" s="55">
        <v>3702494813</v>
      </c>
      <c r="G33" s="55"/>
      <c r="H33" s="55" t="s">
        <v>189</v>
      </c>
      <c r="I33" s="55" t="s">
        <v>216</v>
      </c>
      <c r="J33" s="55"/>
      <c r="K33" s="55"/>
      <c r="L33" s="51"/>
      <c r="M33" s="51" t="s">
        <v>139</v>
      </c>
      <c r="N33" s="51" t="s">
        <v>116</v>
      </c>
      <c r="O33" s="51" t="s">
        <v>116</v>
      </c>
      <c r="P33" s="51"/>
      <c r="Q33" s="51"/>
      <c r="R33" s="51" t="s">
        <v>116</v>
      </c>
      <c r="S33" s="51" t="s">
        <v>116</v>
      </c>
      <c r="T33" s="51"/>
      <c r="U33" s="51"/>
      <c r="V33" s="51"/>
      <c r="W33" s="51"/>
      <c r="X33" s="51"/>
      <c r="Y33" s="51"/>
      <c r="Z33" s="51"/>
      <c r="AA33" s="51"/>
    </row>
    <row r="34" spans="1:27" s="53" customFormat="1">
      <c r="A34" s="53" t="s">
        <v>116</v>
      </c>
      <c r="B34" s="51">
        <f t="shared" si="0"/>
        <v>29</v>
      </c>
      <c r="C34" s="54" t="s">
        <v>70</v>
      </c>
      <c r="D34" s="54"/>
      <c r="E34" s="54"/>
      <c r="F34" s="55">
        <v>3901315804</v>
      </c>
      <c r="G34" s="55"/>
      <c r="H34" s="55" t="s">
        <v>192</v>
      </c>
      <c r="I34" s="55" t="s">
        <v>226</v>
      </c>
      <c r="J34" s="55"/>
      <c r="K34" s="55"/>
      <c r="L34" s="51"/>
      <c r="M34" s="51" t="s">
        <v>139</v>
      </c>
      <c r="N34" s="51" t="s">
        <v>116</v>
      </c>
      <c r="O34" s="51" t="s">
        <v>116</v>
      </c>
      <c r="P34" s="51"/>
      <c r="Q34" s="51"/>
      <c r="R34" s="51" t="s">
        <v>116</v>
      </c>
      <c r="S34" s="51" t="s">
        <v>116</v>
      </c>
      <c r="T34" s="51"/>
      <c r="U34" s="51"/>
      <c r="V34" s="51"/>
      <c r="W34" s="130" t="s">
        <v>386</v>
      </c>
      <c r="X34" s="130" t="s">
        <v>387</v>
      </c>
      <c r="Y34" s="51"/>
      <c r="Z34" s="51"/>
      <c r="AA34" s="51"/>
    </row>
    <row r="35" spans="1:27">
      <c r="B35" s="21">
        <f t="shared" si="0"/>
        <v>30</v>
      </c>
      <c r="C35" s="22" t="s">
        <v>17</v>
      </c>
      <c r="D35" s="22"/>
      <c r="E35" s="22"/>
      <c r="F35" s="24">
        <v>3702352671</v>
      </c>
      <c r="G35" s="24"/>
      <c r="H35" s="24" t="s">
        <v>247</v>
      </c>
      <c r="I35" s="24" t="s">
        <v>227</v>
      </c>
      <c r="J35" s="24"/>
      <c r="K35" s="24"/>
      <c r="L35" s="21"/>
      <c r="M35" s="21" t="s">
        <v>139</v>
      </c>
      <c r="N35" s="21" t="s">
        <v>116</v>
      </c>
      <c r="O35" s="21" t="s">
        <v>116</v>
      </c>
      <c r="P35" s="21"/>
      <c r="Q35" s="21"/>
      <c r="R35" s="21" t="s">
        <v>116</v>
      </c>
      <c r="S35" s="21" t="s">
        <v>116</v>
      </c>
      <c r="T35" s="21"/>
      <c r="U35" s="21"/>
      <c r="V35" s="21"/>
      <c r="W35" s="21"/>
      <c r="X35" s="21"/>
      <c r="Y35" s="21"/>
      <c r="Z35" s="21"/>
      <c r="AA35" s="21"/>
    </row>
    <row r="36" spans="1:27">
      <c r="B36" s="21">
        <f t="shared" si="0"/>
        <v>31</v>
      </c>
      <c r="C36" s="22" t="s">
        <v>18</v>
      </c>
      <c r="D36" s="22"/>
      <c r="E36" s="22"/>
      <c r="F36" s="24">
        <v>3703091013</v>
      </c>
      <c r="G36" s="24"/>
      <c r="H36" s="24" t="s">
        <v>189</v>
      </c>
      <c r="I36" s="24" t="s">
        <v>227</v>
      </c>
      <c r="J36" s="24"/>
      <c r="K36" s="24"/>
      <c r="L36" s="21"/>
      <c r="M36" s="21" t="s">
        <v>139</v>
      </c>
      <c r="N36" s="21" t="s">
        <v>116</v>
      </c>
      <c r="O36" s="21" t="s">
        <v>116</v>
      </c>
      <c r="P36" s="21"/>
      <c r="Q36" s="21"/>
      <c r="R36" s="21" t="s">
        <v>116</v>
      </c>
      <c r="S36" s="21" t="s">
        <v>116</v>
      </c>
      <c r="T36" s="21"/>
      <c r="U36" s="21"/>
      <c r="V36" s="21"/>
      <c r="W36" s="21"/>
      <c r="X36" s="21"/>
      <c r="Y36" s="21"/>
      <c r="Z36" s="21"/>
      <c r="AA36" s="21"/>
    </row>
    <row r="37" spans="1:27" s="53" customFormat="1" ht="15.75">
      <c r="A37" s="53" t="s">
        <v>116</v>
      </c>
      <c r="B37" s="51">
        <f t="shared" si="0"/>
        <v>32</v>
      </c>
      <c r="C37" s="54" t="s">
        <v>20</v>
      </c>
      <c r="D37" s="54"/>
      <c r="E37" s="54"/>
      <c r="F37" s="106">
        <v>3702334513</v>
      </c>
      <c r="G37" s="106"/>
      <c r="H37" s="55" t="s">
        <v>243</v>
      </c>
      <c r="I37" s="55" t="s">
        <v>227</v>
      </c>
      <c r="J37" s="55"/>
      <c r="K37" s="106"/>
      <c r="L37" s="51"/>
      <c r="M37" s="51" t="s">
        <v>139</v>
      </c>
      <c r="N37" s="51" t="s">
        <v>116</v>
      </c>
      <c r="O37" s="51" t="s">
        <v>116</v>
      </c>
      <c r="P37" s="51"/>
      <c r="Q37" s="51"/>
      <c r="R37" s="51" t="s">
        <v>116</v>
      </c>
      <c r="S37" s="51" t="s">
        <v>116</v>
      </c>
      <c r="T37" s="51"/>
      <c r="U37" s="51"/>
      <c r="V37" s="51"/>
      <c r="W37" s="51" t="s">
        <v>386</v>
      </c>
      <c r="X37" s="51" t="s">
        <v>387</v>
      </c>
      <c r="Y37" s="51"/>
      <c r="Z37" s="51"/>
      <c r="AA37" s="51"/>
    </row>
    <row r="38" spans="1:27" ht="15.75">
      <c r="A38" s="20" t="s">
        <v>116</v>
      </c>
      <c r="B38" s="21">
        <f t="shared" si="0"/>
        <v>33</v>
      </c>
      <c r="C38" s="22" t="s">
        <v>22</v>
      </c>
      <c r="D38" s="22"/>
      <c r="E38" s="22"/>
      <c r="F38" s="112">
        <v>3702509682</v>
      </c>
      <c r="G38" s="112"/>
      <c r="H38" s="24" t="s">
        <v>191</v>
      </c>
      <c r="I38" s="24" t="s">
        <v>227</v>
      </c>
      <c r="J38" s="24"/>
      <c r="K38" s="112"/>
      <c r="L38" s="21"/>
      <c r="M38" s="21" t="s">
        <v>139</v>
      </c>
      <c r="N38" s="21" t="s">
        <v>116</v>
      </c>
      <c r="O38" s="21" t="s">
        <v>116</v>
      </c>
      <c r="P38" s="21"/>
      <c r="Q38" s="21" t="s">
        <v>175</v>
      </c>
      <c r="R38" s="21" t="s">
        <v>116</v>
      </c>
      <c r="S38" s="21" t="s">
        <v>116</v>
      </c>
      <c r="T38" s="21"/>
      <c r="U38" s="21"/>
      <c r="V38" s="21"/>
      <c r="W38" s="21"/>
      <c r="X38" s="21"/>
      <c r="Y38" s="21"/>
      <c r="Z38" s="21"/>
      <c r="AA38" s="21"/>
    </row>
    <row r="39" spans="1:27" s="53" customFormat="1">
      <c r="B39" s="51">
        <f t="shared" si="0"/>
        <v>34</v>
      </c>
      <c r="C39" s="54" t="s">
        <v>25</v>
      </c>
      <c r="D39" s="54"/>
      <c r="E39" s="54" t="s">
        <v>116</v>
      </c>
      <c r="F39" s="55">
        <v>3703126805</v>
      </c>
      <c r="G39" s="55"/>
      <c r="H39" s="55" t="s">
        <v>243</v>
      </c>
      <c r="I39" s="55" t="s">
        <v>216</v>
      </c>
      <c r="J39" s="55"/>
      <c r="K39" s="55" t="s">
        <v>116</v>
      </c>
      <c r="L39" s="51"/>
      <c r="M39" s="51" t="s">
        <v>139</v>
      </c>
      <c r="N39" s="51" t="s">
        <v>116</v>
      </c>
      <c r="O39" s="51" t="s">
        <v>116</v>
      </c>
      <c r="P39" s="51"/>
      <c r="Q39" s="51"/>
      <c r="R39" s="51" t="s">
        <v>116</v>
      </c>
      <c r="S39" s="51" t="s">
        <v>116</v>
      </c>
      <c r="T39" s="51"/>
      <c r="U39" s="51"/>
      <c r="V39" s="51"/>
      <c r="W39" s="51"/>
      <c r="X39" s="51"/>
      <c r="Y39" s="51"/>
      <c r="Z39" s="51"/>
      <c r="AA39" s="51"/>
    </row>
    <row r="40" spans="1:27">
      <c r="B40" s="21">
        <f t="shared" si="0"/>
        <v>35</v>
      </c>
      <c r="C40" s="22" t="s">
        <v>77</v>
      </c>
      <c r="D40" s="22"/>
      <c r="E40" s="22"/>
      <c r="F40" s="111">
        <v>3703150741</v>
      </c>
      <c r="G40" s="111"/>
      <c r="H40" s="111" t="s">
        <v>190</v>
      </c>
      <c r="I40" s="24" t="s">
        <v>216</v>
      </c>
      <c r="J40" s="24"/>
      <c r="K40" s="111"/>
      <c r="L40" s="21"/>
      <c r="M40" s="21" t="s">
        <v>139</v>
      </c>
      <c r="N40" s="21" t="s">
        <v>116</v>
      </c>
      <c r="O40" s="21" t="s">
        <v>116</v>
      </c>
      <c r="P40" s="21"/>
      <c r="Q40" s="21" t="s">
        <v>187</v>
      </c>
      <c r="R40" s="21" t="s">
        <v>116</v>
      </c>
      <c r="S40" s="21" t="s">
        <v>116</v>
      </c>
      <c r="T40" s="21"/>
      <c r="U40" s="21"/>
      <c r="V40" s="21"/>
      <c r="W40" s="21"/>
      <c r="X40" s="21"/>
      <c r="Y40" s="21"/>
      <c r="Z40" s="21"/>
      <c r="AA40" s="21"/>
    </row>
    <row r="41" spans="1:27">
      <c r="B41" s="21">
        <f t="shared" si="0"/>
        <v>36</v>
      </c>
      <c r="C41" s="22" t="s">
        <v>26</v>
      </c>
      <c r="D41" s="22"/>
      <c r="E41" s="22"/>
      <c r="F41" s="24">
        <v>3702601198</v>
      </c>
      <c r="G41" s="24"/>
      <c r="H41" s="24" t="s">
        <v>247</v>
      </c>
      <c r="I41" s="24" t="s">
        <v>224</v>
      </c>
      <c r="J41" s="24"/>
      <c r="K41" s="24"/>
      <c r="L41" s="21"/>
      <c r="M41" s="21" t="s">
        <v>139</v>
      </c>
      <c r="N41" s="21" t="s">
        <v>116</v>
      </c>
      <c r="O41" s="21" t="s">
        <v>116</v>
      </c>
      <c r="P41" s="21"/>
      <c r="Q41" s="21"/>
      <c r="R41" s="21" t="s">
        <v>116</v>
      </c>
      <c r="S41" s="21" t="s">
        <v>116</v>
      </c>
      <c r="T41" s="21"/>
      <c r="U41" s="21"/>
      <c r="V41" s="21"/>
      <c r="W41" s="21"/>
      <c r="X41" s="21"/>
      <c r="Y41" s="21"/>
      <c r="Z41" s="21"/>
      <c r="AA41" s="21"/>
    </row>
    <row r="42" spans="1:27">
      <c r="A42" s="20" t="s">
        <v>116</v>
      </c>
      <c r="B42" s="21">
        <f t="shared" si="0"/>
        <v>37</v>
      </c>
      <c r="C42" s="22" t="s">
        <v>27</v>
      </c>
      <c r="D42" s="22"/>
      <c r="E42" s="22"/>
      <c r="F42" s="24">
        <v>3703173668</v>
      </c>
      <c r="G42" s="24"/>
      <c r="H42" s="24" t="s">
        <v>189</v>
      </c>
      <c r="I42" s="24" t="s">
        <v>216</v>
      </c>
      <c r="J42" s="24"/>
      <c r="K42" s="24"/>
      <c r="L42" s="21"/>
      <c r="M42" s="21" t="s">
        <v>139</v>
      </c>
      <c r="N42" s="21" t="s">
        <v>116</v>
      </c>
      <c r="O42" s="21" t="s">
        <v>116</v>
      </c>
      <c r="P42" s="21"/>
      <c r="Q42" s="21"/>
      <c r="R42" s="21" t="s">
        <v>116</v>
      </c>
      <c r="S42" s="21" t="s">
        <v>116</v>
      </c>
      <c r="T42" s="21"/>
      <c r="U42" s="21"/>
      <c r="V42" s="21"/>
      <c r="W42" s="21"/>
      <c r="X42" s="21"/>
      <c r="Y42" s="21"/>
      <c r="Z42" s="21"/>
      <c r="AA42" s="21"/>
    </row>
    <row r="43" spans="1:27" s="53" customFormat="1">
      <c r="B43" s="51">
        <f t="shared" si="0"/>
        <v>38</v>
      </c>
      <c r="C43" s="54" t="s">
        <v>28</v>
      </c>
      <c r="D43" s="54"/>
      <c r="E43" s="54"/>
      <c r="F43" s="87">
        <v>3703175136</v>
      </c>
      <c r="G43" s="87"/>
      <c r="H43" s="55" t="s">
        <v>191</v>
      </c>
      <c r="I43" s="55" t="s">
        <v>216</v>
      </c>
      <c r="J43" s="55"/>
      <c r="K43" s="87"/>
      <c r="L43" s="51"/>
      <c r="M43" s="51" t="s">
        <v>139</v>
      </c>
      <c r="N43" s="51" t="s">
        <v>116</v>
      </c>
      <c r="O43" s="51" t="s">
        <v>116</v>
      </c>
      <c r="P43" s="51"/>
      <c r="Q43" s="51"/>
      <c r="R43" s="51" t="s">
        <v>116</v>
      </c>
      <c r="S43" s="51" t="s">
        <v>116</v>
      </c>
      <c r="T43" s="51"/>
      <c r="U43" s="51"/>
      <c r="V43" s="51"/>
      <c r="W43" s="51"/>
      <c r="X43" s="51"/>
      <c r="Y43" s="51"/>
      <c r="Z43" s="51"/>
      <c r="AA43" s="51"/>
    </row>
    <row r="44" spans="1:27" s="53" customFormat="1">
      <c r="B44" s="51">
        <f t="shared" si="0"/>
        <v>39</v>
      </c>
      <c r="C44" s="54" t="s">
        <v>29</v>
      </c>
      <c r="D44" s="54"/>
      <c r="E44" s="54" t="s">
        <v>116</v>
      </c>
      <c r="F44" s="55">
        <v>3703172600</v>
      </c>
      <c r="G44" s="55"/>
      <c r="H44" s="85" t="s">
        <v>354</v>
      </c>
      <c r="I44" s="55" t="s">
        <v>224</v>
      </c>
      <c r="J44" s="55"/>
      <c r="K44" s="55"/>
      <c r="L44" s="51"/>
      <c r="M44" s="51" t="s">
        <v>139</v>
      </c>
      <c r="N44" s="51" t="s">
        <v>116</v>
      </c>
      <c r="O44" s="51" t="s">
        <v>116</v>
      </c>
      <c r="P44" s="51"/>
      <c r="Q44" s="51"/>
      <c r="R44" s="51" t="s">
        <v>116</v>
      </c>
      <c r="S44" s="51" t="s">
        <v>116</v>
      </c>
      <c r="T44" s="51"/>
      <c r="U44" s="51"/>
      <c r="V44" s="51"/>
      <c r="W44" s="51"/>
      <c r="X44" s="51"/>
      <c r="Y44" s="51"/>
      <c r="Z44" s="51"/>
      <c r="AA44" s="51"/>
    </row>
    <row r="45" spans="1:27" s="53" customFormat="1">
      <c r="A45" s="53" t="s">
        <v>116</v>
      </c>
      <c r="B45" s="51">
        <f t="shared" si="0"/>
        <v>40</v>
      </c>
      <c r="C45" s="54" t="s">
        <v>30</v>
      </c>
      <c r="D45" s="54"/>
      <c r="E45" s="54"/>
      <c r="F45" s="87">
        <v>3703190670</v>
      </c>
      <c r="G45" s="87"/>
      <c r="H45" s="55" t="s">
        <v>189</v>
      </c>
      <c r="I45" s="55" t="s">
        <v>226</v>
      </c>
      <c r="J45" s="55"/>
      <c r="K45" s="87"/>
      <c r="L45" s="51"/>
      <c r="M45" s="51" t="s">
        <v>139</v>
      </c>
      <c r="N45" s="51" t="s">
        <v>116</v>
      </c>
      <c r="O45" s="51" t="s">
        <v>116</v>
      </c>
      <c r="P45" s="51"/>
      <c r="Q45" s="51"/>
      <c r="R45" s="51" t="s">
        <v>116</v>
      </c>
      <c r="S45" s="51" t="s">
        <v>116</v>
      </c>
      <c r="T45" s="51"/>
      <c r="U45" s="51"/>
      <c r="V45" s="51"/>
      <c r="W45" s="51"/>
      <c r="X45" s="51"/>
      <c r="Y45" s="51"/>
      <c r="Z45" s="51"/>
      <c r="AA45" s="51"/>
    </row>
    <row r="46" spans="1:27" s="53" customFormat="1">
      <c r="A46" s="53" t="s">
        <v>116</v>
      </c>
      <c r="B46" s="51">
        <f t="shared" si="0"/>
        <v>41</v>
      </c>
      <c r="C46" s="54" t="s">
        <v>31</v>
      </c>
      <c r="D46" s="54"/>
      <c r="E46" s="54"/>
      <c r="F46" s="87">
        <v>3703192928</v>
      </c>
      <c r="G46" s="87"/>
      <c r="H46" s="87" t="s">
        <v>193</v>
      </c>
      <c r="I46" s="55" t="s">
        <v>216</v>
      </c>
      <c r="J46" s="55"/>
      <c r="K46" s="87"/>
      <c r="L46" s="51"/>
      <c r="M46" s="51" t="s">
        <v>139</v>
      </c>
      <c r="N46" s="51" t="s">
        <v>116</v>
      </c>
      <c r="O46" s="51" t="s">
        <v>116</v>
      </c>
      <c r="P46" s="51"/>
      <c r="Q46" s="51"/>
      <c r="R46" s="51" t="s">
        <v>116</v>
      </c>
      <c r="S46" s="51" t="s">
        <v>116</v>
      </c>
      <c r="T46" s="51"/>
      <c r="U46" s="51"/>
      <c r="V46" s="51"/>
      <c r="W46" s="130" t="s">
        <v>386</v>
      </c>
      <c r="X46" s="130" t="s">
        <v>387</v>
      </c>
      <c r="Y46" s="51"/>
      <c r="Z46" s="51"/>
      <c r="AA46" s="51"/>
    </row>
    <row r="47" spans="1:27">
      <c r="B47" s="21">
        <f t="shared" si="0"/>
        <v>42</v>
      </c>
      <c r="C47" s="22" t="s">
        <v>102</v>
      </c>
      <c r="D47" s="22"/>
      <c r="E47" s="22"/>
      <c r="F47" s="24">
        <v>3702928644</v>
      </c>
      <c r="G47" s="24"/>
      <c r="H47" s="24" t="s">
        <v>190</v>
      </c>
      <c r="I47" s="24" t="s">
        <v>216</v>
      </c>
      <c r="J47" s="24"/>
      <c r="K47" s="24"/>
      <c r="L47" s="21" t="s">
        <v>101</v>
      </c>
      <c r="M47" s="21" t="s">
        <v>139</v>
      </c>
      <c r="N47" s="21" t="s">
        <v>116</v>
      </c>
      <c r="O47" s="21" t="s">
        <v>116</v>
      </c>
      <c r="P47" s="21"/>
      <c r="Q47" s="21" t="s">
        <v>184</v>
      </c>
      <c r="R47" s="21" t="s">
        <v>116</v>
      </c>
      <c r="S47" s="21" t="s">
        <v>116</v>
      </c>
      <c r="T47" s="21"/>
      <c r="U47" s="21"/>
      <c r="V47" s="21"/>
      <c r="W47" s="21"/>
      <c r="X47" s="21"/>
      <c r="Y47" s="21"/>
      <c r="Z47" s="21"/>
      <c r="AA47" s="21"/>
    </row>
    <row r="48" spans="1:27" ht="30">
      <c r="B48" s="21">
        <f t="shared" si="0"/>
        <v>43</v>
      </c>
      <c r="C48" s="44" t="s">
        <v>33</v>
      </c>
      <c r="D48" s="44"/>
      <c r="E48" s="44"/>
      <c r="F48" s="23">
        <v>3703229529</v>
      </c>
      <c r="G48" s="23"/>
      <c r="H48" s="23" t="s">
        <v>190</v>
      </c>
      <c r="I48" s="24" t="s">
        <v>221</v>
      </c>
      <c r="J48" s="24"/>
      <c r="K48" s="23"/>
      <c r="L48" s="21" t="s">
        <v>101</v>
      </c>
      <c r="M48" s="21" t="s">
        <v>139</v>
      </c>
      <c r="N48" s="21" t="s">
        <v>116</v>
      </c>
      <c r="O48" s="21" t="s">
        <v>116</v>
      </c>
      <c r="P48" s="21"/>
      <c r="Q48" s="21"/>
      <c r="R48" s="21" t="s">
        <v>116</v>
      </c>
      <c r="S48" s="21" t="s">
        <v>116</v>
      </c>
      <c r="T48" s="21"/>
      <c r="U48" s="21"/>
      <c r="V48" s="21"/>
      <c r="W48" s="21"/>
      <c r="X48" s="21"/>
      <c r="Y48" s="21"/>
      <c r="Z48" s="21"/>
      <c r="AA48" s="21"/>
    </row>
    <row r="49" spans="1:27" s="53" customFormat="1">
      <c r="B49" s="51">
        <f t="shared" si="0"/>
        <v>44</v>
      </c>
      <c r="C49" s="84" t="s">
        <v>34</v>
      </c>
      <c r="D49" s="84"/>
      <c r="E49" s="84"/>
      <c r="F49" s="85">
        <v>3703243650</v>
      </c>
      <c r="G49" s="85"/>
      <c r="H49" s="55" t="s">
        <v>189</v>
      </c>
      <c r="I49" s="55" t="s">
        <v>226</v>
      </c>
      <c r="J49" s="55"/>
      <c r="K49" s="85"/>
      <c r="L49" s="51" t="s">
        <v>81</v>
      </c>
      <c r="M49" s="51" t="s">
        <v>139</v>
      </c>
      <c r="N49" s="51" t="s">
        <v>116</v>
      </c>
      <c r="O49" s="51" t="s">
        <v>116</v>
      </c>
      <c r="P49" s="51"/>
      <c r="Q49" s="51"/>
      <c r="R49" s="51" t="s">
        <v>116</v>
      </c>
      <c r="S49" s="51" t="s">
        <v>116</v>
      </c>
      <c r="T49" s="51"/>
      <c r="U49" s="51"/>
      <c r="V49" s="51"/>
      <c r="W49" s="51"/>
      <c r="X49" s="51"/>
      <c r="Y49" s="51"/>
      <c r="Z49" s="51"/>
      <c r="AA49" s="51"/>
    </row>
    <row r="50" spans="1:27">
      <c r="B50" s="21">
        <f t="shared" si="0"/>
        <v>45</v>
      </c>
      <c r="C50" s="44" t="s">
        <v>35</v>
      </c>
      <c r="D50" s="44"/>
      <c r="E50" s="44"/>
      <c r="F50" s="23">
        <v>3703127125</v>
      </c>
      <c r="G50" s="23"/>
      <c r="H50" s="24" t="s">
        <v>190</v>
      </c>
      <c r="I50" s="24" t="s">
        <v>224</v>
      </c>
      <c r="J50" s="24"/>
      <c r="K50" s="23"/>
      <c r="L50" s="21" t="s">
        <v>101</v>
      </c>
      <c r="M50" s="21" t="s">
        <v>139</v>
      </c>
      <c r="N50" s="21" t="s">
        <v>116</v>
      </c>
      <c r="O50" s="21" t="s">
        <v>116</v>
      </c>
      <c r="P50" s="21"/>
      <c r="Q50" s="21"/>
      <c r="R50" s="21" t="s">
        <v>116</v>
      </c>
      <c r="S50" s="21"/>
      <c r="T50" s="21"/>
      <c r="U50" s="21"/>
      <c r="V50" s="21"/>
      <c r="W50" s="21"/>
      <c r="X50" s="21"/>
      <c r="Y50" s="21"/>
      <c r="Z50" s="21"/>
      <c r="AA50" s="21"/>
    </row>
    <row r="51" spans="1:27">
      <c r="B51" s="21">
        <f t="shared" si="0"/>
        <v>46</v>
      </c>
      <c r="C51" s="44" t="s">
        <v>79</v>
      </c>
      <c r="D51" s="44"/>
      <c r="E51" s="44"/>
      <c r="F51" s="23">
        <v>3703252694</v>
      </c>
      <c r="G51" s="23"/>
      <c r="H51" s="24" t="s">
        <v>191</v>
      </c>
      <c r="I51" s="24" t="s">
        <v>224</v>
      </c>
      <c r="J51" s="24"/>
      <c r="K51" s="23"/>
      <c r="L51" s="21" t="s">
        <v>80</v>
      </c>
      <c r="M51" s="21" t="s">
        <v>139</v>
      </c>
      <c r="N51" s="21" t="s">
        <v>116</v>
      </c>
      <c r="O51" s="21" t="s">
        <v>116</v>
      </c>
      <c r="P51" s="21"/>
      <c r="Q51" s="21"/>
      <c r="R51" s="21" t="s">
        <v>116</v>
      </c>
      <c r="S51" s="21" t="s">
        <v>116</v>
      </c>
      <c r="T51" s="21"/>
      <c r="U51" s="21"/>
      <c r="V51" s="21"/>
      <c r="W51" s="21"/>
      <c r="X51" s="21"/>
      <c r="Y51" s="21"/>
      <c r="Z51" s="21"/>
      <c r="AA51" s="21"/>
    </row>
    <row r="52" spans="1:27" s="53" customFormat="1">
      <c r="B52" s="51">
        <f t="shared" si="0"/>
        <v>47</v>
      </c>
      <c r="C52" s="84" t="s">
        <v>36</v>
      </c>
      <c r="D52" s="84"/>
      <c r="E52" s="84" t="s">
        <v>116</v>
      </c>
      <c r="F52" s="85">
        <v>3703256579</v>
      </c>
      <c r="G52" s="85"/>
      <c r="H52" s="55" t="s">
        <v>189</v>
      </c>
      <c r="I52" s="55" t="s">
        <v>224</v>
      </c>
      <c r="J52" s="55"/>
      <c r="K52" s="85" t="s">
        <v>116</v>
      </c>
      <c r="L52" s="51" t="s">
        <v>81</v>
      </c>
      <c r="M52" s="51" t="s">
        <v>139</v>
      </c>
      <c r="N52" s="51" t="s">
        <v>116</v>
      </c>
      <c r="O52" s="51" t="s">
        <v>116</v>
      </c>
      <c r="P52" s="51"/>
      <c r="Q52" s="51"/>
      <c r="R52" s="51" t="s">
        <v>116</v>
      </c>
      <c r="S52" s="51" t="s">
        <v>116</v>
      </c>
      <c r="T52" s="51"/>
      <c r="U52" s="51"/>
      <c r="V52" s="51"/>
      <c r="W52" s="51"/>
      <c r="X52" s="51"/>
      <c r="Y52" s="51"/>
      <c r="Z52" s="51"/>
      <c r="AA52" s="51"/>
    </row>
    <row r="53" spans="1:27" s="53" customFormat="1" ht="30">
      <c r="A53" s="53" t="s">
        <v>116</v>
      </c>
      <c r="B53" s="51">
        <f t="shared" si="0"/>
        <v>48</v>
      </c>
      <c r="C53" s="84" t="s">
        <v>37</v>
      </c>
      <c r="D53" s="84"/>
      <c r="E53" s="84"/>
      <c r="F53" s="55">
        <v>3702617381</v>
      </c>
      <c r="G53" s="55"/>
      <c r="H53" s="55" t="s">
        <v>192</v>
      </c>
      <c r="I53" s="55" t="s">
        <v>221</v>
      </c>
      <c r="J53" s="55"/>
      <c r="K53" s="55"/>
      <c r="L53" s="51" t="s">
        <v>80</v>
      </c>
      <c r="M53" s="51" t="s">
        <v>139</v>
      </c>
      <c r="N53" s="51" t="s">
        <v>116</v>
      </c>
      <c r="O53" s="51" t="s">
        <v>116</v>
      </c>
      <c r="P53" s="51"/>
      <c r="Q53" s="51"/>
      <c r="R53" s="51" t="s">
        <v>116</v>
      </c>
      <c r="S53" s="51" t="s">
        <v>116</v>
      </c>
      <c r="T53" s="51"/>
      <c r="U53" s="51"/>
      <c r="V53" s="51"/>
      <c r="W53" s="51"/>
      <c r="X53" s="51"/>
      <c r="Y53" s="51"/>
      <c r="Z53" s="51"/>
      <c r="AA53" s="51"/>
    </row>
    <row r="54" spans="1:27">
      <c r="B54" s="21">
        <f t="shared" si="0"/>
        <v>49</v>
      </c>
      <c r="C54" s="44" t="s">
        <v>38</v>
      </c>
      <c r="D54" s="44"/>
      <c r="E54" s="44" t="s">
        <v>116</v>
      </c>
      <c r="F54" s="24">
        <v>3703270157</v>
      </c>
      <c r="G54" s="24"/>
      <c r="H54" s="24" t="s">
        <v>190</v>
      </c>
      <c r="I54" s="24" t="s">
        <v>224</v>
      </c>
      <c r="J54" s="24"/>
      <c r="K54" s="24"/>
      <c r="L54" s="21" t="s">
        <v>80</v>
      </c>
      <c r="M54" s="21" t="s">
        <v>139</v>
      </c>
      <c r="N54" s="21" t="s">
        <v>116</v>
      </c>
      <c r="O54" s="21" t="s">
        <v>116</v>
      </c>
      <c r="P54" s="21"/>
      <c r="Q54" s="21"/>
      <c r="R54" s="21" t="s">
        <v>116</v>
      </c>
      <c r="S54" s="21" t="s">
        <v>116</v>
      </c>
      <c r="T54" s="21"/>
      <c r="U54" s="21"/>
      <c r="V54" s="21"/>
      <c r="W54" s="21"/>
      <c r="X54" s="21"/>
      <c r="Y54" s="21"/>
      <c r="Z54" s="21"/>
      <c r="AA54" s="21"/>
    </row>
    <row r="55" spans="1:27" s="53" customFormat="1">
      <c r="A55" s="53" t="s">
        <v>405</v>
      </c>
      <c r="B55" s="51">
        <f t="shared" si="0"/>
        <v>50</v>
      </c>
      <c r="C55" s="84" t="s">
        <v>39</v>
      </c>
      <c r="D55" s="84"/>
      <c r="E55" s="84"/>
      <c r="F55" s="85">
        <v>3703272108</v>
      </c>
      <c r="G55" s="85"/>
      <c r="H55" s="55" t="s">
        <v>189</v>
      </c>
      <c r="I55" s="55" t="s">
        <v>216</v>
      </c>
      <c r="J55" s="55"/>
      <c r="K55" s="85"/>
      <c r="L55" s="51" t="s">
        <v>82</v>
      </c>
      <c r="M55" s="51" t="s">
        <v>139</v>
      </c>
      <c r="N55" s="51" t="s">
        <v>116</v>
      </c>
      <c r="O55" s="51" t="s">
        <v>116</v>
      </c>
      <c r="P55" s="51"/>
      <c r="Q55" s="51"/>
      <c r="R55" s="51" t="s">
        <v>116</v>
      </c>
      <c r="S55" s="51"/>
      <c r="T55" s="51"/>
      <c r="U55" s="51"/>
      <c r="V55" s="51" t="s">
        <v>291</v>
      </c>
      <c r="W55" s="51"/>
      <c r="X55" s="51"/>
      <c r="Y55" s="51"/>
      <c r="Z55" s="51"/>
      <c r="AA55" s="51"/>
    </row>
    <row r="56" spans="1:27">
      <c r="B56" s="21">
        <f t="shared" si="0"/>
        <v>51</v>
      </c>
      <c r="C56" s="44" t="s">
        <v>41</v>
      </c>
      <c r="D56" s="44"/>
      <c r="E56" s="44"/>
      <c r="F56" s="23">
        <v>3703280028</v>
      </c>
      <c r="G56" s="23"/>
      <c r="H56" s="24" t="s">
        <v>191</v>
      </c>
      <c r="I56" s="24" t="s">
        <v>224</v>
      </c>
      <c r="J56" s="24"/>
      <c r="K56" s="23"/>
      <c r="L56" s="21" t="s">
        <v>81</v>
      </c>
      <c r="M56" s="21" t="s">
        <v>139</v>
      </c>
      <c r="N56" s="21" t="s">
        <v>116</v>
      </c>
      <c r="O56" s="21" t="s">
        <v>116</v>
      </c>
      <c r="P56" s="21"/>
      <c r="Q56" s="21"/>
      <c r="R56" s="21" t="s">
        <v>116</v>
      </c>
      <c r="S56" s="21" t="s">
        <v>116</v>
      </c>
      <c r="T56" s="21"/>
      <c r="U56" s="21"/>
      <c r="V56" s="21"/>
      <c r="W56" s="21"/>
      <c r="X56" s="21"/>
      <c r="Y56" s="21"/>
      <c r="Z56" s="21"/>
      <c r="AA56" s="21"/>
    </row>
    <row r="57" spans="1:27">
      <c r="B57" s="21">
        <f t="shared" si="0"/>
        <v>52</v>
      </c>
      <c r="C57" s="44" t="s">
        <v>310</v>
      </c>
      <c r="D57" s="44"/>
      <c r="E57" s="44"/>
      <c r="F57" s="23">
        <v>3702754130</v>
      </c>
      <c r="G57" s="23"/>
      <c r="H57" s="24" t="s">
        <v>192</v>
      </c>
      <c r="I57" s="24" t="s">
        <v>216</v>
      </c>
      <c r="J57" s="24"/>
      <c r="K57" s="23"/>
      <c r="L57" s="21" t="s">
        <v>81</v>
      </c>
      <c r="M57" s="21" t="s">
        <v>139</v>
      </c>
      <c r="N57" s="21" t="s">
        <v>116</v>
      </c>
      <c r="O57" s="21" t="s">
        <v>116</v>
      </c>
      <c r="P57" s="21"/>
      <c r="Q57" s="21"/>
      <c r="R57" s="21" t="s">
        <v>116</v>
      </c>
      <c r="S57" s="21"/>
      <c r="T57" s="21"/>
      <c r="U57" s="21"/>
      <c r="V57" s="21"/>
      <c r="W57" s="21"/>
      <c r="X57" s="21"/>
      <c r="Y57" s="21"/>
      <c r="Z57" s="21"/>
      <c r="AA57" s="21"/>
    </row>
    <row r="58" spans="1:27">
      <c r="B58" s="21">
        <f t="shared" si="0"/>
        <v>53</v>
      </c>
      <c r="C58" s="44" t="s">
        <v>140</v>
      </c>
      <c r="D58" s="44"/>
      <c r="E58" s="44"/>
      <c r="F58" s="23">
        <v>3703319557</v>
      </c>
      <c r="G58" s="23"/>
      <c r="H58" s="23" t="s">
        <v>190</v>
      </c>
      <c r="I58" s="24" t="s">
        <v>224</v>
      </c>
      <c r="J58" s="24"/>
      <c r="K58" s="23"/>
      <c r="L58" s="21" t="s">
        <v>81</v>
      </c>
      <c r="M58" s="21" t="s">
        <v>139</v>
      </c>
      <c r="N58" s="21" t="s">
        <v>116</v>
      </c>
      <c r="O58" s="21" t="s">
        <v>116</v>
      </c>
      <c r="P58" s="21"/>
      <c r="Q58" s="21"/>
      <c r="R58" s="21" t="s">
        <v>116</v>
      </c>
      <c r="S58" s="21" t="s">
        <v>116</v>
      </c>
      <c r="T58" s="21"/>
      <c r="U58" s="21"/>
      <c r="V58" s="21"/>
      <c r="W58" s="21"/>
      <c r="X58" s="21"/>
      <c r="Y58" s="21"/>
      <c r="Z58" s="21"/>
      <c r="AA58" s="21"/>
    </row>
    <row r="59" spans="1:27">
      <c r="B59" s="21">
        <f t="shared" si="0"/>
        <v>54</v>
      </c>
      <c r="C59" s="44" t="s">
        <v>42</v>
      </c>
      <c r="D59" s="44"/>
      <c r="E59" s="44" t="s">
        <v>116</v>
      </c>
      <c r="F59" s="23">
        <v>3703029424</v>
      </c>
      <c r="G59" s="23"/>
      <c r="H59" s="24" t="s">
        <v>200</v>
      </c>
      <c r="I59" s="24" t="s">
        <v>224</v>
      </c>
      <c r="J59" s="24"/>
      <c r="K59" s="23"/>
      <c r="L59" s="21" t="s">
        <v>81</v>
      </c>
      <c r="M59" s="21" t="s">
        <v>139</v>
      </c>
      <c r="N59" s="21" t="s">
        <v>116</v>
      </c>
      <c r="O59" s="21" t="s">
        <v>116</v>
      </c>
      <c r="P59" s="21"/>
      <c r="Q59" s="21"/>
      <c r="R59" s="21" t="s">
        <v>116</v>
      </c>
      <c r="S59" s="21" t="s">
        <v>116</v>
      </c>
      <c r="T59" s="21"/>
      <c r="U59" s="21"/>
      <c r="V59" s="21"/>
      <c r="W59" s="21"/>
      <c r="X59" s="21"/>
      <c r="Y59" s="21"/>
      <c r="Z59" s="21"/>
      <c r="AA59" s="21"/>
    </row>
    <row r="60" spans="1:27" s="46" customFormat="1">
      <c r="A60" s="46" t="s">
        <v>388</v>
      </c>
      <c r="B60" s="71">
        <f t="shared" si="0"/>
        <v>55</v>
      </c>
      <c r="C60" s="88" t="s">
        <v>43</v>
      </c>
      <c r="D60" s="88"/>
      <c r="E60" s="88"/>
      <c r="F60" s="89">
        <v>3703331723</v>
      </c>
      <c r="G60" s="89"/>
      <c r="H60" s="86" t="s">
        <v>192</v>
      </c>
      <c r="I60" s="86" t="s">
        <v>224</v>
      </c>
      <c r="J60" s="86"/>
      <c r="K60" s="89"/>
      <c r="L60" s="71" t="s">
        <v>82</v>
      </c>
      <c r="M60" s="71" t="s">
        <v>139</v>
      </c>
      <c r="N60" s="71" t="s">
        <v>116</v>
      </c>
      <c r="O60" s="71" t="s">
        <v>116</v>
      </c>
      <c r="P60" s="71"/>
      <c r="Q60" s="71" t="s">
        <v>116</v>
      </c>
      <c r="R60" s="71" t="s">
        <v>116</v>
      </c>
      <c r="S60" s="71" t="s">
        <v>116</v>
      </c>
      <c r="T60" s="71"/>
      <c r="U60" s="71"/>
      <c r="V60" s="71"/>
      <c r="W60" s="71" t="s">
        <v>386</v>
      </c>
      <c r="X60" s="71" t="s">
        <v>387</v>
      </c>
      <c r="Y60" s="71"/>
      <c r="Z60" s="71"/>
      <c r="AA60" s="71"/>
    </row>
    <row r="61" spans="1:27" s="53" customFormat="1">
      <c r="B61" s="51">
        <f t="shared" si="0"/>
        <v>56</v>
      </c>
      <c r="C61" s="84" t="s">
        <v>44</v>
      </c>
      <c r="D61" s="84"/>
      <c r="E61" s="84"/>
      <c r="F61" s="85">
        <v>3703332759</v>
      </c>
      <c r="G61" s="85"/>
      <c r="H61" s="55" t="s">
        <v>243</v>
      </c>
      <c r="I61" s="55" t="s">
        <v>224</v>
      </c>
      <c r="J61" s="55"/>
      <c r="K61" s="85"/>
      <c r="L61" s="51" t="s">
        <v>81</v>
      </c>
      <c r="M61" s="51" t="s">
        <v>139</v>
      </c>
      <c r="N61" s="51" t="s">
        <v>116</v>
      </c>
      <c r="O61" s="51" t="s">
        <v>116</v>
      </c>
      <c r="P61" s="51"/>
      <c r="Q61" s="51"/>
      <c r="R61" s="51" t="s">
        <v>116</v>
      </c>
      <c r="S61" s="51" t="s">
        <v>116</v>
      </c>
      <c r="T61" s="51"/>
      <c r="U61" s="51"/>
      <c r="V61" s="51"/>
      <c r="W61" s="51"/>
      <c r="X61" s="51"/>
      <c r="Y61" s="51"/>
      <c r="Z61" s="51"/>
      <c r="AA61" s="51"/>
    </row>
    <row r="62" spans="1:27">
      <c r="B62" s="21">
        <f t="shared" si="0"/>
        <v>57</v>
      </c>
      <c r="C62" s="44" t="s">
        <v>45</v>
      </c>
      <c r="D62" s="44"/>
      <c r="E62" s="44" t="s">
        <v>116</v>
      </c>
      <c r="F62" s="23">
        <v>3703316972</v>
      </c>
      <c r="G62" s="23"/>
      <c r="H62" s="24" t="s">
        <v>189</v>
      </c>
      <c r="I62" s="24" t="s">
        <v>228</v>
      </c>
      <c r="J62" s="24"/>
      <c r="K62" s="23"/>
      <c r="L62" s="21" t="s">
        <v>81</v>
      </c>
      <c r="M62" s="21" t="s">
        <v>139</v>
      </c>
      <c r="N62" s="21" t="s">
        <v>116</v>
      </c>
      <c r="O62" s="21" t="s">
        <v>116</v>
      </c>
      <c r="P62" s="21"/>
      <c r="Q62" s="21"/>
      <c r="R62" s="21" t="s">
        <v>116</v>
      </c>
      <c r="S62" s="21" t="s">
        <v>116</v>
      </c>
      <c r="T62" s="21"/>
      <c r="U62" s="21"/>
      <c r="V62" s="21"/>
      <c r="W62" s="21"/>
      <c r="X62" s="21"/>
      <c r="Y62" s="21"/>
      <c r="Z62" s="21"/>
      <c r="AA62" s="21"/>
    </row>
    <row r="63" spans="1:27" s="53" customFormat="1">
      <c r="A63" s="53" t="s">
        <v>116</v>
      </c>
      <c r="B63" s="51">
        <f t="shared" si="0"/>
        <v>58</v>
      </c>
      <c r="C63" s="84" t="s">
        <v>46</v>
      </c>
      <c r="D63" s="84"/>
      <c r="E63" s="84"/>
      <c r="F63" s="85">
        <v>3703333061</v>
      </c>
      <c r="G63" s="85"/>
      <c r="H63" s="85" t="s">
        <v>192</v>
      </c>
      <c r="I63" s="55" t="s">
        <v>224</v>
      </c>
      <c r="J63" s="55"/>
      <c r="K63" s="85"/>
      <c r="L63" s="51" t="s">
        <v>62</v>
      </c>
      <c r="M63" s="51" t="s">
        <v>139</v>
      </c>
      <c r="N63" s="51" t="s">
        <v>116</v>
      </c>
      <c r="O63" s="51" t="s">
        <v>116</v>
      </c>
      <c r="P63" s="51"/>
      <c r="Q63" s="51"/>
      <c r="R63" s="51" t="s">
        <v>116</v>
      </c>
      <c r="S63" s="51" t="s">
        <v>116</v>
      </c>
      <c r="T63" s="51"/>
      <c r="U63" s="51"/>
      <c r="V63" s="51"/>
      <c r="W63" s="51"/>
      <c r="X63" s="51"/>
      <c r="Y63" s="51"/>
      <c r="Z63" s="51"/>
      <c r="AA63" s="51"/>
    </row>
    <row r="64" spans="1:27">
      <c r="B64" s="21">
        <f t="shared" si="0"/>
        <v>59</v>
      </c>
      <c r="C64" s="44" t="s">
        <v>47</v>
      </c>
      <c r="D64" s="44"/>
      <c r="E64" s="44"/>
      <c r="F64" s="23">
        <v>3703335492</v>
      </c>
      <c r="G64" s="23"/>
      <c r="H64" s="23" t="s">
        <v>190</v>
      </c>
      <c r="I64" s="24" t="s">
        <v>216</v>
      </c>
      <c r="J64" s="24"/>
      <c r="K64" s="23"/>
      <c r="L64" s="21" t="s">
        <v>62</v>
      </c>
      <c r="M64" s="21" t="s">
        <v>139</v>
      </c>
      <c r="N64" s="21" t="s">
        <v>116</v>
      </c>
      <c r="O64" s="21" t="s">
        <v>116</v>
      </c>
      <c r="P64" s="21"/>
      <c r="Q64" s="21"/>
      <c r="R64" s="21" t="s">
        <v>116</v>
      </c>
      <c r="S64" s="21" t="s">
        <v>116</v>
      </c>
      <c r="T64" s="21"/>
      <c r="U64" s="21"/>
      <c r="V64" s="21"/>
      <c r="W64" s="21"/>
      <c r="X64" s="21"/>
      <c r="Y64" s="21"/>
      <c r="Z64" s="21"/>
      <c r="AA64" s="21"/>
    </row>
    <row r="65" spans="1:27">
      <c r="B65" s="21">
        <f t="shared" si="0"/>
        <v>60</v>
      </c>
      <c r="C65" s="44" t="s">
        <v>48</v>
      </c>
      <c r="D65" s="44"/>
      <c r="E65" s="44" t="s">
        <v>116</v>
      </c>
      <c r="F65" s="23">
        <v>3703338006</v>
      </c>
      <c r="G65" s="23"/>
      <c r="H65" s="24" t="s">
        <v>189</v>
      </c>
      <c r="I65" s="24" t="s">
        <v>226</v>
      </c>
      <c r="J65" s="24"/>
      <c r="K65" s="23"/>
      <c r="L65" s="21" t="s">
        <v>82</v>
      </c>
      <c r="M65" s="21" t="s">
        <v>139</v>
      </c>
      <c r="N65" s="21" t="s">
        <v>116</v>
      </c>
      <c r="O65" s="21" t="s">
        <v>116</v>
      </c>
      <c r="P65" s="21"/>
      <c r="Q65" s="21"/>
      <c r="R65" s="21" t="s">
        <v>116</v>
      </c>
      <c r="S65" s="21" t="s">
        <v>116</v>
      </c>
      <c r="T65" s="21"/>
      <c r="U65" s="21"/>
      <c r="V65" s="21"/>
      <c r="W65" s="21"/>
      <c r="X65" s="21"/>
      <c r="Y65" s="21"/>
      <c r="Z65" s="21"/>
      <c r="AA65" s="21"/>
    </row>
    <row r="66" spans="1:27" s="53" customFormat="1">
      <c r="B66" s="51">
        <f t="shared" si="0"/>
        <v>61</v>
      </c>
      <c r="C66" s="84" t="s">
        <v>49</v>
      </c>
      <c r="D66" s="84"/>
      <c r="E66" s="84"/>
      <c r="F66" s="85">
        <v>3703328248</v>
      </c>
      <c r="G66" s="85"/>
      <c r="H66" s="55" t="s">
        <v>189</v>
      </c>
      <c r="I66" s="55" t="s">
        <v>216</v>
      </c>
      <c r="J66" s="55"/>
      <c r="K66" s="85"/>
      <c r="L66" s="51" t="s">
        <v>62</v>
      </c>
      <c r="M66" s="51" t="s">
        <v>139</v>
      </c>
      <c r="N66" s="51" t="s">
        <v>116</v>
      </c>
      <c r="O66" s="51" t="s">
        <v>116</v>
      </c>
      <c r="P66" s="51"/>
      <c r="Q66" s="51"/>
      <c r="R66" s="51" t="s">
        <v>116</v>
      </c>
      <c r="S66" s="51"/>
      <c r="T66" s="51"/>
      <c r="U66" s="51"/>
      <c r="V66" s="51" t="s">
        <v>291</v>
      </c>
      <c r="W66" s="51"/>
      <c r="X66" s="51"/>
      <c r="Y66" s="51"/>
      <c r="Z66" s="51"/>
      <c r="AA66" s="51"/>
    </row>
    <row r="67" spans="1:27">
      <c r="A67" s="20" t="s">
        <v>116</v>
      </c>
      <c r="B67" s="21">
        <f t="shared" si="0"/>
        <v>62</v>
      </c>
      <c r="C67" s="44" t="s">
        <v>71</v>
      </c>
      <c r="D67" s="44"/>
      <c r="E67" s="44"/>
      <c r="F67" s="23">
        <v>3703328248</v>
      </c>
      <c r="G67" s="23"/>
      <c r="H67" s="23" t="s">
        <v>192</v>
      </c>
      <c r="I67" s="24" t="s">
        <v>226</v>
      </c>
      <c r="J67" s="24"/>
      <c r="K67" s="23"/>
      <c r="L67" s="21" t="s">
        <v>81</v>
      </c>
      <c r="M67" s="21" t="s">
        <v>139</v>
      </c>
      <c r="N67" s="21" t="s">
        <v>116</v>
      </c>
      <c r="O67" s="21" t="s">
        <v>116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s="53" customFormat="1">
      <c r="B68" s="51">
        <f t="shared" si="0"/>
        <v>63</v>
      </c>
      <c r="C68" s="84" t="s">
        <v>50</v>
      </c>
      <c r="D68" s="84"/>
      <c r="E68" s="84" t="s">
        <v>116</v>
      </c>
      <c r="F68" s="85">
        <v>3703353854</v>
      </c>
      <c r="G68" s="85"/>
      <c r="H68" s="85" t="s">
        <v>192</v>
      </c>
      <c r="I68" s="55" t="s">
        <v>226</v>
      </c>
      <c r="J68" s="55"/>
      <c r="K68" s="85"/>
      <c r="L68" s="51" t="s">
        <v>80</v>
      </c>
      <c r="M68" s="51" t="s">
        <v>139</v>
      </c>
      <c r="N68" s="51" t="s">
        <v>116</v>
      </c>
      <c r="O68" s="51" t="s">
        <v>116</v>
      </c>
      <c r="P68" s="51"/>
      <c r="Q68" s="51"/>
      <c r="R68" s="51" t="s">
        <v>116</v>
      </c>
      <c r="S68" s="51" t="s">
        <v>116</v>
      </c>
      <c r="T68" s="51"/>
      <c r="U68" s="51"/>
      <c r="V68" s="51"/>
      <c r="W68" s="51"/>
      <c r="X68" s="51"/>
      <c r="Y68" s="51"/>
      <c r="Z68" s="51"/>
      <c r="AA68" s="51"/>
    </row>
    <row r="69" spans="1:27" s="53" customFormat="1">
      <c r="B69" s="51">
        <f t="shared" si="0"/>
        <v>64</v>
      </c>
      <c r="C69" s="84" t="s">
        <v>51</v>
      </c>
      <c r="D69" s="84"/>
      <c r="E69" s="84"/>
      <c r="F69" s="92">
        <v>3703361319</v>
      </c>
      <c r="G69" s="92"/>
      <c r="H69" s="55" t="s">
        <v>189</v>
      </c>
      <c r="I69" s="55" t="s">
        <v>224</v>
      </c>
      <c r="J69" s="55"/>
      <c r="K69" s="92"/>
      <c r="L69" s="51" t="s">
        <v>81</v>
      </c>
      <c r="M69" s="51" t="s">
        <v>139</v>
      </c>
      <c r="N69" s="51" t="s">
        <v>116</v>
      </c>
      <c r="O69" s="51" t="s">
        <v>116</v>
      </c>
      <c r="P69" s="51"/>
      <c r="Q69" s="51"/>
      <c r="R69" s="51" t="s">
        <v>116</v>
      </c>
      <c r="S69" s="51" t="s">
        <v>116</v>
      </c>
      <c r="T69" s="51"/>
      <c r="U69" s="51"/>
      <c r="V69" s="51"/>
      <c r="W69" s="51"/>
      <c r="X69" s="51"/>
      <c r="Y69" s="51"/>
      <c r="Z69" s="51"/>
      <c r="AA69" s="51"/>
    </row>
    <row r="70" spans="1:27">
      <c r="B70" s="21">
        <f t="shared" si="0"/>
        <v>65</v>
      </c>
      <c r="C70" s="44" t="s">
        <v>53</v>
      </c>
      <c r="D70" s="44"/>
      <c r="E70" s="44"/>
      <c r="F70" s="23" t="s">
        <v>54</v>
      </c>
      <c r="G70" s="23"/>
      <c r="H70" s="23" t="s">
        <v>190</v>
      </c>
      <c r="I70" s="24" t="s">
        <v>216</v>
      </c>
      <c r="J70" s="24"/>
      <c r="K70" s="23"/>
      <c r="L70" s="21" t="s">
        <v>84</v>
      </c>
      <c r="M70" s="21" t="s">
        <v>139</v>
      </c>
      <c r="N70" s="21" t="s">
        <v>116</v>
      </c>
      <c r="O70" s="21" t="s">
        <v>116</v>
      </c>
      <c r="P70" s="21"/>
      <c r="Q70" s="21"/>
      <c r="R70" s="21" t="s">
        <v>116</v>
      </c>
      <c r="S70" s="21" t="s">
        <v>116</v>
      </c>
      <c r="T70" s="21"/>
      <c r="U70" s="21"/>
      <c r="V70" s="21"/>
      <c r="W70" s="21"/>
      <c r="X70" s="21"/>
      <c r="Y70" s="21"/>
      <c r="Z70" s="21"/>
      <c r="AA70" s="21"/>
    </row>
    <row r="71" spans="1:27" s="53" customFormat="1">
      <c r="B71" s="51">
        <f t="shared" si="0"/>
        <v>66</v>
      </c>
      <c r="C71" s="84" t="s">
        <v>134</v>
      </c>
      <c r="D71" s="84"/>
      <c r="E71" s="84"/>
      <c r="F71" s="85">
        <v>3703357489</v>
      </c>
      <c r="G71" s="85"/>
      <c r="H71" s="85" t="s">
        <v>313</v>
      </c>
      <c r="I71" s="55" t="s">
        <v>216</v>
      </c>
      <c r="J71" s="55"/>
      <c r="K71" s="85"/>
      <c r="L71" s="51" t="s">
        <v>81</v>
      </c>
      <c r="M71" s="51" t="s">
        <v>139</v>
      </c>
      <c r="N71" s="51" t="s">
        <v>116</v>
      </c>
      <c r="O71" s="51" t="s">
        <v>116</v>
      </c>
      <c r="P71" s="51"/>
      <c r="Q71" s="51"/>
      <c r="R71" s="51" t="s">
        <v>116</v>
      </c>
      <c r="S71" s="51" t="s">
        <v>116</v>
      </c>
      <c r="T71" s="51"/>
      <c r="U71" s="51"/>
      <c r="V71" s="51"/>
      <c r="W71" s="51"/>
      <c r="X71" s="51"/>
      <c r="Y71" s="51"/>
      <c r="Z71" s="51"/>
      <c r="AA71" s="51"/>
    </row>
    <row r="72" spans="1:27" s="53" customFormat="1">
      <c r="A72" s="53" t="s">
        <v>116</v>
      </c>
      <c r="B72" s="51">
        <f t="shared" ref="B72:B113" si="1">B71+1</f>
        <v>67</v>
      </c>
      <c r="C72" s="84" t="s">
        <v>55</v>
      </c>
      <c r="D72" s="84"/>
      <c r="E72" s="84"/>
      <c r="F72" s="85">
        <v>3703385020</v>
      </c>
      <c r="G72" s="85"/>
      <c r="H72" s="85" t="s">
        <v>190</v>
      </c>
      <c r="I72" s="55" t="s">
        <v>216</v>
      </c>
      <c r="J72" s="55"/>
      <c r="K72" s="85"/>
      <c r="L72" s="51" t="s">
        <v>81</v>
      </c>
      <c r="M72" s="51" t="s">
        <v>139</v>
      </c>
      <c r="N72" s="51"/>
      <c r="O72" s="51"/>
      <c r="P72" s="51"/>
      <c r="Q72" s="51"/>
      <c r="R72" s="51" t="s">
        <v>116</v>
      </c>
      <c r="S72" s="51" t="s">
        <v>116</v>
      </c>
      <c r="T72" s="51"/>
      <c r="U72" s="51"/>
      <c r="V72" s="51"/>
      <c r="W72" s="51"/>
      <c r="X72" s="51"/>
      <c r="Y72" s="51"/>
      <c r="Z72" s="51"/>
      <c r="AA72" s="51"/>
    </row>
    <row r="73" spans="1:27" s="53" customFormat="1">
      <c r="A73" s="53" t="s">
        <v>116</v>
      </c>
      <c r="B73" s="51">
        <f t="shared" si="1"/>
        <v>68</v>
      </c>
      <c r="C73" s="84" t="s">
        <v>85</v>
      </c>
      <c r="D73" s="84"/>
      <c r="E73" s="84"/>
      <c r="F73" s="85">
        <v>52195002711</v>
      </c>
      <c r="G73" s="85"/>
      <c r="H73" s="55" t="s">
        <v>192</v>
      </c>
      <c r="I73" s="55"/>
      <c r="J73" s="55"/>
      <c r="K73" s="85"/>
      <c r="L73" s="51" t="s">
        <v>81</v>
      </c>
      <c r="M73" s="51" t="s">
        <v>139</v>
      </c>
      <c r="N73" s="51" t="s">
        <v>116</v>
      </c>
      <c r="O73" s="51" t="s">
        <v>116</v>
      </c>
      <c r="P73" s="51" t="s">
        <v>116</v>
      </c>
      <c r="Q73" s="51"/>
      <c r="R73" s="51" t="s">
        <v>116</v>
      </c>
      <c r="S73" s="51" t="s">
        <v>116</v>
      </c>
      <c r="T73" s="51"/>
      <c r="U73" s="51"/>
      <c r="V73" s="51"/>
      <c r="W73" s="51"/>
      <c r="X73" s="51"/>
      <c r="Y73" s="51"/>
      <c r="Z73" s="51"/>
      <c r="AA73" s="51"/>
    </row>
    <row r="74" spans="1:27" s="53" customFormat="1">
      <c r="A74" s="53" t="s">
        <v>116</v>
      </c>
      <c r="B74" s="51">
        <f t="shared" si="1"/>
        <v>69</v>
      </c>
      <c r="C74" s="84" t="s">
        <v>398</v>
      </c>
      <c r="D74" s="84"/>
      <c r="E74" s="84"/>
      <c r="F74" s="85"/>
      <c r="G74" s="85"/>
      <c r="H74" s="55" t="s">
        <v>192</v>
      </c>
      <c r="I74" s="55"/>
      <c r="J74" s="55"/>
      <c r="K74" s="85"/>
      <c r="L74" s="51"/>
      <c r="M74" s="51" t="s">
        <v>139</v>
      </c>
      <c r="N74" s="51" t="s">
        <v>116</v>
      </c>
      <c r="O74" s="51" t="s">
        <v>116</v>
      </c>
      <c r="P74" s="51" t="s">
        <v>116</v>
      </c>
      <c r="Q74" s="51"/>
      <c r="R74" s="51" t="s">
        <v>116</v>
      </c>
      <c r="S74" s="51" t="s">
        <v>116</v>
      </c>
      <c r="T74" s="51"/>
      <c r="U74" s="51"/>
      <c r="V74" s="51"/>
      <c r="W74" s="51"/>
      <c r="X74" s="51"/>
      <c r="Y74" s="51"/>
      <c r="Z74" s="51"/>
      <c r="AA74" s="51"/>
    </row>
    <row r="75" spans="1:27" s="53" customFormat="1">
      <c r="A75" s="53" t="s">
        <v>116</v>
      </c>
      <c r="B75" s="51">
        <f t="shared" si="1"/>
        <v>70</v>
      </c>
      <c r="C75" s="84" t="s">
        <v>56</v>
      </c>
      <c r="D75" s="84"/>
      <c r="E75" s="84"/>
      <c r="F75" s="85"/>
      <c r="G75" s="85"/>
      <c r="H75" s="85" t="s">
        <v>190</v>
      </c>
      <c r="I75" s="55" t="s">
        <v>216</v>
      </c>
      <c r="J75" s="55"/>
      <c r="K75" s="85"/>
      <c r="L75" s="51" t="s">
        <v>81</v>
      </c>
      <c r="M75" s="51" t="s">
        <v>139</v>
      </c>
      <c r="N75" s="51" t="s">
        <v>116</v>
      </c>
      <c r="O75" s="51" t="s">
        <v>116</v>
      </c>
      <c r="P75" s="51"/>
      <c r="Q75" s="51"/>
      <c r="R75" s="51" t="s">
        <v>116</v>
      </c>
      <c r="S75" s="51" t="s">
        <v>116</v>
      </c>
      <c r="T75" s="51"/>
      <c r="U75" s="51"/>
      <c r="V75" s="51"/>
      <c r="W75" s="51" t="s">
        <v>386</v>
      </c>
      <c r="X75" s="51" t="s">
        <v>387</v>
      </c>
      <c r="Y75" s="51"/>
      <c r="Z75" s="51"/>
      <c r="AA75" s="51"/>
    </row>
    <row r="76" spans="1:27" s="53" customFormat="1">
      <c r="A76" s="53" t="s">
        <v>116</v>
      </c>
      <c r="B76" s="51">
        <f t="shared" si="1"/>
        <v>71</v>
      </c>
      <c r="C76" s="84" t="s">
        <v>57</v>
      </c>
      <c r="D76" s="84"/>
      <c r="E76" s="84"/>
      <c r="F76" s="85">
        <v>3703418702</v>
      </c>
      <c r="G76" s="85"/>
      <c r="H76" s="85" t="s">
        <v>193</v>
      </c>
      <c r="I76" s="55" t="s">
        <v>216</v>
      </c>
      <c r="J76" s="55"/>
      <c r="K76" s="85"/>
      <c r="L76" s="51" t="s">
        <v>62</v>
      </c>
      <c r="M76" s="51" t="s">
        <v>139</v>
      </c>
      <c r="N76" s="51" t="s">
        <v>116</v>
      </c>
      <c r="O76" s="51" t="s">
        <v>116</v>
      </c>
      <c r="P76" s="51"/>
      <c r="Q76" s="51"/>
      <c r="R76" s="51" t="s">
        <v>116</v>
      </c>
      <c r="S76" s="51" t="s">
        <v>116</v>
      </c>
      <c r="T76" s="51"/>
      <c r="U76" s="51"/>
      <c r="V76" s="51"/>
      <c r="W76" s="51"/>
      <c r="X76" s="51"/>
      <c r="Y76" s="51"/>
      <c r="Z76" s="51"/>
      <c r="AA76" s="51"/>
    </row>
    <row r="77" spans="1:27" s="53" customFormat="1">
      <c r="A77" s="53" t="s">
        <v>116</v>
      </c>
      <c r="B77" s="51">
        <f t="shared" si="1"/>
        <v>72</v>
      </c>
      <c r="C77" s="84" t="s">
        <v>59</v>
      </c>
      <c r="D77" s="84"/>
      <c r="E77" s="84"/>
      <c r="F77" s="85"/>
      <c r="G77" s="85"/>
      <c r="H77" s="85" t="s">
        <v>245</v>
      </c>
      <c r="I77" s="55" t="s">
        <v>224</v>
      </c>
      <c r="J77" s="55"/>
      <c r="K77" s="85"/>
      <c r="L77" s="51" t="s">
        <v>62</v>
      </c>
      <c r="M77" s="51" t="s">
        <v>139</v>
      </c>
      <c r="N77" s="51" t="s">
        <v>116</v>
      </c>
      <c r="O77" s="51" t="s">
        <v>116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spans="1:27">
      <c r="B78" s="21">
        <f t="shared" si="1"/>
        <v>73</v>
      </c>
      <c r="C78" s="44" t="s">
        <v>60</v>
      </c>
      <c r="D78" s="44"/>
      <c r="E78" s="44"/>
      <c r="F78" s="23"/>
      <c r="G78" s="23"/>
      <c r="H78" s="23" t="s">
        <v>314</v>
      </c>
      <c r="I78" s="24" t="s">
        <v>224</v>
      </c>
      <c r="J78" s="24"/>
      <c r="K78" s="23"/>
      <c r="L78" s="21" t="s">
        <v>81</v>
      </c>
      <c r="M78" s="21" t="s">
        <v>139</v>
      </c>
      <c r="N78" s="21" t="s">
        <v>116</v>
      </c>
      <c r="O78" s="21" t="s">
        <v>116</v>
      </c>
      <c r="P78" s="21"/>
      <c r="Q78" s="21"/>
      <c r="R78" s="21" t="s">
        <v>116</v>
      </c>
      <c r="S78" s="21" t="s">
        <v>116</v>
      </c>
      <c r="T78" s="21"/>
      <c r="U78" s="21"/>
      <c r="V78" s="21"/>
      <c r="W78" s="21"/>
      <c r="X78" s="21"/>
      <c r="Y78" s="21"/>
      <c r="Z78" s="21"/>
      <c r="AA78" s="21"/>
    </row>
    <row r="79" spans="1:27">
      <c r="B79" s="21">
        <f t="shared" si="1"/>
        <v>74</v>
      </c>
      <c r="C79" s="44" t="s">
        <v>61</v>
      </c>
      <c r="D79" s="44"/>
      <c r="E79" s="44"/>
      <c r="F79" s="23"/>
      <c r="G79" s="23"/>
      <c r="H79" s="24" t="s">
        <v>189</v>
      </c>
      <c r="I79" s="24" t="s">
        <v>216</v>
      </c>
      <c r="J79" s="24"/>
      <c r="K79" s="23"/>
      <c r="L79" s="21" t="s">
        <v>80</v>
      </c>
      <c r="M79" s="21" t="s">
        <v>139</v>
      </c>
      <c r="N79" s="21" t="s">
        <v>116</v>
      </c>
      <c r="O79" s="21" t="s">
        <v>116</v>
      </c>
      <c r="P79" s="21" t="s">
        <v>116</v>
      </c>
      <c r="Q79" s="21"/>
      <c r="R79" s="21" t="s">
        <v>116</v>
      </c>
      <c r="S79" s="21" t="s">
        <v>116</v>
      </c>
      <c r="T79" s="21"/>
      <c r="U79" s="21"/>
      <c r="V79" s="21"/>
      <c r="W79" s="21"/>
      <c r="X79" s="21"/>
      <c r="Y79" s="21"/>
      <c r="Z79" s="21"/>
      <c r="AA79" s="21"/>
    </row>
    <row r="80" spans="1:27">
      <c r="B80" s="21">
        <f t="shared" si="1"/>
        <v>75</v>
      </c>
      <c r="C80" s="44" t="s">
        <v>132</v>
      </c>
      <c r="D80" s="44"/>
      <c r="E80" s="44"/>
      <c r="F80" s="114">
        <v>3703366081</v>
      </c>
      <c r="G80" s="114"/>
      <c r="H80" s="114" t="s">
        <v>193</v>
      </c>
      <c r="I80" s="24" t="s">
        <v>226</v>
      </c>
      <c r="J80" s="24"/>
      <c r="K80" s="114"/>
      <c r="L80" s="21" t="s">
        <v>81</v>
      </c>
      <c r="M80" s="21" t="s">
        <v>139</v>
      </c>
      <c r="N80" s="21" t="s">
        <v>116</v>
      </c>
      <c r="O80" s="21" t="s">
        <v>116</v>
      </c>
      <c r="P80" s="21"/>
      <c r="Q80" s="21"/>
      <c r="R80" s="21" t="s">
        <v>116</v>
      </c>
      <c r="S80" s="21" t="s">
        <v>116</v>
      </c>
      <c r="T80" s="21"/>
      <c r="U80" s="21"/>
      <c r="V80" s="21"/>
      <c r="W80" s="21"/>
      <c r="X80" s="21"/>
      <c r="Y80" s="21"/>
      <c r="Z80" s="21"/>
      <c r="AA80" s="21"/>
    </row>
    <row r="81" spans="1:28" s="53" customFormat="1">
      <c r="B81" s="51">
        <f t="shared" si="1"/>
        <v>76</v>
      </c>
      <c r="C81" s="84" t="s">
        <v>185</v>
      </c>
      <c r="D81" s="84"/>
      <c r="E81" s="84"/>
      <c r="F81" s="94"/>
      <c r="G81" s="94"/>
      <c r="H81" s="55" t="s">
        <v>189</v>
      </c>
      <c r="I81" s="55" t="s">
        <v>224</v>
      </c>
      <c r="J81" s="55"/>
      <c r="K81" s="94"/>
      <c r="L81" s="51" t="s">
        <v>82</v>
      </c>
      <c r="M81" s="51" t="s">
        <v>139</v>
      </c>
      <c r="N81" s="51" t="s">
        <v>116</v>
      </c>
      <c r="O81" s="51" t="s">
        <v>116</v>
      </c>
      <c r="P81" s="51"/>
      <c r="Q81" s="51"/>
      <c r="R81" s="51" t="s">
        <v>116</v>
      </c>
      <c r="S81" s="51" t="s">
        <v>116</v>
      </c>
      <c r="T81" s="51"/>
      <c r="U81" s="51"/>
      <c r="V81" s="51"/>
      <c r="W81" s="51"/>
      <c r="X81" s="51"/>
      <c r="Y81" s="51"/>
      <c r="Z81" s="51"/>
      <c r="AA81" s="51"/>
    </row>
    <row r="82" spans="1:28" s="53" customFormat="1">
      <c r="B82" s="51">
        <f t="shared" si="1"/>
        <v>77</v>
      </c>
      <c r="C82" s="51" t="s">
        <v>145</v>
      </c>
      <c r="D82" s="51"/>
      <c r="E82" s="51"/>
      <c r="F82" s="51"/>
      <c r="G82" s="51"/>
      <c r="H82" s="51" t="s">
        <v>193</v>
      </c>
      <c r="I82" s="55" t="s">
        <v>224</v>
      </c>
      <c r="J82" s="55"/>
      <c r="K82" s="51"/>
      <c r="L82" s="51" t="s">
        <v>81</v>
      </c>
      <c r="M82" s="51" t="s">
        <v>139</v>
      </c>
      <c r="N82" s="51" t="s">
        <v>116</v>
      </c>
      <c r="O82" s="51" t="s">
        <v>116</v>
      </c>
      <c r="P82" s="51"/>
      <c r="Q82" s="51"/>
      <c r="R82" s="51" t="s">
        <v>116</v>
      </c>
      <c r="S82" s="51" t="s">
        <v>116</v>
      </c>
      <c r="T82" s="51"/>
      <c r="U82" s="51"/>
      <c r="V82" s="51"/>
      <c r="W82" s="51" t="s">
        <v>397</v>
      </c>
      <c r="X82" s="51" t="s">
        <v>387</v>
      </c>
      <c r="Y82" s="51"/>
      <c r="Z82" s="51"/>
      <c r="AA82" s="51"/>
    </row>
    <row r="83" spans="1:28" s="53" customFormat="1">
      <c r="B83" s="51">
        <f t="shared" si="1"/>
        <v>78</v>
      </c>
      <c r="C83" s="51" t="s">
        <v>146</v>
      </c>
      <c r="D83" s="51"/>
      <c r="E83" s="51"/>
      <c r="F83" s="51"/>
      <c r="G83" s="51"/>
      <c r="H83" s="51" t="s">
        <v>193</v>
      </c>
      <c r="I83" s="55" t="s">
        <v>224</v>
      </c>
      <c r="J83" s="55"/>
      <c r="K83" s="51"/>
      <c r="L83" s="51" t="s">
        <v>81</v>
      </c>
      <c r="M83" s="51" t="s">
        <v>139</v>
      </c>
      <c r="N83" s="51" t="s">
        <v>116</v>
      </c>
      <c r="O83" s="51" t="s">
        <v>116</v>
      </c>
      <c r="P83" s="51"/>
      <c r="Q83" s="51"/>
      <c r="R83" s="51" t="s">
        <v>116</v>
      </c>
      <c r="S83" s="51" t="s">
        <v>116</v>
      </c>
      <c r="T83" s="51"/>
      <c r="U83" s="51"/>
      <c r="V83" s="51"/>
      <c r="W83" s="51" t="s">
        <v>397</v>
      </c>
      <c r="X83" s="51" t="s">
        <v>387</v>
      </c>
      <c r="Y83" s="51"/>
      <c r="Z83" s="51"/>
      <c r="AA83" s="51"/>
    </row>
    <row r="84" spans="1:28" s="53" customFormat="1">
      <c r="B84" s="51">
        <f t="shared" si="1"/>
        <v>79</v>
      </c>
      <c r="C84" s="51" t="s">
        <v>125</v>
      </c>
      <c r="D84" s="51"/>
      <c r="E84" s="51"/>
      <c r="F84" s="52" t="s">
        <v>135</v>
      </c>
      <c r="G84" s="52"/>
      <c r="H84" s="51" t="s">
        <v>193</v>
      </c>
      <c r="I84" s="55" t="s">
        <v>224</v>
      </c>
      <c r="J84" s="55"/>
      <c r="K84" s="52"/>
      <c r="L84" s="51" t="s">
        <v>81</v>
      </c>
      <c r="M84" s="51" t="s">
        <v>139</v>
      </c>
      <c r="N84" s="51" t="s">
        <v>116</v>
      </c>
      <c r="O84" s="51" t="s">
        <v>116</v>
      </c>
      <c r="P84" s="51"/>
      <c r="Q84" s="51"/>
      <c r="R84" s="51" t="s">
        <v>116</v>
      </c>
      <c r="S84" s="51" t="s">
        <v>116</v>
      </c>
      <c r="T84" s="51"/>
      <c r="U84" s="51"/>
      <c r="V84" s="51"/>
      <c r="W84" s="51" t="s">
        <v>397</v>
      </c>
      <c r="X84" s="51" t="s">
        <v>387</v>
      </c>
      <c r="Y84" s="51"/>
      <c r="Z84" s="51"/>
      <c r="AA84" s="51"/>
    </row>
    <row r="85" spans="1:28" s="53" customFormat="1">
      <c r="B85" s="51">
        <f t="shared" si="1"/>
        <v>80</v>
      </c>
      <c r="C85" s="51" t="s">
        <v>147</v>
      </c>
      <c r="D85" s="51"/>
      <c r="E85" s="51"/>
      <c r="F85" s="52"/>
      <c r="G85" s="52"/>
      <c r="H85" s="51" t="s">
        <v>193</v>
      </c>
      <c r="I85" s="55" t="s">
        <v>224</v>
      </c>
      <c r="J85" s="55"/>
      <c r="K85" s="68">
        <v>46117</v>
      </c>
      <c r="L85" s="51"/>
      <c r="M85" s="51" t="s">
        <v>139</v>
      </c>
      <c r="N85" s="51"/>
      <c r="O85" s="51"/>
      <c r="P85" s="51"/>
      <c r="Q85" s="51"/>
      <c r="R85" s="51" t="s">
        <v>116</v>
      </c>
      <c r="S85" s="51" t="s">
        <v>116</v>
      </c>
      <c r="T85" s="51"/>
      <c r="U85" s="51"/>
      <c r="V85" s="51"/>
      <c r="W85" s="51" t="s">
        <v>397</v>
      </c>
      <c r="X85" s="51" t="s">
        <v>387</v>
      </c>
      <c r="Y85" s="51"/>
      <c r="Z85" s="51"/>
      <c r="AA85" s="51"/>
    </row>
    <row r="86" spans="1:28" s="53" customFormat="1" ht="30">
      <c r="A86" s="53" t="s">
        <v>116</v>
      </c>
      <c r="B86" s="51">
        <f t="shared" si="1"/>
        <v>81</v>
      </c>
      <c r="C86" s="51" t="s">
        <v>127</v>
      </c>
      <c r="D86" s="51"/>
      <c r="E86" s="51"/>
      <c r="F86" s="51"/>
      <c r="G86" s="51"/>
      <c r="H86" s="51" t="s">
        <v>193</v>
      </c>
      <c r="I86" s="55" t="s">
        <v>218</v>
      </c>
      <c r="J86" s="55"/>
      <c r="K86" s="51"/>
      <c r="L86" s="51" t="s">
        <v>128</v>
      </c>
      <c r="M86" s="51" t="s">
        <v>139</v>
      </c>
      <c r="N86" s="51" t="s">
        <v>116</v>
      </c>
      <c r="O86" s="51" t="s">
        <v>116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spans="1:28">
      <c r="B87" s="21">
        <f t="shared" si="1"/>
        <v>82</v>
      </c>
      <c r="C87" s="21" t="s">
        <v>304</v>
      </c>
      <c r="D87" s="21"/>
      <c r="E87" s="21"/>
      <c r="F87" s="109" t="s">
        <v>133</v>
      </c>
      <c r="G87" s="109"/>
      <c r="H87" s="109" t="s">
        <v>193</v>
      </c>
      <c r="I87" s="24" t="s">
        <v>224</v>
      </c>
      <c r="J87" s="24"/>
      <c r="K87" s="109"/>
      <c r="L87" s="21" t="s">
        <v>81</v>
      </c>
      <c r="M87" s="21" t="s">
        <v>139</v>
      </c>
      <c r="N87" s="21" t="s">
        <v>116</v>
      </c>
      <c r="O87" s="21" t="s">
        <v>116</v>
      </c>
      <c r="P87" s="109"/>
      <c r="Q87" s="21"/>
      <c r="R87" s="21" t="s">
        <v>116</v>
      </c>
      <c r="S87" s="21" t="s">
        <v>116</v>
      </c>
      <c r="T87" s="21"/>
      <c r="U87" s="21"/>
      <c r="V87" s="21"/>
      <c r="W87" s="21"/>
      <c r="X87" s="21"/>
      <c r="Y87" s="21"/>
      <c r="Z87" s="21"/>
      <c r="AA87" s="21"/>
    </row>
    <row r="88" spans="1:28">
      <c r="B88" s="21">
        <f t="shared" si="1"/>
        <v>83</v>
      </c>
      <c r="C88" s="21" t="s">
        <v>137</v>
      </c>
      <c r="D88" s="21"/>
      <c r="E88" s="21"/>
      <c r="F88" s="21"/>
      <c r="G88" s="21"/>
      <c r="H88" s="21" t="s">
        <v>190</v>
      </c>
      <c r="I88" s="24" t="s">
        <v>216</v>
      </c>
      <c r="J88" s="24"/>
      <c r="K88" s="21"/>
      <c r="L88" s="21" t="s">
        <v>81</v>
      </c>
      <c r="M88" s="21" t="s">
        <v>139</v>
      </c>
      <c r="N88" s="21" t="s">
        <v>116</v>
      </c>
      <c r="O88" s="21" t="s">
        <v>116</v>
      </c>
      <c r="P88" s="21"/>
      <c r="Q88" s="21"/>
      <c r="R88" s="21" t="s">
        <v>116</v>
      </c>
      <c r="S88" s="21" t="s">
        <v>116</v>
      </c>
      <c r="T88" s="21"/>
      <c r="U88" s="21"/>
      <c r="V88" s="21"/>
      <c r="W88" s="21"/>
      <c r="X88" s="21"/>
      <c r="Y88" s="21"/>
      <c r="Z88" s="21"/>
      <c r="AA88" s="21"/>
    </row>
    <row r="89" spans="1:28" s="137" customFormat="1">
      <c r="A89" s="137" t="s">
        <v>116</v>
      </c>
      <c r="B89" s="138">
        <f t="shared" si="1"/>
        <v>84</v>
      </c>
      <c r="C89" s="138" t="s">
        <v>309</v>
      </c>
      <c r="D89" s="138"/>
      <c r="E89" s="138" t="s">
        <v>173</v>
      </c>
      <c r="F89" s="139" t="s">
        <v>156</v>
      </c>
      <c r="G89" s="139"/>
      <c r="H89" s="140" t="s">
        <v>295</v>
      </c>
      <c r="I89" s="140" t="s">
        <v>216</v>
      </c>
      <c r="J89" s="140"/>
      <c r="K89" s="139" t="s">
        <v>154</v>
      </c>
      <c r="L89" s="138" t="s">
        <v>149</v>
      </c>
      <c r="M89" s="138" t="s">
        <v>139</v>
      </c>
      <c r="N89" s="138" t="s">
        <v>116</v>
      </c>
      <c r="O89" s="138" t="s">
        <v>116</v>
      </c>
      <c r="P89" s="138"/>
      <c r="Q89" s="138"/>
      <c r="R89" s="138" t="s">
        <v>116</v>
      </c>
      <c r="S89" s="138" t="s">
        <v>116</v>
      </c>
      <c r="T89" s="138"/>
      <c r="U89" s="138"/>
      <c r="V89" s="138"/>
      <c r="W89" s="138" t="s">
        <v>406</v>
      </c>
      <c r="X89" s="138" t="s">
        <v>406</v>
      </c>
      <c r="Y89" s="138" t="s">
        <v>406</v>
      </c>
      <c r="Z89" s="138" t="s">
        <v>406</v>
      </c>
      <c r="AA89" s="138" t="s">
        <v>406</v>
      </c>
    </row>
    <row r="90" spans="1:28" s="53" customFormat="1">
      <c r="B90" s="51">
        <f t="shared" si="1"/>
        <v>85</v>
      </c>
      <c r="C90" s="51" t="s">
        <v>148</v>
      </c>
      <c r="D90" s="51"/>
      <c r="E90" s="51" t="s">
        <v>173</v>
      </c>
      <c r="F90" s="52" t="s">
        <v>150</v>
      </c>
      <c r="G90" s="52"/>
      <c r="H90" s="55" t="s">
        <v>295</v>
      </c>
      <c r="I90" s="55" t="s">
        <v>224</v>
      </c>
      <c r="J90" s="55"/>
      <c r="K90" s="52" t="s">
        <v>153</v>
      </c>
      <c r="L90" s="51" t="s">
        <v>149</v>
      </c>
      <c r="M90" s="51" t="s">
        <v>139</v>
      </c>
      <c r="N90" s="51" t="s">
        <v>116</v>
      </c>
      <c r="O90" s="51" t="s">
        <v>116</v>
      </c>
      <c r="P90" s="51"/>
      <c r="Q90" s="51"/>
      <c r="R90" s="51" t="s">
        <v>116</v>
      </c>
      <c r="S90" s="51" t="s">
        <v>116</v>
      </c>
      <c r="T90" s="51"/>
      <c r="U90" s="51"/>
      <c r="V90" s="51"/>
      <c r="W90" s="51"/>
      <c r="X90" s="51"/>
      <c r="Y90" s="51"/>
      <c r="Z90" s="51"/>
      <c r="AA90" s="51"/>
    </row>
    <row r="91" spans="1:28">
      <c r="B91" s="21">
        <f t="shared" si="1"/>
        <v>86</v>
      </c>
      <c r="C91" s="21" t="s">
        <v>303</v>
      </c>
      <c r="D91" s="21"/>
      <c r="E91" s="21"/>
      <c r="F91" s="109" t="s">
        <v>151</v>
      </c>
      <c r="G91" s="109"/>
      <c r="H91" s="109" t="s">
        <v>190</v>
      </c>
      <c r="I91" s="24" t="s">
        <v>216</v>
      </c>
      <c r="J91" s="24"/>
      <c r="K91" s="109" t="s">
        <v>155</v>
      </c>
      <c r="L91" s="21" t="s">
        <v>149</v>
      </c>
      <c r="M91" s="21" t="s">
        <v>139</v>
      </c>
      <c r="N91" s="21" t="s">
        <v>116</v>
      </c>
      <c r="O91" s="21" t="s">
        <v>116</v>
      </c>
      <c r="P91" s="21"/>
      <c r="Q91" s="21"/>
      <c r="R91" s="21" t="s">
        <v>116</v>
      </c>
      <c r="S91" s="21" t="s">
        <v>116</v>
      </c>
      <c r="T91" s="21"/>
      <c r="U91" s="21"/>
      <c r="V91" s="21"/>
      <c r="W91" s="21"/>
      <c r="X91" s="21"/>
      <c r="Y91" s="21"/>
      <c r="Z91" s="21"/>
      <c r="AA91" s="21"/>
    </row>
    <row r="92" spans="1:28" s="53" customFormat="1">
      <c r="B92" s="51">
        <f t="shared" si="1"/>
        <v>87</v>
      </c>
      <c r="C92" s="51" t="s">
        <v>157</v>
      </c>
      <c r="D92" s="51"/>
      <c r="E92" s="51" t="s">
        <v>173</v>
      </c>
      <c r="F92" s="52" t="s">
        <v>158</v>
      </c>
      <c r="G92" s="52"/>
      <c r="H92" s="52" t="s">
        <v>190</v>
      </c>
      <c r="I92" s="55" t="s">
        <v>216</v>
      </c>
      <c r="J92" s="55"/>
      <c r="K92" s="103">
        <v>46080</v>
      </c>
      <c r="L92" s="51" t="s">
        <v>159</v>
      </c>
      <c r="M92" s="51" t="s">
        <v>139</v>
      </c>
      <c r="N92" s="51" t="s">
        <v>116</v>
      </c>
      <c r="O92" s="51" t="s">
        <v>116</v>
      </c>
      <c r="P92" s="51"/>
      <c r="Q92" s="51"/>
      <c r="R92" s="51" t="s">
        <v>116</v>
      </c>
      <c r="S92" s="51" t="s">
        <v>116</v>
      </c>
      <c r="T92" s="51"/>
      <c r="U92" s="51"/>
      <c r="V92" s="51"/>
      <c r="W92" s="51" t="s">
        <v>386</v>
      </c>
      <c r="X92" s="51" t="s">
        <v>387</v>
      </c>
      <c r="Y92" s="51"/>
      <c r="Z92" s="51"/>
      <c r="AA92" s="51"/>
    </row>
    <row r="93" spans="1:28">
      <c r="B93" s="21">
        <f t="shared" si="1"/>
        <v>88</v>
      </c>
      <c r="C93" s="21" t="s">
        <v>160</v>
      </c>
      <c r="D93" s="21"/>
      <c r="E93" s="21"/>
      <c r="F93" s="109" t="s">
        <v>161</v>
      </c>
      <c r="G93" s="109"/>
      <c r="H93" s="109" t="s">
        <v>190</v>
      </c>
      <c r="I93" s="24" t="s">
        <v>216</v>
      </c>
      <c r="J93" s="24"/>
      <c r="K93" s="109" t="s">
        <v>163</v>
      </c>
      <c r="L93" s="21" t="s">
        <v>162</v>
      </c>
      <c r="M93" s="21" t="s">
        <v>139</v>
      </c>
      <c r="N93" s="21" t="s">
        <v>116</v>
      </c>
      <c r="O93" s="21" t="s">
        <v>116</v>
      </c>
      <c r="P93" s="21"/>
      <c r="Q93" s="21"/>
      <c r="R93" s="21" t="s">
        <v>116</v>
      </c>
      <c r="S93" s="21" t="s">
        <v>116</v>
      </c>
      <c r="T93" s="21"/>
      <c r="U93" s="21"/>
      <c r="V93" s="21"/>
      <c r="W93" s="21"/>
      <c r="X93" s="21"/>
      <c r="Y93" s="21"/>
      <c r="Z93" s="21"/>
      <c r="AA93" s="21"/>
    </row>
    <row r="94" spans="1:28">
      <c r="B94" s="21">
        <f t="shared" si="1"/>
        <v>89</v>
      </c>
      <c r="C94" s="21" t="s">
        <v>164</v>
      </c>
      <c r="D94" s="21"/>
      <c r="E94" s="21"/>
      <c r="F94" s="109" t="s">
        <v>165</v>
      </c>
      <c r="G94" s="109"/>
      <c r="H94" s="109" t="s">
        <v>190</v>
      </c>
      <c r="I94" s="24" t="s">
        <v>216</v>
      </c>
      <c r="J94" s="24"/>
      <c r="K94" s="109" t="s">
        <v>166</v>
      </c>
      <c r="L94" s="21"/>
      <c r="M94" s="21" t="s">
        <v>139</v>
      </c>
      <c r="N94" s="21" t="s">
        <v>116</v>
      </c>
      <c r="O94" s="21" t="s">
        <v>116</v>
      </c>
      <c r="P94" s="21"/>
      <c r="Q94" s="21"/>
      <c r="R94" s="21" t="s">
        <v>116</v>
      </c>
      <c r="S94" s="21" t="s">
        <v>116</v>
      </c>
      <c r="T94" s="21"/>
      <c r="U94" s="21"/>
      <c r="V94" s="21"/>
      <c r="W94" s="21"/>
      <c r="X94" s="21"/>
      <c r="Y94" s="21"/>
      <c r="Z94" s="21"/>
      <c r="AA94" s="21"/>
    </row>
    <row r="95" spans="1:28">
      <c r="B95" s="21">
        <f t="shared" si="1"/>
        <v>90</v>
      </c>
      <c r="C95" s="21" t="s">
        <v>142</v>
      </c>
      <c r="D95" s="21"/>
      <c r="E95" s="21"/>
      <c r="F95" s="109" t="s">
        <v>171</v>
      </c>
      <c r="G95" s="109"/>
      <c r="H95" s="109" t="s">
        <v>190</v>
      </c>
      <c r="I95" s="24" t="s">
        <v>216</v>
      </c>
      <c r="J95" s="24"/>
      <c r="K95" s="116" t="s">
        <v>172</v>
      </c>
      <c r="L95" s="21"/>
      <c r="M95" s="21" t="s">
        <v>139</v>
      </c>
      <c r="N95" s="21" t="s">
        <v>116</v>
      </c>
      <c r="O95" s="21"/>
      <c r="P95" s="21"/>
      <c r="Q95" s="21"/>
      <c r="R95" s="21" t="s">
        <v>116</v>
      </c>
      <c r="S95" s="21" t="s">
        <v>116</v>
      </c>
      <c r="T95" s="21"/>
      <c r="U95" s="21"/>
      <c r="V95" s="21"/>
      <c r="W95" s="21"/>
      <c r="X95" s="21"/>
      <c r="Y95" s="21"/>
      <c r="Z95" s="21"/>
      <c r="AA95" s="21"/>
    </row>
    <row r="96" spans="1:28" s="21" customFormat="1">
      <c r="B96" s="21">
        <f t="shared" si="1"/>
        <v>91</v>
      </c>
      <c r="C96" s="21" t="s">
        <v>176</v>
      </c>
      <c r="F96" s="109"/>
      <c r="G96" s="109"/>
      <c r="H96" s="24" t="s">
        <v>189</v>
      </c>
      <c r="I96" s="24" t="s">
        <v>223</v>
      </c>
      <c r="J96" s="24"/>
      <c r="K96" s="116"/>
      <c r="M96" s="21" t="s">
        <v>139</v>
      </c>
      <c r="N96" s="21" t="s">
        <v>116</v>
      </c>
      <c r="O96" s="21" t="s">
        <v>116</v>
      </c>
      <c r="R96" s="21" t="s">
        <v>116</v>
      </c>
      <c r="S96" s="21" t="s">
        <v>116</v>
      </c>
      <c r="AB96" s="113"/>
    </row>
    <row r="97" spans="1:28" s="21" customFormat="1">
      <c r="B97" s="21">
        <f t="shared" si="1"/>
        <v>92</v>
      </c>
      <c r="C97" s="21" t="s">
        <v>181</v>
      </c>
      <c r="H97" s="24" t="s">
        <v>190</v>
      </c>
      <c r="I97" s="24" t="s">
        <v>216</v>
      </c>
      <c r="J97" s="24"/>
      <c r="M97" s="21" t="s">
        <v>139</v>
      </c>
      <c r="N97" s="21" t="s">
        <v>116</v>
      </c>
      <c r="O97" s="21" t="s">
        <v>116</v>
      </c>
      <c r="R97" s="21" t="s">
        <v>116</v>
      </c>
      <c r="S97" s="21" t="s">
        <v>116</v>
      </c>
      <c r="AB97" s="113"/>
    </row>
    <row r="98" spans="1:28" s="51" customFormat="1">
      <c r="B98" s="51">
        <f t="shared" si="1"/>
        <v>93</v>
      </c>
      <c r="C98" s="51" t="s">
        <v>202</v>
      </c>
      <c r="G98" s="51">
        <v>2025</v>
      </c>
      <c r="H98" s="55" t="s">
        <v>189</v>
      </c>
      <c r="I98" s="55" t="s">
        <v>227</v>
      </c>
      <c r="J98" s="55"/>
      <c r="N98" s="51" t="s">
        <v>116</v>
      </c>
      <c r="O98" s="51" t="s">
        <v>116</v>
      </c>
      <c r="R98" s="51" t="s">
        <v>116</v>
      </c>
      <c r="S98" s="51" t="s">
        <v>116</v>
      </c>
      <c r="AB98" s="133"/>
    </row>
    <row r="99" spans="1:28" s="51" customFormat="1">
      <c r="A99" s="51" t="s">
        <v>116</v>
      </c>
      <c r="B99" s="51">
        <f t="shared" si="1"/>
        <v>94</v>
      </c>
      <c r="C99" s="51" t="s">
        <v>203</v>
      </c>
      <c r="F99" s="52" t="s">
        <v>208</v>
      </c>
      <c r="G99" s="52">
        <v>2026</v>
      </c>
      <c r="H99" s="51" t="s">
        <v>204</v>
      </c>
      <c r="I99" s="55" t="s">
        <v>223</v>
      </c>
      <c r="J99" s="55"/>
      <c r="K99" s="90">
        <v>46156</v>
      </c>
      <c r="L99" s="51" t="s">
        <v>210</v>
      </c>
      <c r="R99" s="51" t="s">
        <v>116</v>
      </c>
      <c r="S99" s="51" t="s">
        <v>116</v>
      </c>
      <c r="AB99" s="133"/>
    </row>
    <row r="100" spans="1:28" s="51" customFormat="1">
      <c r="B100" s="51">
        <f t="shared" si="1"/>
        <v>95</v>
      </c>
      <c r="C100" s="51" t="s">
        <v>205</v>
      </c>
      <c r="F100" s="52" t="s">
        <v>206</v>
      </c>
      <c r="G100" s="52">
        <v>2026</v>
      </c>
      <c r="H100" s="55" t="s">
        <v>189</v>
      </c>
      <c r="I100" s="55" t="s">
        <v>227</v>
      </c>
      <c r="J100" s="55"/>
      <c r="K100" s="90">
        <v>46174</v>
      </c>
      <c r="L100" s="51" t="s">
        <v>82</v>
      </c>
      <c r="R100" s="51" t="s">
        <v>116</v>
      </c>
      <c r="S100" s="51" t="s">
        <v>116</v>
      </c>
      <c r="W100" s="51" t="s">
        <v>386</v>
      </c>
      <c r="X100" s="51" t="s">
        <v>387</v>
      </c>
      <c r="AB100" s="133"/>
    </row>
    <row r="101" spans="1:28" s="138" customFormat="1" ht="30">
      <c r="B101" s="138">
        <f t="shared" si="1"/>
        <v>96</v>
      </c>
      <c r="C101" s="138" t="s">
        <v>213</v>
      </c>
      <c r="F101" s="139" t="s">
        <v>211</v>
      </c>
      <c r="G101" s="139" t="s">
        <v>404</v>
      </c>
      <c r="H101" s="138" t="s">
        <v>190</v>
      </c>
      <c r="I101" s="140" t="s">
        <v>230</v>
      </c>
      <c r="J101" s="140"/>
      <c r="K101" s="141"/>
      <c r="L101" s="138" t="s">
        <v>212</v>
      </c>
      <c r="R101" s="138" t="s">
        <v>116</v>
      </c>
      <c r="AB101" s="142"/>
    </row>
    <row r="102" spans="1:28" s="51" customFormat="1" ht="30">
      <c r="B102" s="51">
        <f t="shared" si="1"/>
        <v>97</v>
      </c>
      <c r="C102" s="51" t="s">
        <v>231</v>
      </c>
      <c r="F102" s="52" t="s">
        <v>233</v>
      </c>
      <c r="G102" s="52"/>
      <c r="H102" s="55" t="s">
        <v>189</v>
      </c>
      <c r="I102" s="55" t="s">
        <v>234</v>
      </c>
      <c r="K102" s="90"/>
      <c r="R102" s="51" t="s">
        <v>116</v>
      </c>
      <c r="S102" s="51" t="s">
        <v>116</v>
      </c>
      <c r="AB102" s="133"/>
    </row>
    <row r="103" spans="1:28" s="51" customFormat="1" ht="30">
      <c r="A103" s="51" t="s">
        <v>116</v>
      </c>
      <c r="B103" s="51">
        <f t="shared" si="1"/>
        <v>98</v>
      </c>
      <c r="C103" s="54" t="s">
        <v>235</v>
      </c>
      <c r="D103" s="54"/>
      <c r="F103" s="52" t="s">
        <v>236</v>
      </c>
      <c r="G103" s="52">
        <v>2025</v>
      </c>
      <c r="H103" s="51" t="s">
        <v>190</v>
      </c>
      <c r="I103" s="55" t="s">
        <v>237</v>
      </c>
      <c r="K103" s="90"/>
      <c r="R103" s="51" t="s">
        <v>116</v>
      </c>
      <c r="S103" s="51" t="s">
        <v>116</v>
      </c>
      <c r="AB103" s="133"/>
    </row>
    <row r="104" spans="1:28" s="51" customFormat="1">
      <c r="B104" s="51">
        <f t="shared" si="1"/>
        <v>99</v>
      </c>
      <c r="C104" s="54" t="s">
        <v>238</v>
      </c>
      <c r="D104" s="54"/>
      <c r="F104" s="52"/>
      <c r="G104" s="52">
        <v>2026</v>
      </c>
      <c r="H104" s="51" t="s">
        <v>239</v>
      </c>
      <c r="I104" s="55" t="s">
        <v>237</v>
      </c>
      <c r="K104" s="90"/>
      <c r="R104" s="51" t="s">
        <v>116</v>
      </c>
      <c r="S104" s="51" t="s">
        <v>116</v>
      </c>
      <c r="AB104" s="133"/>
    </row>
    <row r="105" spans="1:28" s="21" customFormat="1">
      <c r="B105" s="21">
        <f t="shared" si="1"/>
        <v>100</v>
      </c>
      <c r="C105" s="22" t="s">
        <v>240</v>
      </c>
      <c r="D105" s="22"/>
      <c r="F105" s="109" t="s">
        <v>241</v>
      </c>
      <c r="G105" s="109"/>
      <c r="H105" s="24" t="s">
        <v>193</v>
      </c>
      <c r="I105" s="24" t="s">
        <v>242</v>
      </c>
      <c r="K105" s="48"/>
      <c r="R105" s="21" t="s">
        <v>116</v>
      </c>
      <c r="S105" s="21" t="s">
        <v>116</v>
      </c>
      <c r="AB105" s="113"/>
    </row>
    <row r="106" spans="1:28" s="21" customFormat="1">
      <c r="B106" s="21">
        <f t="shared" si="1"/>
        <v>101</v>
      </c>
      <c r="C106" s="22" t="s">
        <v>274</v>
      </c>
      <c r="D106" s="22"/>
      <c r="F106" s="109" t="s">
        <v>276</v>
      </c>
      <c r="G106" s="109">
        <v>2025</v>
      </c>
      <c r="H106" s="21" t="s">
        <v>190</v>
      </c>
      <c r="I106" s="24" t="s">
        <v>275</v>
      </c>
      <c r="K106" s="48"/>
      <c r="R106" s="21" t="s">
        <v>116</v>
      </c>
      <c r="S106" s="21" t="s">
        <v>116</v>
      </c>
      <c r="AB106" s="113"/>
    </row>
    <row r="107" spans="1:28" s="21" customFormat="1">
      <c r="B107" s="21">
        <f t="shared" si="1"/>
        <v>102</v>
      </c>
      <c r="C107" s="21" t="s">
        <v>302</v>
      </c>
      <c r="F107" s="109" t="s">
        <v>278</v>
      </c>
      <c r="G107" s="115">
        <v>46174</v>
      </c>
      <c r="H107" s="21" t="s">
        <v>190</v>
      </c>
      <c r="I107" s="21" t="s">
        <v>279</v>
      </c>
      <c r="K107" s="48"/>
      <c r="R107" s="21" t="s">
        <v>116</v>
      </c>
      <c r="S107" s="21" t="s">
        <v>116</v>
      </c>
      <c r="AB107" s="113"/>
    </row>
    <row r="108" spans="1:28">
      <c r="B108" s="21">
        <f t="shared" si="1"/>
        <v>103</v>
      </c>
      <c r="C108" s="21" t="s">
        <v>280</v>
      </c>
      <c r="D108" s="21"/>
      <c r="E108" s="21"/>
      <c r="F108" s="109" t="s">
        <v>281</v>
      </c>
      <c r="G108" s="48">
        <v>46206</v>
      </c>
      <c r="H108" s="21" t="s">
        <v>189</v>
      </c>
      <c r="I108" s="21" t="s">
        <v>283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8">
      <c r="B109" s="21">
        <f t="shared" si="1"/>
        <v>104</v>
      </c>
      <c r="C109" s="21" t="s">
        <v>306</v>
      </c>
      <c r="D109" s="21"/>
      <c r="E109" s="21"/>
      <c r="F109" s="109" t="s">
        <v>307</v>
      </c>
      <c r="G109" s="48">
        <v>45429</v>
      </c>
      <c r="H109" s="21" t="s">
        <v>239</v>
      </c>
      <c r="I109" s="24" t="s">
        <v>308</v>
      </c>
      <c r="J109" s="21"/>
      <c r="K109" s="21"/>
      <c r="L109" s="21"/>
      <c r="M109" s="21"/>
      <c r="N109" s="21"/>
      <c r="O109" s="21"/>
      <c r="P109" s="21"/>
      <c r="Q109" s="21"/>
      <c r="R109" s="21" t="s">
        <v>116</v>
      </c>
      <c r="S109" s="21" t="s">
        <v>116</v>
      </c>
      <c r="T109" s="21"/>
      <c r="U109" s="21"/>
      <c r="V109" s="21"/>
      <c r="W109" s="21"/>
      <c r="X109" s="21"/>
      <c r="Y109" s="21"/>
      <c r="Z109" s="21"/>
      <c r="AA109" s="21"/>
    </row>
    <row r="110" spans="1:28">
      <c r="B110" s="21">
        <f t="shared" si="1"/>
        <v>105</v>
      </c>
      <c r="C110" s="21" t="s">
        <v>319</v>
      </c>
      <c r="D110" s="21"/>
      <c r="E110" s="48">
        <v>46231</v>
      </c>
      <c r="F110" s="109" t="s">
        <v>320</v>
      </c>
      <c r="G110" s="48">
        <v>46167</v>
      </c>
      <c r="H110" s="21" t="s">
        <v>189</v>
      </c>
      <c r="I110" s="24" t="s">
        <v>321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8" s="53" customFormat="1">
      <c r="A111" s="53" t="s">
        <v>116</v>
      </c>
      <c r="B111" s="51">
        <f t="shared" si="1"/>
        <v>106</v>
      </c>
      <c r="C111" s="51" t="s">
        <v>325</v>
      </c>
      <c r="D111" s="51"/>
      <c r="E111" s="90">
        <v>46232</v>
      </c>
      <c r="F111" s="52" t="s">
        <v>326</v>
      </c>
      <c r="G111" s="90">
        <v>45965</v>
      </c>
      <c r="H111" s="51" t="s">
        <v>189</v>
      </c>
      <c r="I111" s="55" t="s">
        <v>327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spans="1:28" s="53" customFormat="1">
      <c r="A112" s="53" t="s">
        <v>116</v>
      </c>
      <c r="B112" s="51">
        <f t="shared" si="1"/>
        <v>107</v>
      </c>
      <c r="C112" s="51" t="s">
        <v>328</v>
      </c>
      <c r="D112" s="51"/>
      <c r="E112" s="90">
        <v>46232</v>
      </c>
      <c r="F112" s="52" t="s">
        <v>329</v>
      </c>
      <c r="G112" s="90">
        <v>46232</v>
      </c>
      <c r="H112" s="51" t="s">
        <v>189</v>
      </c>
      <c r="I112" s="55" t="s">
        <v>330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 t="s">
        <v>386</v>
      </c>
      <c r="X112" s="51"/>
      <c r="Y112" s="51"/>
      <c r="Z112" s="51"/>
      <c r="AA112" s="51"/>
    </row>
    <row r="113" spans="1:29">
      <c r="B113" s="21">
        <f t="shared" si="1"/>
        <v>108</v>
      </c>
      <c r="C113" s="21" t="s">
        <v>331</v>
      </c>
      <c r="D113" s="21"/>
      <c r="E113" s="48">
        <v>46232</v>
      </c>
      <c r="F113" s="109" t="s">
        <v>332</v>
      </c>
      <c r="G113" s="48">
        <v>46231</v>
      </c>
      <c r="H113" s="21" t="s">
        <v>239</v>
      </c>
      <c r="I113" s="24" t="s">
        <v>333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9">
      <c r="B114" s="123">
        <v>109</v>
      </c>
      <c r="C114" s="123" t="s">
        <v>336</v>
      </c>
      <c r="D114" s="123"/>
      <c r="E114" s="124">
        <v>46239</v>
      </c>
      <c r="F114" s="125" t="s">
        <v>337</v>
      </c>
      <c r="G114" s="124">
        <v>46238</v>
      </c>
      <c r="H114" s="123" t="s">
        <v>239</v>
      </c>
      <c r="I114" s="126" t="s">
        <v>338</v>
      </c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9" s="51" customFormat="1">
      <c r="A115" s="51" t="s">
        <v>116</v>
      </c>
      <c r="B115" s="51">
        <v>110</v>
      </c>
      <c r="C115" s="51" t="s">
        <v>339</v>
      </c>
      <c r="E115" s="90">
        <v>46178</v>
      </c>
      <c r="F115" s="52" t="s">
        <v>341</v>
      </c>
      <c r="G115" s="90">
        <v>46240</v>
      </c>
      <c r="H115" s="51" t="s">
        <v>189</v>
      </c>
      <c r="I115" s="55" t="s">
        <v>340</v>
      </c>
      <c r="W115" s="51" t="s">
        <v>386</v>
      </c>
    </row>
    <row r="116" spans="1:29" s="21" customFormat="1">
      <c r="B116" s="21">
        <v>111</v>
      </c>
      <c r="C116" s="21" t="s">
        <v>342</v>
      </c>
      <c r="E116" s="48"/>
      <c r="F116" s="109"/>
      <c r="G116" s="48">
        <v>46245</v>
      </c>
      <c r="H116" s="21" t="s">
        <v>190</v>
      </c>
      <c r="I116" s="24" t="s">
        <v>343</v>
      </c>
    </row>
    <row r="117" spans="1:29" s="21" customFormat="1">
      <c r="B117" s="21">
        <v>112</v>
      </c>
      <c r="C117" s="21" t="s">
        <v>346</v>
      </c>
      <c r="D117" s="21" t="s">
        <v>368</v>
      </c>
      <c r="E117" s="48">
        <v>45583</v>
      </c>
      <c r="F117" s="109" t="s">
        <v>347</v>
      </c>
      <c r="G117" s="48">
        <v>46263</v>
      </c>
      <c r="H117" s="21" t="s">
        <v>190</v>
      </c>
      <c r="I117" s="24" t="s">
        <v>321</v>
      </c>
    </row>
    <row r="118" spans="1:29" s="53" customFormat="1" ht="18.75">
      <c r="A118" s="53" t="s">
        <v>116</v>
      </c>
      <c r="B118" s="51">
        <v>113</v>
      </c>
      <c r="C118" s="51" t="s">
        <v>353</v>
      </c>
      <c r="D118" s="51"/>
      <c r="E118" s="90">
        <v>46163</v>
      </c>
      <c r="F118" s="134" t="s">
        <v>352</v>
      </c>
      <c r="G118" s="90">
        <v>46204</v>
      </c>
      <c r="H118" s="51" t="s">
        <v>189</v>
      </c>
      <c r="I118" s="55" t="s">
        <v>321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130" t="s">
        <v>386</v>
      </c>
      <c r="X118" s="51"/>
      <c r="Y118" s="51"/>
      <c r="Z118" s="51"/>
      <c r="AA118" s="51"/>
      <c r="AB118" s="51"/>
      <c r="AC118" s="51" t="s">
        <v>388</v>
      </c>
    </row>
    <row r="119" spans="1:29" s="53" customFormat="1" ht="18.75">
      <c r="A119" s="53" t="s">
        <v>116</v>
      </c>
      <c r="B119" s="51">
        <v>114</v>
      </c>
      <c r="C119" s="51" t="s">
        <v>111</v>
      </c>
      <c r="D119" s="51"/>
      <c r="E119" s="90"/>
      <c r="F119" s="134"/>
      <c r="G119" s="90"/>
      <c r="H119" s="51" t="s">
        <v>192</v>
      </c>
      <c r="I119" s="55" t="s">
        <v>321</v>
      </c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spans="1:29" ht="18.75">
      <c r="B120" s="21">
        <v>115</v>
      </c>
      <c r="C120" s="21" t="s">
        <v>360</v>
      </c>
      <c r="D120" s="21"/>
      <c r="E120" s="48">
        <v>46266</v>
      </c>
      <c r="F120" s="131" t="s">
        <v>361</v>
      </c>
      <c r="G120" s="48">
        <v>46259</v>
      </c>
      <c r="H120" s="21" t="s">
        <v>189</v>
      </c>
      <c r="I120" s="24" t="s">
        <v>362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8.75">
      <c r="B121" s="21">
        <v>116</v>
      </c>
      <c r="C121" s="21" t="s">
        <v>363</v>
      </c>
      <c r="D121" s="21"/>
      <c r="E121" s="48">
        <v>46292</v>
      </c>
      <c r="F121" s="131" t="s">
        <v>364</v>
      </c>
      <c r="G121" s="48">
        <v>46259</v>
      </c>
      <c r="H121" s="21" t="s">
        <v>190</v>
      </c>
      <c r="I121" s="24" t="s">
        <v>365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8.75">
      <c r="B122" s="21">
        <v>117</v>
      </c>
      <c r="C122" s="21" t="s">
        <v>366</v>
      </c>
      <c r="D122" s="21" t="s">
        <v>368</v>
      </c>
      <c r="E122" s="48">
        <v>46292</v>
      </c>
      <c r="F122" s="131" t="s">
        <v>367</v>
      </c>
      <c r="G122" s="48">
        <v>45917</v>
      </c>
      <c r="H122" s="21" t="s">
        <v>190</v>
      </c>
      <c r="I122" s="24" t="s">
        <v>321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8.75">
      <c r="B123" s="21">
        <v>118</v>
      </c>
      <c r="C123" s="21" t="s">
        <v>381</v>
      </c>
      <c r="D123" s="21" t="s">
        <v>368</v>
      </c>
      <c r="E123" s="48">
        <v>46299</v>
      </c>
      <c r="F123" s="131" t="s">
        <v>382</v>
      </c>
      <c r="G123" s="48">
        <v>46275</v>
      </c>
      <c r="H123" s="21" t="s">
        <v>190</v>
      </c>
      <c r="I123" s="24" t="s">
        <v>321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30.75">
      <c r="B124" s="21">
        <v>119</v>
      </c>
      <c r="C124" s="21" t="s">
        <v>383</v>
      </c>
      <c r="D124" s="21" t="s">
        <v>384</v>
      </c>
      <c r="E124" s="48">
        <v>46299</v>
      </c>
      <c r="F124" s="131" t="s">
        <v>385</v>
      </c>
      <c r="G124" s="48">
        <v>46178</v>
      </c>
      <c r="H124" s="21" t="s">
        <v>190</v>
      </c>
      <c r="I124" s="24" t="s">
        <v>217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8.75">
      <c r="B125" s="21">
        <v>120</v>
      </c>
      <c r="C125" s="21" t="s">
        <v>389</v>
      </c>
      <c r="D125" s="21"/>
      <c r="E125" s="48">
        <v>46303</v>
      </c>
      <c r="F125" s="131" t="s">
        <v>390</v>
      </c>
      <c r="G125" s="48">
        <v>46300</v>
      </c>
      <c r="H125" s="21" t="s">
        <v>193</v>
      </c>
      <c r="I125" s="24" t="s">
        <v>391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8.75">
      <c r="B126" s="110">
        <v>121</v>
      </c>
      <c r="C126" s="110" t="s">
        <v>392</v>
      </c>
      <c r="D126" s="110" t="s">
        <v>393</v>
      </c>
      <c r="E126" s="120">
        <v>46305</v>
      </c>
      <c r="F126" s="135" t="s">
        <v>394</v>
      </c>
      <c r="G126" s="120">
        <v>46281</v>
      </c>
      <c r="H126" s="110" t="s">
        <v>190</v>
      </c>
      <c r="I126" s="122" t="s">
        <v>395</v>
      </c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</row>
    <row r="127" spans="1:29" ht="18.75">
      <c r="B127" s="110">
        <v>122</v>
      </c>
      <c r="C127" s="110" t="s">
        <v>407</v>
      </c>
      <c r="D127" s="110"/>
      <c r="E127" s="120">
        <v>46310</v>
      </c>
      <c r="F127" s="135" t="s">
        <v>409</v>
      </c>
      <c r="G127" s="120">
        <v>46247</v>
      </c>
      <c r="H127" s="110" t="s">
        <v>189</v>
      </c>
      <c r="I127" s="122" t="s">
        <v>408</v>
      </c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</row>
    <row r="128" spans="1:29" ht="18.75">
      <c r="B128" s="110"/>
      <c r="C128" s="110"/>
      <c r="D128" s="110"/>
      <c r="E128" s="120"/>
      <c r="F128" s="135"/>
      <c r="G128" s="120"/>
      <c r="H128" s="110"/>
      <c r="I128" s="122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</row>
    <row r="129" spans="2:27">
      <c r="B129" s="110"/>
      <c r="C129" s="110"/>
      <c r="D129" s="110"/>
      <c r="E129" s="120"/>
      <c r="F129" s="121"/>
      <c r="G129" s="120"/>
      <c r="H129" s="110"/>
      <c r="I129" s="122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spans="2:27" hidden="1">
      <c r="B130" s="110" t="s">
        <v>348</v>
      </c>
      <c r="C130" s="110"/>
      <c r="D130" s="110"/>
      <c r="E130" s="110">
        <v>2018</v>
      </c>
      <c r="F130" s="110" t="s">
        <v>323</v>
      </c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spans="2:27" hidden="1">
      <c r="B131" s="108"/>
      <c r="C131" s="20" t="s">
        <v>324</v>
      </c>
      <c r="E131" s="108">
        <v>46229</v>
      </c>
      <c r="F131" s="70">
        <v>46231</v>
      </c>
      <c r="G131" s="70">
        <v>46232</v>
      </c>
      <c r="H131" s="70">
        <v>46239</v>
      </c>
      <c r="I131" s="70">
        <v>46240</v>
      </c>
      <c r="W131" s="70">
        <v>46245</v>
      </c>
      <c r="X131" s="70">
        <v>46263</v>
      </c>
    </row>
    <row r="132" spans="2:27" hidden="1">
      <c r="C132" s="20" t="s">
        <v>317</v>
      </c>
      <c r="E132" s="20">
        <f>29</f>
        <v>29</v>
      </c>
      <c r="F132" s="20">
        <f>E132+1</f>
        <v>30</v>
      </c>
      <c r="G132" s="20">
        <f>F132+2</f>
        <v>32</v>
      </c>
      <c r="H132" s="20">
        <f>G132</f>
        <v>32</v>
      </c>
      <c r="I132" s="20">
        <f>G132+1</f>
        <v>33</v>
      </c>
      <c r="W132" s="20">
        <f>I132</f>
        <v>33</v>
      </c>
      <c r="X132" s="20">
        <f>W132</f>
        <v>33</v>
      </c>
    </row>
    <row r="133" spans="2:27" hidden="1">
      <c r="C133" s="20" t="s">
        <v>318</v>
      </c>
      <c r="E133" s="20">
        <v>29</v>
      </c>
      <c r="F133" s="20">
        <f>E133</f>
        <v>29</v>
      </c>
      <c r="G133" s="20">
        <f>F133</f>
        <v>29</v>
      </c>
      <c r="H133" s="20">
        <f>G133</f>
        <v>29</v>
      </c>
      <c r="I133" s="20">
        <f>H133</f>
        <v>29</v>
      </c>
      <c r="W133" s="20">
        <f t="shared" ref="W133:W136" si="2">I133</f>
        <v>29</v>
      </c>
      <c r="X133" s="20">
        <f>W133</f>
        <v>29</v>
      </c>
    </row>
    <row r="134" spans="2:27" hidden="1">
      <c r="C134" s="20" t="s">
        <v>311</v>
      </c>
      <c r="E134" s="20">
        <v>51</v>
      </c>
      <c r="F134" s="20">
        <v>50</v>
      </c>
      <c r="G134" s="20">
        <f>F134+1-2</f>
        <v>49</v>
      </c>
      <c r="H134" s="20">
        <f>G134+1</f>
        <v>50</v>
      </c>
      <c r="I134" s="20">
        <f t="shared" ref="I134:I136" si="3">H134</f>
        <v>50</v>
      </c>
      <c r="W134" s="20">
        <f>I134+1</f>
        <v>51</v>
      </c>
      <c r="X134" s="20">
        <f>W134+1</f>
        <v>52</v>
      </c>
    </row>
    <row r="135" spans="2:27" hidden="1">
      <c r="C135" s="20" t="s">
        <v>316</v>
      </c>
      <c r="E135" s="20">
        <v>2</v>
      </c>
      <c r="F135" s="20">
        <f t="shared" ref="F135:F136" si="4">E135</f>
        <v>2</v>
      </c>
      <c r="G135" s="20">
        <v>2</v>
      </c>
      <c r="H135" s="20">
        <f>G135</f>
        <v>2</v>
      </c>
      <c r="I135" s="20">
        <f t="shared" si="3"/>
        <v>2</v>
      </c>
      <c r="W135" s="20">
        <f t="shared" si="2"/>
        <v>2</v>
      </c>
      <c r="X135" s="20">
        <f>W135</f>
        <v>2</v>
      </c>
    </row>
    <row r="136" spans="2:27" hidden="1">
      <c r="C136" s="20" t="s">
        <v>312</v>
      </c>
      <c r="E136" s="20">
        <v>2</v>
      </c>
      <c r="F136" s="20">
        <f t="shared" si="4"/>
        <v>2</v>
      </c>
      <c r="G136" s="20">
        <v>2</v>
      </c>
      <c r="H136" s="20">
        <f>G136</f>
        <v>2</v>
      </c>
      <c r="I136" s="20">
        <f t="shared" si="3"/>
        <v>2</v>
      </c>
      <c r="W136" s="20">
        <f t="shared" si="2"/>
        <v>2</v>
      </c>
      <c r="X136" s="20">
        <f t="shared" ref="X136:X137" si="5">W136</f>
        <v>2</v>
      </c>
    </row>
    <row r="137" spans="2:27" hidden="1">
      <c r="C137" s="20" t="s">
        <v>315</v>
      </c>
      <c r="E137" s="20">
        <f>SUBTOTAL(9,E132:E136)</f>
        <v>113</v>
      </c>
      <c r="F137" s="20">
        <f>SUM(F132:F136)</f>
        <v>113</v>
      </c>
      <c r="G137" s="20">
        <f>SUM(G132:G136)</f>
        <v>114</v>
      </c>
      <c r="H137" s="20">
        <f>SUM(H132:H136)</f>
        <v>115</v>
      </c>
      <c r="I137" s="20">
        <f>SUM(I132:I136)</f>
        <v>116</v>
      </c>
      <c r="W137" s="20">
        <f>SUM(W132:W136)</f>
        <v>117</v>
      </c>
      <c r="X137" s="20">
        <f t="shared" si="5"/>
        <v>117</v>
      </c>
    </row>
    <row r="138" spans="2:27">
      <c r="D138" s="20" t="s">
        <v>351</v>
      </c>
    </row>
    <row r="139" spans="2:27">
      <c r="B139" s="110" t="s">
        <v>349</v>
      </c>
      <c r="D139" s="70">
        <v>46265</v>
      </c>
      <c r="E139" s="132">
        <v>46268</v>
      </c>
      <c r="F139" s="70">
        <v>46271</v>
      </c>
      <c r="G139" s="70">
        <v>46281</v>
      </c>
      <c r="H139" s="70">
        <v>46292</v>
      </c>
      <c r="I139" s="70">
        <v>46299</v>
      </c>
      <c r="W139" s="70">
        <v>46303</v>
      </c>
      <c r="X139" s="70">
        <v>46310</v>
      </c>
    </row>
    <row r="140" spans="2:27">
      <c r="C140" s="20" t="s">
        <v>324</v>
      </c>
    </row>
    <row r="141" spans="2:27">
      <c r="C141" s="20" t="s">
        <v>317</v>
      </c>
      <c r="D141" s="20">
        <v>33</v>
      </c>
      <c r="E141" s="20">
        <v>33</v>
      </c>
      <c r="F141" s="20">
        <f>E141+1</f>
        <v>34</v>
      </c>
      <c r="G141" s="20">
        <f>F141+1</f>
        <v>35</v>
      </c>
      <c r="H141" s="20">
        <f>G141</f>
        <v>35</v>
      </c>
      <c r="W141" s="20">
        <v>35</v>
      </c>
      <c r="X141" s="20">
        <v>36</v>
      </c>
    </row>
    <row r="142" spans="2:27">
      <c r="C142" s="20" t="s">
        <v>318</v>
      </c>
      <c r="D142" s="20">
        <v>29</v>
      </c>
      <c r="E142" s="20">
        <v>29</v>
      </c>
      <c r="H142" s="20">
        <v>30</v>
      </c>
      <c r="W142" s="46">
        <v>31</v>
      </c>
    </row>
    <row r="143" spans="2:27">
      <c r="C143" s="20" t="s">
        <v>311</v>
      </c>
      <c r="D143" s="20">
        <v>52</v>
      </c>
      <c r="H143" s="20">
        <f>D143+2</f>
        <v>54</v>
      </c>
      <c r="I143" s="20">
        <f>H143+2</f>
        <v>56</v>
      </c>
      <c r="W143" s="20">
        <v>56</v>
      </c>
    </row>
    <row r="144" spans="2:27">
      <c r="C144" s="20" t="s">
        <v>316</v>
      </c>
      <c r="D144" s="20">
        <v>2</v>
      </c>
      <c r="W144" s="20">
        <v>2</v>
      </c>
    </row>
    <row r="145" spans="2:23">
      <c r="C145" s="20" t="s">
        <v>312</v>
      </c>
      <c r="D145" s="20">
        <v>2</v>
      </c>
    </row>
    <row r="146" spans="2:23">
      <c r="C146" s="20" t="s">
        <v>315</v>
      </c>
      <c r="D146" s="20">
        <v>117</v>
      </c>
    </row>
    <row r="148" spans="2:23">
      <c r="B148" s="20" t="s">
        <v>396</v>
      </c>
      <c r="D148" s="20" t="s">
        <v>351</v>
      </c>
    </row>
    <row r="149" spans="2:23">
      <c r="C149" s="20" t="s">
        <v>324</v>
      </c>
      <c r="D149" s="70">
        <v>46296</v>
      </c>
      <c r="E149" s="70">
        <v>46299</v>
      </c>
      <c r="F149" s="70">
        <v>46303</v>
      </c>
      <c r="G149" s="70">
        <v>46305</v>
      </c>
      <c r="H149" s="70">
        <v>46310</v>
      </c>
    </row>
    <row r="150" spans="2:23">
      <c r="C150" s="20" t="s">
        <v>317</v>
      </c>
      <c r="D150" s="20">
        <v>35</v>
      </c>
      <c r="E150" s="20">
        <v>35</v>
      </c>
      <c r="F150" s="20">
        <v>35</v>
      </c>
      <c r="G150" s="20">
        <v>35</v>
      </c>
      <c r="H150" s="20">
        <v>36</v>
      </c>
    </row>
    <row r="151" spans="2:23">
      <c r="C151" s="20" t="s">
        <v>318</v>
      </c>
      <c r="D151" s="20">
        <v>30</v>
      </c>
      <c r="E151" s="20">
        <v>30</v>
      </c>
      <c r="F151" s="20">
        <v>31</v>
      </c>
      <c r="G151" s="20">
        <v>31</v>
      </c>
      <c r="H151" s="20">
        <v>31</v>
      </c>
      <c r="W151" s="46"/>
    </row>
    <row r="152" spans="2:23">
      <c r="C152" s="20" t="s">
        <v>311</v>
      </c>
      <c r="D152" s="20">
        <v>54</v>
      </c>
      <c r="E152" s="20">
        <v>56</v>
      </c>
      <c r="F152" s="20">
        <v>56</v>
      </c>
      <c r="G152" s="20">
        <v>57</v>
      </c>
      <c r="H152" s="20">
        <f>57-2</f>
        <v>55</v>
      </c>
    </row>
    <row r="153" spans="2:23">
      <c r="C153" s="20" t="s">
        <v>316</v>
      </c>
      <c r="D153" s="20">
        <v>2</v>
      </c>
      <c r="E153" s="20">
        <v>2</v>
      </c>
      <c r="F153" s="20">
        <v>2</v>
      </c>
      <c r="G153" s="20">
        <v>2</v>
      </c>
      <c r="H153" s="20">
        <v>2</v>
      </c>
    </row>
    <row r="154" spans="2:23">
      <c r="C154" s="20" t="s">
        <v>312</v>
      </c>
    </row>
    <row r="155" spans="2:23">
      <c r="C155" s="20" t="s">
        <v>315</v>
      </c>
      <c r="E155" s="20">
        <f>SUM(E150:E154)</f>
        <v>123</v>
      </c>
      <c r="F155" s="20">
        <f t="shared" ref="F155:W155" si="6">SUM(F150:F154)</f>
        <v>124</v>
      </c>
      <c r="G155" s="20">
        <f t="shared" si="6"/>
        <v>125</v>
      </c>
      <c r="H155" s="20">
        <f t="shared" si="6"/>
        <v>124</v>
      </c>
      <c r="I155" s="20">
        <f t="shared" si="6"/>
        <v>0</v>
      </c>
      <c r="J155" s="20">
        <f t="shared" si="6"/>
        <v>0</v>
      </c>
      <c r="K155" s="20">
        <f t="shared" si="6"/>
        <v>0</v>
      </c>
      <c r="L155" s="20">
        <f t="shared" si="6"/>
        <v>0</v>
      </c>
      <c r="M155" s="20">
        <f t="shared" si="6"/>
        <v>0</v>
      </c>
      <c r="N155" s="20">
        <f t="shared" si="6"/>
        <v>0</v>
      </c>
      <c r="O155" s="20">
        <f t="shared" si="6"/>
        <v>0</v>
      </c>
      <c r="P155" s="20">
        <f t="shared" si="6"/>
        <v>0</v>
      </c>
      <c r="Q155" s="20">
        <f t="shared" si="6"/>
        <v>0</v>
      </c>
      <c r="R155" s="20">
        <f t="shared" si="6"/>
        <v>0</v>
      </c>
      <c r="S155" s="20">
        <f t="shared" si="6"/>
        <v>0</v>
      </c>
      <c r="T155" s="20">
        <f t="shared" si="6"/>
        <v>0</v>
      </c>
      <c r="U155" s="20">
        <f t="shared" si="6"/>
        <v>0</v>
      </c>
      <c r="V155" s="20">
        <f t="shared" si="6"/>
        <v>0</v>
      </c>
      <c r="W155" s="20">
        <f t="shared" si="6"/>
        <v>0</v>
      </c>
    </row>
  </sheetData>
  <mergeCells count="5">
    <mergeCell ref="C2:V2"/>
    <mergeCell ref="C3:V3"/>
    <mergeCell ref="N4:P4"/>
    <mergeCell ref="R4:U4"/>
    <mergeCell ref="W4:Z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22"/>
  <sheetViews>
    <sheetView workbookViewId="0">
      <selection activeCell="A10" sqref="A10"/>
    </sheetView>
  </sheetViews>
  <sheetFormatPr defaultRowHeight="15"/>
  <cols>
    <col min="2" max="2" width="37.140625" customWidth="1"/>
    <col min="3" max="3" width="64.7109375" customWidth="1"/>
    <col min="4" max="4" width="17.5703125" customWidth="1"/>
    <col min="5" max="5" width="15.5703125" customWidth="1"/>
    <col min="6" max="6" width="20.42578125" style="13" customWidth="1"/>
    <col min="7" max="7" width="18" customWidth="1"/>
    <col min="10" max="10" width="8.28515625" customWidth="1"/>
    <col min="11" max="11" width="7.140625" customWidth="1"/>
    <col min="13" max="13" width="7.42578125" customWidth="1"/>
  </cols>
  <sheetData>
    <row r="2" spans="1:21">
      <c r="G2" t="s">
        <v>0</v>
      </c>
    </row>
    <row r="3" spans="1:21">
      <c r="G3" t="s">
        <v>1</v>
      </c>
    </row>
    <row r="4" spans="1:21">
      <c r="H4" t="s">
        <v>118</v>
      </c>
    </row>
    <row r="5" spans="1:21" ht="15.75" thickBot="1">
      <c r="A5" s="8" t="s">
        <v>2</v>
      </c>
      <c r="B5" s="8" t="s">
        <v>3</v>
      </c>
      <c r="C5" s="8" t="s">
        <v>4</v>
      </c>
      <c r="D5" s="8" t="s">
        <v>194</v>
      </c>
      <c r="E5" s="8" t="s">
        <v>123</v>
      </c>
      <c r="F5" s="41" t="s">
        <v>129</v>
      </c>
      <c r="G5" s="8">
        <v>1</v>
      </c>
      <c r="H5" s="8">
        <v>2</v>
      </c>
      <c r="I5" s="8">
        <v>3</v>
      </c>
      <c r="J5" s="8">
        <v>4</v>
      </c>
      <c r="K5" s="8">
        <v>5</v>
      </c>
      <c r="L5" s="8">
        <v>6</v>
      </c>
      <c r="M5" s="8">
        <v>7</v>
      </c>
      <c r="N5" s="8">
        <v>8</v>
      </c>
      <c r="O5" s="8">
        <v>9</v>
      </c>
      <c r="P5" s="8">
        <v>10</v>
      </c>
      <c r="Q5" s="8">
        <v>11</v>
      </c>
      <c r="R5" s="8">
        <v>12</v>
      </c>
      <c r="S5" s="8" t="s">
        <v>5</v>
      </c>
      <c r="T5" s="8"/>
      <c r="U5" s="8"/>
    </row>
    <row r="6" spans="1:21" s="13" customFormat="1" ht="15.75" thickBot="1">
      <c r="A6" s="13">
        <v>1</v>
      </c>
      <c r="B6" s="31" t="s">
        <v>21</v>
      </c>
      <c r="C6" s="32">
        <v>3702766094</v>
      </c>
      <c r="D6" s="14" t="s">
        <v>195</v>
      </c>
      <c r="E6" s="14" t="s">
        <v>120</v>
      </c>
      <c r="F6" s="14" t="s">
        <v>116</v>
      </c>
      <c r="G6" s="13" t="s">
        <v>124</v>
      </c>
      <c r="H6" s="13" t="s">
        <v>124</v>
      </c>
      <c r="I6" s="13" t="s">
        <v>124</v>
      </c>
      <c r="J6" s="13" t="s">
        <v>124</v>
      </c>
      <c r="K6" s="13" t="s">
        <v>124</v>
      </c>
      <c r="L6" s="13" t="s">
        <v>124</v>
      </c>
      <c r="M6" s="13" t="s">
        <v>116</v>
      </c>
      <c r="N6" s="13" t="s">
        <v>116</v>
      </c>
    </row>
    <row r="7" spans="1:21" s="13" customFormat="1" ht="15.75" thickBot="1">
      <c r="A7" s="13">
        <f>A6+1</f>
        <v>2</v>
      </c>
      <c r="B7" s="31" t="s">
        <v>24</v>
      </c>
      <c r="C7" s="32">
        <v>3700858889</v>
      </c>
      <c r="D7" s="14" t="s">
        <v>195</v>
      </c>
      <c r="E7" s="14" t="s">
        <v>120</v>
      </c>
      <c r="F7" s="14" t="s">
        <v>116</v>
      </c>
      <c r="G7" s="13" t="s">
        <v>116</v>
      </c>
      <c r="H7" s="13" t="s">
        <v>116</v>
      </c>
      <c r="I7" s="13" t="s">
        <v>116</v>
      </c>
      <c r="J7" s="13" t="s">
        <v>116</v>
      </c>
      <c r="K7" s="13" t="s">
        <v>116</v>
      </c>
      <c r="L7" s="13" t="s">
        <v>116</v>
      </c>
      <c r="M7" s="13" t="s">
        <v>116</v>
      </c>
      <c r="N7" s="13" t="s">
        <v>116</v>
      </c>
      <c r="O7" s="13" t="s">
        <v>376</v>
      </c>
    </row>
    <row r="8" spans="1:21" s="13" customFormat="1" ht="15.75" thickBot="1">
      <c r="A8" s="13">
        <f t="shared" ref="A8:A9" si="0">A7+1</f>
        <v>3</v>
      </c>
      <c r="B8" s="33" t="s">
        <v>32</v>
      </c>
      <c r="C8" s="34">
        <v>3702362831</v>
      </c>
      <c r="D8" s="37" t="s">
        <v>193</v>
      </c>
      <c r="E8" s="14" t="s">
        <v>119</v>
      </c>
      <c r="F8" s="14" t="s">
        <v>116</v>
      </c>
      <c r="G8" s="13" t="s">
        <v>116</v>
      </c>
      <c r="H8" s="13" t="s">
        <v>116</v>
      </c>
      <c r="I8" s="13" t="s">
        <v>116</v>
      </c>
      <c r="J8" s="13" t="s">
        <v>116</v>
      </c>
      <c r="K8" s="13" t="s">
        <v>116</v>
      </c>
      <c r="L8" s="13" t="s">
        <v>116</v>
      </c>
      <c r="M8" s="13" t="s">
        <v>116</v>
      </c>
      <c r="N8" s="13" t="s">
        <v>116</v>
      </c>
    </row>
    <row r="9" spans="1:21" ht="15.75" thickBot="1">
      <c r="A9">
        <f t="shared" si="0"/>
        <v>4</v>
      </c>
      <c r="B9" s="1" t="s">
        <v>40</v>
      </c>
      <c r="C9" s="2">
        <v>3702493496</v>
      </c>
      <c r="D9" s="6" t="s">
        <v>190</v>
      </c>
      <c r="E9" s="10" t="s">
        <v>119</v>
      </c>
      <c r="F9" s="14" t="s">
        <v>116</v>
      </c>
      <c r="G9" t="s">
        <v>116</v>
      </c>
      <c r="H9" t="s">
        <v>116</v>
      </c>
      <c r="I9" s="13" t="s">
        <v>116</v>
      </c>
      <c r="J9" s="13" t="s">
        <v>116</v>
      </c>
      <c r="K9" s="13" t="s">
        <v>116</v>
      </c>
      <c r="L9" s="13" t="s">
        <v>116</v>
      </c>
      <c r="M9" s="13" t="s">
        <v>116</v>
      </c>
      <c r="N9" s="13" t="s">
        <v>116</v>
      </c>
    </row>
    <row r="10" spans="1:21" s="13" customFormat="1" ht="15.75" thickBot="1">
      <c r="A10" s="13">
        <v>5</v>
      </c>
      <c r="B10" s="13" t="s">
        <v>72</v>
      </c>
      <c r="C10" s="19">
        <v>3700753607</v>
      </c>
      <c r="D10" s="37" t="s">
        <v>193</v>
      </c>
      <c r="E10" s="14" t="s">
        <v>120</v>
      </c>
      <c r="F10" s="14" t="s">
        <v>116</v>
      </c>
      <c r="G10" s="13" t="s">
        <v>116</v>
      </c>
      <c r="H10" s="13" t="s">
        <v>116</v>
      </c>
      <c r="I10" s="13" t="s">
        <v>116</v>
      </c>
      <c r="J10" s="13" t="s">
        <v>116</v>
      </c>
      <c r="K10" s="13" t="s">
        <v>116</v>
      </c>
      <c r="L10" s="13" t="s">
        <v>116</v>
      </c>
      <c r="M10" s="13" t="s">
        <v>116</v>
      </c>
      <c r="N10" s="13" t="s">
        <v>116</v>
      </c>
      <c r="O10" s="13" t="s">
        <v>376</v>
      </c>
    </row>
    <row r="11" spans="1:21" s="13" customFormat="1" ht="15.75" thickBot="1">
      <c r="A11" s="13">
        <v>6</v>
      </c>
      <c r="B11" s="13" t="s">
        <v>73</v>
      </c>
      <c r="C11" s="19">
        <v>3702912027</v>
      </c>
      <c r="D11" s="15" t="s">
        <v>190</v>
      </c>
      <c r="E11" s="14" t="s">
        <v>119</v>
      </c>
      <c r="F11" s="14" t="s">
        <v>141</v>
      </c>
      <c r="G11" s="13" t="s">
        <v>126</v>
      </c>
      <c r="H11" s="13" t="s">
        <v>116</v>
      </c>
      <c r="I11" s="13" t="s">
        <v>116</v>
      </c>
      <c r="J11" s="13" t="s">
        <v>116</v>
      </c>
      <c r="K11" s="13" t="s">
        <v>116</v>
      </c>
      <c r="L11" s="13" t="s">
        <v>116</v>
      </c>
      <c r="M11" s="13" t="s">
        <v>116</v>
      </c>
      <c r="N11" s="13" t="s">
        <v>124</v>
      </c>
    </row>
    <row r="12" spans="1:21">
      <c r="C12" s="6"/>
      <c r="D12" s="6"/>
      <c r="E12" s="6"/>
      <c r="F12" s="15"/>
    </row>
    <row r="13" spans="1:21" s="8" customFormat="1">
      <c r="B13" s="8" t="s">
        <v>117</v>
      </c>
      <c r="C13" s="9"/>
      <c r="D13" s="9"/>
      <c r="E13" s="9"/>
      <c r="F13" s="16"/>
    </row>
    <row r="14" spans="1:21">
      <c r="A14">
        <v>1</v>
      </c>
      <c r="B14" t="s">
        <v>104</v>
      </c>
      <c r="E14" s="11" t="s">
        <v>121</v>
      </c>
      <c r="F14" s="17"/>
      <c r="G14" t="s">
        <v>116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</row>
    <row r="15" spans="1:21">
      <c r="A15">
        <f>A14+1</f>
        <v>2</v>
      </c>
      <c r="B15" t="s">
        <v>74</v>
      </c>
      <c r="E15" s="11" t="s">
        <v>121</v>
      </c>
      <c r="F15" s="17"/>
      <c r="G15" t="s">
        <v>116</v>
      </c>
      <c r="H15" t="s">
        <v>116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116</v>
      </c>
    </row>
    <row r="16" spans="1:21" ht="15.75" thickBot="1">
      <c r="A16">
        <f t="shared" ref="A16:A20" si="1">A15+1</f>
        <v>3</v>
      </c>
      <c r="B16" t="s">
        <v>75</v>
      </c>
      <c r="E16" s="11" t="s">
        <v>121</v>
      </c>
      <c r="F16" s="17"/>
      <c r="G16" t="s">
        <v>116</v>
      </c>
      <c r="H16" t="s">
        <v>116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</row>
    <row r="17" spans="1:9" s="25" customFormat="1" ht="15.75" thickBot="1">
      <c r="A17" s="25">
        <f t="shared" si="1"/>
        <v>4</v>
      </c>
      <c r="B17" s="29" t="s">
        <v>99</v>
      </c>
      <c r="C17" s="30" t="s">
        <v>259</v>
      </c>
      <c r="D17" s="30"/>
      <c r="E17" s="27" t="s">
        <v>122</v>
      </c>
      <c r="F17" s="28"/>
      <c r="G17" s="25" t="s">
        <v>116</v>
      </c>
      <c r="H17" s="25" t="s">
        <v>124</v>
      </c>
      <c r="I17" s="25" t="s">
        <v>124</v>
      </c>
    </row>
    <row r="18" spans="1:9" ht="17.25" thickBot="1">
      <c r="A18">
        <f t="shared" si="1"/>
        <v>5</v>
      </c>
      <c r="B18" s="3" t="s">
        <v>90</v>
      </c>
      <c r="C18" s="7" t="s">
        <v>260</v>
      </c>
      <c r="D18" s="7"/>
      <c r="E18" s="12" t="s">
        <v>122</v>
      </c>
      <c r="F18" s="18"/>
      <c r="G18" t="s">
        <v>116</v>
      </c>
      <c r="H18" t="s">
        <v>124</v>
      </c>
      <c r="I18" t="s">
        <v>124</v>
      </c>
    </row>
    <row r="19" spans="1:9" ht="30.75" thickBot="1">
      <c r="A19">
        <f t="shared" si="1"/>
        <v>6</v>
      </c>
      <c r="B19" s="4" t="s">
        <v>97</v>
      </c>
      <c r="C19" t="s">
        <v>261</v>
      </c>
      <c r="E19" s="12" t="s">
        <v>122</v>
      </c>
      <c r="F19" s="18"/>
      <c r="G19" t="s">
        <v>116</v>
      </c>
      <c r="I19" t="s">
        <v>124</v>
      </c>
    </row>
    <row r="20" spans="1:9" s="25" customFormat="1" ht="15.75" thickBot="1">
      <c r="A20" s="25">
        <f t="shared" si="1"/>
        <v>7</v>
      </c>
      <c r="B20" s="26" t="s">
        <v>98</v>
      </c>
      <c r="C20" s="25" t="s">
        <v>262</v>
      </c>
      <c r="E20" s="27" t="s">
        <v>122</v>
      </c>
      <c r="F20" s="28"/>
      <c r="G20" s="25" t="s">
        <v>116</v>
      </c>
      <c r="H20" s="25" t="s">
        <v>116</v>
      </c>
      <c r="I20" s="25" t="s">
        <v>124</v>
      </c>
    </row>
    <row r="21" spans="1:9" ht="60">
      <c r="A21">
        <v>8</v>
      </c>
      <c r="B21" s="22" t="s">
        <v>235</v>
      </c>
      <c r="C21" t="s">
        <v>256</v>
      </c>
      <c r="E21" s="27" t="s">
        <v>257</v>
      </c>
      <c r="G21" t="s">
        <v>116</v>
      </c>
      <c r="H21" t="s">
        <v>116</v>
      </c>
      <c r="I21" t="s">
        <v>116</v>
      </c>
    </row>
    <row r="22" spans="1:9" ht="60">
      <c r="B22" s="22" t="s">
        <v>235</v>
      </c>
      <c r="C22" t="s">
        <v>258</v>
      </c>
      <c r="E22" s="27" t="s">
        <v>122</v>
      </c>
      <c r="G22" t="s">
        <v>116</v>
      </c>
      <c r="H22" t="s">
        <v>116</v>
      </c>
      <c r="I22" t="s">
        <v>116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topLeftCell="C12" workbookViewId="0">
      <selection activeCell="H18" sqref="H18"/>
    </sheetView>
  </sheetViews>
  <sheetFormatPr defaultRowHeight="15"/>
  <cols>
    <col min="2" max="2" width="43" customWidth="1"/>
    <col min="3" max="3" width="64.7109375" customWidth="1"/>
    <col min="4" max="4" width="17.5703125" customWidth="1"/>
    <col min="5" max="5" width="15.5703125" customWidth="1"/>
    <col min="6" max="6" width="18" customWidth="1"/>
    <col min="8" max="8" width="9.140625" style="72"/>
    <col min="9" max="9" width="8.28515625" customWidth="1"/>
    <col min="10" max="10" width="7.140625" customWidth="1"/>
    <col min="11" max="11" width="5.28515625" style="72" customWidth="1"/>
    <col min="12" max="12" width="7.42578125" customWidth="1"/>
  </cols>
  <sheetData>
    <row r="2" spans="1:20">
      <c r="F2" t="s">
        <v>0</v>
      </c>
    </row>
    <row r="3" spans="1:20">
      <c r="F3" t="s">
        <v>1</v>
      </c>
    </row>
    <row r="4" spans="1:20">
      <c r="G4" t="s">
        <v>118</v>
      </c>
    </row>
    <row r="5" spans="1:20">
      <c r="A5" s="8" t="s">
        <v>2</v>
      </c>
      <c r="B5" s="8" t="s">
        <v>3</v>
      </c>
      <c r="C5" s="8" t="s">
        <v>4</v>
      </c>
      <c r="D5" s="8" t="s">
        <v>194</v>
      </c>
      <c r="E5" s="8" t="s">
        <v>123</v>
      </c>
      <c r="F5" s="8">
        <v>1</v>
      </c>
      <c r="G5" s="8">
        <v>2</v>
      </c>
      <c r="H5" s="72">
        <v>3</v>
      </c>
      <c r="I5" s="8">
        <v>4</v>
      </c>
      <c r="J5" s="8">
        <v>5</v>
      </c>
      <c r="K5" s="72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 t="s">
        <v>5</v>
      </c>
      <c r="S5" s="8"/>
      <c r="T5" s="8"/>
    </row>
    <row r="6" spans="1:20" s="65" customFormat="1" ht="15.75" thickBot="1">
      <c r="A6" s="65" t="s">
        <v>270</v>
      </c>
      <c r="B6" s="65" t="s">
        <v>117</v>
      </c>
      <c r="C6" s="66"/>
      <c r="D6" s="66"/>
      <c r="E6" s="66"/>
      <c r="H6" s="73"/>
      <c r="K6" s="73"/>
    </row>
    <row r="7" spans="1:20" s="56" customFormat="1" ht="15.75" thickBot="1">
      <c r="B7" s="60" t="s">
        <v>99</v>
      </c>
      <c r="C7" s="61" t="s">
        <v>259</v>
      </c>
      <c r="D7" s="61"/>
      <c r="E7" s="62" t="s">
        <v>122</v>
      </c>
      <c r="F7" s="65" t="s">
        <v>116</v>
      </c>
      <c r="G7" s="65" t="s">
        <v>116</v>
      </c>
      <c r="H7" s="73" t="s">
        <v>116</v>
      </c>
      <c r="I7" s="65" t="s">
        <v>116</v>
      </c>
      <c r="J7" s="65" t="s">
        <v>116</v>
      </c>
      <c r="K7" s="73" t="s">
        <v>116</v>
      </c>
      <c r="L7" s="65" t="s">
        <v>116</v>
      </c>
      <c r="M7" s="65" t="s">
        <v>124</v>
      </c>
      <c r="N7" s="65" t="s">
        <v>376</v>
      </c>
      <c r="O7" s="65"/>
    </row>
    <row r="8" spans="1:20" s="56" customFormat="1" ht="17.25" thickBot="1">
      <c r="B8" s="60" t="s">
        <v>90</v>
      </c>
      <c r="C8" s="64" t="s">
        <v>260</v>
      </c>
      <c r="D8" s="64"/>
      <c r="E8" s="62" t="s">
        <v>122</v>
      </c>
      <c r="F8" s="65" t="s">
        <v>116</v>
      </c>
      <c r="G8" s="65" t="s">
        <v>116</v>
      </c>
      <c r="H8" s="73" t="s">
        <v>116</v>
      </c>
      <c r="I8" s="65" t="s">
        <v>116</v>
      </c>
      <c r="J8" s="65" t="s">
        <v>116</v>
      </c>
      <c r="K8" s="73" t="s">
        <v>116</v>
      </c>
      <c r="L8" s="65" t="s">
        <v>116</v>
      </c>
      <c r="M8" s="65" t="s">
        <v>124</v>
      </c>
      <c r="N8" s="65" t="s">
        <v>376</v>
      </c>
    </row>
    <row r="9" spans="1:20" s="56" customFormat="1" ht="15.75" thickBot="1">
      <c r="B9" s="119" t="s">
        <v>97</v>
      </c>
      <c r="C9" s="56" t="s">
        <v>261</v>
      </c>
      <c r="D9" s="56" t="s">
        <v>285</v>
      </c>
      <c r="E9" s="62" t="s">
        <v>122</v>
      </c>
      <c r="F9" s="118" t="s">
        <v>116</v>
      </c>
      <c r="G9" s="118" t="s">
        <v>116</v>
      </c>
      <c r="H9" s="118" t="s">
        <v>116</v>
      </c>
      <c r="I9" s="118" t="s">
        <v>116</v>
      </c>
      <c r="J9" s="118" t="s">
        <v>116</v>
      </c>
      <c r="K9" s="56" t="s">
        <v>116</v>
      </c>
      <c r="L9" s="56" t="s">
        <v>116</v>
      </c>
      <c r="M9" s="56" t="s">
        <v>116</v>
      </c>
      <c r="N9" s="56" t="s">
        <v>116</v>
      </c>
      <c r="O9" s="56" t="s">
        <v>116</v>
      </c>
      <c r="P9" s="56" t="s">
        <v>116</v>
      </c>
      <c r="Q9" s="56" t="s">
        <v>116</v>
      </c>
      <c r="R9" s="56" t="s">
        <v>116</v>
      </c>
    </row>
    <row r="10" spans="1:20" s="56" customFormat="1" ht="15.75" thickBot="1">
      <c r="B10" s="60" t="s">
        <v>98</v>
      </c>
      <c r="C10" s="56" t="s">
        <v>350</v>
      </c>
      <c r="E10" s="62" t="s">
        <v>122</v>
      </c>
      <c r="F10" s="65" t="s">
        <v>116</v>
      </c>
      <c r="G10" s="65" t="s">
        <v>116</v>
      </c>
      <c r="H10" s="73" t="s">
        <v>116</v>
      </c>
      <c r="I10" s="65" t="s">
        <v>116</v>
      </c>
      <c r="J10" s="65" t="s">
        <v>116</v>
      </c>
      <c r="K10" s="73" t="s">
        <v>116</v>
      </c>
      <c r="L10" s="56" t="s">
        <v>116</v>
      </c>
      <c r="M10" s="56" t="s">
        <v>116</v>
      </c>
      <c r="N10" s="56" t="s">
        <v>116</v>
      </c>
    </row>
    <row r="11" spans="1:20" s="56" customFormat="1" ht="63" customHeight="1">
      <c r="B11" s="22" t="s">
        <v>235</v>
      </c>
      <c r="C11" s="56" t="s">
        <v>258</v>
      </c>
      <c r="E11" s="62" t="s">
        <v>122</v>
      </c>
      <c r="F11" s="65" t="s">
        <v>116</v>
      </c>
      <c r="G11" s="65" t="s">
        <v>116</v>
      </c>
      <c r="H11" s="73" t="s">
        <v>116</v>
      </c>
      <c r="I11" s="65" t="s">
        <v>116</v>
      </c>
      <c r="J11" s="65" t="s">
        <v>116</v>
      </c>
      <c r="K11" s="73" t="s">
        <v>116</v>
      </c>
      <c r="L11" s="65" t="s">
        <v>116</v>
      </c>
      <c r="M11" s="65" t="s">
        <v>116</v>
      </c>
      <c r="N11" s="65" t="s">
        <v>376</v>
      </c>
      <c r="O11" s="65"/>
    </row>
    <row r="12" spans="1:20" s="56" customFormat="1">
      <c r="B12" s="56" t="s">
        <v>263</v>
      </c>
      <c r="C12" s="56" t="s">
        <v>264</v>
      </c>
      <c r="E12" s="62" t="s">
        <v>122</v>
      </c>
      <c r="H12" s="72"/>
      <c r="J12" s="65" t="s">
        <v>116</v>
      </c>
      <c r="K12" s="72" t="s">
        <v>116</v>
      </c>
      <c r="L12" s="65" t="s">
        <v>116</v>
      </c>
      <c r="M12" s="65" t="s">
        <v>116</v>
      </c>
      <c r="N12" s="65" t="s">
        <v>376</v>
      </c>
      <c r="O12" s="65"/>
    </row>
    <row r="13" spans="1:20" s="56" customFormat="1">
      <c r="B13" s="56" t="s">
        <v>370</v>
      </c>
      <c r="C13" s="75" t="s">
        <v>371</v>
      </c>
      <c r="E13" s="62" t="s">
        <v>122</v>
      </c>
      <c r="H13" s="72"/>
      <c r="J13" s="65"/>
      <c r="K13" s="72"/>
      <c r="L13" s="65"/>
      <c r="M13" s="65"/>
      <c r="N13" s="65" t="s">
        <v>376</v>
      </c>
    </row>
    <row r="14" spans="1:20" s="65" customFormat="1">
      <c r="A14" s="65" t="s">
        <v>271</v>
      </c>
      <c r="B14" s="65" t="s">
        <v>296</v>
      </c>
    </row>
    <row r="15" spans="1:20" s="77" customFormat="1" ht="45">
      <c r="A15" s="77">
        <v>1</v>
      </c>
      <c r="B15" s="78" t="s">
        <v>235</v>
      </c>
      <c r="C15" s="13" t="s">
        <v>256</v>
      </c>
      <c r="D15" s="13"/>
      <c r="E15" s="79" t="s">
        <v>257</v>
      </c>
      <c r="H15" s="49" t="s">
        <v>400</v>
      </c>
      <c r="K15" s="49" t="s">
        <v>401</v>
      </c>
      <c r="N15" s="77" t="s">
        <v>399</v>
      </c>
    </row>
    <row r="16" spans="1:20" s="56" customFormat="1" ht="15.75" thickBot="1">
      <c r="A16" s="56">
        <v>2</v>
      </c>
      <c r="B16" s="56" t="s">
        <v>263</v>
      </c>
      <c r="C16" t="s">
        <v>273</v>
      </c>
      <c r="D16"/>
      <c r="E16" s="62" t="s">
        <v>257</v>
      </c>
      <c r="H16" s="49" t="s">
        <v>400</v>
      </c>
      <c r="I16" s="77"/>
      <c r="J16" s="77"/>
      <c r="K16" s="49" t="s">
        <v>401</v>
      </c>
      <c r="L16" s="77"/>
      <c r="M16" s="77"/>
      <c r="N16" s="77" t="s">
        <v>399</v>
      </c>
    </row>
    <row r="17" spans="1:17" s="56" customFormat="1" ht="15.75" thickBot="1">
      <c r="A17" s="56">
        <v>3</v>
      </c>
      <c r="B17" s="63" t="s">
        <v>98</v>
      </c>
      <c r="C17" s="57" t="s">
        <v>403</v>
      </c>
      <c r="D17" s="57"/>
      <c r="E17" s="62" t="s">
        <v>257</v>
      </c>
      <c r="H17" s="49" t="s">
        <v>400</v>
      </c>
      <c r="I17" s="77"/>
      <c r="J17" s="77"/>
      <c r="K17" s="49" t="s">
        <v>401</v>
      </c>
    </row>
    <row r="18" spans="1:17" s="56" customFormat="1" ht="16.5">
      <c r="A18" s="75">
        <v>4</v>
      </c>
      <c r="B18" s="74" t="s">
        <v>289</v>
      </c>
      <c r="C18" s="136" t="s">
        <v>402</v>
      </c>
      <c r="D18" s="57"/>
      <c r="E18" s="62" t="s">
        <v>257</v>
      </c>
      <c r="H18" s="49" t="s">
        <v>400</v>
      </c>
      <c r="I18" s="77"/>
      <c r="J18" s="77"/>
      <c r="K18" s="49" t="s">
        <v>401</v>
      </c>
      <c r="L18" s="77"/>
      <c r="M18" s="77"/>
      <c r="N18" s="77" t="s">
        <v>399</v>
      </c>
    </row>
    <row r="19" spans="1:17" s="56" customFormat="1">
      <c r="A19" s="75">
        <v>5</v>
      </c>
      <c r="B19" s="74" t="s">
        <v>292</v>
      </c>
      <c r="C19" s="76" t="s">
        <v>293</v>
      </c>
      <c r="D19" s="57"/>
      <c r="E19" s="62" t="s">
        <v>257</v>
      </c>
      <c r="H19" s="72"/>
      <c r="K19" s="72"/>
    </row>
    <row r="20" spans="1:17" s="56" customFormat="1">
      <c r="A20" s="75">
        <v>6</v>
      </c>
      <c r="B20" s="74" t="s">
        <v>294</v>
      </c>
      <c r="C20" s="76"/>
      <c r="D20" s="57"/>
      <c r="E20" s="62"/>
      <c r="H20" s="72"/>
      <c r="K20" s="72"/>
    </row>
    <row r="21" spans="1:17" s="8" customFormat="1">
      <c r="A21" s="80" t="s">
        <v>173</v>
      </c>
      <c r="B21" s="81" t="s">
        <v>297</v>
      </c>
      <c r="C21" s="82"/>
      <c r="D21" s="9"/>
      <c r="E21" s="83"/>
    </row>
    <row r="22" spans="1:17" s="77" customFormat="1" ht="45">
      <c r="A22" s="77">
        <v>1</v>
      </c>
      <c r="B22" s="78" t="s">
        <v>235</v>
      </c>
      <c r="C22" s="13"/>
      <c r="D22" s="13"/>
      <c r="E22" s="79" t="s">
        <v>298</v>
      </c>
      <c r="F22" s="77" t="s">
        <v>124</v>
      </c>
      <c r="H22" s="49" t="s">
        <v>124</v>
      </c>
      <c r="K22" s="49"/>
    </row>
    <row r="23" spans="1:17" s="56" customFormat="1" ht="15.75" thickBot="1">
      <c r="A23" s="56">
        <v>2</v>
      </c>
      <c r="B23" s="56" t="s">
        <v>263</v>
      </c>
      <c r="C23"/>
      <c r="D23"/>
      <c r="E23" s="79" t="s">
        <v>298</v>
      </c>
      <c r="H23" s="72"/>
      <c r="K23" s="72"/>
    </row>
    <row r="24" spans="1:17" s="56" customFormat="1" ht="15.75" thickBot="1">
      <c r="A24" s="56">
        <v>3</v>
      </c>
      <c r="B24" s="63" t="s">
        <v>98</v>
      </c>
      <c r="C24" s="57"/>
      <c r="D24" s="57"/>
      <c r="E24" s="79" t="s">
        <v>298</v>
      </c>
      <c r="F24" s="56" t="s">
        <v>124</v>
      </c>
      <c r="G24" s="56" t="s">
        <v>124</v>
      </c>
      <c r="H24" s="72" t="s">
        <v>124</v>
      </c>
      <c r="K24" s="72"/>
    </row>
    <row r="25" spans="1:17" s="56" customFormat="1">
      <c r="A25" s="75">
        <v>4</v>
      </c>
      <c r="B25" s="74" t="s">
        <v>289</v>
      </c>
      <c r="C25" s="57" t="s">
        <v>299</v>
      </c>
      <c r="D25" s="57"/>
      <c r="E25" s="79" t="s">
        <v>298</v>
      </c>
      <c r="H25" s="72"/>
      <c r="K25" s="72"/>
    </row>
    <row r="26" spans="1:17" s="56" customFormat="1">
      <c r="A26" s="75">
        <v>5</v>
      </c>
      <c r="B26" s="74" t="s">
        <v>292</v>
      </c>
      <c r="C26" s="76"/>
      <c r="D26" s="57"/>
      <c r="E26" s="79" t="s">
        <v>298</v>
      </c>
      <c r="H26" s="72"/>
      <c r="K26" s="72"/>
    </row>
    <row r="27" spans="1:17" s="56" customFormat="1">
      <c r="A27" s="75"/>
      <c r="B27" s="74"/>
      <c r="C27" s="76"/>
      <c r="D27" s="57"/>
      <c r="E27" s="62"/>
      <c r="H27" s="72"/>
      <c r="K27" s="72"/>
    </row>
    <row r="28" spans="1:17" s="58" customFormat="1">
      <c r="A28" s="58" t="s">
        <v>173</v>
      </c>
      <c r="B28" s="67" t="s">
        <v>272</v>
      </c>
      <c r="C28" s="59"/>
      <c r="D28" s="59"/>
      <c r="E28" s="59"/>
      <c r="H28" s="49"/>
      <c r="K28" s="49"/>
    </row>
    <row r="29" spans="1:17">
      <c r="A29">
        <v>1</v>
      </c>
      <c r="B29" t="s">
        <v>104</v>
      </c>
      <c r="E29" s="11" t="s">
        <v>121</v>
      </c>
      <c r="F29" t="s">
        <v>116</v>
      </c>
      <c r="G29" t="s">
        <v>116</v>
      </c>
      <c r="H29" s="72" t="s">
        <v>116</v>
      </c>
      <c r="I29" t="s">
        <v>116</v>
      </c>
      <c r="J29" t="s">
        <v>116</v>
      </c>
      <c r="K29" s="72" t="s">
        <v>116</v>
      </c>
      <c r="L29" t="s">
        <v>116</v>
      </c>
      <c r="M29" t="s">
        <v>116</v>
      </c>
      <c r="N29" t="s">
        <v>116</v>
      </c>
      <c r="O29" t="s">
        <v>372</v>
      </c>
    </row>
    <row r="30" spans="1:17">
      <c r="A30">
        <f>A29+1</f>
        <v>2</v>
      </c>
      <c r="B30" t="s">
        <v>74</v>
      </c>
      <c r="E30" s="11" t="s">
        <v>121</v>
      </c>
      <c r="F30" t="s">
        <v>116</v>
      </c>
      <c r="G30" t="s">
        <v>116</v>
      </c>
      <c r="H30" s="72" t="s">
        <v>116</v>
      </c>
      <c r="I30" t="s">
        <v>116</v>
      </c>
      <c r="J30" t="s">
        <v>116</v>
      </c>
      <c r="K30" s="72" t="s">
        <v>116</v>
      </c>
      <c r="L30" t="s">
        <v>116</v>
      </c>
      <c r="M30" t="s">
        <v>124</v>
      </c>
      <c r="N30" t="s">
        <v>116</v>
      </c>
      <c r="O30" t="s">
        <v>372</v>
      </c>
    </row>
    <row r="31" spans="1:17">
      <c r="A31">
        <f t="shared" ref="A31" si="0">A30+1</f>
        <v>3</v>
      </c>
      <c r="B31" t="s">
        <v>75</v>
      </c>
      <c r="E31" s="11" t="s">
        <v>121</v>
      </c>
      <c r="F31" t="s">
        <v>116</v>
      </c>
      <c r="G31" t="s">
        <v>116</v>
      </c>
      <c r="H31" s="72" t="s">
        <v>116</v>
      </c>
      <c r="I31" t="s">
        <v>116</v>
      </c>
      <c r="J31" t="s">
        <v>116</v>
      </c>
      <c r="K31" s="72" t="s">
        <v>116</v>
      </c>
      <c r="L31" t="s">
        <v>116</v>
      </c>
      <c r="M31" t="s">
        <v>116</v>
      </c>
      <c r="N31" t="s">
        <v>116</v>
      </c>
      <c r="O31" t="s">
        <v>373</v>
      </c>
    </row>
    <row r="32" spans="1:17" s="56" customFormat="1" ht="17.25" customHeight="1">
      <c r="A32" s="56">
        <v>4</v>
      </c>
      <c r="B32" s="22" t="s">
        <v>235</v>
      </c>
      <c r="E32" s="11" t="s">
        <v>121</v>
      </c>
      <c r="F32" s="56" t="s">
        <v>116</v>
      </c>
      <c r="G32" s="56" t="s">
        <v>116</v>
      </c>
      <c r="H32" s="56" t="s">
        <v>116</v>
      </c>
      <c r="I32" s="56" t="s">
        <v>116</v>
      </c>
      <c r="J32" s="56" t="s">
        <v>116</v>
      </c>
      <c r="K32" s="56" t="s">
        <v>116</v>
      </c>
      <c r="L32" s="56" t="s">
        <v>116</v>
      </c>
      <c r="M32" s="56" t="s">
        <v>355</v>
      </c>
      <c r="N32" s="56" t="s">
        <v>376</v>
      </c>
      <c r="O32" s="56" t="s">
        <v>372</v>
      </c>
      <c r="P32" s="56" t="s">
        <v>375</v>
      </c>
      <c r="Q32" s="56" t="s">
        <v>377</v>
      </c>
    </row>
    <row r="33" spans="1:17">
      <c r="A33">
        <v>5</v>
      </c>
      <c r="B33" t="s">
        <v>265</v>
      </c>
      <c r="E33" s="11" t="s">
        <v>121</v>
      </c>
      <c r="F33" t="s">
        <v>116</v>
      </c>
      <c r="G33" t="s">
        <v>116</v>
      </c>
      <c r="H33" s="72" t="s">
        <v>116</v>
      </c>
      <c r="I33" t="s">
        <v>116</v>
      </c>
      <c r="J33" t="s">
        <v>116</v>
      </c>
      <c r="K33" s="72" t="s">
        <v>116</v>
      </c>
      <c r="L33" t="s">
        <v>124</v>
      </c>
      <c r="M33" t="s">
        <v>124</v>
      </c>
      <c r="N33" t="s">
        <v>116</v>
      </c>
      <c r="O33" s="56" t="s">
        <v>372</v>
      </c>
    </row>
    <row r="34" spans="1:17" s="49" customFormat="1">
      <c r="A34" s="49">
        <v>6</v>
      </c>
      <c r="B34" s="49" t="s">
        <v>266</v>
      </c>
      <c r="C34" s="49" t="s">
        <v>374</v>
      </c>
      <c r="E34" s="128" t="s">
        <v>121</v>
      </c>
      <c r="F34" s="49" t="s">
        <v>116</v>
      </c>
      <c r="G34" s="49" t="s">
        <v>116</v>
      </c>
      <c r="H34" s="49" t="s">
        <v>116</v>
      </c>
      <c r="I34" s="49" t="s">
        <v>116</v>
      </c>
      <c r="J34" s="49" t="s">
        <v>116</v>
      </c>
      <c r="K34" s="49" t="s">
        <v>116</v>
      </c>
      <c r="L34" s="49" t="s">
        <v>124</v>
      </c>
      <c r="M34" s="49" t="s">
        <v>124</v>
      </c>
      <c r="N34" s="49" t="s">
        <v>124</v>
      </c>
      <c r="O34" s="49" t="s">
        <v>378</v>
      </c>
      <c r="P34" s="49" t="s">
        <v>378</v>
      </c>
      <c r="Q34" s="49" t="s">
        <v>378</v>
      </c>
    </row>
    <row r="35" spans="1:17">
      <c r="A35">
        <v>7</v>
      </c>
      <c r="B35" t="s">
        <v>267</v>
      </c>
      <c r="E35" s="11" t="s">
        <v>121</v>
      </c>
      <c r="H35" s="49" t="s">
        <v>116</v>
      </c>
      <c r="I35" s="13" t="s">
        <v>116</v>
      </c>
      <c r="J35" s="13" t="s">
        <v>116</v>
      </c>
      <c r="K35" s="49" t="s">
        <v>116</v>
      </c>
      <c r="L35" s="13" t="s">
        <v>116</v>
      </c>
      <c r="M35" s="13" t="s">
        <v>124</v>
      </c>
      <c r="N35" s="13" t="s">
        <v>124</v>
      </c>
      <c r="O35" s="13" t="s">
        <v>372</v>
      </c>
    </row>
    <row r="36" spans="1:17" s="8" customFormat="1">
      <c r="A36" s="8">
        <v>9</v>
      </c>
      <c r="B36" s="8" t="s">
        <v>268</v>
      </c>
      <c r="E36" s="129" t="s">
        <v>121</v>
      </c>
      <c r="F36" s="41" t="s">
        <v>116</v>
      </c>
      <c r="G36" s="41" t="s">
        <v>116</v>
      </c>
      <c r="H36" s="41" t="s">
        <v>116</v>
      </c>
      <c r="I36" s="41" t="s">
        <v>116</v>
      </c>
      <c r="J36" s="41" t="s">
        <v>116</v>
      </c>
      <c r="K36" s="41" t="s">
        <v>116</v>
      </c>
    </row>
    <row r="37" spans="1:17">
      <c r="A37">
        <v>10</v>
      </c>
      <c r="B37" t="s">
        <v>344</v>
      </c>
      <c r="E37" s="11" t="s">
        <v>121</v>
      </c>
      <c r="F37" s="13" t="s">
        <v>116</v>
      </c>
      <c r="G37" s="13" t="s">
        <v>116</v>
      </c>
      <c r="H37" s="49" t="s">
        <v>116</v>
      </c>
      <c r="I37" s="13" t="s">
        <v>116</v>
      </c>
      <c r="J37" s="13" t="s">
        <v>116</v>
      </c>
      <c r="K37" s="49" t="s">
        <v>116</v>
      </c>
      <c r="L37" s="13" t="s">
        <v>116</v>
      </c>
      <c r="M37" s="13" t="s">
        <v>116</v>
      </c>
      <c r="N37" s="13" t="s">
        <v>124</v>
      </c>
      <c r="O37" s="13" t="s">
        <v>372</v>
      </c>
    </row>
    <row r="38" spans="1:17">
      <c r="A38">
        <v>10</v>
      </c>
      <c r="B38" t="s">
        <v>269</v>
      </c>
      <c r="E38" s="11" t="s">
        <v>121</v>
      </c>
    </row>
    <row r="39" spans="1:17">
      <c r="A39">
        <v>11</v>
      </c>
      <c r="B39" t="s">
        <v>290</v>
      </c>
      <c r="E39" s="11" t="s">
        <v>121</v>
      </c>
    </row>
    <row r="40" spans="1:17" s="13" customFormat="1">
      <c r="A40" s="13">
        <v>12</v>
      </c>
      <c r="B40" s="13" t="s">
        <v>345</v>
      </c>
      <c r="E40" s="11" t="s">
        <v>121</v>
      </c>
      <c r="H40" s="49"/>
      <c r="K40" s="49"/>
      <c r="M40" s="13" t="s">
        <v>116</v>
      </c>
      <c r="N40" s="13" t="s">
        <v>116</v>
      </c>
      <c r="O40" s="13" t="s">
        <v>372</v>
      </c>
    </row>
    <row r="41" spans="1:17">
      <c r="A41">
        <v>13</v>
      </c>
      <c r="B41" t="s">
        <v>369</v>
      </c>
      <c r="E41" s="11" t="s">
        <v>121</v>
      </c>
      <c r="O41" s="13" t="s">
        <v>372</v>
      </c>
    </row>
    <row r="42" spans="1:17">
      <c r="A42">
        <v>14</v>
      </c>
      <c r="B42" t="s">
        <v>360</v>
      </c>
      <c r="E42" s="11" t="s">
        <v>121</v>
      </c>
      <c r="O42" s="13" t="s">
        <v>372</v>
      </c>
    </row>
    <row r="43" spans="1:17">
      <c r="A43">
        <v>15</v>
      </c>
      <c r="B43" t="s">
        <v>379</v>
      </c>
      <c r="E43" s="11" t="s">
        <v>121</v>
      </c>
    </row>
    <row r="44" spans="1:17">
      <c r="A44">
        <v>16</v>
      </c>
      <c r="B44" t="s">
        <v>380</v>
      </c>
      <c r="E44" s="11" t="s">
        <v>121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I11"/>
  <sheetViews>
    <sheetView workbookViewId="0">
      <selection activeCell="E10" sqref="E10"/>
    </sheetView>
  </sheetViews>
  <sheetFormatPr defaultRowHeight="15"/>
  <sheetData>
    <row r="8" spans="9:9">
      <c r="I8" s="127"/>
    </row>
    <row r="9" spans="9:9">
      <c r="I9" s="127"/>
    </row>
    <row r="10" spans="9:9">
      <c r="I10" s="127"/>
    </row>
    <row r="11" spans="9:9">
      <c r="I11" s="1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TAM NGỪNG HOẠT ĐỘNG</vt:lpstr>
      <vt:lpstr>KHAI BAO QUY </vt:lpstr>
      <vt:lpstr>PHU TRACH Q3-26</vt:lpstr>
      <vt:lpstr>KHAI BAO THANG</vt:lpstr>
      <vt:lpstr>BAO CAO FDI-NHNN- THUE XUONG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2026-02-05T15:03:29Z</dcterms:created>
  <dcterms:modified xsi:type="dcterms:W3CDTF">2026-10-19T09:54:22Z</dcterms:modified>
</cp:coreProperties>
</file>