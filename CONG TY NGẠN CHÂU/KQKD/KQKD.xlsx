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20" yWindow="-120" windowWidth="20730" windowHeight="11040" tabRatio="835"/>
  </bookViews>
  <sheets>
    <sheet name="KQHDKD" sheetId="19" r:id="rId1"/>
    <sheet name="CDKT" sheetId="18" r:id="rId2"/>
    <sheet name="CDPS" sheetId="1" r:id="rId3"/>
    <sheet name="2293" sheetId="37" state="hidden" r:id="rId4"/>
    <sheet name="CN" sheetId="36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Z" localSheetId="3">#REF!</definedName>
    <definedName name="\Z">#REF!</definedName>
    <definedName name="__?">#REF!</definedName>
    <definedName name="__??????">#REF!</definedName>
    <definedName name="___?">#REF!</definedName>
    <definedName name="___??????">#REF!</definedName>
    <definedName name="____?">#REF!</definedName>
    <definedName name="____??????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ddn400">#REF!</definedName>
    <definedName name="____ddn600">#REF!</definedName>
    <definedName name="____lap1">#REF!</definedName>
    <definedName name="____lap2">#REF!</definedName>
    <definedName name="____MAC12">#REF!</definedName>
    <definedName name="____MAC46">#REF!</definedName>
    <definedName name="____NCL100">#REF!</definedName>
    <definedName name="____NCL200">#REF!</definedName>
    <definedName name="____NCL250">#REF!</definedName>
    <definedName name="____nin190">#REF!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SN3">#REF!</definedName>
    <definedName name="____TB1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VL100">#REF!</definedName>
    <definedName name="____VL200">#REF!</definedName>
    <definedName name="____VL25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lap1">#REF!</definedName>
    <definedName name="___lap2">#REF!</definedName>
    <definedName name="___MAC12">#REF!</definedName>
    <definedName name="___MAC46">#REF!</definedName>
    <definedName name="___NCL100">#REF!</definedName>
    <definedName name="___NCL200">#REF!</definedName>
    <definedName name="___NCL250">#REF!</definedName>
    <definedName name="___nin190">#REF!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123Graph_APIS" hidden="1">[1]D!$B$7:$B$18</definedName>
    <definedName name="__123Graph_BCurrent" hidden="1">[2]B!#REF!</definedName>
    <definedName name="__123Graph_BPIS" hidden="1">[1]D!$C$7:$C$18</definedName>
    <definedName name="__123Graph_CCurrent" hidden="1">[2]B!#REF!</definedName>
    <definedName name="__123Graph_CPIS" hidden="1">[1]D!$D$7:$D$18</definedName>
    <definedName name="__123Graph_DCurrent" hidden="1">[2]B!#REF!</definedName>
    <definedName name="__123Graph_DPIS" hidden="1">[1]D!$E$7:$E$18</definedName>
    <definedName name="__123Graph_ECurrent" hidden="1">[2]B!#REF!</definedName>
    <definedName name="__123Graph_FCurrent" hidden="1">[2]B!#REF!</definedName>
    <definedName name="__123Graph_XPIS" hidden="1">[1]D!$A$7:$A$18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IntlFixup" hidden="1">TRUE</definedName>
    <definedName name="__lap1">#REF!</definedName>
    <definedName name="__lap2">#REF!</definedName>
    <definedName name="__MAC12">#REF!</definedName>
    <definedName name="__MAC46">#REF!</definedName>
    <definedName name="__NCL100">#REF!</definedName>
    <definedName name="__NCL200">#REF!</definedName>
    <definedName name="__NCL250">#REF!</definedName>
    <definedName name="__nin190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sc1">#REF!</definedName>
    <definedName name="__SC2">#REF!</definedName>
    <definedName name="__sc3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1">#N/A</definedName>
    <definedName name="_1__123Graph_ATEILM_RKTE" hidden="1">[1]D!$B$27:$B$31</definedName>
    <definedName name="_1000A01">#N/A</definedName>
    <definedName name="_1BA2500">#REF!</definedName>
    <definedName name="_1BA3250">#REF!</definedName>
    <definedName name="_1BA400P">#REF!</definedName>
    <definedName name="_1DAU002">#REF!</definedName>
    <definedName name="_1DDAY03">#REF!</definedName>
    <definedName name="_1MCCBO2">#REF!</definedName>
    <definedName name="_2">#N/A</definedName>
    <definedName name="_2__123Graph_ATEILM_RKTE2" hidden="1">[1]D!$B$27:$B$31</definedName>
    <definedName name="_20_40">#REF!</definedName>
    <definedName name="_2BLA100">#REF!</definedName>
    <definedName name="_2DAL201">#REF!</definedName>
    <definedName name="_3__123Graph_XTEILM_RKTE2" hidden="1">[1]D!$A$27:$A$31</definedName>
    <definedName name="_3BLXMD">#REF!</definedName>
    <definedName name="_3TU0609">#REF!</definedName>
    <definedName name="_4FCO10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N1">#REF!</definedName>
    <definedName name="_CON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dn400">#REF!</definedName>
    <definedName name="_ddn600">#REF!</definedName>
    <definedName name="_Fill" localSheetId="3" hidden="1">#REF!</definedName>
    <definedName name="_Fill" hidden="1">#REF!</definedName>
    <definedName name="_xlnm._FilterDatabase" localSheetId="3" hidden="1">'2293'!$A$2:$K$211</definedName>
    <definedName name="_xlnm._FilterDatabase" localSheetId="1" hidden="1">CDKT!$A$9:$H$130</definedName>
    <definedName name="_xlnm._FilterDatabase" localSheetId="2" hidden="1">CDPS!$A$8:$GY$168</definedName>
    <definedName name="_xlnm._FilterDatabase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lap1">#REF!</definedName>
    <definedName name="_lap2">#REF!</definedName>
    <definedName name="_LL07">#REF!</definedName>
    <definedName name="_LL11">#REF!</definedName>
    <definedName name="_LL21">#REF!</definedName>
    <definedName name="_LL22">#REF!</definedName>
    <definedName name="_LL23">#REF!</definedName>
    <definedName name="_LL24">#REF!</definedName>
    <definedName name="_LL25">#REF!</definedName>
    <definedName name="_LL31">#REF!</definedName>
    <definedName name="_LL32">#REF!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SO2" localSheetId="3" hidden="1">{"'Sheet1'!$L$16"}</definedName>
    <definedName name="_NSO2" hidden="1">{"'Sheet1'!$L$16"}</definedName>
    <definedName name="_nso3" localSheetId="3" hidden="1">{"'Sheet1'!$L$16"}</definedName>
    <definedName name="_nso3" hidden="1">{"'Sheet1'!$L$16"}</definedName>
    <definedName name="_Order1" hidden="1">255</definedName>
    <definedName name="_Order2" hidden="1">255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R1A" localSheetId="3">#REF!</definedName>
    <definedName name="_R1A">#REF!</definedName>
    <definedName name="_Regression_Int" hidden="1">1</definedName>
    <definedName name="_sc1">#REF!</definedName>
    <definedName name="_SC2">#REF!</definedName>
    <definedName name="_sc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ort" localSheetId="3" hidden="1">#REF!</definedName>
    <definedName name="_Sort" hidden="1">#REF!</definedName>
    <definedName name="_TB1">#REF!</definedName>
    <definedName name="_TK08">#REF!</definedName>
    <definedName name="_TK09">#REF!</definedName>
    <definedName name="_TK11111">#REF!</definedName>
    <definedName name="_TK1111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VL100">#REF!</definedName>
    <definedName name="_VL200">#REF!</definedName>
    <definedName name="_VL250">#REF!</definedName>
    <definedName name="_xl15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35_">#REF!</definedName>
    <definedName name="a387.">[3]NKC!#REF!</definedName>
    <definedName name="A50_">#REF!</definedName>
    <definedName name="A70_">#REF!</definedName>
    <definedName name="A95_">#REF!</definedName>
    <definedName name="AA">#REF!</definedName>
    <definedName name="ac">#N/A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irfreight">#REF!</definedName>
    <definedName name="ALL" localSheetId="3">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R" localSheetId="3">#REF!</definedName>
    <definedName name="AR">#REF!</definedName>
    <definedName name="AS2DocOpenMode" hidden="1">"AS2DocumentEdit"</definedName>
    <definedName name="B">#REF!</definedName>
    <definedName name="b_240">#REF!</definedName>
    <definedName name="b_280">#REF!</definedName>
    <definedName name="b_320">#REF!</definedName>
    <definedName name="B_KiH" localSheetId="3">#REF!</definedName>
    <definedName name="B_KiH">#REF!</definedName>
    <definedName name="B_tinh">#REF!</definedName>
    <definedName name="bangchu">#REF!</definedName>
    <definedName name="BB">#REF!</definedName>
    <definedName name="BCDPS">#REF!</definedName>
    <definedName name="bdcsh" localSheetId="3">#REF!</definedName>
    <definedName name="bdcsh">#REF!</definedName>
    <definedName name="bdvcsh" localSheetId="3">#REF!</definedName>
    <definedName name="bdvcsh">#REF!</definedName>
    <definedName name="begin">#REF!</definedName>
    <definedName name="bengam">#REF!</definedName>
    <definedName name="benuoc">#REF!</definedName>
    <definedName name="Bezugsfeld">#REF!</definedName>
    <definedName name="BKNVLXD">#REF!</definedName>
    <definedName name="BLANK" localSheetId="3">#REF!</definedName>
    <definedName name="BLANK">#REF!</definedName>
    <definedName name="blkh">#REF!</definedName>
    <definedName name="blkh1">#REF!</definedName>
    <definedName name="BOL_Nr">#REF!</definedName>
    <definedName name="BOQ">#REF!</definedName>
    <definedName name="BVCISUMMARY">#REF!</definedName>
    <definedName name="cao">#REF!</definedName>
    <definedName name="cap">#REF!</definedName>
    <definedName name="cap0.7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TK_USD">#REF!</definedName>
    <definedName name="Certficate_of_Origin">#REF!</definedName>
    <definedName name="cg" hidden="1">{"'Sheet1'!$L$16"}</definedName>
    <definedName name="cgghh" hidden="1">{"'Sheet1'!$L$16"}</definedName>
    <definedName name="CH">#REF!</definedName>
    <definedName name="CK">#REF!</definedName>
    <definedName name="CK_CDTK_USD">#REF!</definedName>
    <definedName name="ckco">[4]BCDTK!$H$2:$H$99</definedName>
    <definedName name="ckcodc">[4]BCDTK!$R$2:$R$99</definedName>
    <definedName name="ckno">[4]BCDTK!$G$2:$G$99</definedName>
    <definedName name="cknodc">[4]BCDTK!$Q$2:$Q$99</definedName>
    <definedName name="CL">#REF!</definedName>
    <definedName name="CLVC3">0.1</definedName>
    <definedName name="CLVC35">#REF!</definedName>
    <definedName name="CLVCTB">#REF!</definedName>
    <definedName name="CO">#REF!</definedName>
    <definedName name="COBSDC">#REF!</definedName>
    <definedName name="coc">#REF!</definedName>
    <definedName name="cocbtct">#REF!</definedName>
    <definedName name="COCK_CDTK_USD">#REF!</definedName>
    <definedName name="cocot">#REF!</definedName>
    <definedName name="cocott">#REF!</definedName>
    <definedName name="Code" localSheetId="3" hidden="1">#REF!</definedName>
    <definedName name="Code" hidden="1">#REF!</definedName>
    <definedName name="Cöï_ly_vaän_chuyeãn">#REF!</definedName>
    <definedName name="CÖÏ_LY_VAÄN_CHUYEÅN">#REF!</definedName>
    <definedName name="COMMON">#REF!</definedName>
    <definedName name="comong">#REF!</definedName>
    <definedName name="CON_EQP_COS">#REF!</definedName>
    <definedName name="CON_EQP_COS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_name">#REF!</definedName>
    <definedName name="Cont_Nr">#REF!</definedName>
    <definedName name="ContainerID">#REF!</definedName>
    <definedName name="COPLDC">#REF!</definedName>
    <definedName name="cottron">#REF!</definedName>
    <definedName name="cotvuong">#REF!</definedName>
    <definedName name="COVER">#REF!</definedName>
    <definedName name="CPVC100">#REF!</definedName>
    <definedName name="CPVC35">#REF!</definedName>
    <definedName name="CPVCDN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URRENCY">#REF!</definedName>
    <definedName name="current">#REF!</definedName>
    <definedName name="CX">#REF!</definedName>
    <definedName name="D_7101A_B">#REF!</definedName>
    <definedName name="D1A" localSheetId="3">#REF!</definedName>
    <definedName name="D1A">#REF!</definedName>
    <definedName name="D1B" localSheetId="3">#REF!</definedName>
    <definedName name="D1B">#REF!</definedName>
    <definedName name="dam">#REF!</definedName>
    <definedName name="danducsan">#REF!</definedName>
    <definedName name="Data">#REF!</definedName>
    <definedName name="DATA_DATA2_List">#REF!</definedName>
    <definedName name="data_goc" localSheetId="3">#REF!</definedName>
    <definedName name="data_goc">#REF!</definedName>
    <definedName name="data1" localSheetId="3" hidden="1">#REF!</definedName>
    <definedName name="data1" hidden="1">#REF!</definedName>
    <definedName name="data2" localSheetId="3" hidden="1">#REF!</definedName>
    <definedName name="data2" hidden="1">#REF!</definedName>
    <definedName name="data3" localSheetId="3" hidden="1">#REF!</definedName>
    <definedName name="data3" hidden="1">#REF!</definedName>
    <definedName name="_xlnm.Database">#REF!</definedName>
    <definedName name="DATATKDT">#REF!</definedName>
    <definedName name="Date_Arrived">#REF!</definedName>
    <definedName name="Date_on_Board">#REF!</definedName>
    <definedName name="Date_sent">#REF!</definedName>
    <definedName name="DC">'[5]TT Cong ty'!$B$7</definedName>
    <definedName name="DCHINH">#REF!</definedName>
    <definedName name="DD">#REF!</definedName>
    <definedName name="DDAY">#REF!</definedName>
    <definedName name="DETAILS" localSheetId="3">#REF!</definedName>
    <definedName name="DETAILS">#REF!</definedName>
    <definedName name="dg">#REF!</definedName>
    <definedName name="DGNC">#REF!</definedName>
    <definedName name="DGTV">#REF!</definedName>
    <definedName name="dgvl">#REF!</definedName>
    <definedName name="DGVT">#REF!</definedName>
    <definedName name="DHL_Nr">#REF!</definedName>
    <definedName name="dientichck">#REF!</definedName>
    <definedName name="display_area_2" localSheetId="3" hidden="1">#REF!</definedName>
    <definedName name="display_area_2" hidden="1">#REF!</definedName>
    <definedName name="dkco">[4]BCDTK!$D$2:$D$99</definedName>
    <definedName name="dkno">[4]BCDTK!$C$2:$C$99</definedName>
    <definedName name="DLCC">#REF!</definedName>
    <definedName name="DM">#REF!</definedName>
    <definedName name="dmtk">[6]CDSPS!$A$9:$A$226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ument_array">{"Book1","214happy star.xls","242-2004.xls"}</definedName>
    <definedName name="Doku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BANRA">#REF!</definedName>
    <definedName name="DSMUAVAOTT">#REF!</definedName>
    <definedName name="DSMUAVAOVAT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ulieu">#REF!</definedName>
    <definedName name="E1A" localSheetId="3">#REF!</definedName>
    <definedName name="E1A">#REF!</definedName>
    <definedName name="EMS_N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w">#N/A</definedName>
    <definedName name="f">#REF!</definedName>
    <definedName name="F1A" localSheetId="3">#REF!</definedName>
    <definedName name="F1A">#REF!</definedName>
    <definedName name="F1B" localSheetId="3">#REF!</definedName>
    <definedName name="F1B">#REF!</definedName>
    <definedName name="FACTOR">#REF!</definedName>
    <definedName name="FCode" localSheetId="3" hidden="1">#REF!</definedName>
    <definedName name="FCode" hidden="1">#REF!</definedName>
    <definedName name="fff" localSheetId="3">#REF!</definedName>
    <definedName name="fff">#REF!</definedName>
    <definedName name="FOB">#REF!</definedName>
    <definedName name="Freight">#REF!</definedName>
    <definedName name="G1A" localSheetId="3">#REF!</definedName>
    <definedName name="G1A">#REF!</definedName>
    <definedName name="gfgf">[3]NKC!#REF!</definedName>
    <definedName name="ggjhgh">[3]NKC!#REF!</definedName>
    <definedName name="Gia_CT">#REF!</definedName>
    <definedName name="Gia_VT">#REF!</definedName>
    <definedName name="GIAVLIEUTN">#REF!</definedName>
    <definedName name="gl3p">#REF!</definedName>
    <definedName name="h" localSheetId="3" hidden="1">{"'Sheet1'!$L$16"}</definedName>
    <definedName name="h">#REF!</definedName>
    <definedName name="H_THUCHTHH">#REF!</definedName>
    <definedName name="H_THUCTT">#REF!</definedName>
    <definedName name="H1A" localSheetId="3">#REF!</definedName>
    <definedName name="H1A">#REF!</definedName>
    <definedName name="ha">CDPS!#REF!</definedName>
    <definedName name="Heä_soá_laép_xaø_H">1.7</definedName>
    <definedName name="heä_soá_sình_laày">#REF!</definedName>
    <definedName name="hgh">[7]NKC!$I$7</definedName>
    <definedName name="HHTT">#REF!</definedName>
    <definedName name="HiddenRows" localSheetId="3" hidden="1">#REF!</definedName>
    <definedName name="HiddenRows" hidden="1">#REF!</definedName>
    <definedName name="Hinh_thuc">#REF!</definedName>
    <definedName name="hoa" hidden="1">{"'Sheet1'!$L$16"}</definedName>
    <definedName name="HOME_MANP">#REF!</definedName>
    <definedName name="HOMEOFFICE_COST">#REF!</definedName>
    <definedName name="HopNhatTK" localSheetId="3">#REF!</definedName>
    <definedName name="HopNhatTK">#REF!</definedName>
    <definedName name="HopNhatTK1" localSheetId="3">#REF!</definedName>
    <definedName name="HopNhatTK1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KK35">#REF!</definedName>
    <definedName name="HSLX">#REF!</definedName>
    <definedName name="HSLXH">1.7</definedName>
    <definedName name="HSLXP">#REF!</definedName>
    <definedName name="HSVC1">#REF!</definedName>
    <definedName name="HSVC2">#REF!</definedName>
    <definedName name="HSVC3">#REF!</definedName>
    <definedName name="HTHH">#REF!</definedName>
    <definedName name="HTML_CodePage" hidden="1">950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y" localSheetId="3" hidden="1">{"'Sheet1'!$L$16"}</definedName>
    <definedName name="huy" hidden="1">{"'Sheet1'!$L$16"}</definedName>
    <definedName name="I">{"'Sheet1'!$L$16"}</definedName>
    <definedName name="I1A" localSheetId="3">#REF!</definedName>
    <definedName name="I1A">#REF!</definedName>
    <definedName name="IDLAB_COST">#REF!</definedName>
    <definedName name="IN" hidden="1">{"'Sheet1'!$L$16"}</definedName>
    <definedName name="IND_LAB">#REF!</definedName>
    <definedName name="INDMANP">#REF!</definedName>
    <definedName name="info">#REF!</definedName>
    <definedName name="ironprijsvergelijking_Prijslijst_Spog_CIF_List">#REF!</definedName>
    <definedName name="IST">#REF!</definedName>
    <definedName name="j">#REF!</definedName>
    <definedName name="J1A" localSheetId="3">#REF!</definedName>
    <definedName name="J1A">#REF!</definedName>
    <definedName name="J1B" localSheetId="3">#REF!</definedName>
    <definedName name="J1B">#REF!</definedName>
    <definedName name="K">#REF!</definedName>
    <definedName name="K1A" localSheetId="3">#REF!</definedName>
    <definedName name="K1A">#REF!</definedName>
    <definedName name="k2b">#REF!</definedName>
    <definedName name="KDKD03">#REF!</definedName>
    <definedName name="KH_Chang">#REF!</definedName>
    <definedName name="KLTHDN">#REF!</definedName>
    <definedName name="KLVANKHUON">#REF!</definedName>
    <definedName name="kp1ph">#REF!</definedName>
    <definedName name="kqkdp">#REF!</definedName>
    <definedName name="kqkdp313">#REF!</definedName>
    <definedName name="kqkdp314">#REF!</definedName>
    <definedName name="kqkdp315">#REF!</definedName>
    <definedName name="kqkdp321">#REF!</definedName>
    <definedName name="kqkdp322">#REF!</definedName>
    <definedName name="kqkdp331">#REF!</definedName>
    <definedName name="kqkdp332">#REF!</definedName>
    <definedName name="kqkdp342">#REF!</definedName>
    <definedName name="kqkdp343">#REF!</definedName>
    <definedName name="kqkdp344">#REF!</definedName>
    <definedName name="kqkdp345">#REF!</definedName>
    <definedName name="KSTK">#REF!</definedName>
    <definedName name="KVC">#REF!</definedName>
    <definedName name="Kyù__Hoï_teân">#REF!</definedName>
    <definedName name="L">#REF!</definedName>
    <definedName name="L_mong">#REF!</definedName>
    <definedName name="L1A" localSheetId="3">#REF!</definedName>
    <definedName name="L1A">#REF!</definedName>
    <definedName name="lang">#REF!</definedName>
    <definedName name="langvl">#REF!</definedName>
    <definedName name="lanhto">#REF!</definedName>
    <definedName name="Leâ_Coâng_Minh">#REF!</definedName>
    <definedName name="LK_hathe">#REF!</definedName>
    <definedName name="LM">#REF!</definedName>
    <definedName name="Lmk">#REF!</definedName>
    <definedName name="Loai_TD">#REF!</definedName>
    <definedName name="lVC">#REF!</definedName>
    <definedName name="LY" localSheetId="3">#REF!</definedName>
    <definedName name="LY">#REF!</definedName>
    <definedName name="M12aavl">#REF!</definedName>
    <definedName name="M12ba3p">#REF!</definedName>
    <definedName name="M12bb1p">#REF!</definedName>
    <definedName name="M14bb1p">#REF!</definedName>
    <definedName name="M1A" localSheetId="3">#REF!</definedName>
    <definedName name="M1A">#REF!</definedName>
    <definedName name="M1B" localSheetId="3">#REF!</definedName>
    <definedName name="M1B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ro2">#REF!</definedName>
    <definedName name="MAJ_CON_EQP">#REF!</definedName>
    <definedName name="MAKH">#REF!</definedName>
    <definedName name="MaKiH" localSheetId="3">#REF!</definedName>
    <definedName name="MaKiH">#REF!</definedName>
    <definedName name="MATK_CDTK_USD">#REF!</definedName>
    <definedName name="MAVANKHUON">#REF!</definedName>
    <definedName name="MAVLTHDN">#REF!</definedName>
    <definedName name="Mba1p">#REF!</definedName>
    <definedName name="Mba3p">#REF!</definedName>
    <definedName name="Mbb3p">#REF!</definedName>
    <definedName name="MCDTS">#REF!</definedName>
    <definedName name="Method">#REF!</definedName>
    <definedName name="MG_A">#REF!</definedName>
    <definedName name="Missc._Costs">#REF!</definedName>
    <definedName name="MLCTT_CDTK_USD">#REF!</definedName>
    <definedName name="mongbang">#REF!</definedName>
    <definedName name="mongdon">#REF!</definedName>
    <definedName name="Moùng">#REF!</definedName>
    <definedName name="ms">[4]BCDTK!$A$2:$A$99</definedName>
    <definedName name="ms_gop">[4]BCDTK!$W$2:$W$99</definedName>
    <definedName name="ms_xuly" localSheetId="3">#REF!</definedName>
    <definedName name="ms_xuly">#REF!</definedName>
    <definedName name="msbk">#REF!</definedName>
    <definedName name="MSCT">#REF!</definedName>
    <definedName name="msha">#REF!</definedName>
    <definedName name="msnk">#REF!</definedName>
    <definedName name="MST">'[5]TT Cong ty'!$B$8</definedName>
    <definedName name="MTMAC12">#REF!</definedName>
    <definedName name="mtram">#REF!</definedName>
    <definedName name="MucDamBao">[4]THONGTIN!$A$21:$A$23</definedName>
    <definedName name="n">#REF!</definedName>
    <definedName name="N1A" localSheetId="3">#REF!</definedName>
    <definedName name="N1A">#REF!</definedName>
    <definedName name="N1B" localSheetId="3">#REF!</definedName>
    <definedName name="N1B">#REF!</definedName>
    <definedName name="N1C" localSheetId="3">#REF!</definedName>
    <definedName name="N1C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>#REF!</definedName>
    <definedName name="Name_Feeder">#REF!</definedName>
    <definedName name="Name_Vessel">#REF!</definedName>
    <definedName name="nc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y" localSheetId="3">#REF!</definedName>
    <definedName name="Ngay">#REF!</definedName>
    <definedName name="NgVon">[4]BCDTK!$J$2:$J$99</definedName>
    <definedName name="NgVon_dC">[4]BCDTK!$T$2:$T$99</definedName>
    <definedName name="NHAÂN_COÂNG">#N/A</definedName>
    <definedName name="NhanVien">[4]THONGTIN!$H$3:$H$10</definedName>
    <definedName name="NHAPLIEU">#REF!</definedName>
    <definedName name="nhn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vc">#REF!</definedName>
    <definedName name="NINDvl">#REF!</definedName>
    <definedName name="nindvl1p">#REF!</definedName>
    <definedName name="ning1p">#REF!</definedName>
    <definedName name="ningnc1p">#REF!</definedName>
    <definedName name="ningvl1p">#REF!</definedName>
    <definedName name="NINnc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KC_CO">#REF!</definedName>
    <definedName name="NKC_DGV">#REF!</definedName>
    <definedName name="NKC_N">#REF!</definedName>
    <definedName name="NKC_NO">#REF!</definedName>
    <definedName name="NKC_SCT">#REF!</definedName>
    <definedName name="NKC_SOTIEN">#REF!</definedName>
    <definedName name="NKC_T">#REF!</definedName>
    <definedName name="nl">#REF!</definedName>
    <definedName name="nl1p">#REF!</definedName>
    <definedName name="nl3p">#REF!</definedName>
    <definedName name="nlht">#REF!</definedName>
    <definedName name="NLTK1p">#REF!</definedName>
    <definedName name="nn">#REF!</definedName>
    <definedName name="nn1p">#REF!</definedName>
    <definedName name="nn3p">#REF!</definedName>
    <definedName name="NO">#REF!</definedName>
    <definedName name="NOBSDC">#REF!</definedName>
    <definedName name="NOCK_CDTK_USD">#REF!</definedName>
    <definedName name="NODK_CDTK_USD">#REF!</definedName>
    <definedName name="NOPLDC">#REF!</definedName>
    <definedName name="nx">#REF!</definedName>
    <definedName name="NXTNVLCCDC">#REF!</definedName>
    <definedName name="O1A" localSheetId="3">#REF!</definedName>
    <definedName name="O1A">#REF!</definedName>
    <definedName name="OLE_LINK1">#REF!</definedName>
    <definedName name="OrderTable" localSheetId="3" hidden="1">#REF!</definedName>
    <definedName name="OrderTable" hidden="1">#REF!</definedName>
    <definedName name="osc">#REF!</definedName>
    <definedName name="P1A" localSheetId="3">#REF!</definedName>
    <definedName name="P1A">#REF!</definedName>
    <definedName name="panen">#REF!</definedName>
    <definedName name="pivot">#REF!</definedName>
    <definedName name="PMUX">#REF!</definedName>
    <definedName name="Port_of_Discharge">#REF!</definedName>
    <definedName name="Port_of_Loading">#REF!</definedName>
    <definedName name="PPKTTGTGT">#REF!</definedName>
    <definedName name="PRICE">#REF!</definedName>
    <definedName name="PRICE1">#REF!</definedName>
    <definedName name="_xlnm.Print_Area" localSheetId="1">CDKT!$A$1:$G$127</definedName>
    <definedName name="_xlnm.Print_Area" localSheetId="2">CDPS!$A$1:$O$168</definedName>
    <definedName name="_xlnm.Print_Area" localSheetId="0">KQHDKD!$A$1:$G$38</definedName>
    <definedName name="_xlnm.Print_Area">#REF!</definedName>
    <definedName name="_xlnm.Print_Titles" localSheetId="2">CDPS!$7:$8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odForm" localSheetId="3" hidden="1">#REF!</definedName>
    <definedName name="ProdForm" hidden="1">#REF!</definedName>
    <definedName name="Product" localSheetId="3" hidden="1">#REF!</definedName>
    <definedName name="Product" hidden="1">#REF!</definedName>
    <definedName name="PROPOSAL">#REF!</definedName>
    <definedName name="psco">[4]BCDTK!$F$2:$F$99</definedName>
    <definedName name="psm" hidden="1">{"'Sheet1'!$L$16"}</definedName>
    <definedName name="PTE">#REF!</definedName>
    <definedName name="PtichDTL">#N/A</definedName>
    <definedName name="PTNC">#REF!</definedName>
    <definedName name="PX">#REF!</definedName>
    <definedName name="pxs">#REF!</definedName>
    <definedName name="qtty40">#REF!</definedName>
    <definedName name="QUATANG" hidden="1">{"'Sheet1'!$L$16"}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14000</definedName>
    <definedName name="RCArea" localSheetId="3" hidden="1">#REF!</definedName>
    <definedName name="RCArea" hidden="1">#REF!</definedName>
    <definedName name="_xlnm.Recorder">#REF!</definedName>
    <definedName name="RECOUT">#N/A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san">#REF!</definedName>
    <definedName name="sct">#REF!</definedName>
    <definedName name="sd1p">#REF!</definedName>
    <definedName name="sd3p">#REF!</definedName>
    <definedName name="SDDIEUCHINH">#REF!</definedName>
    <definedName name="sdfr2ed" localSheetId="3" hidden="1">{0}</definedName>
    <definedName name="sdfr2ed" hidden="1">{0}</definedName>
    <definedName name="SDMONG">#REF!</definedName>
    <definedName name="SHDMUAVAO">#REF!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oc3p">#REF!</definedName>
    <definedName name="solieu">#REF!</definedName>
    <definedName name="SORT">#REF!</definedName>
    <definedName name="SOTK">#REF!</definedName>
    <definedName name="SPEC">#REF!</definedName>
    <definedName name="SpecialPrice" localSheetId="3" hidden="1">#REF!</definedName>
    <definedName name="SpecialPrice" hidden="1">#REF!</definedName>
    <definedName name="SPECSUMMARY">#REF!</definedName>
    <definedName name="sswd" localSheetId="3" hidden="1">{0}</definedName>
    <definedName name="sswd" hidden="1">{0}</definedName>
    <definedName name="Sswswsw" localSheetId="3" hidden="1">{0}</definedName>
    <definedName name="Sswswsw" hidden="1">{0}</definedName>
    <definedName name="st1p">#REF!</definedName>
    <definedName name="st3p">#REF!</definedName>
    <definedName name="stvn" localSheetId="3">#REF!</definedName>
    <definedName name="stvn">#REF!</definedName>
    <definedName name="SUMMARY">#REF!</definedName>
    <definedName name="SW">#REF!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7m">#REF!</definedName>
    <definedName name="t8m">#REF!</definedName>
    <definedName name="TaiSan">[4]BCDTK!$I$2:$I$99</definedName>
    <definedName name="TaiSan_dc">[4]BCDTK!$S$2:$S$99</definedName>
    <definedName name="TAMTINH">#REF!</definedName>
    <definedName name="tax">#REF!</definedName>
    <definedName name="tb">#REF!</definedName>
    <definedName name="tbl_ProdInfo" localSheetId="3" hidden="1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2vl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nc1p">#REF!</definedName>
    <definedName name="tdtr2cnc">#REF!</definedName>
    <definedName name="tdtr2cvl">#REF!</definedName>
    <definedName name="tdvl1p">#REF!</definedName>
    <definedName name="TEN">'[5]TT Cong ty'!$B$6</definedName>
    <definedName name="tenck">#REF!</definedName>
    <definedName name="tentk">#REF!</definedName>
    <definedName name="TextRefCopyRangeCount" hidden="1">5</definedName>
    <definedName name="thang">#REF!</definedName>
    <definedName name="thanhtien">#REF!</definedName>
    <definedName name="THDA12.04" hidden="1">{"'Sheet1'!$L$16"}</definedName>
    <definedName name="thepban">#REF!</definedName>
    <definedName name="thetichck">#REF!</definedName>
    <definedName name="THGO1pnc">#REF!</definedName>
    <definedName name="thht">#REF!</definedName>
    <definedName name="thkp3">#REF!</definedName>
    <definedName name="THLCO">#REF!</definedName>
    <definedName name="THLNO">#REF!</definedName>
    <definedName name="THLTK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EBANRA">#REF!</definedName>
    <definedName name="THUEMUAVAO">#REF!</definedName>
    <definedName name="TIEN">#REF!</definedName>
    <definedName name="TITAN">#REF!</definedName>
    <definedName name="tkco" localSheetId="3">#REF!</definedName>
    <definedName name="tkco">#REF!</definedName>
    <definedName name="tkno" localSheetId="3">#REF!</definedName>
    <definedName name="tkno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PLRP">#REF!</definedName>
    <definedName name="TR">#REF!</definedName>
    <definedName name="TRADE2">#REF!</definedName>
    <definedName name="TRAM">#REF!</definedName>
    <definedName name="TRISO">#REF!</definedName>
    <definedName name="TSBANRA">#REF!</definedName>
    <definedName name="TSMUAVAO">#REF!</definedName>
    <definedName name="TT_1p">#REF!</definedName>
    <definedName name="TT_3p">#REF!</definedName>
    <definedName name="ttbt">#REF!</definedName>
    <definedName name="TTDD1P">#REF!</definedName>
    <definedName name="TTDKKH">#REF!</definedName>
    <definedName name="ttronmk">#REF!</definedName>
    <definedName name="tv75nc">#REF!</definedName>
    <definedName name="tv75vl">#REF!</definedName>
    <definedName name="TY" localSheetId="3">#REF!</definedName>
    <definedName name="TY">#REF!</definedName>
    <definedName name="tygia">#REF!</definedName>
    <definedName name="UYEN" hidden="1">{"'Sheet1'!$L$16"}</definedName>
    <definedName name="v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VBT1">#REF!</definedName>
    <definedName name="VCVBT2">#REF!</definedName>
    <definedName name="vd3p">#REF!</definedName>
    <definedName name="VDKGT">#REF!</definedName>
    <definedName name="VDNKCHI">#REF!</definedName>
    <definedName name="VDSOCP">#REF!</definedName>
    <definedName name="Vie_t_Nam">#REF!</definedName>
    <definedName name="vkcauthang">#REF!</definedName>
    <definedName name="vksan">#REF!</definedName>
    <definedName name="vl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on" localSheetId="3">#REF!</definedName>
    <definedName name="von">#REF!</definedName>
    <definedName name="vonplenh" localSheetId="3">#REF!</definedName>
    <definedName name="vonplenh">#REF!</definedName>
    <definedName name="vpl" localSheetId="3">#REF!</definedName>
    <definedName name="vpl">#REF!</definedName>
    <definedName name="vr3p">#REF!</definedName>
    <definedName name="VT">#REF!</definedName>
    <definedName name="vudai">#REF!</definedName>
    <definedName name="VVVVVV" hidden="1">{"'Sheet1'!$L$16"}</definedName>
    <definedName name="W" localSheetId="3">#REF!</definedName>
    <definedName name="W">#REF!</definedName>
    <definedName name="WRERWT5T" localSheetId="3" hidden="1">{0}</definedName>
    <definedName name="WRERWT5T" hidden="1">{0}</definedName>
    <definedName name="x">#REF!</definedName>
    <definedName name="X1A" localSheetId="3">#REF!</definedName>
    <definedName name="X1A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CCT">0.5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vc">#REF!</definedName>
    <definedName name="XIGvl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t1p">#REF!</definedName>
    <definedName name="XINvc">#REF!</definedName>
    <definedName name="XINvl">#REF!</definedName>
    <definedName name="xit">#REF!</definedName>
    <definedName name="xit1">#REF!</definedName>
    <definedName name="xit1p">#REF!</definedName>
    <definedName name="xit3p">#REF!</definedName>
    <definedName name="XITnc">#REF!</definedName>
    <definedName name="XITvc">#REF!</definedName>
    <definedName name="XITvl">#REF!</definedName>
    <definedName name="xmcax">#REF!</definedName>
    <definedName name="XNTNVLCCDC">#REF!</definedName>
    <definedName name="xxx">#REF!</definedName>
    <definedName name="xxx1">#REF!</definedName>
    <definedName name="xxx2">#REF!</definedName>
    <definedName name="z">#REF!</definedName>
    <definedName name="ZF01GT">#REF!</definedName>
    <definedName name="ZF01NC">#REF!</definedName>
    <definedName name="ZF01NVL">#REF!</definedName>
    <definedName name="ZF01SXC">#REF!</definedName>
    <definedName name="ZXD">#REF!</definedName>
    <definedName name="ZYX">#REF!</definedName>
    <definedName name="ZZZ">#REF!</definedName>
    <definedName name="손익" hidden="1">#REF!</definedName>
    <definedName name="ㅇ" hidden="1">#REF!</definedName>
    <definedName name="어" hidden="1">#REF!</definedName>
    <definedName name="전">#REF!</definedName>
    <definedName name="주택사업본부">#REF!</definedName>
    <definedName name="철구사업본부">#REF!</definedName>
    <definedName name="產品資料">[8]貨號!$A$4:$T$10947</definedName>
    <definedName name="科目名稱">[9]會計科目!$B$2:$H$1038</definedName>
    <definedName name="貨號">[8]貨號!$A$4:$A$10634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5" i="36" l="1"/>
  <c r="I83" i="36"/>
  <c r="I82" i="36"/>
  <c r="J83" i="36" s="1"/>
  <c r="J88" i="36" s="1"/>
  <c r="E74" i="36"/>
  <c r="E63" i="36"/>
  <c r="I44" i="36"/>
  <c r="K44" i="36" s="1"/>
  <c r="I49" i="36" s="1"/>
  <c r="K49" i="36" s="1"/>
  <c r="I50" i="36" s="1"/>
  <c r="K50" i="36" s="1"/>
  <c r="K60" i="36" s="1"/>
  <c r="K63" i="36" s="1"/>
  <c r="G31" i="36"/>
  <c r="F23" i="36"/>
  <c r="G23" i="36" s="1"/>
  <c r="G20" i="36"/>
  <c r="G18" i="36"/>
  <c r="F17" i="36"/>
  <c r="F11" i="36"/>
  <c r="G11" i="36" s="1"/>
  <c r="G10" i="36"/>
  <c r="G5" i="36"/>
  <c r="G3" i="36"/>
  <c r="F2" i="36"/>
  <c r="H238" i="37"/>
  <c r="D238" i="37"/>
  <c r="K235" i="37"/>
  <c r="K234" i="37"/>
  <c r="K233" i="37"/>
  <c r="K232" i="37"/>
  <c r="K230" i="37"/>
  <c r="M227" i="37"/>
  <c r="K227" i="37"/>
  <c r="K226" i="37"/>
  <c r="K225" i="37"/>
  <c r="M222" i="37"/>
  <c r="K222" i="37"/>
  <c r="M221" i="37"/>
  <c r="K221" i="37"/>
  <c r="K219" i="37"/>
  <c r="K218" i="37"/>
  <c r="J211" i="37"/>
  <c r="I211" i="37"/>
  <c r="H211" i="37"/>
  <c r="E211" i="37"/>
  <c r="G211" i="37" s="1"/>
  <c r="H210" i="37"/>
  <c r="F210" i="37"/>
  <c r="E210" i="37"/>
  <c r="I210" i="37" s="1"/>
  <c r="E209" i="37"/>
  <c r="J209" i="37" s="1"/>
  <c r="E208" i="37"/>
  <c r="F208" i="37" s="1"/>
  <c r="E207" i="37"/>
  <c r="G207" i="37" s="1"/>
  <c r="E206" i="37"/>
  <c r="F206" i="37" s="1"/>
  <c r="E205" i="37"/>
  <c r="I204" i="37"/>
  <c r="E204" i="37"/>
  <c r="H204" i="37" s="1"/>
  <c r="E203" i="37"/>
  <c r="G203" i="37" s="1"/>
  <c r="F202" i="37"/>
  <c r="E202" i="37"/>
  <c r="J202" i="37" s="1"/>
  <c r="H201" i="37"/>
  <c r="G201" i="37"/>
  <c r="F201" i="37"/>
  <c r="E201" i="37"/>
  <c r="J201" i="37" s="1"/>
  <c r="H200" i="37"/>
  <c r="E200" i="37"/>
  <c r="J200" i="37" s="1"/>
  <c r="E199" i="37"/>
  <c r="G199" i="37" s="1"/>
  <c r="J198" i="37"/>
  <c r="H198" i="37"/>
  <c r="E198" i="37"/>
  <c r="I198" i="37" s="1"/>
  <c r="E197" i="37"/>
  <c r="J197" i="37" s="1"/>
  <c r="E196" i="37"/>
  <c r="E195" i="37"/>
  <c r="E194" i="37"/>
  <c r="F194" i="37" s="1"/>
  <c r="I193" i="37"/>
  <c r="E193" i="37"/>
  <c r="J192" i="37"/>
  <c r="E192" i="37"/>
  <c r="H192" i="37" s="1"/>
  <c r="I191" i="37"/>
  <c r="E191" i="37"/>
  <c r="G191" i="37" s="1"/>
  <c r="E190" i="37"/>
  <c r="J190" i="37" s="1"/>
  <c r="J189" i="37"/>
  <c r="I189" i="37"/>
  <c r="G189" i="37"/>
  <c r="E189" i="37"/>
  <c r="H189" i="37" s="1"/>
  <c r="H188" i="37"/>
  <c r="F188" i="37"/>
  <c r="E188" i="37"/>
  <c r="J188" i="37" s="1"/>
  <c r="H187" i="37"/>
  <c r="G187" i="37"/>
  <c r="F187" i="37"/>
  <c r="E187" i="37"/>
  <c r="J187" i="37" s="1"/>
  <c r="J186" i="37"/>
  <c r="E186" i="37"/>
  <c r="I186" i="37" s="1"/>
  <c r="E185" i="37"/>
  <c r="H184" i="37"/>
  <c r="E184" i="37"/>
  <c r="E183" i="37"/>
  <c r="J182" i="37"/>
  <c r="I182" i="37"/>
  <c r="H182" i="37"/>
  <c r="E182" i="37"/>
  <c r="F182" i="37" s="1"/>
  <c r="E181" i="37"/>
  <c r="J180" i="37"/>
  <c r="I180" i="37"/>
  <c r="H180" i="37"/>
  <c r="G180" i="37"/>
  <c r="E180" i="37"/>
  <c r="F180" i="37" s="1"/>
  <c r="E179" i="37"/>
  <c r="I179" i="37" s="1"/>
  <c r="J178" i="37"/>
  <c r="F178" i="37"/>
  <c r="E178" i="37"/>
  <c r="H178" i="37" s="1"/>
  <c r="J177" i="37"/>
  <c r="I177" i="37"/>
  <c r="H177" i="37"/>
  <c r="G177" i="37"/>
  <c r="F177" i="37"/>
  <c r="E177" i="37"/>
  <c r="H176" i="37"/>
  <c r="F176" i="37"/>
  <c r="E176" i="37"/>
  <c r="J176" i="37" s="1"/>
  <c r="E175" i="37"/>
  <c r="J175" i="37" s="1"/>
  <c r="E174" i="37"/>
  <c r="I174" i="37" s="1"/>
  <c r="E173" i="37"/>
  <c r="H172" i="37"/>
  <c r="E172" i="37"/>
  <c r="J172" i="37" s="1"/>
  <c r="G171" i="37"/>
  <c r="E171" i="37"/>
  <c r="H170" i="37"/>
  <c r="E170" i="37"/>
  <c r="F170" i="37" s="1"/>
  <c r="E169" i="37"/>
  <c r="J168" i="37"/>
  <c r="I168" i="37"/>
  <c r="H168" i="37"/>
  <c r="E168" i="37"/>
  <c r="F168" i="37" s="1"/>
  <c r="E167" i="37"/>
  <c r="G167" i="37" s="1"/>
  <c r="E166" i="37"/>
  <c r="J166" i="37" s="1"/>
  <c r="J165" i="37"/>
  <c r="H165" i="37"/>
  <c r="E165" i="37"/>
  <c r="I165" i="37" s="1"/>
  <c r="H164" i="37"/>
  <c r="E164" i="37"/>
  <c r="J164" i="37" s="1"/>
  <c r="J163" i="37"/>
  <c r="I163" i="37"/>
  <c r="H163" i="37"/>
  <c r="F163" i="37"/>
  <c r="E163" i="37"/>
  <c r="G163" i="37" s="1"/>
  <c r="J162" i="37"/>
  <c r="H162" i="37"/>
  <c r="F162" i="37"/>
  <c r="E162" i="37"/>
  <c r="I162" i="37" s="1"/>
  <c r="J161" i="37"/>
  <c r="E161" i="37"/>
  <c r="E160" i="37"/>
  <c r="E159" i="37"/>
  <c r="J158" i="37"/>
  <c r="G158" i="37"/>
  <c r="E158" i="37"/>
  <c r="F158" i="37" s="1"/>
  <c r="E157" i="37"/>
  <c r="I157" i="37" s="1"/>
  <c r="E156" i="37"/>
  <c r="F156" i="37" s="1"/>
  <c r="I155" i="37"/>
  <c r="E155" i="37"/>
  <c r="G155" i="37" s="1"/>
  <c r="J154" i="37"/>
  <c r="I154" i="37"/>
  <c r="H154" i="37"/>
  <c r="G154" i="37"/>
  <c r="F154" i="37"/>
  <c r="K154" i="37" s="1"/>
  <c r="E154" i="37"/>
  <c r="G153" i="37"/>
  <c r="F153" i="37"/>
  <c r="E153" i="37"/>
  <c r="J153" i="37" s="1"/>
  <c r="F152" i="37"/>
  <c r="E152" i="37"/>
  <c r="J152" i="37" s="1"/>
  <c r="J151" i="37"/>
  <c r="I151" i="37"/>
  <c r="H151" i="37"/>
  <c r="F151" i="37"/>
  <c r="E151" i="37"/>
  <c r="G151" i="37" s="1"/>
  <c r="J150" i="37"/>
  <c r="H150" i="37"/>
  <c r="F150" i="37"/>
  <c r="E150" i="37"/>
  <c r="I150" i="37" s="1"/>
  <c r="E149" i="37"/>
  <c r="E148" i="37"/>
  <c r="E147" i="37"/>
  <c r="G147" i="37" s="1"/>
  <c r="H146" i="37"/>
  <c r="E146" i="37"/>
  <c r="F146" i="37" s="1"/>
  <c r="E145" i="37"/>
  <c r="G145" i="37" s="1"/>
  <c r="J144" i="37"/>
  <c r="I144" i="37"/>
  <c r="G144" i="37"/>
  <c r="E144" i="37"/>
  <c r="F144" i="37" s="1"/>
  <c r="E143" i="37"/>
  <c r="I143" i="37" s="1"/>
  <c r="E142" i="37"/>
  <c r="H142" i="37" s="1"/>
  <c r="I141" i="37"/>
  <c r="G141" i="37"/>
  <c r="F141" i="37"/>
  <c r="E141" i="37"/>
  <c r="J141" i="37" s="1"/>
  <c r="H140" i="37"/>
  <c r="F140" i="37"/>
  <c r="E140" i="37"/>
  <c r="J140" i="37" s="1"/>
  <c r="J139" i="37"/>
  <c r="H139" i="37"/>
  <c r="G139" i="37"/>
  <c r="F139" i="37"/>
  <c r="E139" i="37"/>
  <c r="I139" i="37" s="1"/>
  <c r="J138" i="37"/>
  <c r="E138" i="37"/>
  <c r="I138" i="37" s="1"/>
  <c r="E137" i="37"/>
  <c r="E136" i="37"/>
  <c r="J136" i="37" s="1"/>
  <c r="E135" i="37"/>
  <c r="G135" i="37" s="1"/>
  <c r="J134" i="37"/>
  <c r="H134" i="37"/>
  <c r="E134" i="37"/>
  <c r="F134" i="37" s="1"/>
  <c r="G133" i="37"/>
  <c r="E133" i="37"/>
  <c r="J132" i="37"/>
  <c r="I132" i="37"/>
  <c r="H132" i="37"/>
  <c r="G132" i="37"/>
  <c r="E132" i="37"/>
  <c r="F132" i="37" s="1"/>
  <c r="E131" i="37"/>
  <c r="J130" i="37"/>
  <c r="I130" i="37"/>
  <c r="E130" i="37"/>
  <c r="H130" i="37" s="1"/>
  <c r="G129" i="37"/>
  <c r="E129" i="37"/>
  <c r="J129" i="37" s="1"/>
  <c r="E128" i="37"/>
  <c r="J128" i="37" s="1"/>
  <c r="J127" i="37"/>
  <c r="H127" i="37"/>
  <c r="E127" i="37"/>
  <c r="I127" i="37" s="1"/>
  <c r="J126" i="37"/>
  <c r="F126" i="37"/>
  <c r="E126" i="37"/>
  <c r="I126" i="37" s="1"/>
  <c r="E125" i="37"/>
  <c r="H124" i="37"/>
  <c r="F124" i="37"/>
  <c r="E124" i="37"/>
  <c r="J124" i="37" s="1"/>
  <c r="E123" i="37"/>
  <c r="E122" i="37"/>
  <c r="F122" i="37" s="1"/>
  <c r="G121" i="37"/>
  <c r="E121" i="37"/>
  <c r="I121" i="37" s="1"/>
  <c r="J120" i="37"/>
  <c r="I120" i="37"/>
  <c r="H120" i="37"/>
  <c r="E120" i="37"/>
  <c r="F120" i="37" s="1"/>
  <c r="I119" i="37"/>
  <c r="E119" i="37"/>
  <c r="J118" i="37"/>
  <c r="I118" i="37"/>
  <c r="F118" i="37"/>
  <c r="E118" i="37"/>
  <c r="G118" i="37" s="1"/>
  <c r="I117" i="37"/>
  <c r="G117" i="37"/>
  <c r="F117" i="37"/>
  <c r="E117" i="37"/>
  <c r="J117" i="37" s="1"/>
  <c r="J116" i="37"/>
  <c r="E116" i="37"/>
  <c r="I116" i="37" s="1"/>
  <c r="G115" i="37"/>
  <c r="F115" i="37"/>
  <c r="E115" i="37"/>
  <c r="J115" i="37" s="1"/>
  <c r="H114" i="37"/>
  <c r="F114" i="37"/>
  <c r="E114" i="37"/>
  <c r="I114" i="37" s="1"/>
  <c r="E113" i="37"/>
  <c r="J113" i="37" s="1"/>
  <c r="E112" i="37"/>
  <c r="J112" i="37" s="1"/>
  <c r="E111" i="37"/>
  <c r="G111" i="37" s="1"/>
  <c r="J110" i="37"/>
  <c r="H110" i="37"/>
  <c r="E110" i="37"/>
  <c r="F110" i="37" s="1"/>
  <c r="E109" i="37"/>
  <c r="I109" i="37" s="1"/>
  <c r="E108" i="37"/>
  <c r="J108" i="37" s="1"/>
  <c r="I107" i="37"/>
  <c r="E107" i="37"/>
  <c r="G107" i="37" s="1"/>
  <c r="E106" i="37"/>
  <c r="G106" i="37" s="1"/>
  <c r="E105" i="37"/>
  <c r="J105" i="37" s="1"/>
  <c r="J104" i="37"/>
  <c r="I104" i="37"/>
  <c r="G104" i="37"/>
  <c r="F104" i="37"/>
  <c r="E104" i="37"/>
  <c r="H104" i="37" s="1"/>
  <c r="E103" i="37"/>
  <c r="J103" i="37" s="1"/>
  <c r="J102" i="37"/>
  <c r="F102" i="37"/>
  <c r="E102" i="37"/>
  <c r="I102" i="37" s="1"/>
  <c r="E101" i="37"/>
  <c r="J101" i="37" s="1"/>
  <c r="J100" i="37"/>
  <c r="F100" i="37"/>
  <c r="E100" i="37"/>
  <c r="H100" i="37" s="1"/>
  <c r="E99" i="37"/>
  <c r="G99" i="37" s="1"/>
  <c r="J98" i="37"/>
  <c r="G98" i="37"/>
  <c r="E98" i="37"/>
  <c r="F98" i="37" s="1"/>
  <c r="E97" i="37"/>
  <c r="I97" i="37" s="1"/>
  <c r="E96" i="37"/>
  <c r="J96" i="37" s="1"/>
  <c r="E95" i="37"/>
  <c r="I94" i="37"/>
  <c r="E94" i="37"/>
  <c r="G94" i="37" s="1"/>
  <c r="I93" i="37"/>
  <c r="F93" i="37"/>
  <c r="E93" i="37"/>
  <c r="J93" i="37" s="1"/>
  <c r="J92" i="37"/>
  <c r="I92" i="37"/>
  <c r="H92" i="37"/>
  <c r="F92" i="37"/>
  <c r="E92" i="37"/>
  <c r="G92" i="37" s="1"/>
  <c r="E91" i="37"/>
  <c r="I91" i="37" s="1"/>
  <c r="J90" i="37"/>
  <c r="H90" i="37"/>
  <c r="E90" i="37"/>
  <c r="I90" i="37" s="1"/>
  <c r="E89" i="37"/>
  <c r="J89" i="37" s="1"/>
  <c r="E88" i="37"/>
  <c r="E87" i="37"/>
  <c r="G87" i="37" s="1"/>
  <c r="E86" i="37"/>
  <c r="H86" i="37" s="1"/>
  <c r="I85" i="37"/>
  <c r="E85" i="37"/>
  <c r="J84" i="37"/>
  <c r="I84" i="37"/>
  <c r="H84" i="37"/>
  <c r="G84" i="37"/>
  <c r="F84" i="37"/>
  <c r="E84" i="37"/>
  <c r="E83" i="37"/>
  <c r="I83" i="37" s="1"/>
  <c r="J82" i="37"/>
  <c r="I82" i="37"/>
  <c r="E82" i="37"/>
  <c r="H82" i="37" s="1"/>
  <c r="E81" i="37"/>
  <c r="J81" i="37" s="1"/>
  <c r="G80" i="37"/>
  <c r="F80" i="37"/>
  <c r="E80" i="37"/>
  <c r="J80" i="37" s="1"/>
  <c r="H79" i="37"/>
  <c r="E79" i="37"/>
  <c r="J79" i="37" s="1"/>
  <c r="J78" i="37"/>
  <c r="F78" i="37"/>
  <c r="E78" i="37"/>
  <c r="I78" i="37" s="1"/>
  <c r="E77" i="37"/>
  <c r="H77" i="37" s="1"/>
  <c r="J76" i="37"/>
  <c r="E76" i="37"/>
  <c r="H76" i="37" s="1"/>
  <c r="J75" i="37"/>
  <c r="E75" i="37"/>
  <c r="E74" i="37"/>
  <c r="H74" i="37" s="1"/>
  <c r="G73" i="37"/>
  <c r="E73" i="37"/>
  <c r="I73" i="37" s="1"/>
  <c r="J72" i="37"/>
  <c r="I72" i="37"/>
  <c r="H72" i="37"/>
  <c r="F72" i="37"/>
  <c r="E72" i="37"/>
  <c r="G72" i="37" s="1"/>
  <c r="E71" i="37"/>
  <c r="G71" i="37" s="1"/>
  <c r="J70" i="37"/>
  <c r="F70" i="37"/>
  <c r="E70" i="37"/>
  <c r="H70" i="37" s="1"/>
  <c r="I69" i="37"/>
  <c r="G69" i="37"/>
  <c r="F69" i="37"/>
  <c r="E69" i="37"/>
  <c r="J69" i="37" s="1"/>
  <c r="E68" i="37"/>
  <c r="I68" i="37" s="1"/>
  <c r="E67" i="37"/>
  <c r="J67" i="37" s="1"/>
  <c r="J66" i="37"/>
  <c r="H66" i="37"/>
  <c r="F66" i="37"/>
  <c r="E66" i="37"/>
  <c r="G66" i="37" s="1"/>
  <c r="E65" i="37"/>
  <c r="J65" i="37" s="1"/>
  <c r="F64" i="37"/>
  <c r="E64" i="37"/>
  <c r="J64" i="37" s="1"/>
  <c r="E63" i="37"/>
  <c r="J63" i="37" s="1"/>
  <c r="E62" i="37"/>
  <c r="I62" i="37" s="1"/>
  <c r="E61" i="37"/>
  <c r="G61" i="37" s="1"/>
  <c r="G60" i="37"/>
  <c r="E60" i="37"/>
  <c r="F60" i="37" s="1"/>
  <c r="E59" i="37"/>
  <c r="G59" i="37" s="1"/>
  <c r="J58" i="37"/>
  <c r="I58" i="37"/>
  <c r="E58" i="37"/>
  <c r="H58" i="37" s="1"/>
  <c r="I57" i="37"/>
  <c r="E57" i="37"/>
  <c r="J56" i="37"/>
  <c r="H56" i="37"/>
  <c r="F56" i="37"/>
  <c r="E56" i="37"/>
  <c r="I56" i="37" s="1"/>
  <c r="I55" i="37"/>
  <c r="H55" i="37"/>
  <c r="F55" i="37"/>
  <c r="E55" i="37"/>
  <c r="J55" i="37" s="1"/>
  <c r="H54" i="37"/>
  <c r="E54" i="37"/>
  <c r="G54" i="37" s="1"/>
  <c r="I53" i="37"/>
  <c r="H53" i="37"/>
  <c r="E53" i="37"/>
  <c r="J53" i="37" s="1"/>
  <c r="E52" i="37"/>
  <c r="H52" i="37" s="1"/>
  <c r="E51" i="37"/>
  <c r="G51" i="37" s="1"/>
  <c r="E50" i="37"/>
  <c r="I50" i="37" s="1"/>
  <c r="E49" i="37"/>
  <c r="J48" i="37"/>
  <c r="I48" i="37"/>
  <c r="H48" i="37"/>
  <c r="G48" i="37"/>
  <c r="F48" i="37"/>
  <c r="E48" i="37"/>
  <c r="J47" i="37"/>
  <c r="G47" i="37"/>
  <c r="E47" i="37"/>
  <c r="I46" i="37"/>
  <c r="F46" i="37"/>
  <c r="E46" i="37"/>
  <c r="J46" i="37" s="1"/>
  <c r="F45" i="37"/>
  <c r="E45" i="37"/>
  <c r="J44" i="37"/>
  <c r="H44" i="37"/>
  <c r="G44" i="37"/>
  <c r="E44" i="37"/>
  <c r="I44" i="37" s="1"/>
  <c r="F43" i="37"/>
  <c r="E43" i="37"/>
  <c r="J43" i="37" s="1"/>
  <c r="J42" i="37"/>
  <c r="I42" i="37"/>
  <c r="F42" i="37"/>
  <c r="E42" i="37"/>
  <c r="G42" i="37" s="1"/>
  <c r="E41" i="37"/>
  <c r="F41" i="37" s="1"/>
  <c r="G40" i="37"/>
  <c r="E40" i="37"/>
  <c r="I40" i="37" s="1"/>
  <c r="E39" i="37"/>
  <c r="H39" i="37" s="1"/>
  <c r="G38" i="37"/>
  <c r="E38" i="37"/>
  <c r="J38" i="37" s="1"/>
  <c r="E37" i="37"/>
  <c r="I37" i="37" s="1"/>
  <c r="E36" i="37"/>
  <c r="J36" i="37" s="1"/>
  <c r="J35" i="37"/>
  <c r="E35" i="37"/>
  <c r="I35" i="37" s="1"/>
  <c r="E34" i="37"/>
  <c r="G34" i="37" s="1"/>
  <c r="G33" i="37"/>
  <c r="E33" i="37"/>
  <c r="J33" i="37" s="1"/>
  <c r="J32" i="37"/>
  <c r="I32" i="37"/>
  <c r="H32" i="37"/>
  <c r="G32" i="37"/>
  <c r="F32" i="37"/>
  <c r="E32" i="37"/>
  <c r="E31" i="37"/>
  <c r="J31" i="37" s="1"/>
  <c r="E30" i="37"/>
  <c r="G30" i="37" s="1"/>
  <c r="E29" i="37"/>
  <c r="J29" i="37" s="1"/>
  <c r="E28" i="37"/>
  <c r="I28" i="37" s="1"/>
  <c r="I27" i="37"/>
  <c r="F27" i="37"/>
  <c r="E27" i="37"/>
  <c r="J27" i="37" s="1"/>
  <c r="E26" i="37"/>
  <c r="J26" i="37" s="1"/>
  <c r="E25" i="37"/>
  <c r="F25" i="37" s="1"/>
  <c r="J24" i="37"/>
  <c r="G24" i="37"/>
  <c r="F24" i="37"/>
  <c r="E24" i="37"/>
  <c r="I24" i="37" s="1"/>
  <c r="E23" i="37"/>
  <c r="J23" i="37" s="1"/>
  <c r="J22" i="37"/>
  <c r="F22" i="37"/>
  <c r="E22" i="37"/>
  <c r="I22" i="37" s="1"/>
  <c r="E21" i="37"/>
  <c r="J21" i="37" s="1"/>
  <c r="J20" i="37"/>
  <c r="H20" i="37"/>
  <c r="E20" i="37"/>
  <c r="I20" i="37" s="1"/>
  <c r="E19" i="37"/>
  <c r="J19" i="37" s="1"/>
  <c r="E18" i="37"/>
  <c r="G18" i="37" s="1"/>
  <c r="G17" i="37"/>
  <c r="E17" i="37"/>
  <c r="J17" i="37" s="1"/>
  <c r="F16" i="37"/>
  <c r="E16" i="37"/>
  <c r="I16" i="37" s="1"/>
  <c r="I15" i="37"/>
  <c r="G15" i="37"/>
  <c r="F15" i="37"/>
  <c r="E15" i="37"/>
  <c r="J15" i="37" s="1"/>
  <c r="E14" i="37"/>
  <c r="J14" i="37" s="1"/>
  <c r="J13" i="37"/>
  <c r="I13" i="37"/>
  <c r="G13" i="37"/>
  <c r="E13" i="37"/>
  <c r="F13" i="37" s="1"/>
  <c r="H12" i="37"/>
  <c r="G12" i="37"/>
  <c r="E12" i="37"/>
  <c r="I12" i="37" s="1"/>
  <c r="E11" i="37"/>
  <c r="J11" i="37" s="1"/>
  <c r="J10" i="37"/>
  <c r="H10" i="37"/>
  <c r="F10" i="37"/>
  <c r="E10" i="37"/>
  <c r="I10" i="37" s="1"/>
  <c r="G9" i="37"/>
  <c r="E9" i="37"/>
  <c r="J9" i="37" s="1"/>
  <c r="I8" i="37"/>
  <c r="H8" i="37"/>
  <c r="F8" i="37"/>
  <c r="E8" i="37"/>
  <c r="G8" i="37" s="1"/>
  <c r="E7" i="37"/>
  <c r="J7" i="37" s="1"/>
  <c r="J6" i="37"/>
  <c r="I6" i="37"/>
  <c r="G6" i="37"/>
  <c r="F6" i="37"/>
  <c r="E6" i="37"/>
  <c r="H6" i="37" s="1"/>
  <c r="K6" i="37" s="1"/>
  <c r="E5" i="37"/>
  <c r="J5" i="37" s="1"/>
  <c r="D1" i="37"/>
  <c r="A5" i="1"/>
  <c r="A7" i="19"/>
  <c r="A3" i="19"/>
  <c r="A2" i="19"/>
  <c r="A1" i="19"/>
  <c r="A3" i="18"/>
  <c r="A2" i="18"/>
  <c r="A1" i="18"/>
  <c r="K163" i="37" l="1"/>
  <c r="G5" i="37"/>
  <c r="F26" i="37"/>
  <c r="H30" i="37"/>
  <c r="I54" i="37"/>
  <c r="H60" i="37"/>
  <c r="F68" i="37"/>
  <c r="F81" i="37"/>
  <c r="J91" i="37"/>
  <c r="F106" i="37"/>
  <c r="G122" i="37"/>
  <c r="H129" i="37"/>
  <c r="G143" i="37"/>
  <c r="J146" i="37"/>
  <c r="G157" i="37"/>
  <c r="I170" i="37"/>
  <c r="F175" i="37"/>
  <c r="J8" i="37"/>
  <c r="J12" i="37"/>
  <c r="F20" i="37"/>
  <c r="H26" i="37"/>
  <c r="I30" i="37"/>
  <c r="F34" i="37"/>
  <c r="F51" i="37"/>
  <c r="J54" i="37"/>
  <c r="I60" i="37"/>
  <c r="G68" i="37"/>
  <c r="F79" i="37"/>
  <c r="G81" i="37"/>
  <c r="H89" i="37"/>
  <c r="F94" i="37"/>
  <c r="H106" i="37"/>
  <c r="G109" i="37"/>
  <c r="F116" i="37"/>
  <c r="H122" i="37"/>
  <c r="F127" i="37"/>
  <c r="I129" i="37"/>
  <c r="F138" i="37"/>
  <c r="F165" i="37"/>
  <c r="K165" i="37" s="1"/>
  <c r="J170" i="37"/>
  <c r="G175" i="37"/>
  <c r="F186" i="37"/>
  <c r="G192" i="37"/>
  <c r="I203" i="37"/>
  <c r="K13" i="37"/>
  <c r="G20" i="37"/>
  <c r="K24" i="37"/>
  <c r="J30" i="37"/>
  <c r="I34" i="37"/>
  <c r="J51" i="37"/>
  <c r="J60" i="37"/>
  <c r="H68" i="37"/>
  <c r="G79" i="37"/>
  <c r="I81" i="37"/>
  <c r="H94" i="37"/>
  <c r="I106" i="37"/>
  <c r="H116" i="37"/>
  <c r="J122" i="37"/>
  <c r="G127" i="37"/>
  <c r="H138" i="37"/>
  <c r="G165" i="37"/>
  <c r="H175" i="37"/>
  <c r="K175" i="37" s="1"/>
  <c r="H186" i="37"/>
  <c r="F189" i="37"/>
  <c r="K189" i="37" s="1"/>
  <c r="I192" i="37"/>
  <c r="F200" i="37"/>
  <c r="J68" i="37"/>
  <c r="K92" i="37"/>
  <c r="J106" i="37"/>
  <c r="K127" i="37"/>
  <c r="I175" i="37"/>
  <c r="H13" i="37"/>
  <c r="J16" i="37"/>
  <c r="H24" i="37"/>
  <c r="G27" i="37"/>
  <c r="F35" i="37"/>
  <c r="F44" i="37"/>
  <c r="K44" i="37" s="1"/>
  <c r="G55" i="37"/>
  <c r="K55" i="37" s="1"/>
  <c r="F58" i="37"/>
  <c r="I66" i="37"/>
  <c r="F76" i="37"/>
  <c r="I79" i="37"/>
  <c r="F82" i="37"/>
  <c r="F90" i="37"/>
  <c r="J94" i="37"/>
  <c r="H98" i="37"/>
  <c r="H102" i="37"/>
  <c r="G110" i="37"/>
  <c r="J114" i="37"/>
  <c r="G120" i="37"/>
  <c r="F130" i="37"/>
  <c r="G134" i="37"/>
  <c r="H141" i="37"/>
  <c r="K141" i="37" s="1"/>
  <c r="H144" i="37"/>
  <c r="K144" i="37" s="1"/>
  <c r="H152" i="37"/>
  <c r="H158" i="37"/>
  <c r="G168" i="37"/>
  <c r="I178" i="37"/>
  <c r="G182" i="37"/>
  <c r="F198" i="37"/>
  <c r="J204" i="37"/>
  <c r="K32" i="37"/>
  <c r="K153" i="37"/>
  <c r="G21" i="37"/>
  <c r="G25" i="37"/>
  <c r="F28" i="37"/>
  <c r="F36" i="37"/>
  <c r="G63" i="37"/>
  <c r="F67" i="37"/>
  <c r="G86" i="37"/>
  <c r="F96" i="37"/>
  <c r="F103" i="37"/>
  <c r="F108" i="37"/>
  <c r="F128" i="37"/>
  <c r="K139" i="37"/>
  <c r="G156" i="37"/>
  <c r="K156" i="37" s="1"/>
  <c r="F166" i="37"/>
  <c r="G179" i="37"/>
  <c r="G194" i="37"/>
  <c r="G206" i="37"/>
  <c r="F14" i="37"/>
  <c r="H18" i="37"/>
  <c r="H25" i="37"/>
  <c r="K25" i="37" s="1"/>
  <c r="J28" i="37"/>
  <c r="G36" i="37"/>
  <c r="G67" i="37"/>
  <c r="H80" i="37"/>
  <c r="G83" i="37"/>
  <c r="J86" i="37"/>
  <c r="F91" i="37"/>
  <c r="G96" i="37"/>
  <c r="G103" i="37"/>
  <c r="F105" i="37"/>
  <c r="G108" i="37"/>
  <c r="H115" i="37"/>
  <c r="K115" i="37" s="1"/>
  <c r="H128" i="37"/>
  <c r="F142" i="37"/>
  <c r="H153" i="37"/>
  <c r="H156" i="37"/>
  <c r="G166" i="37"/>
  <c r="F174" i="37"/>
  <c r="I187" i="37"/>
  <c r="K187" i="37" s="1"/>
  <c r="F190" i="37"/>
  <c r="H194" i="37"/>
  <c r="F199" i="37"/>
  <c r="I201" i="37"/>
  <c r="K201" i="37" s="1"/>
  <c r="H206" i="37"/>
  <c r="J210" i="37"/>
  <c r="K8" i="37"/>
  <c r="H14" i="37"/>
  <c r="I18" i="37"/>
  <c r="I25" i="37"/>
  <c r="H36" i="37"/>
  <c r="H67" i="37"/>
  <c r="I80" i="37"/>
  <c r="K80" i="37" s="1"/>
  <c r="G91" i="37"/>
  <c r="H96" i="37"/>
  <c r="H103" i="37"/>
  <c r="G105" i="37"/>
  <c r="H108" i="37"/>
  <c r="I115" i="37"/>
  <c r="I142" i="37"/>
  <c r="I153" i="37"/>
  <c r="I156" i="37"/>
  <c r="H166" i="37"/>
  <c r="H174" i="37"/>
  <c r="K177" i="37"/>
  <c r="I190" i="37"/>
  <c r="I194" i="37"/>
  <c r="H199" i="37"/>
  <c r="I206" i="37"/>
  <c r="F12" i="37"/>
  <c r="J18" i="37"/>
  <c r="H22" i="37"/>
  <c r="J25" i="37"/>
  <c r="G29" i="37"/>
  <c r="I36" i="37"/>
  <c r="H42" i="37"/>
  <c r="F54" i="37"/>
  <c r="G56" i="37"/>
  <c r="K56" i="37" s="1"/>
  <c r="I67" i="37"/>
  <c r="I70" i="37"/>
  <c r="H78" i="37"/>
  <c r="H91" i="37"/>
  <c r="G93" i="37"/>
  <c r="I96" i="37"/>
  <c r="I103" i="37"/>
  <c r="I105" i="37"/>
  <c r="I108" i="37"/>
  <c r="H118" i="37"/>
  <c r="K118" i="37" s="1"/>
  <c r="H126" i="37"/>
  <c r="F129" i="37"/>
  <c r="K129" i="37" s="1"/>
  <c r="H136" i="37"/>
  <c r="J142" i="37"/>
  <c r="G146" i="37"/>
  <c r="J156" i="37"/>
  <c r="F164" i="37"/>
  <c r="I166" i="37"/>
  <c r="G170" i="37"/>
  <c r="J174" i="37"/>
  <c r="J194" i="37"/>
  <c r="I199" i="37"/>
  <c r="J206" i="37"/>
  <c r="G13" i="36"/>
  <c r="K106" i="37"/>
  <c r="K151" i="37"/>
  <c r="J199" i="37"/>
  <c r="K12" i="37"/>
  <c r="F5" i="37"/>
  <c r="G10" i="37"/>
  <c r="K10" i="37" s="1"/>
  <c r="H15" i="37"/>
  <c r="K15" i="37" s="1"/>
  <c r="F17" i="37"/>
  <c r="G22" i="37"/>
  <c r="K22" i="37" s="1"/>
  <c r="H27" i="37"/>
  <c r="K27" i="37" s="1"/>
  <c r="F29" i="37"/>
  <c r="H34" i="37"/>
  <c r="F38" i="37"/>
  <c r="F40" i="37"/>
  <c r="K42" i="37"/>
  <c r="K66" i="37"/>
  <c r="J73" i="37"/>
  <c r="H73" i="37"/>
  <c r="F73" i="37"/>
  <c r="I100" i="37"/>
  <c r="K100" i="37" s="1"/>
  <c r="G100" i="37"/>
  <c r="J121" i="37"/>
  <c r="H121" i="37"/>
  <c r="F121" i="37"/>
  <c r="F136" i="37"/>
  <c r="F172" i="37"/>
  <c r="K180" i="37"/>
  <c r="J49" i="37"/>
  <c r="F49" i="37"/>
  <c r="I125" i="37"/>
  <c r="H125" i="37"/>
  <c r="G125" i="37"/>
  <c r="F125" i="37"/>
  <c r="I148" i="37"/>
  <c r="G148" i="37"/>
  <c r="J169" i="37"/>
  <c r="H169" i="37"/>
  <c r="F169" i="37"/>
  <c r="J183" i="37"/>
  <c r="I183" i="37"/>
  <c r="H183" i="37"/>
  <c r="F183" i="37"/>
  <c r="H5" i="37"/>
  <c r="F7" i="37"/>
  <c r="H17" i="37"/>
  <c r="F19" i="37"/>
  <c r="H29" i="37"/>
  <c r="F31" i="37"/>
  <c r="J34" i="37"/>
  <c r="H38" i="37"/>
  <c r="H40" i="37"/>
  <c r="H47" i="37"/>
  <c r="F47" i="37"/>
  <c r="G49" i="37"/>
  <c r="K54" i="37"/>
  <c r="J61" i="37"/>
  <c r="H61" i="37"/>
  <c r="F61" i="37"/>
  <c r="I64" i="37"/>
  <c r="G64" i="37"/>
  <c r="J71" i="37"/>
  <c r="H71" i="37"/>
  <c r="F71" i="37"/>
  <c r="I77" i="37"/>
  <c r="G77" i="37"/>
  <c r="F77" i="37"/>
  <c r="I87" i="37"/>
  <c r="H87" i="37"/>
  <c r="F87" i="37"/>
  <c r="J125" i="37"/>
  <c r="J133" i="37"/>
  <c r="H133" i="37"/>
  <c r="F133" i="37"/>
  <c r="F148" i="37"/>
  <c r="G169" i="37"/>
  <c r="G183" i="37"/>
  <c r="J207" i="37"/>
  <c r="I207" i="37"/>
  <c r="H207" i="37"/>
  <c r="F207" i="37"/>
  <c r="I5" i="37"/>
  <c r="G7" i="37"/>
  <c r="I17" i="37"/>
  <c r="G19" i="37"/>
  <c r="I29" i="37"/>
  <c r="G31" i="37"/>
  <c r="I38" i="37"/>
  <c r="J40" i="37"/>
  <c r="H49" i="37"/>
  <c r="I52" i="37"/>
  <c r="G52" i="37"/>
  <c r="F74" i="37"/>
  <c r="I74" i="37"/>
  <c r="K84" i="37"/>
  <c r="J97" i="37"/>
  <c r="H97" i="37"/>
  <c r="F97" i="37"/>
  <c r="J119" i="37"/>
  <c r="H119" i="37"/>
  <c r="F119" i="37"/>
  <c r="I137" i="37"/>
  <c r="H137" i="37"/>
  <c r="G137" i="37"/>
  <c r="F137" i="37"/>
  <c r="H148" i="37"/>
  <c r="J159" i="37"/>
  <c r="I159" i="37"/>
  <c r="H159" i="37"/>
  <c r="F159" i="37"/>
  <c r="I169" i="37"/>
  <c r="I173" i="37"/>
  <c r="H173" i="37"/>
  <c r="G173" i="37"/>
  <c r="F173" i="37"/>
  <c r="I184" i="37"/>
  <c r="G184" i="37"/>
  <c r="J195" i="37"/>
  <c r="I195" i="37"/>
  <c r="H195" i="37"/>
  <c r="F195" i="37"/>
  <c r="H7" i="37"/>
  <c r="F9" i="37"/>
  <c r="G14" i="37"/>
  <c r="K14" i="37" s="1"/>
  <c r="H19" i="37"/>
  <c r="F21" i="37"/>
  <c r="G26" i="37"/>
  <c r="H31" i="37"/>
  <c r="F33" i="37"/>
  <c r="J45" i="37"/>
  <c r="H45" i="37"/>
  <c r="I47" i="37"/>
  <c r="I49" i="37"/>
  <c r="F52" i="37"/>
  <c r="J59" i="37"/>
  <c r="H59" i="37"/>
  <c r="F59" i="37"/>
  <c r="I61" i="37"/>
  <c r="H64" i="37"/>
  <c r="I71" i="37"/>
  <c r="G74" i="37"/>
  <c r="J77" i="37"/>
  <c r="J87" i="37"/>
  <c r="G97" i="37"/>
  <c r="I101" i="37"/>
  <c r="H101" i="37"/>
  <c r="G101" i="37"/>
  <c r="F101" i="37"/>
  <c r="J111" i="37"/>
  <c r="I111" i="37"/>
  <c r="H111" i="37"/>
  <c r="F111" i="37"/>
  <c r="G119" i="37"/>
  <c r="I133" i="37"/>
  <c r="J137" i="37"/>
  <c r="J145" i="37"/>
  <c r="H145" i="37"/>
  <c r="F145" i="37"/>
  <c r="J148" i="37"/>
  <c r="G159" i="37"/>
  <c r="J167" i="37"/>
  <c r="H167" i="37"/>
  <c r="F167" i="37"/>
  <c r="K170" i="37"/>
  <c r="J173" i="37"/>
  <c r="F184" i="37"/>
  <c r="G195" i="37"/>
  <c r="I208" i="37"/>
  <c r="G208" i="37"/>
  <c r="I7" i="37"/>
  <c r="I19" i="37"/>
  <c r="I31" i="37"/>
  <c r="I88" i="37"/>
  <c r="G88" i="37"/>
  <c r="J95" i="37"/>
  <c r="H95" i="37"/>
  <c r="F95" i="37"/>
  <c r="J131" i="37"/>
  <c r="H131" i="37"/>
  <c r="F131" i="37"/>
  <c r="I149" i="37"/>
  <c r="H149" i="37"/>
  <c r="G149" i="37"/>
  <c r="F149" i="37"/>
  <c r="I160" i="37"/>
  <c r="G160" i="37"/>
  <c r="J181" i="37"/>
  <c r="H181" i="37"/>
  <c r="F181" i="37"/>
  <c r="I196" i="37"/>
  <c r="G196" i="37"/>
  <c r="H9" i="37"/>
  <c r="F11" i="37"/>
  <c r="I14" i="37"/>
  <c r="G16" i="37"/>
  <c r="K16" i="37" s="1"/>
  <c r="H21" i="37"/>
  <c r="F23" i="37"/>
  <c r="I26" i="37"/>
  <c r="K26" i="37" s="1"/>
  <c r="G28" i="37"/>
  <c r="H33" i="37"/>
  <c r="G35" i="37"/>
  <c r="K35" i="37" s="1"/>
  <c r="J37" i="37"/>
  <c r="F37" i="37"/>
  <c r="F39" i="37"/>
  <c r="G41" i="37"/>
  <c r="G43" i="37"/>
  <c r="G45" i="37"/>
  <c r="F50" i="37"/>
  <c r="J52" i="37"/>
  <c r="J57" i="37"/>
  <c r="H57" i="37"/>
  <c r="I59" i="37"/>
  <c r="F62" i="37"/>
  <c r="G65" i="37"/>
  <c r="F65" i="37"/>
  <c r="J74" i="37"/>
  <c r="F88" i="37"/>
  <c r="G95" i="37"/>
  <c r="I112" i="37"/>
  <c r="G112" i="37"/>
  <c r="G131" i="37"/>
  <c r="I145" i="37"/>
  <c r="J149" i="37"/>
  <c r="F160" i="37"/>
  <c r="I167" i="37"/>
  <c r="G181" i="37"/>
  <c r="J184" i="37"/>
  <c r="F196" i="37"/>
  <c r="J205" i="37"/>
  <c r="H205" i="37"/>
  <c r="F205" i="37"/>
  <c r="H208" i="37"/>
  <c r="I9" i="37"/>
  <c r="G11" i="37"/>
  <c r="H16" i="37"/>
  <c r="F18" i="37"/>
  <c r="K18" i="37" s="1"/>
  <c r="I21" i="37"/>
  <c r="G23" i="37"/>
  <c r="H28" i="37"/>
  <c r="K28" i="37" s="1"/>
  <c r="F30" i="37"/>
  <c r="K30" i="37" s="1"/>
  <c r="I33" i="37"/>
  <c r="H35" i="37"/>
  <c r="G37" i="37"/>
  <c r="G39" i="37"/>
  <c r="H41" i="37"/>
  <c r="H43" i="37"/>
  <c r="I45" i="37"/>
  <c r="G50" i="37"/>
  <c r="F57" i="37"/>
  <c r="G62" i="37"/>
  <c r="H65" i="37"/>
  <c r="K72" i="37"/>
  <c r="I75" i="37"/>
  <c r="H75" i="37"/>
  <c r="F75" i="37"/>
  <c r="J85" i="37"/>
  <c r="H85" i="37"/>
  <c r="F85" i="37"/>
  <c r="H88" i="37"/>
  <c r="I95" i="37"/>
  <c r="K104" i="37"/>
  <c r="F112" i="37"/>
  <c r="K120" i="37"/>
  <c r="J123" i="37"/>
  <c r="I123" i="37"/>
  <c r="H123" i="37"/>
  <c r="F123" i="37"/>
  <c r="I131" i="37"/>
  <c r="J143" i="37"/>
  <c r="H143" i="37"/>
  <c r="F143" i="37"/>
  <c r="H160" i="37"/>
  <c r="K174" i="37"/>
  <c r="I181" i="37"/>
  <c r="I185" i="37"/>
  <c r="H185" i="37"/>
  <c r="G185" i="37"/>
  <c r="F185" i="37"/>
  <c r="J193" i="37"/>
  <c r="H193" i="37"/>
  <c r="F193" i="37"/>
  <c r="H196" i="37"/>
  <c r="G205" i="37"/>
  <c r="J208" i="37"/>
  <c r="K208" i="37" s="1"/>
  <c r="H11" i="37"/>
  <c r="H23" i="37"/>
  <c r="H37" i="37"/>
  <c r="I39" i="37"/>
  <c r="I41" i="37"/>
  <c r="I43" i="37"/>
  <c r="K48" i="37"/>
  <c r="H50" i="37"/>
  <c r="G53" i="37"/>
  <c r="F53" i="37"/>
  <c r="G57" i="37"/>
  <c r="H62" i="37"/>
  <c r="I65" i="37"/>
  <c r="G75" i="37"/>
  <c r="G85" i="37"/>
  <c r="J88" i="37"/>
  <c r="H112" i="37"/>
  <c r="G123" i="37"/>
  <c r="J157" i="37"/>
  <c r="H157" i="37"/>
  <c r="F157" i="37"/>
  <c r="J160" i="37"/>
  <c r="K168" i="37"/>
  <c r="J179" i="37"/>
  <c r="H179" i="37"/>
  <c r="F179" i="37"/>
  <c r="K182" i="37"/>
  <c r="J185" i="37"/>
  <c r="G193" i="37"/>
  <c r="J196" i="37"/>
  <c r="I205" i="37"/>
  <c r="I209" i="37"/>
  <c r="H209" i="37"/>
  <c r="G209" i="37"/>
  <c r="F209" i="37"/>
  <c r="G24" i="36"/>
  <c r="I11" i="37"/>
  <c r="I23" i="37"/>
  <c r="J39" i="37"/>
  <c r="J41" i="37"/>
  <c r="K41" i="37" s="1"/>
  <c r="H46" i="37"/>
  <c r="G46" i="37"/>
  <c r="J50" i="37"/>
  <c r="K60" i="37"/>
  <c r="J62" i="37"/>
  <c r="J83" i="37"/>
  <c r="H83" i="37"/>
  <c r="F83" i="37"/>
  <c r="I89" i="37"/>
  <c r="G89" i="37"/>
  <c r="F89" i="37"/>
  <c r="J109" i="37"/>
  <c r="H109" i="37"/>
  <c r="F109" i="37"/>
  <c r="I124" i="37"/>
  <c r="G124" i="37"/>
  <c r="K132" i="37"/>
  <c r="J135" i="37"/>
  <c r="I135" i="37"/>
  <c r="H135" i="37"/>
  <c r="F135" i="37"/>
  <c r="I161" i="37"/>
  <c r="H161" i="37"/>
  <c r="G161" i="37"/>
  <c r="F161" i="37"/>
  <c r="J171" i="37"/>
  <c r="I171" i="37"/>
  <c r="H171" i="37"/>
  <c r="F171" i="37"/>
  <c r="I197" i="37"/>
  <c r="H197" i="37"/>
  <c r="G197" i="37"/>
  <c r="F197" i="37"/>
  <c r="K206" i="37"/>
  <c r="I51" i="37"/>
  <c r="H51" i="37"/>
  <c r="K51" i="37" s="1"/>
  <c r="I63" i="37"/>
  <c r="H63" i="37"/>
  <c r="F63" i="37"/>
  <c r="I76" i="37"/>
  <c r="K76" i="37" s="1"/>
  <c r="G76" i="37"/>
  <c r="F86" i="37"/>
  <c r="I86" i="37"/>
  <c r="J99" i="37"/>
  <c r="I99" i="37"/>
  <c r="H99" i="37"/>
  <c r="F99" i="37"/>
  <c r="I113" i="37"/>
  <c r="H113" i="37"/>
  <c r="G113" i="37"/>
  <c r="F113" i="37"/>
  <c r="K194" i="37"/>
  <c r="K96" i="37"/>
  <c r="J107" i="37"/>
  <c r="H107" i="37"/>
  <c r="F107" i="37"/>
  <c r="I136" i="37"/>
  <c r="G136" i="37"/>
  <c r="J147" i="37"/>
  <c r="I147" i="37"/>
  <c r="H147" i="37"/>
  <c r="F147" i="37"/>
  <c r="J155" i="37"/>
  <c r="H155" i="37"/>
  <c r="F155" i="37"/>
  <c r="I172" i="37"/>
  <c r="G172" i="37"/>
  <c r="J191" i="37"/>
  <c r="H191" i="37"/>
  <c r="F191" i="37"/>
  <c r="J203" i="37"/>
  <c r="H203" i="37"/>
  <c r="F203" i="37"/>
  <c r="H69" i="37"/>
  <c r="K69" i="37" s="1"/>
  <c r="H81" i="37"/>
  <c r="K81" i="37" s="1"/>
  <c r="H93" i="37"/>
  <c r="K93" i="37" s="1"/>
  <c r="I98" i="37"/>
  <c r="K98" i="37" s="1"/>
  <c r="H105" i="37"/>
  <c r="K105" i="37" s="1"/>
  <c r="I110" i="37"/>
  <c r="K110" i="37" s="1"/>
  <c r="H117" i="37"/>
  <c r="K117" i="37" s="1"/>
  <c r="I122" i="37"/>
  <c r="K122" i="37" s="1"/>
  <c r="I134" i="37"/>
  <c r="K134" i="37" s="1"/>
  <c r="I146" i="37"/>
  <c r="K146" i="37" s="1"/>
  <c r="I158" i="37"/>
  <c r="K158" i="37" s="1"/>
  <c r="G78" i="37"/>
  <c r="K78" i="37" s="1"/>
  <c r="G90" i="37"/>
  <c r="K90" i="37" s="1"/>
  <c r="G102" i="37"/>
  <c r="K102" i="37" s="1"/>
  <c r="G114" i="37"/>
  <c r="K114" i="37" s="1"/>
  <c r="G126" i="37"/>
  <c r="K126" i="37" s="1"/>
  <c r="G138" i="37"/>
  <c r="K138" i="37" s="1"/>
  <c r="G150" i="37"/>
  <c r="K150" i="37" s="1"/>
  <c r="G162" i="37"/>
  <c r="K162" i="37" s="1"/>
  <c r="G174" i="37"/>
  <c r="G186" i="37"/>
  <c r="K186" i="37" s="1"/>
  <c r="G198" i="37"/>
  <c r="K198" i="37" s="1"/>
  <c r="G210" i="37"/>
  <c r="K210" i="37" s="1"/>
  <c r="G116" i="37"/>
  <c r="K116" i="37" s="1"/>
  <c r="G128" i="37"/>
  <c r="K128" i="37" s="1"/>
  <c r="G140" i="37"/>
  <c r="G152" i="37"/>
  <c r="G164" i="37"/>
  <c r="G176" i="37"/>
  <c r="K176" i="37" s="1"/>
  <c r="G188" i="37"/>
  <c r="G200" i="37"/>
  <c r="K200" i="37" s="1"/>
  <c r="G58" i="37"/>
  <c r="K58" i="37" s="1"/>
  <c r="G70" i="37"/>
  <c r="K70" i="37" s="1"/>
  <c r="G82" i="37"/>
  <c r="K82" i="37" s="1"/>
  <c r="I128" i="37"/>
  <c r="G130" i="37"/>
  <c r="K130" i="37" s="1"/>
  <c r="I140" i="37"/>
  <c r="G142" i="37"/>
  <c r="K142" i="37" s="1"/>
  <c r="I152" i="37"/>
  <c r="I164" i="37"/>
  <c r="I176" i="37"/>
  <c r="G178" i="37"/>
  <c r="K178" i="37" s="1"/>
  <c r="I188" i="37"/>
  <c r="G190" i="37"/>
  <c r="I200" i="37"/>
  <c r="G202" i="37"/>
  <c r="H190" i="37"/>
  <c r="F192" i="37"/>
  <c r="K192" i="37" s="1"/>
  <c r="H202" i="37"/>
  <c r="F204" i="37"/>
  <c r="I202" i="37"/>
  <c r="G204" i="37"/>
  <c r="F211" i="37"/>
  <c r="K211" i="37" s="1"/>
  <c r="K197" i="37" l="1"/>
  <c r="K179" i="37"/>
  <c r="K145" i="37"/>
  <c r="K97" i="37"/>
  <c r="K169" i="37"/>
  <c r="K164" i="37"/>
  <c r="K65" i="37"/>
  <c r="J1" i="37"/>
  <c r="K38" i="37"/>
  <c r="K152" i="37"/>
  <c r="K155" i="37"/>
  <c r="K86" i="37"/>
  <c r="K83" i="37"/>
  <c r="K64" i="37"/>
  <c r="K121" i="37"/>
  <c r="K34" i="37"/>
  <c r="K108" i="37"/>
  <c r="K103" i="37"/>
  <c r="K140" i="37"/>
  <c r="K62" i="37"/>
  <c r="G1" i="37"/>
  <c r="K199" i="37"/>
  <c r="K20" i="37"/>
  <c r="K45" i="37"/>
  <c r="K94" i="37"/>
  <c r="K68" i="37"/>
  <c r="K43" i="37"/>
  <c r="K95" i="37"/>
  <c r="K67" i="37"/>
  <c r="K124" i="37"/>
  <c r="K111" i="37"/>
  <c r="K91" i="37"/>
  <c r="K79" i="37"/>
  <c r="K75" i="37"/>
  <c r="K205" i="37"/>
  <c r="K49" i="37"/>
  <c r="K166" i="37"/>
  <c r="K188" i="37"/>
  <c r="K107" i="37"/>
  <c r="K36" i="37"/>
  <c r="K190" i="37"/>
  <c r="K191" i="37"/>
  <c r="K113" i="37"/>
  <c r="K63" i="37"/>
  <c r="K157" i="37"/>
  <c r="K88" i="37"/>
  <c r="K11" i="37"/>
  <c r="K59" i="37"/>
  <c r="K7" i="37"/>
  <c r="K53" i="37"/>
  <c r="K143" i="37"/>
  <c r="K57" i="37"/>
  <c r="K39" i="37"/>
  <c r="K101" i="37"/>
  <c r="K119" i="37"/>
  <c r="H1" i="37"/>
  <c r="K125" i="37"/>
  <c r="K136" i="37"/>
  <c r="K40" i="37"/>
  <c r="K193" i="37"/>
  <c r="K37" i="37"/>
  <c r="K9" i="37"/>
  <c r="K77" i="37"/>
  <c r="K161" i="37"/>
  <c r="K109" i="37"/>
  <c r="K46" i="37"/>
  <c r="K85" i="37"/>
  <c r="K160" i="37"/>
  <c r="K131" i="37"/>
  <c r="K52" i="37"/>
  <c r="K159" i="37"/>
  <c r="K47" i="37"/>
  <c r="K183" i="37"/>
  <c r="K99" i="37"/>
  <c r="K195" i="37"/>
  <c r="K148" i="37"/>
  <c r="K29" i="37"/>
  <c r="K185" i="37"/>
  <c r="K181" i="37"/>
  <c r="K133" i="37"/>
  <c r="K71" i="37"/>
  <c r="K204" i="37"/>
  <c r="K89" i="37"/>
  <c r="K123" i="37"/>
  <c r="K184" i="37"/>
  <c r="K17" i="37"/>
  <c r="K203" i="37"/>
  <c r="K135" i="37"/>
  <c r="K23" i="37"/>
  <c r="K33" i="37"/>
  <c r="K137" i="37"/>
  <c r="K31" i="37"/>
  <c r="K73" i="37"/>
  <c r="K50" i="37"/>
  <c r="K167" i="37"/>
  <c r="K74" i="37"/>
  <c r="I1" i="37"/>
  <c r="K202" i="37"/>
  <c r="K147" i="37"/>
  <c r="K209" i="37"/>
  <c r="K196" i="37"/>
  <c r="K149" i="37"/>
  <c r="K173" i="37"/>
  <c r="K207" i="37"/>
  <c r="K61" i="37"/>
  <c r="K19" i="37"/>
  <c r="K5" i="37"/>
  <c r="F1" i="37"/>
  <c r="K171" i="37"/>
  <c r="K112" i="37"/>
  <c r="K21" i="37"/>
  <c r="K87" i="37"/>
  <c r="K172" i="37"/>
  <c r="K1" i="37" l="1"/>
</calcChain>
</file>

<file path=xl/sharedStrings.xml><?xml version="1.0" encoding="utf-8"?>
<sst xmlns="http://schemas.openxmlformats.org/spreadsheetml/2006/main" count="1524" uniqueCount="938">
  <si>
    <t>331CPA</t>
  </si>
  <si>
    <t>TÊN TÀI KHOẢN</t>
  </si>
  <si>
    <t>Máy móc, thiết bị</t>
  </si>
  <si>
    <t>Hao mòn TSCĐ hữu hình</t>
  </si>
  <si>
    <t>Thuế GTGT hàng nhập khẩu</t>
  </si>
  <si>
    <t>Kinh phí công đoàn</t>
  </si>
  <si>
    <t>Chi phí nhân công trực tiếp</t>
  </si>
  <si>
    <t>Chi phí dụng cụ sản xuất</t>
  </si>
  <si>
    <t>Chi phí dịch vụ mua ngoài</t>
  </si>
  <si>
    <t>Chi phí bằng tiền khác</t>
  </si>
  <si>
    <t>Thu nhập khác</t>
  </si>
  <si>
    <t>Tổng cộng</t>
  </si>
  <si>
    <t>1</t>
  </si>
  <si>
    <t>2</t>
  </si>
  <si>
    <t>STT</t>
  </si>
  <si>
    <t>Người lập biểu</t>
  </si>
  <si>
    <t>(Ban hành theo Thông tư số 200/2014/TT-BTC Ngày 22/12/2014 của Bộ BTC)</t>
  </si>
  <si>
    <t>Đơn vị tiền: VNĐ</t>
  </si>
  <si>
    <t>Mã</t>
  </si>
  <si>
    <t>TÀI SẢN</t>
  </si>
  <si>
    <t>A</t>
  </si>
  <si>
    <t>A - TÀI SẢN NGẮN HẠN 
(100=110+120+130+140+150)</t>
  </si>
  <si>
    <t>I</t>
  </si>
  <si>
    <t>I. Tiền và các khoản tương đương tiền
(110=111+112)</t>
  </si>
  <si>
    <t>II</t>
  </si>
  <si>
    <t>II. Các khoản đầu tư tài chính ngắn hạn (120=121+129)</t>
  </si>
  <si>
    <t xml:space="preserve">  1. Chứng khoán kinh doanh</t>
  </si>
  <si>
    <t xml:space="preserve">  3. Đầu tư nắm giữ đến ngày đáo hạn </t>
  </si>
  <si>
    <t>III</t>
  </si>
  <si>
    <t>III. Các khoản phải thu ngắn hạn
(130 = 131 + 132 + 133 + 134 + 135 + 139)</t>
  </si>
  <si>
    <t xml:space="preserve">  4. Phải thu theo tiến độ HĐXD</t>
  </si>
  <si>
    <t xml:space="preserve">  5. Phải thu về cho vay ngắn hạn</t>
  </si>
  <si>
    <t xml:space="preserve">  6. Các khoản phải thu khác</t>
  </si>
  <si>
    <t xml:space="preserve">  7. Dự phòng phải thu ngắn hạn khó đòi</t>
  </si>
  <si>
    <t xml:space="preserve">  8. Tài sản thiếu chờ xử lý </t>
  </si>
  <si>
    <t>IV</t>
  </si>
  <si>
    <t>IV. Hàng tồn kho (140 = 141 + 149)</t>
  </si>
  <si>
    <t xml:space="preserve">  1. Hàng tồn kho</t>
  </si>
  <si>
    <t xml:space="preserve">  2. Dự phòng giảm giá hàng tồn kho</t>
  </si>
  <si>
    <t>V</t>
  </si>
  <si>
    <t>V. Tài sản ngắn hạn khác
(150 = 151 + 152 + 153 + 154 + 155)</t>
  </si>
  <si>
    <t xml:space="preserve">  1. Chi phí trả trước ngắn hạn</t>
  </si>
  <si>
    <t xml:space="preserve">  2. Thuế GTGT được khấu trừ</t>
  </si>
  <si>
    <t xml:space="preserve">  3. Thuế và các khoản khác phải thu Nhà nước</t>
  </si>
  <si>
    <t xml:space="preserve">  4. Giao dịch mua bán lại trái phiếu Chính phủ </t>
  </si>
  <si>
    <t xml:space="preserve">  5. Tài sản ngắn hạn khác</t>
  </si>
  <si>
    <t>B</t>
  </si>
  <si>
    <t>B - TÀI SẢN DÀI HẠN 
(200=210+220+240+250+260)</t>
  </si>
  <si>
    <t>I- Các khoản phải thu dài hạn
(210 = 211 + 212 + 213 + 214 + 215 +216 + 219)</t>
  </si>
  <si>
    <t xml:space="preserve">  1. Phải thu dài hạn của khách hàng</t>
  </si>
  <si>
    <t xml:space="preserve">  2. Trả trước cho người bán dài hạn </t>
  </si>
  <si>
    <t xml:space="preserve">  3. Vốn kinh doanh ở đơn vị trực thuộc</t>
  </si>
  <si>
    <t xml:space="preserve">  4. Phải thu nội bộ dài hạn </t>
  </si>
  <si>
    <t xml:space="preserve">  5. Phải thu về cho vay dài hạn </t>
  </si>
  <si>
    <t xml:space="preserve">  6. Phải thu dài hạn khác</t>
  </si>
  <si>
    <t xml:space="preserve">  7. Dự phòng phải thu dài hạn khó đòi</t>
  </si>
  <si>
    <t>II. Tài sản cố định - (220 = 221 + 224 + 227 + 230)</t>
  </si>
  <si>
    <t xml:space="preserve">  1. Tài sản cố định hữu hình</t>
  </si>
  <si>
    <t>-</t>
  </si>
  <si>
    <t xml:space="preserve">    - Nguyên giá</t>
  </si>
  <si>
    <t xml:space="preserve">    - Giá trị hao mòn lũy kế</t>
  </si>
  <si>
    <t xml:space="preserve">  2. Tài sản cố định thuê tài chính</t>
  </si>
  <si>
    <t xml:space="preserve">  3. TSCĐ vô hình</t>
  </si>
  <si>
    <t>229</t>
  </si>
  <si>
    <t>III. Bất động sản đầu tư (230 = 231 + 232)</t>
  </si>
  <si>
    <t xml:space="preserve"> IV. Tài sản dở dang dài hạn </t>
  </si>
  <si>
    <t xml:space="preserve">  1. Chi phí sản xuất, kinh doanh dở dang dài hạn </t>
  </si>
  <si>
    <t xml:space="preserve">  2. Chi phí xây dựng cơ bản dở dang</t>
  </si>
  <si>
    <t>V. Đầu tư tài chính dài hạn (250 = 251 + 252 + 253 + 254 + 255)</t>
  </si>
  <si>
    <t xml:space="preserve">  1. Đầu tư vào công ty con</t>
  </si>
  <si>
    <t xml:space="preserve">  2. Đầu tư vào công ty liên kết, liên doanh</t>
  </si>
  <si>
    <t xml:space="preserve">  3. Đầu tư góp vốn vào đơn vị khác </t>
  </si>
  <si>
    <t xml:space="preserve">  4. Dự phòng giảm giá đầu tư tài chính dài hạn</t>
  </si>
  <si>
    <t xml:space="preserve">  5. Đầu tư nắm giữ đến ngày đáo hạn </t>
  </si>
  <si>
    <t>VI</t>
  </si>
  <si>
    <t>VI. Tài sản dài hạn khác (260 = 261 + 262 + 263 + 268)</t>
  </si>
  <si>
    <t xml:space="preserve">  1. Chi phí trả trước dài hạn</t>
  </si>
  <si>
    <t xml:space="preserve">  2. Tài sản thuế thu nhập hoãn lại</t>
  </si>
  <si>
    <t xml:space="preserve">  3. Thiết bị, vật tư, phụ tùng thay thế dài hạn </t>
  </si>
  <si>
    <t/>
  </si>
  <si>
    <t xml:space="preserve">  4. Tài sản dài hạn khác</t>
  </si>
  <si>
    <t>TỔNG CỘNG TÀI SẢN (270 = 100 + 200)</t>
  </si>
  <si>
    <t>NGUỒN VỐN</t>
  </si>
  <si>
    <t>A - NỢ PHẢI TRẢ (300 = 310 + 330)</t>
  </si>
  <si>
    <t>I. Nợ ngắn hạn
 (310 = 311 + 312 +  ... + 319 + 320 + 324)</t>
  </si>
  <si>
    <t xml:space="preserve">  1. Phải trả người bán ngắn hạn </t>
  </si>
  <si>
    <t xml:space="preserve">  2. Người mua trả tiền trước ngắn hạn</t>
  </si>
  <si>
    <t xml:space="preserve">  3. Thuế và các khoản phải nộp Nhà nước</t>
  </si>
  <si>
    <t xml:space="preserve">  4. Phải trả người lao động</t>
  </si>
  <si>
    <t xml:space="preserve">  5. Chi phí phải trả ngắn hạn</t>
  </si>
  <si>
    <t xml:space="preserve">  6. Phải trả nội bộ ngắn hạn</t>
  </si>
  <si>
    <t xml:space="preserve">  7. Phải trả theo tiến độ kế hoạch HĐXD</t>
  </si>
  <si>
    <t xml:space="preserve">  8. Doanh thu chưa thực hiện ngắn hạn </t>
  </si>
  <si>
    <t xml:space="preserve">  9. Phải trả ngắn hạn khác</t>
  </si>
  <si>
    <t xml:space="preserve">  10. Vay và nợ thuê tài chính ngắn hạn </t>
  </si>
  <si>
    <t xml:space="preserve">  11. Dự phòng phải trả ngắn hạn </t>
  </si>
  <si>
    <t xml:space="preserve">  12. Quỹ khen thưởng, phúc lợi </t>
  </si>
  <si>
    <t xml:space="preserve">  13. Quỹ bình ổn giá </t>
  </si>
  <si>
    <t xml:space="preserve">  14. Giao dịch mua bán lại trái phiếu Chính phủ </t>
  </si>
  <si>
    <t>324</t>
  </si>
  <si>
    <t>II. Nợ dài hạn (330 = 331 + 332 + ... + 342 + 343)</t>
  </si>
  <si>
    <t xml:space="preserve">  1. Phải trả người bán dài hạn</t>
  </si>
  <si>
    <t xml:space="preserve">  2. Người mua trả tiền trước dài hạn </t>
  </si>
  <si>
    <t xml:space="preserve">  3. Chi phí phải trả dài hạn </t>
  </si>
  <si>
    <t xml:space="preserve">  4. Phải trả nội bộ về vốn kinh doanh </t>
  </si>
  <si>
    <t>334</t>
  </si>
  <si>
    <t xml:space="preserve">  5. Phải trả nội bộ dài hạn </t>
  </si>
  <si>
    <t xml:space="preserve">  6. Doanh thu chưa thực hiện dài hạn </t>
  </si>
  <si>
    <t xml:space="preserve">  7. Phải trả dài hạn khác </t>
  </si>
  <si>
    <t xml:space="preserve">  8. Vay và nợ thuê tài chính dài hạn </t>
  </si>
  <si>
    <t xml:space="preserve">  9. Trái phiếu chuyển đổi </t>
  </si>
  <si>
    <t xml:space="preserve">  10. Cổ phiếu ưu đãi </t>
  </si>
  <si>
    <t xml:space="preserve">  11. Thuế thu nhập hoãn lại phải trả</t>
  </si>
  <si>
    <t xml:space="preserve">  12. Dự phòng phải trả dài hạn</t>
  </si>
  <si>
    <t xml:space="preserve">  13. Quỹ phát triển khoa học và công nghệ</t>
  </si>
  <si>
    <t>B - VỐN CHỦ SỞ HỮU (400 = 410 + 430)</t>
  </si>
  <si>
    <t>I. Vốn chủ sở hữu
(410 = 411 + 412 + ... + 421 + 422)</t>
  </si>
  <si>
    <t xml:space="preserve">  1. Vốn đầu tư của chủ sở hữu</t>
  </si>
  <si>
    <t xml:space="preserve">    - Cổ phiếu phổ thông có quyền biểu quyết </t>
  </si>
  <si>
    <t>411a</t>
  </si>
  <si>
    <t xml:space="preserve">    - Cổ phiếu ưu đãi </t>
  </si>
  <si>
    <t>411b</t>
  </si>
  <si>
    <t xml:space="preserve">  2. Thặng dư vốn cổ phần</t>
  </si>
  <si>
    <t xml:space="preserve">  3. Quyền chọn chuyển đổi trái phiếu </t>
  </si>
  <si>
    <t xml:space="preserve">  4. Vốn khác của chủ sở hữu</t>
  </si>
  <si>
    <t xml:space="preserve">  5. Cổ phiếu quỹ</t>
  </si>
  <si>
    <t xml:space="preserve">  6. Chênh lệch đánh giá lại tài sản</t>
  </si>
  <si>
    <t xml:space="preserve">  7. Chênh lệch tỷ giá hối đoái</t>
  </si>
  <si>
    <t xml:space="preserve">  8. Quỹ đầu tư phát triển</t>
  </si>
  <si>
    <t xml:space="preserve">  9. Quỹ hỗ trợ sắp xếp doanh nghiệp </t>
  </si>
  <si>
    <t xml:space="preserve">  10. Quỹ khác thuộc vốn chủ sở hữu</t>
  </si>
  <si>
    <t xml:space="preserve">  11. Lợi nhuận sau thuế chưa phân phối</t>
  </si>
  <si>
    <t xml:space="preserve">    - Lợi nhuận sau thuế chưa phân phối lũy kế đến cuối kỳ trước </t>
  </si>
  <si>
    <t>421a</t>
  </si>
  <si>
    <t xml:space="preserve">    - Lợi nhuận sau thuế chưa phân phối kỳ này </t>
  </si>
  <si>
    <t>421b</t>
  </si>
  <si>
    <t xml:space="preserve">  12. Nguồn vốn đầu tư XDCB</t>
  </si>
  <si>
    <t>II. Nguồn kinh phí và quỹ khác 
(430=431+432)</t>
  </si>
  <si>
    <t xml:space="preserve">  1. Nguồn kinh phí</t>
  </si>
  <si>
    <t xml:space="preserve">  2. Nguồn kinh phí đã hình thành TSCĐ</t>
  </si>
  <si>
    <t>TỔNG CỘNG NGUỒN VỐN (440 = 300 + 400)</t>
  </si>
  <si>
    <t>01</t>
  </si>
  <si>
    <t>02</t>
  </si>
  <si>
    <t xml:space="preserve">     - Trong đó: Chi phí lãi vay </t>
  </si>
  <si>
    <t>Chi phí thuế thu nhập doanh nghiệp hoãn lại</t>
  </si>
  <si>
    <t>Lãi cơ bản trên cổ phiếu (*)</t>
  </si>
  <si>
    <t>Lãi suy giảm trên cổ phiếu (*)</t>
  </si>
  <si>
    <t>Giá thành sản xuất</t>
  </si>
  <si>
    <t>x</t>
  </si>
  <si>
    <t>MÃ 
TK</t>
  </si>
  <si>
    <t>1121IVB</t>
  </si>
  <si>
    <t>Phương tiện vận tải, truyền dẫn</t>
  </si>
  <si>
    <t>Thuế thu nhập doanh nghiệp</t>
  </si>
  <si>
    <t>Thuế thu nhập cá nhân</t>
  </si>
  <si>
    <t>Phí, lệ phí và các khoản phải nộp khác</t>
  </si>
  <si>
    <t>Bảo hiểm xã hội</t>
  </si>
  <si>
    <t>Bảo hiểm y tế</t>
  </si>
  <si>
    <t>Bảo hiểm thất nghiệp</t>
  </si>
  <si>
    <t>Phải trả, phải nộp khác</t>
  </si>
  <si>
    <t>338OD</t>
  </si>
  <si>
    <t>Chi phí nhân viên quản lý</t>
  </si>
  <si>
    <t>Chi phí đồ dùng văn phòng</t>
  </si>
  <si>
    <t>Thuế, phí và lệ phí</t>
  </si>
  <si>
    <t>Xác định kết quả kinh doanh</t>
  </si>
  <si>
    <t>(Ban hành theo thông tư 200/2014/TT-BTC ngày 22/12/2014 của bộ trưởng BTC)</t>
  </si>
  <si>
    <t>Tên chỉ tiêu
摘要名稱</t>
  </si>
  <si>
    <t>Tên chỉ tiêu tiếng Hoa
中文摘要名稱</t>
  </si>
  <si>
    <t>Mã số
編號</t>
  </si>
  <si>
    <t>A. 短期資產(100=110+120+130+140+150)</t>
  </si>
  <si>
    <t xml:space="preserve"> I. 現金及各約當現金</t>
  </si>
  <si>
    <t xml:space="preserve">  1. 現金</t>
  </si>
  <si>
    <t xml:space="preserve">  2. 各約當現金</t>
  </si>
  <si>
    <t xml:space="preserve"> II. 短期金融投資</t>
  </si>
  <si>
    <t xml:space="preserve">  2. 短期投資跌價損失備抵</t>
  </si>
  <si>
    <t xml:space="preserve"> III. 短期應收</t>
  </si>
  <si>
    <t xml:space="preserve">  2. 預付貨款</t>
  </si>
  <si>
    <t xml:space="preserve">  3. 短期應收內部</t>
  </si>
  <si>
    <t xml:space="preserve">  4. 依據營造合約進度收款</t>
  </si>
  <si>
    <t xml:space="preserve"> IV. 庫存</t>
  </si>
  <si>
    <t xml:space="preserve">  1. 庫存貨</t>
  </si>
  <si>
    <t xml:space="preserve">  2. 庫存貨跌價損失備抵</t>
  </si>
  <si>
    <t xml:space="preserve"> V. 其他短期資產</t>
  </si>
  <si>
    <t>進項增值稅</t>
  </si>
  <si>
    <t>應收國家稅款及其他帳款</t>
  </si>
  <si>
    <t>B. 長期資產 (200=210+220+240+250+260)</t>
  </si>
  <si>
    <t xml:space="preserve"> I. 長期應收</t>
  </si>
  <si>
    <t xml:space="preserve">  1. 長期應收</t>
  </si>
  <si>
    <t xml:space="preserve"> II. 固定資產</t>
  </si>
  <si>
    <t xml:space="preserve">  1. 有形固定資產</t>
  </si>
  <si>
    <t xml:space="preserve">    -  原價</t>
  </si>
  <si>
    <t xml:space="preserve">    -  累積折舊值</t>
  </si>
  <si>
    <t xml:space="preserve">  2. 籌資性租賃資產</t>
  </si>
  <si>
    <t xml:space="preserve">  3. 無形固定資產</t>
  </si>
  <si>
    <t xml:space="preserve"> III. 不動產投資</t>
  </si>
  <si>
    <t xml:space="preserve">  1. 投資入子公司</t>
  </si>
  <si>
    <t xml:space="preserve">  2. 投資入合夥及聯營公司</t>
  </si>
  <si>
    <t xml:space="preserve">  3. 其他長期投資</t>
  </si>
  <si>
    <t xml:space="preserve">  4. 長期金融投資跌價損失備抵</t>
  </si>
  <si>
    <t xml:space="preserve">  2. 遞延所得稅資產</t>
  </si>
  <si>
    <t xml:space="preserve">           資產總值 (270 = 100+200)</t>
  </si>
  <si>
    <t>A. 負債(300 = 310 + 330)</t>
  </si>
  <si>
    <t xml:space="preserve"> I. 短期負債</t>
  </si>
  <si>
    <t xml:space="preserve"> II. 長期負債</t>
  </si>
  <si>
    <t xml:space="preserve">  1. 長期應付供應商</t>
  </si>
  <si>
    <t>B. 業主權益(400 = 410 + 430)</t>
  </si>
  <si>
    <t xml:space="preserve"> I. 業主權益</t>
  </si>
  <si>
    <t xml:space="preserve">  1. 業主投資資金</t>
  </si>
  <si>
    <t xml:space="preserve">  2. 股金剩餘</t>
  </si>
  <si>
    <t xml:space="preserve"> II. 經費來源，其他基金</t>
  </si>
  <si>
    <t xml:space="preserve">  1. 經費來源</t>
  </si>
  <si>
    <t xml:space="preserve">  2. 已形成固定資產經費來源</t>
  </si>
  <si>
    <t xml:space="preserve">      業主權益及負債總計 (440 = 300 + 400)</t>
  </si>
  <si>
    <t>Thuyết
 minh
說明</t>
  </si>
  <si>
    <t>Thuyết
 minh</t>
  </si>
  <si>
    <t>Doanh thu hoạt động tài chính</t>
  </si>
  <si>
    <t>現金 越盾</t>
  </si>
  <si>
    <t xml:space="preserve">  3.短期到期性投資</t>
  </si>
  <si>
    <t>長期在建工程</t>
  </si>
  <si>
    <t xml:space="preserve">  1. 應付供應商</t>
  </si>
  <si>
    <t xml:space="preserve">  3. 應繳國家預算之稅款與其他帳款</t>
  </si>
  <si>
    <t xml:space="preserve">  4. 應付員工</t>
  </si>
  <si>
    <t xml:space="preserve">  5. 應付費用</t>
  </si>
  <si>
    <t xml:space="preserve">  10. 短期借款及融資租賃負債</t>
  </si>
  <si>
    <t xml:space="preserve">    - 至上期末累計未分配稅後利潤</t>
  </si>
  <si>
    <t xml:space="preserve">    - 本期未分配稅後利潤</t>
  </si>
  <si>
    <t>長期生產經營費用</t>
  </si>
  <si>
    <t xml:space="preserve">  6. 應付內部</t>
  </si>
  <si>
    <t xml:space="preserve">  7. 應付依據營造合約進度</t>
  </si>
  <si>
    <t xml:space="preserve">  11. 短期應付備抵</t>
  </si>
  <si>
    <t xml:space="preserve">  12. 獎勵及福利基金</t>
  </si>
  <si>
    <t xml:space="preserve">  13. 價格穩定基金</t>
  </si>
  <si>
    <t xml:space="preserve">  14. 政府債券出售及回購交易</t>
  </si>
  <si>
    <t xml:space="preserve">  10. 優惠股票</t>
  </si>
  <si>
    <t xml:space="preserve">  11. 應付遞延所得稅</t>
  </si>
  <si>
    <t xml:space="preserve">  12. 長期應付備抵</t>
  </si>
  <si>
    <t xml:space="preserve">  13. 科學及科技發展基金</t>
  </si>
  <si>
    <t>Số dư đầu kỳ 期初值</t>
  </si>
  <si>
    <t>Số dư cuối kỳ 期末值</t>
  </si>
  <si>
    <t>Thành phẩm</t>
  </si>
  <si>
    <t>運輸設備</t>
  </si>
  <si>
    <t>有形固定資產攤提</t>
  </si>
  <si>
    <t>原物料</t>
  </si>
  <si>
    <t>在製品</t>
  </si>
  <si>
    <t>銷項稅額</t>
  </si>
  <si>
    <t>進口增值稅</t>
  </si>
  <si>
    <t>進出口稅</t>
  </si>
  <si>
    <t>企業所得稅/利潤稅</t>
  </si>
  <si>
    <t>個人所得稅</t>
  </si>
  <si>
    <t>工團經費</t>
  </si>
  <si>
    <t>其他應繳.應付款</t>
  </si>
  <si>
    <t>資本金</t>
  </si>
  <si>
    <t>銷售成品</t>
  </si>
  <si>
    <t>其他收入</t>
  </si>
  <si>
    <t>財政收入</t>
  </si>
  <si>
    <t>直接原物料</t>
  </si>
  <si>
    <t>直接人工薪資</t>
  </si>
  <si>
    <t>生產工具</t>
  </si>
  <si>
    <t>固定資產攤提</t>
  </si>
  <si>
    <t>外購服務成本</t>
  </si>
  <si>
    <t>財政支出</t>
  </si>
  <si>
    <t>其他費用</t>
  </si>
  <si>
    <t>管理人員薪資</t>
  </si>
  <si>
    <t>文房用品</t>
  </si>
  <si>
    <t>稅與各項政府費用</t>
  </si>
  <si>
    <t>外購服務成本費用</t>
  </si>
  <si>
    <t>BẢNG CÂN ĐỐI TÀI KHOẢN 试算表</t>
  </si>
  <si>
    <t>Nợ USD
 借方</t>
  </si>
  <si>
    <t>Có USD
 貸方</t>
  </si>
  <si>
    <t>Nợ  VND
 借方</t>
  </si>
  <si>
    <t>Có VND
貸方</t>
  </si>
  <si>
    <t>税号/Mã số thuế: 3702307012</t>
  </si>
  <si>
    <t>1121AGR</t>
  </si>
  <si>
    <t>131GCKL</t>
  </si>
  <si>
    <t>131HOME</t>
  </si>
  <si>
    <t>131HSINYA</t>
  </si>
  <si>
    <t>131HUAXIN</t>
  </si>
  <si>
    <t xml:space="preserve">131JING </t>
  </si>
  <si>
    <t>131MS</t>
  </si>
  <si>
    <t>131PDINH</t>
  </si>
  <si>
    <t>131SFA</t>
  </si>
  <si>
    <t>131SNGHE</t>
  </si>
  <si>
    <t>131THP</t>
  </si>
  <si>
    <t>131TL</t>
  </si>
  <si>
    <t>131TMBH</t>
  </si>
  <si>
    <t>131TRDUC</t>
  </si>
  <si>
    <t>131VC</t>
  </si>
  <si>
    <t>131WOODEN</t>
  </si>
  <si>
    <t>331AKP</t>
  </si>
  <si>
    <t>331CH</t>
  </si>
  <si>
    <t>331ORKING</t>
  </si>
  <si>
    <t>331TLAM</t>
  </si>
  <si>
    <t>331WINNER</t>
  </si>
  <si>
    <t>3388CMH</t>
  </si>
  <si>
    <t>411CMH</t>
  </si>
  <si>
    <t>411HTY</t>
  </si>
  <si>
    <t>411HYW</t>
  </si>
  <si>
    <t>411HYY</t>
  </si>
  <si>
    <t>Tiền Việt Nam</t>
  </si>
  <si>
    <t>Hàng hóa</t>
  </si>
  <si>
    <t>Dự phòng phải thu khó đòi</t>
  </si>
  <si>
    <t>Dự phòng giảm giá hàng tồn kho</t>
  </si>
  <si>
    <t>Chi phí trả trước dài hạn (trên 12 tháng)</t>
  </si>
  <si>
    <t>Thuế GTGT đầu ra</t>
  </si>
  <si>
    <t>Thuế xuất, nhập khẩu</t>
  </si>
  <si>
    <t>Phải trả người lao động</t>
  </si>
  <si>
    <t>Phải trả - Chou Mei Hsiu</t>
  </si>
  <si>
    <t>Trợ cấp ốm đau</t>
  </si>
  <si>
    <t>Vốn góp Chou Mei Hsiu</t>
  </si>
  <si>
    <t>Vốn góp Hsieh Te Yuan</t>
  </si>
  <si>
    <t>Vốn góp Hsieh Yao Wei</t>
  </si>
  <si>
    <t>Vốn góp Hsieh Yao Yi</t>
  </si>
  <si>
    <t>Lợi nhuận sau thuế chưa phân phối năm trước</t>
  </si>
  <si>
    <t>Lợi nhuận sau thuế chưa phân phối năm nay</t>
  </si>
  <si>
    <t>Doanh thu bán các thành phẩm-Hàng Hóa</t>
  </si>
  <si>
    <t>Chi phí nguyên liệu, vật liệu trực tiếp</t>
  </si>
  <si>
    <t>Chi phí nguyên, vật liệu</t>
  </si>
  <si>
    <t>Chi phí khấu hao TSCĐ</t>
  </si>
  <si>
    <t>Giá vốn hàng bán</t>
  </si>
  <si>
    <t>Chi phí tài chính</t>
  </si>
  <si>
    <t>Chi phí không hợp lí</t>
  </si>
  <si>
    <t>Chi phí khác</t>
  </si>
  <si>
    <t>1122IVB002</t>
  </si>
  <si>
    <t>1122IVB003</t>
  </si>
  <si>
    <t>公司名/Tên CSKD: CÔNG TY TNHH NGẠN CHÂU</t>
  </si>
  <si>
    <t>Tiền gửi NH  IVB - USD 5044255-002</t>
  </si>
  <si>
    <t>Tiền gửi NH  IVB - USD 5044255-003</t>
  </si>
  <si>
    <t>Tiền gửi NH Agribank - VND 5500201022704</t>
  </si>
  <si>
    <t>Tiền gửi NH  IVB -VND 5044255-001</t>
  </si>
  <si>
    <t>131KIET</t>
  </si>
  <si>
    <t>131ICH</t>
  </si>
  <si>
    <t>131NGHIA</t>
  </si>
  <si>
    <t>131HAO</t>
  </si>
  <si>
    <t>131LT</t>
  </si>
  <si>
    <t>131FURN</t>
  </si>
  <si>
    <t>131KY</t>
  </si>
  <si>
    <t>131HUAT</t>
  </si>
  <si>
    <t>131TPP</t>
  </si>
  <si>
    <t>131THANH</t>
  </si>
  <si>
    <t>CTY CP CHẤN KIỆT</t>
  </si>
  <si>
    <t>CTY TNHH ĐỒ GỖ DANH ÍCH</t>
  </si>
  <si>
    <t>CTY TNHH MTV GỖ GIA CÔNG KIM LỰC</t>
  </si>
  <si>
    <t>CTY TNHH GỖ HẰNG NGHĨA</t>
  </si>
  <si>
    <t>CTY TNHH ESLITE HOME</t>
  </si>
  <si>
    <t>CTY TNHH CÔNG NGHIỆP GỖ HSIN YA</t>
  </si>
  <si>
    <t>CTY JING TZUAN FURNITURE CO.,LTD</t>
  </si>
  <si>
    <t>CTY TNHH LONG HAO</t>
  </si>
  <si>
    <t>CTY TNHH MTV SX TM LÂM THỊNH</t>
  </si>
  <si>
    <t>CTY TNHH MAEVE FURN</t>
  </si>
  <si>
    <t>CTY TNHH MORI SHIGE</t>
  </si>
  <si>
    <t>CTY TNHH NGHĨA KỲ</t>
  </si>
  <si>
    <t>CTY TNHH NỘI THẤT GỖ PHÚ ĐỈNH</t>
  </si>
  <si>
    <t>CTY CP POH HUAT VN</t>
  </si>
  <si>
    <t>CTY TNHH SAN FA VN</t>
  </si>
  <si>
    <t>CTYTNHH SIÊU NGHỆ</t>
  </si>
  <si>
    <t>CTY TNHH TM TAM HỢP PHÁT</t>
  </si>
  <si>
    <t>CTY TNHH MTV THẮNG LÂM</t>
  </si>
  <si>
    <t>CTY TNHH THÀNH PHÚ PHÁT</t>
  </si>
  <si>
    <t>CTY CỔ PHẦN TRẦN ĐỨC</t>
  </si>
  <si>
    <t>CTY CỔ PHẦN TẬP ĐOÀN KỸ NGHỆ GỖ TRƯỜNG THÀNH</t>
  </si>
  <si>
    <t>CTY TNHH MTV SX TM VẠN CHÍNH</t>
  </si>
  <si>
    <t>CTY TNHH WOODWORTH WOODEN (VN)</t>
  </si>
  <si>
    <t>331NAM</t>
  </si>
  <si>
    <t>331DPD</t>
  </si>
  <si>
    <t>331ETEMAL</t>
  </si>
  <si>
    <t>331HP</t>
  </si>
  <si>
    <t>331TLN</t>
  </si>
  <si>
    <t>331BNP</t>
  </si>
  <si>
    <t>CTY TNHH SX TM BÌNH NGUYÊN PHÁT</t>
  </si>
  <si>
    <t>Thuế GTGT được khấu trừ của hàng hóa, DV</t>
  </si>
  <si>
    <t>Thành phẩm dở dang</t>
  </si>
  <si>
    <t>CTY TNHH MTV TRẠM XĂNG DẦU AN KHÁNH PHÁT</t>
  </si>
  <si>
    <t>CTY TNHH TM DV SX CẢNH HOÀNH</t>
  </si>
  <si>
    <t>CTY TNHH KIỂM TOÁN CPA</t>
  </si>
  <si>
    <t>CTY TNHH MTV DV BẢO VỆ ĐẠI HOÀNG NAM</t>
  </si>
  <si>
    <t>CTY TNHH SX TM ĐẠI PHÚ ĐIỀN</t>
  </si>
  <si>
    <t>ETERNAL MATERIALS CO., LTD</t>
  </si>
  <si>
    <t>CTY TNHH HẢI PHONG</t>
  </si>
  <si>
    <t>ORKING CO. TLD</t>
  </si>
  <si>
    <t>CTY TNHH MTV TRẦN LÊ NAM</t>
  </si>
  <si>
    <t>MULTIPLE WINNER CO.,TLD</t>
  </si>
  <si>
    <t xml:space="preserve">Chênh lệch tỷ giá </t>
  </si>
  <si>
    <t>331VNPT</t>
  </si>
  <si>
    <t>CTY TNHH SX TM B H</t>
  </si>
  <si>
    <t>131SUN</t>
  </si>
  <si>
    <t>Phí ngân hàng</t>
  </si>
  <si>
    <t>0000052</t>
  </si>
  <si>
    <t>CTY TNHH MTV Tân King Sun</t>
  </si>
  <si>
    <t>TTKD VNPT</t>
  </si>
  <si>
    <t>Ngày</t>
  </si>
  <si>
    <t>0000050</t>
  </si>
  <si>
    <t>0000063</t>
  </si>
  <si>
    <t>0000066</t>
  </si>
  <si>
    <t>0000053</t>
  </si>
  <si>
    <t>0000056</t>
  </si>
  <si>
    <t>0000064</t>
  </si>
  <si>
    <t>0000065</t>
  </si>
  <si>
    <t>0000068</t>
  </si>
  <si>
    <t>0000046</t>
  </si>
  <si>
    <t>0000072</t>
  </si>
  <si>
    <t>0000070</t>
  </si>
  <si>
    <t>0000067</t>
  </si>
  <si>
    <t>127+161</t>
  </si>
  <si>
    <t>CTY Siêu Nghệ thanh toán tiền hàng T2+1 phần T3/21-HĐ 127+161</t>
  </si>
  <si>
    <t>0000074</t>
  </si>
  <si>
    <t>0000013</t>
  </si>
  <si>
    <t>0000073</t>
  </si>
  <si>
    <t>0000057</t>
  </si>
  <si>
    <t>0000355</t>
  </si>
  <si>
    <t>161+187</t>
  </si>
  <si>
    <t>DT Bán poly trang trí HĐ 161(31/03/21)+187(29/04/21)-CTY  Siêu Nghệ</t>
  </si>
  <si>
    <t>0000003</t>
  </si>
  <si>
    <t>70</t>
  </si>
  <si>
    <t>Chi phí Dầu DO, Xăng Ron E5-HĐ 70-10/06/22-CTY An Khánh Phát</t>
  </si>
  <si>
    <t xml:space="preserve"> Thuế GTGT mua vào HĐ số :70,10/06/22</t>
  </si>
  <si>
    <t>0000077</t>
  </si>
  <si>
    <t>104</t>
  </si>
  <si>
    <t xml:space="preserve">DT Bán Poly trang trí  - HD104 -CTY TNHH MTV SIÊU NGHỆ </t>
  </si>
  <si>
    <t xml:space="preserve"> Thuế GTGT đầu ra HĐ: 104,03/10/22</t>
  </si>
  <si>
    <t>0000525</t>
  </si>
  <si>
    <t>187</t>
  </si>
  <si>
    <t>CTYTNHH SIÊU NGHỆ thanh tiếp 1 phần tiền hàng T4/21 HD 187 (29/04/21)</t>
  </si>
  <si>
    <t>0000018</t>
  </si>
  <si>
    <t>6427</t>
  </si>
  <si>
    <t>0000188</t>
  </si>
  <si>
    <t>Poly trang trí - Công ty TNHH nội thất gỗ Phú Đỉnh</t>
  </si>
  <si>
    <t>VAT đầu ra - Công ty TNHH nội thất gỗ Phú Đỉnh</t>
  </si>
  <si>
    <t>Phải thu - Công ty TNHH nội thất gỗ Phú Đỉnh</t>
  </si>
  <si>
    <t xml:space="preserve">thiếu phí TT </t>
  </si>
  <si>
    <t>hd 313 10/2017</t>
  </si>
  <si>
    <t>treo nợ</t>
  </si>
  <si>
    <t>378</t>
  </si>
  <si>
    <t>5112</t>
  </si>
  <si>
    <t>33311</t>
  </si>
  <si>
    <t>hd 378 5/5/20</t>
  </si>
  <si>
    <t>hd 24/08/20</t>
  </si>
  <si>
    <t>0000039</t>
  </si>
  <si>
    <t>0000045</t>
  </si>
  <si>
    <t>DT Bán poly-HD 77-18/01/21-Cty Phú Đỉnh</t>
  </si>
  <si>
    <t xml:space="preserve"> Thuế GTGT đầu ra HĐ: 0000077,18/01/21</t>
  </si>
  <si>
    <t>Tên khách hàng</t>
  </si>
  <si>
    <t>Số Hóa đơn</t>
  </si>
  <si>
    <t>Ngày Hóa đơn</t>
  </si>
  <si>
    <t>Số tiền</t>
  </si>
  <si>
    <t>Phân tích tuổi nợ</t>
  </si>
  <si>
    <t>Tổng trích lập 
dự phòng</t>
  </si>
  <si>
    <t>Quá hạn (tháng)</t>
  </si>
  <si>
    <t>Quá hạn dưới
6 tháng</t>
  </si>
  <si>
    <t>6 tháng 
- 1 năm</t>
  </si>
  <si>
    <t>1 năm 
- 2 năm</t>
  </si>
  <si>
    <t>2 năm 
- 3 năm</t>
  </si>
  <si>
    <t>từ 3 năm trở lên</t>
  </si>
  <si>
    <t>Phải thu - Công Ty TNHH Hua Xin</t>
  </si>
  <si>
    <t>0000267</t>
  </si>
  <si>
    <t>0000307</t>
  </si>
  <si>
    <t>0000850</t>
  </si>
  <si>
    <t>0000900</t>
  </si>
  <si>
    <t>0000960</t>
  </si>
  <si>
    <t>Công Ty TNHH TM Tam Hợp Phát</t>
  </si>
  <si>
    <t>Phải thu - Công ty Cổ Phần Trần Đức</t>
  </si>
  <si>
    <t>0000564</t>
  </si>
  <si>
    <t>0000568</t>
  </si>
  <si>
    <t>0000009</t>
  </si>
  <si>
    <t>Phải thu - Công Ty TNHH Thâm Vương</t>
  </si>
  <si>
    <t>328</t>
  </si>
  <si>
    <t>Công Ty TNHH Eslite Home</t>
  </si>
  <si>
    <t>0000040</t>
  </si>
  <si>
    <t>CÔNG TY TNHH HỒNG VẠN</t>
  </si>
  <si>
    <t>00548</t>
  </si>
  <si>
    <t>0000578</t>
  </si>
  <si>
    <t>Công Ty tNHH Siêu Nghệ</t>
  </si>
  <si>
    <t>0000585</t>
  </si>
  <si>
    <t>0000033</t>
  </si>
  <si>
    <t>Phải thu - Cty CP Poh Huat Việt Nam</t>
  </si>
  <si>
    <t>0000035</t>
  </si>
  <si>
    <t>Công Ty TNHH MTV Gỗ Gia Công Kim Lực</t>
  </si>
  <si>
    <t>Phải thu - Công ty TNHH Bắc Hoằng</t>
  </si>
  <si>
    <t>Phải thu - Cty TNHH Đức Thiện</t>
  </si>
  <si>
    <t>Phải thu - Công Ty TNHH Một Thành Viên Thắng Lâm</t>
  </si>
  <si>
    <t>0000942</t>
  </si>
  <si>
    <t>Phải thu - Công ty TNHH gỗ Hằng Nghĩa</t>
  </si>
  <si>
    <t>0000062</t>
  </si>
  <si>
    <t>0000069</t>
  </si>
  <si>
    <t>Phải thu- Công Ty TNHH Mori Shige</t>
  </si>
  <si>
    <t>0000021</t>
  </si>
  <si>
    <t>Phải thu - Cty TNHH Thành Phú Phát</t>
  </si>
  <si>
    <t>Phải thu - Công Ty TNHH Hòa Thành</t>
  </si>
  <si>
    <t>Phải thu - Công ty Jing Tzuan Furniture Co.,LTD</t>
  </si>
  <si>
    <t>HD.000125</t>
  </si>
  <si>
    <t>HD.000174</t>
  </si>
  <si>
    <t>HD.000223</t>
  </si>
  <si>
    <t>Công Ty TNHH Thực Nghiệp Hạo Sâm</t>
  </si>
  <si>
    <t>0000025</t>
  </si>
  <si>
    <t>Phải thu - Cty TNHH Đồ Gỗ Danh Ích</t>
  </si>
  <si>
    <t>0000004</t>
  </si>
  <si>
    <t>Phải thu - Công ty TNHH View Full Việt Nam</t>
  </si>
  <si>
    <t>0000012</t>
  </si>
  <si>
    <t>0000047</t>
  </si>
  <si>
    <t>Phải thu - Cty TNHH Kim Phong</t>
  </si>
  <si>
    <t>0000059</t>
  </si>
  <si>
    <t>275</t>
  </si>
  <si>
    <t>490</t>
  </si>
  <si>
    <t>Phải thu - Cty TNHH công nghiệp gỗ Hsin Ya</t>
  </si>
  <si>
    <t>Phải thu - Cty TNHH Woodworth Wooden (VN)</t>
  </si>
  <si>
    <t>0000599</t>
  </si>
  <si>
    <t>0000002</t>
  </si>
  <si>
    <t>0000041</t>
  </si>
  <si>
    <t>0000042</t>
  </si>
  <si>
    <t>0000043</t>
  </si>
  <si>
    <t>Phải thu - Công Ty TNHH MTV Grand Wood</t>
  </si>
  <si>
    <t>0000027</t>
  </si>
  <si>
    <t>Phải thu - Công ty TNHH San Fa VN</t>
  </si>
  <si>
    <t>0000026</t>
  </si>
  <si>
    <t>0000054</t>
  </si>
  <si>
    <t>Công Ty TNHH MTV Lâm Dương</t>
  </si>
  <si>
    <t>0000019</t>
  </si>
  <si>
    <t>Công ty TNHH Sản xuất TM B H</t>
  </si>
  <si>
    <t>Phải thu - Công ty TNHH Đồ Gỗ Gia Dụng Dinh Gia VN</t>
  </si>
  <si>
    <t>0000034</t>
  </si>
  <si>
    <t>0000055</t>
  </si>
  <si>
    <t>Phải thu - Cty TNHH Wan Li Hang (Việt Nam)</t>
  </si>
  <si>
    <t>0000011</t>
  </si>
  <si>
    <t>0000058</t>
  </si>
  <si>
    <t>Phải thu - Công ty TNHH Long Hao</t>
  </si>
  <si>
    <t>0000571</t>
  </si>
  <si>
    <t>0000005</t>
  </si>
  <si>
    <t>0000048</t>
  </si>
  <si>
    <t>Phải thu - Công ty TNHH Cường Thịnh</t>
  </si>
  <si>
    <t>Phải thu - Công ty TNHH TOC (Việt Nam)</t>
  </si>
  <si>
    <t>0000049</t>
  </si>
  <si>
    <t>Công Ty TNHH Đức Lợi 2</t>
  </si>
  <si>
    <t>00524</t>
  </si>
  <si>
    <t>0000596</t>
  </si>
  <si>
    <t>0000036</t>
  </si>
  <si>
    <t>Phải thu - Công Ty TNHH Moash Enterprise Việt Nam</t>
  </si>
  <si>
    <t>0000024</t>
  </si>
  <si>
    <t>0000060</t>
  </si>
  <si>
    <t>Công Ty Cổ Phần Tập Đoàn Kỹ Nghệ Gỗ Trường Thành</t>
  </si>
  <si>
    <t>0000008</t>
  </si>
  <si>
    <t>0000051</t>
  </si>
  <si>
    <t>Công Ty TNHH Gỗ Phong Nghi</t>
  </si>
  <si>
    <t>00458</t>
  </si>
  <si>
    <t>523</t>
  </si>
  <si>
    <t>Phải thu - Công ty CP đầu tư Thái Bình</t>
  </si>
  <si>
    <t>361</t>
  </si>
  <si>
    <t>0000017</t>
  </si>
  <si>
    <t>Phải thu - Cty TNHH Kim Huy</t>
  </si>
  <si>
    <t>0000061</t>
  </si>
  <si>
    <t>Công Ty TNHH Hợp Trụ</t>
  </si>
  <si>
    <t>0000006</t>
  </si>
  <si>
    <t>Phải thu - Cty TNHH Maeve Furn</t>
  </si>
  <si>
    <t>386</t>
  </si>
  <si>
    <t>00522</t>
  </si>
  <si>
    <t>0000600</t>
  </si>
  <si>
    <t>Phải thu - Công ty TNHH Nghĩa Kỳ</t>
  </si>
  <si>
    <t>0000044</t>
  </si>
  <si>
    <t>Phải thu - Công ty TNHH Minh Phát 2</t>
  </si>
  <si>
    <t>0000028</t>
  </si>
  <si>
    <t>Phải thu - Công ty CP SX kinh doanh XNK Minh Tiến</t>
  </si>
  <si>
    <t>0000030</t>
  </si>
  <si>
    <t>trích lập của KT năm 2020</t>
  </si>
  <si>
    <t>treo nợ đến hiện tại</t>
  </si>
  <si>
    <t>Công Ty TNHH Hua Xin</t>
  </si>
  <si>
    <t>06 tháng - 01 năm</t>
  </si>
  <si>
    <r>
      <rPr>
        <b/>
        <sz val="12"/>
        <rFont val="Arial"/>
        <family val="2"/>
      </rPr>
      <t>NỢ XẤU VÀ NỢ KHÓ ĐÒI</t>
    </r>
  </si>
  <si>
    <r>
      <rPr>
        <b/>
        <sz val="9"/>
        <rFont val="Arial"/>
        <family val="2"/>
      </rPr>
      <t>Số ngày quá hạn</t>
    </r>
  </si>
  <si>
    <r>
      <rPr>
        <b/>
        <sz val="9"/>
        <rFont val="Arial"/>
        <family val="2"/>
      </rPr>
      <t>Giá gốc</t>
    </r>
  </si>
  <si>
    <r>
      <rPr>
        <b/>
        <sz val="9"/>
        <rFont val="Arial"/>
        <family val="2"/>
      </rPr>
      <t xml:space="preserve">Giá trị có thể
</t>
    </r>
    <r>
      <rPr>
        <b/>
        <sz val="9"/>
        <rFont val="Arial"/>
        <family val="2"/>
      </rPr>
      <t>thu hồi</t>
    </r>
  </si>
  <si>
    <r>
      <rPr>
        <b/>
        <sz val="9"/>
        <rFont val="Arial"/>
        <family val="2"/>
      </rPr>
      <t xml:space="preserve">Số ngày quá
</t>
    </r>
    <r>
      <rPr>
        <b/>
        <sz val="9"/>
        <rFont val="Arial"/>
        <family val="2"/>
      </rPr>
      <t>hạn</t>
    </r>
  </si>
  <si>
    <r>
      <rPr>
        <b/>
        <sz val="9"/>
        <rFont val="Arial"/>
        <family val="2"/>
      </rPr>
      <t>Nợ quá hạn</t>
    </r>
  </si>
  <si>
    <r>
      <rPr>
        <sz val="7"/>
        <rFont val="Microsoft Sans Serif"/>
        <family val="2"/>
      </rPr>
      <t>Công ty TNHH Sản xuất TM B H</t>
    </r>
  </si>
  <si>
    <r>
      <rPr>
        <sz val="7"/>
        <rFont val="Microsoft Sans Serif"/>
        <family val="2"/>
      </rPr>
      <t>02 - 03 năm</t>
    </r>
  </si>
  <si>
    <r>
      <rPr>
        <sz val="7"/>
        <rFont val="Microsoft Sans Serif"/>
        <family val="2"/>
      </rPr>
      <t>01 - 02 năm</t>
    </r>
  </si>
  <si>
    <r>
      <rPr>
        <sz val="7"/>
        <rFont val="Microsoft Sans Serif"/>
        <family val="2"/>
      </rPr>
      <t>Công Ty TNHH TM Tam Hợp Phát</t>
    </r>
  </si>
  <si>
    <r>
      <rPr>
        <sz val="7"/>
        <rFont val="Microsoft Sans Serif"/>
        <family val="2"/>
      </rPr>
      <t>Công ty CP đầu tư Thái Bình</t>
    </r>
  </si>
  <si>
    <r>
      <rPr>
        <sz val="7"/>
        <rFont val="Microsoft Sans Serif"/>
        <family val="2"/>
      </rPr>
      <t>06 tháng - 01 năm</t>
    </r>
  </si>
  <si>
    <r>
      <rPr>
        <sz val="7"/>
        <rFont val="Microsoft Sans Serif"/>
        <family val="2"/>
      </rPr>
      <t>-</t>
    </r>
  </si>
  <si>
    <r>
      <rPr>
        <sz val="7"/>
        <rFont val="Microsoft Sans Serif"/>
        <family val="2"/>
      </rPr>
      <t>Trên 3 năm</t>
    </r>
  </si>
  <si>
    <r>
      <rPr>
        <sz val="7"/>
        <rFont val="Microsoft Sans Serif"/>
        <family val="2"/>
      </rPr>
      <t>Công Ty TNHH MTV Thắng Lâm</t>
    </r>
  </si>
  <si>
    <r>
      <rPr>
        <sz val="7"/>
        <rFont val="Microsoft Sans Serif"/>
        <family val="2"/>
      </rPr>
      <t>Công ty TNHH View Full Việt Nam</t>
    </r>
  </si>
  <si>
    <r>
      <rPr>
        <sz val="7"/>
        <rFont val="Microsoft Sans Serif"/>
        <family val="2"/>
      </rPr>
      <t>Cty TNHH Đức Thiện</t>
    </r>
  </si>
  <si>
    <r>
      <rPr>
        <sz val="7"/>
        <rFont val="Microsoft Sans Serif"/>
        <family val="2"/>
      </rPr>
      <t>Công ty TNHH Maeve Furn</t>
    </r>
  </si>
  <si>
    <r>
      <rPr>
        <sz val="7"/>
        <rFont val="Microsoft Sans Serif"/>
        <family val="2"/>
      </rPr>
      <t>Công ty TNHH Lập Đạt</t>
    </r>
  </si>
  <si>
    <r>
      <rPr>
        <sz val="7"/>
        <rFont val="Microsoft Sans Serif"/>
        <family val="2"/>
      </rPr>
      <t>Công ty TNHH Siêu Nghệ</t>
    </r>
  </si>
  <si>
    <r>
      <rPr>
        <b/>
        <sz val="9"/>
        <rFont val="Arial"/>
        <family val="2"/>
      </rPr>
      <t>Nợ trong hạn nhưng khó có khả năng thu hồi</t>
    </r>
  </si>
  <si>
    <r>
      <rPr>
        <sz val="9"/>
        <rFont val="Microsoft Sans Serif"/>
        <family val="2"/>
      </rPr>
      <t>-</t>
    </r>
  </si>
  <si>
    <r>
      <rPr>
        <b/>
        <sz val="7"/>
        <rFont val="Arial"/>
        <family val="2"/>
      </rPr>
      <t>-</t>
    </r>
  </si>
  <si>
    <r>
      <rPr>
        <b/>
        <sz val="6.5"/>
        <rFont val="Arial"/>
        <family val="2"/>
      </rPr>
      <t>-</t>
    </r>
  </si>
  <si>
    <r>
      <rPr>
        <sz val="9"/>
        <rFont val="Microsoft Sans Serif"/>
        <family val="2"/>
      </rPr>
      <t>Biến động trong năm của dự phòng cho các khoản nợ khó đòi như sau:</t>
    </r>
  </si>
  <si>
    <r>
      <rPr>
        <b/>
        <sz val="9"/>
        <rFont val="Arial"/>
        <family val="2"/>
      </rPr>
      <t>Năm 2021</t>
    </r>
  </si>
  <si>
    <r>
      <rPr>
        <b/>
        <sz val="9"/>
        <rFont val="Arial"/>
        <family val="2"/>
      </rPr>
      <t>Năm 2020</t>
    </r>
  </si>
  <si>
    <r>
      <rPr>
        <sz val="9"/>
        <rFont val="Microsoft Sans Serif"/>
        <family val="2"/>
      </rPr>
      <t>Số dư đầu năm</t>
    </r>
  </si>
  <si>
    <r>
      <rPr>
        <sz val="9"/>
        <rFont val="Microsoft Sans Serif"/>
        <family val="2"/>
      </rPr>
      <t>Tăng dự phòng trong năm</t>
    </r>
  </si>
  <si>
    <r>
      <rPr>
        <sz val="9"/>
        <rFont val="Microsoft Sans Serif"/>
        <family val="2"/>
      </rPr>
      <t>Hoàn nhập</t>
    </r>
  </si>
  <si>
    <r>
      <rPr>
        <sz val="9"/>
        <rFont val="Microsoft Sans Serif"/>
        <family val="2"/>
      </rPr>
      <t>Số dư cuối năm</t>
    </r>
  </si>
  <si>
    <t>01 - 02 năm</t>
  </si>
  <si>
    <t>02 - 03 năm</t>
  </si>
  <si>
    <t>Trên 3 năm</t>
  </si>
  <si>
    <t>Công ty TNHH nội thất gỗ Phú Đỉnh</t>
  </si>
  <si>
    <t>Công ty TNHH Eslite Home</t>
  </si>
  <si>
    <t>Công ty CP Poh Huat Việt Nam</t>
  </si>
  <si>
    <t>hết công nợ cũ - chỉ còn của năm 2022</t>
  </si>
  <si>
    <t>0000127</t>
  </si>
  <si>
    <t>DT Bán poly HD 127-27/02/21-Cty Siêu NGhệ</t>
  </si>
  <si>
    <t xml:space="preserve"> Thuế GTGT đầu ra HĐ: 0000127,27/02/21</t>
  </si>
  <si>
    <t>Công Ty Siêu Nghệ thanh toán tiền 1 phần HĐ 33</t>
  </si>
  <si>
    <t>0000161</t>
  </si>
  <si>
    <t>DT Bán poly trang trí HĐ 161-31/03/21-Cty Siêu Nghệ</t>
  </si>
  <si>
    <t xml:space="preserve"> Thuế GTGT đầu ra HĐ: 0000161,31/03/21</t>
  </si>
  <si>
    <t>Công Ty Siêu Nghệ Thanh toán phần còn lại hóa đơn 33 và 1 phần hóa đơn 66/t12 2020</t>
  </si>
  <si>
    <t>33+66</t>
  </si>
  <si>
    <t>Công Ty Siêu  Nghệ Thanh Toán Tiền HĐ 33+66</t>
  </si>
  <si>
    <t>0000187</t>
  </si>
  <si>
    <t>DT Bán poly trang trí HĐ 187-29/04/21-Cty Siêu NGhệ</t>
  </si>
  <si>
    <t xml:space="preserve"> Thuế GTGT đầu ra HĐ: 0000187,29/04/21</t>
  </si>
  <si>
    <t>0000224</t>
  </si>
  <si>
    <t>DT Bán poly trang trí HĐ 224-28/05/21-Cty Siêu NGhệ</t>
  </si>
  <si>
    <t xml:space="preserve"> Thuế GTGT đầu ra HĐ: 0000224,28/05/21</t>
  </si>
  <si>
    <t>0000085</t>
  </si>
  <si>
    <t>Công Ty Siêu NGhệ thanh toán tiền HĐ 85</t>
  </si>
  <si>
    <t>0000260</t>
  </si>
  <si>
    <t>DT Bán poly trang trí HĐ 260-30/06/21-Cty Siêu Nghệ</t>
  </si>
  <si>
    <t xml:space="preserve"> Thuế GTGT đầu ra HĐ: 0000260,30/06/21</t>
  </si>
  <si>
    <t>0000281</t>
  </si>
  <si>
    <t>DT Bán Poly trang trí-HĐ 281-27/08/21-Cty Siêu Nghệ</t>
  </si>
  <si>
    <t xml:space="preserve"> Thuế GTGT đầu ra HĐ: 0000281,27/08/21</t>
  </si>
  <si>
    <t>CỘNG PHÁT SINH</t>
  </si>
  <si>
    <t>SỐ DƯ CUỐI KỲ</t>
  </si>
  <si>
    <t>Diễn giải</t>
  </si>
  <si>
    <t>TK</t>
  </si>
  <si>
    <t>VND</t>
  </si>
  <si>
    <t>Số Hđ</t>
  </si>
  <si>
    <t>DU</t>
  </si>
  <si>
    <t>Nợ</t>
  </si>
  <si>
    <t>Có</t>
  </si>
  <si>
    <t>SỐ DƯ ĐẦU KỲ</t>
  </si>
  <si>
    <t>DT Bán poly-HD 85-26/01/21-Cty Siêu Nghệ</t>
  </si>
  <si>
    <t xml:space="preserve"> Thuế GTGT đầu ra HĐ: 0000085,26/01/21</t>
  </si>
  <si>
    <t>Cty Siêu Nghệ thanh toán tiền HD 585</t>
  </si>
  <si>
    <t>DT Bán poly trang trí-HD 40-01/12/20-Cty Eslite Home</t>
  </si>
  <si>
    <t xml:space="preserve"> Thuế GTGT đầu ra HĐ: 0000040,01/12/20</t>
  </si>
  <si>
    <t>Công Ty Eslite Home Thanh toán tiền HD 525</t>
  </si>
  <si>
    <t xml:space="preserve">Công Ty Eslite Home thanh toán tiền </t>
  </si>
  <si>
    <t>DT bán poly trang trí-HD 74-30/12/20-Cty Eslite Home</t>
  </si>
  <si>
    <t xml:space="preserve"> Thuế GTGT đầu ra HĐ: 0000074,30/12/20</t>
  </si>
  <si>
    <t>khoản phí ngân hàng</t>
  </si>
  <si>
    <t xml:space="preserve">Bút toán điều chỉnh chênh lêch thanh toán </t>
  </si>
  <si>
    <t>711</t>
  </si>
  <si>
    <t>Công Ty Eslite Home thanh toán tiền HD 40</t>
  </si>
  <si>
    <t>0000107</t>
  </si>
  <si>
    <t>DT Bán poly-HD 107-30/01/21-Cty ESLITE HOME</t>
  </si>
  <si>
    <t xml:space="preserve"> Thuế GTGT đầu ra HĐ: 0000107,30/01/21</t>
  </si>
  <si>
    <t>Công Ty Eslite Home thanh toán tiền hàng</t>
  </si>
  <si>
    <t>0000275</t>
  </si>
  <si>
    <t>DT Bán Poly trang trí-HĐ 275-25/08/21-Cty Eslite Home</t>
  </si>
  <si>
    <t xml:space="preserve"> Thuế GTGT đầu ra HĐ: 0000275,25/08/21</t>
  </si>
  <si>
    <t>điều chỉnh chênh lệch công nợ</t>
  </si>
  <si>
    <t>811</t>
  </si>
  <si>
    <t>còn dư nợ 2021 chưa thanh toán</t>
  </si>
  <si>
    <t>còn dư nợ 2021+2022</t>
  </si>
  <si>
    <t>công nợ tồn dư của 2017</t>
  </si>
  <si>
    <t>công nợ 2019</t>
  </si>
  <si>
    <t>Poly trang trí-Công ty TNHH Sản xuất TM B H-966</t>
  </si>
  <si>
    <t>VAT bán ra - Poly trang trí-Công ty TNHH Sản xuất TM B H-966</t>
  </si>
  <si>
    <t>Công ty TNHH Sản xuất TM B H thanh toán  50% HD-966</t>
  </si>
  <si>
    <t>Số phát sinh trong kỳ</t>
  </si>
  <si>
    <t>Số dư cuối kỳ</t>
  </si>
  <si>
    <t xml:space="preserve">Đặt cọc trước tiền làm viềng </t>
  </si>
  <si>
    <t>Poly trang trí-Công Ty TNHH TM Tam Hợp Phát-12</t>
  </si>
  <si>
    <t>VAT bán ra - Poly trang trí-Công Ty TNHH TM Tam Hợp Phát-12</t>
  </si>
  <si>
    <t xml:space="preserve">Công ty TNHH Tam Hợp Phát đặt cọc tiền hàng </t>
  </si>
  <si>
    <t>Poly trang trí-Công Ty TNHH TM Tam Hợp Phát-65</t>
  </si>
  <si>
    <t>VAT đầu ra-Poly trang trí-Công Ty TNHH TM Tam Hợp Phát-65</t>
  </si>
  <si>
    <t xml:space="preserve">Công ty TNHH Tam Hợp Phát thanh toán tiền hàng </t>
  </si>
  <si>
    <t>Poly trang trí-Công Ty TNHH TM Tam Hợp Phát-104</t>
  </si>
  <si>
    <t>VAT đầu ra-Poly trang trí-Công Ty TNHH TM Tam Hợp Phát-104</t>
  </si>
  <si>
    <t>Poly trang trí-Công Ty TNHH TM Tam Hợp Phát-138</t>
  </si>
  <si>
    <t>VAT đầu ra-Poly trang trí-Công Ty TNHH TM Tam Hợp Phát-138</t>
  </si>
  <si>
    <t>Poly trang trí-Công Ty TNHH TM Tam Hợp Phát-176</t>
  </si>
  <si>
    <t>VAT đầu ra-Poly trang trí-Công Ty TNHH TM Tam Hợp Phát-176</t>
  </si>
  <si>
    <t>Cty Tam Hợp Phát thanh toán 1 phần HD 65</t>
  </si>
  <si>
    <t>Công ty tam hợp phát thanh toán tiền HD 65</t>
  </si>
  <si>
    <t>Công Ty Tam Hợp Phát thanh toán tiền</t>
  </si>
  <si>
    <t>Thu tiền hàng Cty Tam Hợp Phát</t>
  </si>
  <si>
    <t>1111</t>
  </si>
  <si>
    <t xml:space="preserve">Công Ty Tam Hợp Phát thanh toán tiền </t>
  </si>
  <si>
    <t>Cty Tam Hợp Phát thanh toán tiền</t>
  </si>
  <si>
    <t>Thu tiền hàng Cty Tam hợp Phát</t>
  </si>
  <si>
    <t>dư nợ chưa thanh tón hết</t>
  </si>
  <si>
    <t>đã thu hết 2022</t>
  </si>
  <si>
    <t>Poly trang trí-Công Ty TNHH Một Thành Viên Thắng Lâm-0000942</t>
  </si>
  <si>
    <t>VAT đầu ra - Poly trang trí-Công Ty TNHH Một Thành Viên Thắng Lâm-0000942</t>
  </si>
  <si>
    <t>Poly trang trí-Công Ty TNHH Một Thành Viên Thắng Lâm-6</t>
  </si>
  <si>
    <t>VAT bán ra - Poly trang trí-Công Ty TNHH Một Thành Viên Thắng Lâm-6</t>
  </si>
  <si>
    <t>0000076</t>
  </si>
  <si>
    <t>DT Bán poly-HD 76-08/01/21-Cty Lập Đạt</t>
  </si>
  <si>
    <t xml:space="preserve"> Thuế GTGT đầu ra HĐ: 0000076,08/01/21</t>
  </si>
  <si>
    <t>công nợ 2021</t>
  </si>
  <si>
    <t>Chi phí dự phòng</t>
  </si>
  <si>
    <t>331TLONG</t>
  </si>
  <si>
    <t>CÔNG TY TNHH SẢN XUẤT THƯƠNG MẠI TRƯỜNG THÂM</t>
  </si>
  <si>
    <t>CÔNG TY TNHH THÂM LONG</t>
  </si>
  <si>
    <t>Số phát sinh trong kỳ 本期發生</t>
  </si>
  <si>
    <t>341TP</t>
  </si>
  <si>
    <t>341TPB</t>
  </si>
  <si>
    <t>Các khoản đi vay NH TP BANK (xe Carnival)</t>
  </si>
  <si>
    <t>Các khoản đi vay NH TP BANK (xe Mazda)</t>
  </si>
  <si>
    <t>CÔNG TY TNHH VĨNH THÀNH ENTERPRISE</t>
  </si>
  <si>
    <t>131VT</t>
  </si>
  <si>
    <t>NVL chính</t>
  </si>
  <si>
    <t>NVL chính phụ</t>
  </si>
  <si>
    <t>NĂM 
2024年</t>
  </si>
  <si>
    <t>331HTRU</t>
  </si>
  <si>
    <t>CÔNG TY TNHH MỘT THÀNH VIÊN HỢP TRỤ</t>
  </si>
  <si>
    <t>5.</t>
  </si>
  <si>
    <t>6a.</t>
  </si>
  <si>
    <t>8.</t>
  </si>
  <si>
    <t>11.</t>
  </si>
  <si>
    <t>12.</t>
  </si>
  <si>
    <t>13.</t>
  </si>
  <si>
    <t>14a.</t>
  </si>
  <si>
    <t>16.</t>
  </si>
  <si>
    <t>19.</t>
  </si>
  <si>
    <t>21.</t>
  </si>
  <si>
    <t>22.</t>
  </si>
  <si>
    <t>23.</t>
  </si>
  <si>
    <t>24.</t>
  </si>
  <si>
    <t>25.</t>
  </si>
  <si>
    <t>26.</t>
  </si>
  <si>
    <t>131THAM</t>
  </si>
  <si>
    <t>Chi phí trả trước ngắn hạn (dưới 12 tháng)</t>
  </si>
  <si>
    <t>Giám Đốc</t>
  </si>
  <si>
    <t xml:space="preserve">    HSIEH, YAO-YI 
</t>
  </si>
  <si>
    <t xml:space="preserve"> HSIEH, YAO-YI </t>
  </si>
  <si>
    <t>進項增值稅-商品.勞務</t>
  </si>
  <si>
    <t>成品入倉</t>
  </si>
  <si>
    <t>商品</t>
  </si>
  <si>
    <t>機械與設備</t>
  </si>
  <si>
    <t>備抵壞帳</t>
  </si>
  <si>
    <t>備抵庫存跌價</t>
  </si>
  <si>
    <t>費用,例費及其他應付費用</t>
  </si>
  <si>
    <t>應付員工</t>
  </si>
  <si>
    <t>社會保險費</t>
  </si>
  <si>
    <t>醫療保險費</t>
  </si>
  <si>
    <t>失業保險費</t>
  </si>
  <si>
    <t>各類借款</t>
  </si>
  <si>
    <t>外幣重估的匯率差異</t>
  </si>
  <si>
    <t>前期稅後損益</t>
  </si>
  <si>
    <t>本期稅後損益</t>
  </si>
  <si>
    <t>生產成本</t>
  </si>
  <si>
    <t>銷售成本</t>
  </si>
  <si>
    <t>各項準備金</t>
  </si>
  <si>
    <t>本期損益</t>
  </si>
  <si>
    <t>不合理的成本</t>
  </si>
  <si>
    <t>預付費用(超过12个月)</t>
  </si>
  <si>
    <t>預付費用(少于12个月)</t>
  </si>
  <si>
    <t>Doanh thu bán hàng và cung cấp dịch vụ</t>
  </si>
  <si>
    <t>Các khoản giảm trừ doanh thu</t>
  </si>
  <si>
    <t>Doanh thu thuần về bán hàng và cung cấp dịch vụ (10 = 01 - 02)</t>
  </si>
  <si>
    <t>Lợi nhuận gộp về bán hàng và cung cấp dịch vụ  (20 = 10 - 11)</t>
  </si>
  <si>
    <t>Chi phí bán hàng</t>
  </si>
  <si>
    <t>Chi phí quản lý doanh nghiệp</t>
  </si>
  <si>
    <t>Lợi nhuận thuần từ hoạt động kinh doanh
  (30 = 20 + (21 - 22) - (24 + 25))</t>
  </si>
  <si>
    <t>Lợi nhuận khác (40 = 31 - 32)</t>
  </si>
  <si>
    <t>Tổng lợi nhuận kế toán trước thuế (50 = 30 + 40)</t>
  </si>
  <si>
    <t>Chi phí thuế thu nhập doanh nghiệp hiện hành</t>
  </si>
  <si>
    <t>Lợi nhuận sau thuế thu nhập doanh nghiệp  (60 = 50 - 51 - 52)</t>
  </si>
  <si>
    <t>1. 銷貨及提供勞務營收</t>
  </si>
  <si>
    <t>2. 各項扣減帳款</t>
  </si>
  <si>
    <t>3. 銷貨及提供勞務淨額 (10 = 01 - 02)</t>
  </si>
  <si>
    <t>4. 銷貨成本</t>
  </si>
  <si>
    <t>5. 銷貨及提供勞務毛利 (20 = 10 - 11)</t>
  </si>
  <si>
    <t>6. 非營業收益</t>
  </si>
  <si>
    <t>7. 非營業費用</t>
  </si>
  <si>
    <t xml:space="preserve">    - 其中：利息費用</t>
  </si>
  <si>
    <t>8. 銷貨費用</t>
  </si>
  <si>
    <t>9. 營業管理費用</t>
  </si>
  <si>
    <t>10. 營業利潤[30=20+(21-22)-(24+25)]</t>
  </si>
  <si>
    <t>11. 其他收益</t>
  </si>
  <si>
    <t>12. 其他費用</t>
  </si>
  <si>
    <t>13. 其他利潤 (40 = 31 - 32)</t>
  </si>
  <si>
    <t>14.  稅前總利潤(50 = 30 + 40)</t>
  </si>
  <si>
    <t>15. 現行企業營所稅費用</t>
  </si>
  <si>
    <t>16. 遞延企業營所稅費用</t>
  </si>
  <si>
    <t>17. 稅後利潤 (60=50-51-52)</t>
  </si>
  <si>
    <t xml:space="preserve">  1. Tiền</t>
  </si>
  <si>
    <t xml:space="preserve">  2.  Các khoản tương đương tiền</t>
  </si>
  <si>
    <t xml:space="preserve">  2. Dự phòng giảm giá đầu tư ngắn hạn</t>
  </si>
  <si>
    <t xml:space="preserve">  1. Phải thu khách hàng</t>
  </si>
  <si>
    <t xml:space="preserve">  2. Trả trước cho người bán</t>
  </si>
  <si>
    <t xml:space="preserve">  3. Phải thu nội bộ ngắn hạn</t>
  </si>
  <si>
    <t>BÁO CÁO KẾT QUẢ HOẠT ĐỘNG SẢN XUẤT KINH DOANH 损益表</t>
  </si>
  <si>
    <t>BẢNG CÂN ĐỐI KẾ TOÁN -资产负债表</t>
  </si>
  <si>
    <t xml:space="preserve">  1. 證券投資</t>
  </si>
  <si>
    <t xml:space="preserve">  1. 應收帳款</t>
  </si>
  <si>
    <t xml:space="preserve">  5. 應收短期借款</t>
  </si>
  <si>
    <t xml:space="preserve">  6. 其他短期應收款</t>
  </si>
  <si>
    <t xml:space="preserve"> 7. 待處理資產</t>
  </si>
  <si>
    <t xml:space="preserve">  8. 備抵呆帳</t>
  </si>
  <si>
    <t>短期預付款</t>
  </si>
  <si>
    <t>政府債券交易</t>
  </si>
  <si>
    <t>其他短期資產</t>
  </si>
  <si>
    <t xml:space="preserve">    長期預付貨款</t>
  </si>
  <si>
    <t xml:space="preserve">  2. 直屬單位的經營資金</t>
  </si>
  <si>
    <t xml:space="preserve">  3. 長期應收內部</t>
  </si>
  <si>
    <t xml:space="preserve">   應收長期借款</t>
  </si>
  <si>
    <t xml:space="preserve">  4. 其他長期應收</t>
  </si>
  <si>
    <t xml:space="preserve">  5. 長期應收壞帳備抵</t>
  </si>
  <si>
    <t>IV. 長期在建資產</t>
  </si>
  <si>
    <t xml:space="preserve">  1. 長期預付費用</t>
  </si>
  <si>
    <t>V. 長期金融投資</t>
  </si>
  <si>
    <t xml:space="preserve">  5.長期到期性投資</t>
  </si>
  <si>
    <t xml:space="preserve"> VI. 其他長期資產</t>
  </si>
  <si>
    <t xml:space="preserve">  4. 其他長期資產</t>
  </si>
  <si>
    <t xml:space="preserve">  2.預收貨款</t>
  </si>
  <si>
    <t xml:space="preserve">  8. 未實現營收</t>
  </si>
  <si>
    <t xml:space="preserve">  9. 其他短期負債</t>
  </si>
  <si>
    <t xml:space="preserve">  2. 長期預收貨款</t>
  </si>
  <si>
    <t xml:space="preserve">  3. 長期預提費用</t>
  </si>
  <si>
    <t xml:space="preserve">  4. 應付內部營運資金</t>
  </si>
  <si>
    <t xml:space="preserve">  5. 長期應付內部</t>
  </si>
  <si>
    <t xml:space="preserve">  6. 未實現營收</t>
  </si>
  <si>
    <t xml:space="preserve">  7. 其他長期應付</t>
  </si>
  <si>
    <t xml:space="preserve">  8. 長期借款及融資租賃負債</t>
  </si>
  <si>
    <t xml:space="preserve">  9. 可轉換債券</t>
  </si>
  <si>
    <t xml:space="preserve">  3. 可轉換債券選擇權</t>
  </si>
  <si>
    <t xml:space="preserve">  4. 業主其他資金</t>
  </si>
  <si>
    <t xml:space="preserve">  5. 庫存股票</t>
  </si>
  <si>
    <t xml:space="preserve">  6. 資產重估價差額</t>
  </si>
  <si>
    <t xml:space="preserve">  7. 匯兌率差額</t>
  </si>
  <si>
    <t xml:space="preserve">  8. 投資發展基金</t>
  </si>
  <si>
    <t xml:space="preserve">  9. 重整企業基金</t>
  </si>
  <si>
    <t xml:space="preserve">  10. 屬於業主權益之其他基金</t>
  </si>
  <si>
    <t xml:space="preserve">  11. 未分配稅後利潤</t>
  </si>
  <si>
    <t xml:space="preserve">  12. 基本建設基金</t>
  </si>
  <si>
    <t xml:space="preserve">    - 有表決權普通股</t>
  </si>
  <si>
    <t xml:space="preserve">    - 優先股</t>
  </si>
  <si>
    <t>資產</t>
  </si>
  <si>
    <t>業主權益及負債</t>
  </si>
  <si>
    <t>Tên tài khoản tiếng Hoa
中文账户名</t>
  </si>
  <si>
    <t>CTY TNHH DING XIN INDUSTRIAL (CTY TNHH HUA XIN CŨ)</t>
  </si>
  <si>
    <t>331BL</t>
  </si>
  <si>
    <t>131YC</t>
  </si>
  <si>
    <t>Tổng Công Ty Cổ Phần Bảo Hiểm Bảo Long - Công Ty Bảo Hiểm Bảo Long Bình Dương</t>
  </si>
  <si>
    <t>CÔNG TY TNHH NỘI THẤT YOU CHUANG VIỆT NAM</t>
  </si>
  <si>
    <t>18.</t>
  </si>
  <si>
    <t>20.</t>
  </si>
  <si>
    <t>7.</t>
  </si>
  <si>
    <t>9a.</t>
  </si>
  <si>
    <t>10.</t>
  </si>
  <si>
    <t>9b.</t>
  </si>
  <si>
    <t>15a.</t>
  </si>
  <si>
    <t>15b.</t>
  </si>
  <si>
    <t>BD, ngày 31 tháng 01 năm 2025</t>
  </si>
  <si>
    <t>(Từ 01/01/2025 Đến 31/01/2025)</t>
  </si>
  <si>
    <t>BD, Ngày 31 tháng 01 năm 2025</t>
  </si>
  <si>
    <t>NĂM 
2025年</t>
  </si>
  <si>
    <t>331HB</t>
  </si>
  <si>
    <t>CÔNG TY TNHH CÔNG NGHỆ PHÁT TRIỂN HOÀN BÍCH</t>
  </si>
  <si>
    <t>地址/Địa Chỉ : 30KL, Tổ 1, Khu phố Khánh Long, Phường Tân Khánh, TP Hồ Chí Minh, Việt Nam</t>
  </si>
  <si>
    <t>131ARTCRE</t>
  </si>
  <si>
    <t>CTY TNHH INTERNATIONAL ART CREATION</t>
  </si>
  <si>
    <t>131THINH</t>
  </si>
  <si>
    <t>CTY TNHH CƯỜNG THỊNH</t>
  </si>
  <si>
    <t>131DG</t>
  </si>
  <si>
    <t>CTY TNHH ĐỒ GỖ GIA DỤNG DINH GIA VN</t>
  </si>
  <si>
    <t>131PHONG</t>
  </si>
  <si>
    <t>CTY TNHH KIM PHONG</t>
  </si>
  <si>
    <t>131LODE</t>
  </si>
  <si>
    <t>CTY TNHH LODE STAR</t>
  </si>
  <si>
    <t>131TIEN</t>
  </si>
  <si>
    <t>CTY CP SX KD XNK MINH TIẾN</t>
  </si>
  <si>
    <t>131HANG</t>
  </si>
  <si>
    <t>CTY TNHH WAN LI HANG (VN)</t>
  </si>
  <si>
    <t>131GHT</t>
  </si>
  <si>
    <t>CÔNG TY TNHH CHẾ BIẾN GỖ HIỆP THÀNH</t>
  </si>
  <si>
    <t>131CBG</t>
  </si>
  <si>
    <t>CÔNG TY TNHH CBG HOÀNG NGUYÊN</t>
  </si>
  <si>
    <t>131VLP</t>
  </si>
  <si>
    <t>CÔNG TY TNHH THƯƠNG MẠI SX GỖ VIỆT LONG PHÁT</t>
  </si>
  <si>
    <t>131BĐH</t>
  </si>
  <si>
    <t>CÔNG TY TNHH SẢN XUẤT THƯƠNG MẠI BẢO ĐỆ HÂN</t>
  </si>
  <si>
    <t>131WOODPARK</t>
  </si>
  <si>
    <t>CÔNG TY TNHH WOODPARK FURNITURE VIỆT NAM</t>
  </si>
  <si>
    <t>331HOAI</t>
  </si>
  <si>
    <t>CTY CỔ PHẦN Ô TÔ GIANG HOÀI</t>
  </si>
  <si>
    <t>331HAI</t>
  </si>
  <si>
    <t>CTY TNHH THACO AUTO BÌNH DƯƠNG (CTY TRƯỜNG HẢI-BD CŨ)</t>
  </si>
  <si>
    <t>331TECH</t>
  </si>
  <si>
    <t>331KHQ</t>
  </si>
  <si>
    <t>CÔNG TY TNHH KIM HÀO QUÁN</t>
  </si>
  <si>
    <t>331AHP</t>
  </si>
  <si>
    <t>331TT</t>
  </si>
  <si>
    <t>331TOYOTA</t>
  </si>
  <si>
    <t>331VCN</t>
  </si>
  <si>
    <t>331HPI</t>
  </si>
  <si>
    <t>CÔNG TY TNHH MỘT THÀNH VIÊN THƯƠNG MẠI DỊCH VỤ ÁNH HOÀNG PHÁT</t>
  </si>
  <si>
    <t>CÔNG TY TNHH KINH DOANH ĐỒ GỖ TẤN TÀI</t>
  </si>
  <si>
    <t>CÔNG TY TNHH TOYOTA THUẬN AN</t>
  </si>
  <si>
    <t>CHI NHÁNH CÔNG TY TNHH VŨ CHI NAM - TRUNG TÂM ĐĂNG KIỂM XE CƠ GIỚI 61-09D</t>
  </si>
  <si>
    <t>CÔNG TY TNHH  HÀO PHONG I</t>
  </si>
  <si>
    <t>331NĐT</t>
  </si>
  <si>
    <t>331HUNG</t>
  </si>
  <si>
    <t>331LP</t>
  </si>
  <si>
    <t>331TLH</t>
  </si>
  <si>
    <t>331MOBI</t>
  </si>
  <si>
    <t>331BMBD</t>
  </si>
  <si>
    <t>131NTKT</t>
  </si>
  <si>
    <t>331CT</t>
  </si>
  <si>
    <t>331PVI</t>
  </si>
  <si>
    <t>331KL</t>
  </si>
  <si>
    <t>Công Ty Bảo Minh Bình Dương</t>
  </si>
  <si>
    <t>CÔNG TY DỊCH VỤ MOBIFONE KHU VỰC 8</t>
  </si>
  <si>
    <t>CÔNG TY TNHH THƯƠNG MẠI - DỊCH VỤ CHUYÊN THỊNH</t>
  </si>
  <si>
    <t>TỔNG CÔNG TY BẢO HIỂM PVI - CHI NHÁNH BẢO HIỂM PVI ĐÔNG SÀI GÒN</t>
  </si>
  <si>
    <t>CÔNG TY TNHH THƯƠNG MẠI DỊCH VỤ SẢN XUẤT KỲ LÂN</t>
  </si>
  <si>
    <t>CÔNG TY TNHH NGỌC THẠCH KHẢI THÀNH</t>
  </si>
  <si>
    <t>CÔNG TY TNHH SX TM DV NAM ĐẠI THẮNG</t>
  </si>
  <si>
    <t>CÔNG TY TNHH MỘT THÀNH VIÊN THANH LONG HOÀNG</t>
  </si>
  <si>
    <t>331TĐS</t>
  </si>
  <si>
    <t>331KMP</t>
  </si>
  <si>
    <t>131GHL</t>
  </si>
  <si>
    <t>131SONNY</t>
  </si>
  <si>
    <t>131HPHONG</t>
  </si>
  <si>
    <t>331KTHANH</t>
  </si>
  <si>
    <t>331PETSG</t>
  </si>
  <si>
    <t>331YUE</t>
  </si>
  <si>
    <t>131SHUN</t>
  </si>
  <si>
    <t>131KTH</t>
  </si>
  <si>
    <t>CTY TNHH MỸ NGHỆ KIM MINH PHÁT</t>
  </si>
  <si>
    <t>CÔNG TY BẢO HIỂM BƯU ĐIỆN THỜI ĐẠI SỐ</t>
  </si>
  <si>
    <t>CÔNG TY TNHH MTV PETROLIMEX SÀI GÒN</t>
  </si>
  <si>
    <t>CÔNG TY TNHH XIN SHUN YUE</t>
  </si>
  <si>
    <t>CÔNG TY TNHH HÀO PHONG I</t>
  </si>
  <si>
    <t>CÔNG TY TNHH NỘI THẤT GỖ HIẾU LONG</t>
  </si>
  <si>
    <t>CÔNG TY TNHH SONNY INDUSTRIAL (VIETNAM)</t>
  </si>
  <si>
    <t>CÔNG TY TNHH MỘT THÀNH VIÊN THƯƠNG MẠI DỊCH VỤ SẢN XUẤT KIM THÀNH HƯNG</t>
  </si>
  <si>
    <t>CÔNG TY TNHH TMDV SX LINH PHÁT</t>
  </si>
  <si>
    <t>CÔNG TY TNHH MTV THẠCH CAO VINH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</si>
</sst>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8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₫_-;\-* #,##0\ _₫_-;_-* &quot;-&quot;\ _₫_-;_-@_-"/>
    <numFmt numFmtId="167" formatCode="_-* #,##0.00\ _₫_-;\-* #,##0.00\ _₫_-;_-* &quot;-&quot;??\ _₫_-;_-@_-"/>
    <numFmt numFmtId="168" formatCode="&quot;£&quot;#,##0;[Red]\-&quot;£&quot;#,##0"/>
    <numFmt numFmtId="169" formatCode="&quot;£&quot;#,##0.00;\-&quot;£&quot;#,##0.00"/>
    <numFmt numFmtId="170" formatCode="&quot;£&quot;#,##0.00;[Red]\-&quot;£&quot;#,##0.00"/>
    <numFmt numFmtId="171" formatCode="_-&quot;£&quot;* #,##0_-;\-&quot;£&quot;* #,##0_-;_-&quot;£&quot;* &quot;-&quot;_-;_-@_-"/>
    <numFmt numFmtId="172" formatCode="_-&quot;£&quot;* #,##0.00_-;\-&quot;£&quot;* #,##0.00_-;_-&quot;£&quot;* &quot;-&quot;??_-;_-@_-"/>
    <numFmt numFmtId="173" formatCode="_ * #,##0.00_ ;_ * \-#,##0.00_ ;_ * &quot;-&quot;??_ ;_ @_ "/>
    <numFmt numFmtId="174" formatCode="_ * #,##0_ ;_ * \-#,##0_ ;_ * &quot;-&quot;??_ ;_ @_ "/>
    <numFmt numFmtId="175" formatCode="_-* #,##0_-;\-* #,##0_-;_-* &quot;-&quot;??_-;_-@_-"/>
    <numFmt numFmtId="176" formatCode="_(* #,##0_);_(* \(#,##0\);_(* &quot;-&quot;??_);_(@_)"/>
    <numFmt numFmtId="177" formatCode="0_);\(0\)"/>
    <numFmt numFmtId="179" formatCode="_-&quot;￥&quot;* #,##0_-;\-&quot;￥&quot;* #,##0_-;_-&quot;￥&quot;* &quot;-&quot;_-;_-@_-"/>
    <numFmt numFmtId="180" formatCode="&quot;\&quot;#,##0.00;[Red]&quot;\&quot;&quot;\&quot;&quot;\&quot;&quot;\&quot;&quot;\&quot;&quot;\&quot;\-#,##0.00"/>
    <numFmt numFmtId="181" formatCode="_-* #,##0\ _F_-;\-* #,##0\ _F_-;_-* &quot;-&quot;\ _F_-;_-@_-"/>
    <numFmt numFmtId="182" formatCode="&quot;\&quot;#,##0;[Red]&quot;\&quot;&quot;\&quot;\-#,##0"/>
    <numFmt numFmtId="183" formatCode="_(&quot;£&quot;* #,##0.0000_);_(&quot;£&quot;* \(#,##0.0000\);_(&quot;£&quot;* &quot;-&quot;??_);_(@_)"/>
    <numFmt numFmtId="184" formatCode="_-* #,##0\ &quot;F&quot;_-;\-* #,##0\ &quot;F&quot;_-;_-* &quot;-&quot;\ &quot;F&quot;_-;_-@_-"/>
    <numFmt numFmtId="185" formatCode="_-* #,##0\ &quot;£&quot;_-;\-* #,##0\ &quot;£&quot;_-;_-* &quot;-&quot;\ &quot;£&quot;_-;_-@_-"/>
    <numFmt numFmtId="186" formatCode="_-&quot;ñ&quot;* #,##0_-;\-&quot;ñ&quot;* #,##0_-;_-&quot;ñ&quot;* &quot;-&quot;_-;_-@_-"/>
    <numFmt numFmtId="187" formatCode="0.0000"/>
    <numFmt numFmtId="188" formatCode="_-* #,##0.00\ _€_-;\-* #,##0.00\ _€_-;_-* &quot;-&quot;??\ _€_-;_-@_-"/>
    <numFmt numFmtId="189" formatCode="_-* #,##0.00\ _V_N_D_-;\-* #,##0.00\ _V_N_D_-;_-* &quot;-&quot;??\ _V_N_D_-;_-@_-"/>
    <numFmt numFmtId="190" formatCode="_-* #,##0.00\ _F_-;\-* #,##0.00\ _F_-;_-* &quot;-&quot;??\ _F_-;_-@_-"/>
    <numFmt numFmtId="191" formatCode="0.0"/>
    <numFmt numFmtId="192" formatCode="_-* #,##0.00\ _ñ_-;\-* #,##0.00\ _ñ_-;_-* &quot;-&quot;??\ _ñ_-;_-@_-"/>
    <numFmt numFmtId="193" formatCode="_(&quot;£&quot;\ * #,##0_);_(&quot;£&quot;\ * \(#,##0\);_(&quot;£&quot;\ * &quot;-&quot;_);_(@_)"/>
    <numFmt numFmtId="194" formatCode="_-* #,##0\ &quot;ñ&quot;_-;\-* #,##0\ &quot;ñ&quot;_-;_-* &quot;-&quot;\ &quot;ñ&quot;_-;_-@_-"/>
    <numFmt numFmtId="195" formatCode="_-* #,##0\ _€_-;\-* #,##0\ _€_-;_-* &quot;-&quot;\ _€_-;_-@_-"/>
    <numFmt numFmtId="196" formatCode="_-* #,##0\ _V_N_D_-;\-* #,##0\ _V_N_D_-;_-* &quot;-&quot;\ _V_N_D_-;_-@_-"/>
    <numFmt numFmtId="197" formatCode="_-* #,##0\ _$_-;\-* #,##0\ _$_-;_-* &quot;-&quot;\ _$_-;_-@_-"/>
    <numFmt numFmtId="198" formatCode="0.0_ ;\-0.0\ "/>
    <numFmt numFmtId="199" formatCode="_-* #,##0\ _ñ_-;\-* #,##0\ _ñ_-;_-* &quot;-&quot;\ _ñ_-;_-@_-"/>
    <numFmt numFmtId="200" formatCode="&quot;SFr.&quot;\ #,##0.00;[Red]&quot;SFr.&quot;\ \-#,##0.00"/>
    <numFmt numFmtId="201" formatCode="&quot;SFr.&quot;\ #,##0.00;&quot;SFr.&quot;\ \-#,##0.00"/>
    <numFmt numFmtId="202" formatCode="_ &quot;SFr.&quot;\ * #,##0_ ;_ &quot;SFr.&quot;\ * \-#,##0_ ;_ &quot;SFr.&quot;\ * &quot;-&quot;_ ;_ @_ "/>
    <numFmt numFmtId="203" formatCode="_ * #,##0_ ;_ * \-#,##0_ ;_ * &quot;-&quot;_ ;_ @_ "/>
    <numFmt numFmtId="204" formatCode="&quot;S$&quot;#,##0.00;[Red]\-&quot;S$&quot;#,##0.00"/>
    <numFmt numFmtId="205" formatCode="mmm"/>
    <numFmt numFmtId="206" formatCode="0.0%"/>
    <numFmt numFmtId="207" formatCode="&quot;￥&quot;#,##0.00"/>
    <numFmt numFmtId="208" formatCode="_-* #,##0.00\ &quot;F&quot;_-;\-* #,##0.00\ &quot;F&quot;_-;_-* &quot;-&quot;??\ &quot;F&quot;_-;_-@_-"/>
    <numFmt numFmtId="209" formatCode="_ * #,##0.00_)\ _V_N_D_ ;_ * \(#,##0.00\)\ _V_N_D_ ;_ * &quot;-&quot;??_)\ _V_N_D_ ;_ @_ "/>
    <numFmt numFmtId="210" formatCode="_ &quot;R&quot;\ * #,##0_ ;_ &quot;R&quot;\ * \-#,##0_ ;_ &quot;R&quot;\ * &quot;-&quot;_ ;_ @_ "/>
    <numFmt numFmtId="211" formatCode="\$#,##0\ ;\(\$#,##0\)"/>
    <numFmt numFmtId="212" formatCode="_(* #,##0.000000_);_(* \(#,##0.000000\);_(* &quot;-&quot;??_);_(@_)"/>
    <numFmt numFmtId="213" formatCode="#,##0.0_);\(#,##0.0\)"/>
    <numFmt numFmtId="214" formatCode="_-&quot;￥&quot;* #,##0.00_-;\-&quot;￥&quot;* #,##0.00_-;_-&quot;￥&quot;* &quot;-&quot;??_-;_-@_-"/>
    <numFmt numFmtId="215" formatCode="0.00_)"/>
    <numFmt numFmtId="216" formatCode="0_)"/>
    <numFmt numFmtId="217" formatCode="#,##0\ &quot;zł&quot;;\-#,##0\ &quot;zł&quot;"/>
    <numFmt numFmtId="218" formatCode="d"/>
    <numFmt numFmtId="219" formatCode="#,##0.00\ &quot;F&quot;;[Red]\-#,##0.00\ &quot;F&quot;"/>
    <numFmt numFmtId="220" formatCode="0.0000%"/>
    <numFmt numFmtId="221" formatCode="#,##0.00\ &quot;F&quot;;\-#,##0.00\ &quot;F&quot;"/>
    <numFmt numFmtId="222" formatCode="_ &quot;￥&quot;* #,##0_ ;_ &quot;￥&quot;* \-#,##0_ ;_ &quot;￥&quot;* &quot;-&quot;_ ;_ @_ "/>
    <numFmt numFmtId="223" formatCode="#,##0\ &quot;F&quot;;[Red]\-#,##0\ &quot;F&quot;"/>
    <numFmt numFmtId="224" formatCode="_ &quot;￥&quot;* #,##0.00_ ;_ &quot;￥&quot;* \-#,##0.00_ ;_ &quot;￥&quot;* &quot;-&quot;??_ ;_ @_ "/>
    <numFmt numFmtId="225" formatCode="dd/mm/yy"/>
    <numFmt numFmtId="226" formatCode="_-&quot;$&quot;* #,##0_-;\-&quot;$&quot;* #,##0_-;_-&quot;$&quot;* &quot;-&quot;_-;_-@_-"/>
    <numFmt numFmtId="227" formatCode="_-&quot;$&quot;* #,##0.00_-;\-&quot;$&quot;* #,##0.00_-;_-&quot;$&quot;* &quot;-&quot;??_-;_-@_-"/>
    <numFmt numFmtId="228" formatCode="&quot;\&quot;#,##0;[Red]&quot;\&quot;\-#,##0"/>
    <numFmt numFmtId="229" formatCode="&quot;\&quot;#,##0.00;[Red]&quot;\&quot;\-#,##0.00"/>
    <numFmt numFmtId="230" formatCode="_(* #,##0.0000_);_(* \(#,##0.0000\);_(* &quot;-&quot;??_);_(@_)"/>
    <numFmt numFmtId="231" formatCode="#,##0\ &quot;$&quot;_);[Red]\(#,##0\ &quot;$&quot;\)"/>
    <numFmt numFmtId="232" formatCode="&quot;$&quot;###,0&quot;.&quot;00_);[Red]\(&quot;$&quot;###,0&quot;.&quot;00\)"/>
    <numFmt numFmtId="233" formatCode="#,##0.00[$€];[Red]\-#,##0.00[$€]"/>
    <numFmt numFmtId="234" formatCode="0.0%;[Red]\(0.0%\)"/>
    <numFmt numFmtId="235" formatCode="0.0%;\(0.0%\)"/>
    <numFmt numFmtId="236" formatCode="#,##0.000_);\(#,##0.000\)"/>
    <numFmt numFmtId="237" formatCode="_ * #,##0.00_)&quot;£&quot;_ ;_ * \(#,##0.00\)&quot;£&quot;_ ;_ * &quot;-&quot;??_)&quot;£&quot;_ ;_ @_ "/>
    <numFmt numFmtId="238" formatCode="#,##0\ &quot;F&quot;;\-#,##0\ &quot;F&quot;"/>
    <numFmt numFmtId="239" formatCode="_-* #,##0\ _D_M_-;\-* #,##0\ _D_M_-;_-* &quot;-&quot;\ _D_M_-;_-@_-"/>
    <numFmt numFmtId="240" formatCode="_-* #,##0.00\ _D_M_-;\-* #,##0.00\ _D_M_-;_-* &quot;-&quot;??\ _D_M_-;_-@_-"/>
    <numFmt numFmtId="241" formatCode="#."/>
    <numFmt numFmtId="242" formatCode="_-* #,##0\ &quot;DM&quot;_-;\-* #,##0\ &quot;DM&quot;_-;_-* &quot;-&quot;\ &quot;DM&quot;_-;_-@_-"/>
    <numFmt numFmtId="243" formatCode="_-* #,##0.00\ &quot;DM&quot;_-;\-* #,##0.00\ &quot;DM&quot;_-;_-* &quot;-&quot;??\ &quot;DM&quot;_-;_-@_-"/>
    <numFmt numFmtId="244" formatCode="d/m"/>
    <numFmt numFmtId="245" formatCode="&quot;\&quot;#,##0;[Red]\-&quot;\&quot;#,##0"/>
    <numFmt numFmtId="246" formatCode="&quot;\&quot;#,##0.00;\-&quot;\&quot;#,##0.00"/>
    <numFmt numFmtId="247" formatCode="_ * #,##0.00_)_d_ ;_ * \(#,##0.00\)_d_ ;_ * &quot;-&quot;??_)_d_ ;_ @_ "/>
    <numFmt numFmtId="248" formatCode="#,###"/>
    <numFmt numFmtId="249" formatCode="#,##0.0;[Red]\-#,##0.0"/>
    <numFmt numFmtId="250" formatCode="_ * #,##0_-_V_N_Ñ_ ;_ * #,##0\-_V_N_Ñ_ ;_ * &quot;-&quot;_-_V_N_Ñ_ ;_ @_ "/>
    <numFmt numFmtId="251" formatCode="_ * #,##0.00_-_V_N_Ñ_ ;_ * #,##0.00\-_V_N_Ñ_ ;_ * &quot;-&quot;??_-_V_N_Ñ_ ;_ @_ "/>
    <numFmt numFmtId="252" formatCode="_-* #,##0\ &quot;$&quot;_-;\-* #,##0\ &quot;$&quot;_-;_-* &quot;-&quot;\ &quot;$&quot;_-;_-@_-"/>
    <numFmt numFmtId="253" formatCode="_(&quot;$&quot;\ * #,##0_);_(&quot;$&quot;\ * \(#,##0\);_(&quot;$&quot;\ * &quot;-&quot;_);_(@_)"/>
    <numFmt numFmtId="254" formatCode="#,##0;\(#,##0\)"/>
    <numFmt numFmtId="255" formatCode="\t0.00%"/>
    <numFmt numFmtId="256" formatCode="\U\S\$#,##0.00;\(\U\S\$#,##0.00\)"/>
    <numFmt numFmtId="257" formatCode="\t#\ ??/??"/>
    <numFmt numFmtId="258" formatCode="0.000"/>
    <numFmt numFmtId="259" formatCode="&quot;S$&quot;#,##0_);\(&quot;S$&quot;#,##0\)"/>
    <numFmt numFmtId="260" formatCode="&quot;S$&quot;#,##0_);[Red]\(&quot;S$&quot;#,##0\)"/>
    <numFmt numFmtId="261" formatCode="&quot;S$&quot;#,##0.00_);\(&quot;S$&quot;#,##0.00\)"/>
    <numFmt numFmtId="262" formatCode="_(&quot;S$&quot;* #,##0_);_(&quot;S$&quot;* \(#,##0\);_(&quot;S$&quot;* &quot;-&quot;_);_(@_)"/>
    <numFmt numFmtId="263" formatCode="#,##0.0_);[Red]\(#,##0.0\)"/>
    <numFmt numFmtId="264" formatCode="_-&quot;RM&quot;* #,##0_-;\-&quot;RM&quot;* #,##0_-;_-&quot;RM&quot;* &quot;-&quot;_-;_-@_-"/>
    <numFmt numFmtId="265" formatCode="_-&quot;RM&quot;* #,##0.00_-;\-&quot;RM&quot;* #,##0.00_-;_-&quot;RM&quot;* &quot;-&quot;??_-;_-@_-"/>
    <numFmt numFmtId="266" formatCode="#,##0_);[Red]\(#,##0\);"/>
    <numFmt numFmtId="267" formatCode=";;;"/>
    <numFmt numFmtId="268" formatCode="0.00\ %;[Red]\(0.00\)%"/>
    <numFmt numFmtId="269" formatCode="0.0\ %;[Red]\(0.0\)%"/>
    <numFmt numFmtId="270" formatCode="#,##0.0000_);[Red]\(#,##0.00000\)"/>
    <numFmt numFmtId="271" formatCode="&quot;$&quot;#,##0_);[Red]\(&quot;$&quot;#,##0\);"/>
    <numFmt numFmtId="272" formatCode="0_)%;[Red]\(0\)%"/>
    <numFmt numFmtId="273" formatCode="#,##0;[Red]\(#,##0\)"/>
    <numFmt numFmtId="274" formatCode="#,##0.00;[Red]\(#,##0.00\)"/>
    <numFmt numFmtId="275" formatCode="dd\.mm\.yyyy;@"/>
    <numFmt numFmtId="276" formatCode="dd/mm/yyyy;@"/>
  </numFmts>
  <fonts count="25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新細明體"/>
      <family val="1"/>
      <charset val="136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VNI-Times"/>
    </font>
    <font>
      <sz val="12"/>
      <name val="¹ÙÅÁÃ¼"/>
      <family val="1"/>
      <charset val="129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Times New Roman"/>
      <family val="1"/>
    </font>
    <font>
      <sz val="10"/>
      <name val="VNI-Times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1"/>
      <name val="Calibri"/>
      <family val="2"/>
    </font>
    <font>
      <sz val="13"/>
      <name val="Times New Roman"/>
      <family val="1"/>
    </font>
    <font>
      <sz val="10"/>
      <name val=".VnArial"/>
      <family val="2"/>
    </font>
    <font>
      <sz val="12"/>
      <name val="????"/>
      <family val="1"/>
      <charset val="136"/>
    </font>
    <font>
      <sz val="11"/>
      <name val="??"/>
      <family val="3"/>
      <charset val="129"/>
    </font>
    <font>
      <sz val="12"/>
      <name val="???"/>
      <family val="1"/>
      <charset val="255"/>
    </font>
    <font>
      <sz val="10"/>
      <name val="VNI-Helve"/>
    </font>
    <font>
      <sz val="12"/>
      <name val="VNI-Palatin"/>
    </font>
    <font>
      <sz val="10"/>
      <color indexed="8"/>
      <name val="Arial"/>
      <family val="2"/>
    </font>
    <font>
      <sz val="12"/>
      <color indexed="8"/>
      <name val="¹ÙÅÁÃ¼"/>
      <family val="1"/>
      <charset val="255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¹UAAA¼"/>
      <family val="3"/>
      <charset val="255"/>
    </font>
    <font>
      <b/>
      <sz val="11"/>
      <name val="VNI-Aptima"/>
    </font>
    <font>
      <sz val="12"/>
      <name val="¹ÙÅÁÃ¼"/>
      <family val="2"/>
    </font>
    <font>
      <sz val="12"/>
      <name val="¹UAAA¼"/>
      <family val="3"/>
      <charset val="129"/>
    </font>
    <font>
      <sz val="11"/>
      <name val="µ¸¿ò"/>
      <charset val="129"/>
    </font>
    <font>
      <b/>
      <sz val="10"/>
      <name val="Helv"/>
      <family val="2"/>
    </font>
    <font>
      <sz val="10"/>
      <name val="VNI-Aptima"/>
    </font>
    <font>
      <b/>
      <sz val="8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u/>
      <sz val="10"/>
      <name val="VNI-Helve"/>
    </font>
    <font>
      <sz val="10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1"/>
      <color theme="10"/>
      <name val="Calibri"/>
      <family val="2"/>
      <scheme val="minor"/>
    </font>
    <font>
      <sz val="12"/>
      <name val="Helv"/>
      <family val="2"/>
    </font>
    <font>
      <sz val="10"/>
      <name val="MS Sans Serif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0"/>
      <name val="Geneva"/>
      <family val="2"/>
    </font>
    <font>
      <b/>
      <sz val="12"/>
      <name val="VN-NTime"/>
      <family val="2"/>
    </font>
    <font>
      <sz val="11"/>
      <color theme="1"/>
      <name val="Calibri"/>
      <family val="3"/>
      <charset val="128"/>
    </font>
    <font>
      <sz val="11"/>
      <color theme="1"/>
      <name val="Calibri"/>
      <family val="2"/>
      <charset val="163"/>
      <scheme val="minor"/>
    </font>
    <font>
      <sz val="11"/>
      <name val="VNI-Times"/>
    </font>
    <font>
      <sz val="10"/>
      <name val="Symbol"/>
      <family val="1"/>
      <charset val="2"/>
    </font>
    <font>
      <sz val="10"/>
      <name val="Tms Rmn"/>
      <family val="1"/>
    </font>
    <font>
      <sz val="8"/>
      <name val="Helv"/>
      <family val="2"/>
    </font>
    <font>
      <b/>
      <sz val="16"/>
      <color rgb="FF000000"/>
      <name val="Times New Roman"/>
      <family val="1"/>
    </font>
    <font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8"/>
      <color indexed="8"/>
      <name val="Helv"/>
      <family val="2"/>
    </font>
    <font>
      <sz val="13"/>
      <name val=".VnTime"/>
      <family val="2"/>
    </font>
    <font>
      <b/>
      <sz val="10"/>
      <color indexed="10"/>
      <name val="Arial"/>
      <family val="2"/>
    </font>
    <font>
      <sz val="10"/>
      <name val="VNtimes new roman"/>
      <family val="2"/>
    </font>
    <font>
      <sz val="22"/>
      <name val="ＭＳ 明朝"/>
      <family val="3"/>
      <charset val="128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1"/>
    </font>
    <font>
      <sz val="12"/>
      <name val="바탕체"/>
      <family val="1"/>
      <charset val="129"/>
    </font>
    <font>
      <sz val="12"/>
      <color indexed="60"/>
      <name val="新細明體"/>
      <family val="1"/>
      <charset val="136"/>
    </font>
    <font>
      <sz val="12"/>
      <name val="Courier"/>
      <family val="3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4"/>
      <name val="ＭＳ 明朝"/>
      <family val="3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u/>
      <sz val="15"/>
      <color indexed="12"/>
      <name val="Arial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4"/>
      <name val="Times New Roman"/>
      <family val="1"/>
    </font>
    <font>
      <b/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i/>
      <sz val="10"/>
      <name val="Times New Roman"/>
      <family val="1"/>
    </font>
    <font>
      <sz val="12"/>
      <name val="新細明體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0"/>
      <name val="Arial"/>
      <family val="2"/>
      <charset val="163"/>
    </font>
    <font>
      <u/>
      <sz val="12"/>
      <color indexed="36"/>
      <name val="Times New Roman"/>
      <family val="1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4"/>
      <name val="Cordia New"/>
      <family val="2"/>
    </font>
    <font>
      <sz val="9"/>
      <name val="Trebuchet MS"/>
      <family val="2"/>
    </font>
    <font>
      <sz val="11"/>
      <name val="VNI-Times"/>
      <family val="1"/>
    </font>
    <font>
      <sz val="11"/>
      <name val="Arial"/>
      <family val="2"/>
    </font>
    <font>
      <b/>
      <sz val="11"/>
      <name val="Arial"/>
      <family val="2"/>
    </font>
    <font>
      <sz val="12"/>
      <name val=".VnTime"/>
      <family val="2"/>
    </font>
    <font>
      <sz val="9"/>
      <name val="Arial"/>
      <family val="2"/>
    </font>
    <font>
      <sz val="8"/>
      <name val="VNI-Helve"/>
    </font>
    <font>
      <sz val="10"/>
      <name val="Helv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6"/>
      <name val="AngsanaUPC"/>
      <family val="3"/>
    </font>
    <font>
      <sz val="12"/>
      <name val="VNtimes new roman"/>
      <family val="2"/>
    </font>
    <font>
      <sz val="11"/>
      <name val="‚l‚r ‚oƒSƒVƒbƒN"/>
      <family val="3"/>
      <charset val="128"/>
    </font>
    <font>
      <sz val="14"/>
      <name val="Terminal"/>
      <family val="3"/>
      <charset val="128"/>
    </font>
    <font>
      <b/>
      <i/>
      <sz val="10"/>
      <name val=".VnTimeH"/>
      <family val="2"/>
    </font>
    <font>
      <sz val="10"/>
      <name val="VnTimes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b/>
      <sz val="10"/>
      <color indexed="8"/>
      <name val="Arial"/>
      <family val="2"/>
    </font>
    <font>
      <i/>
      <sz val="11"/>
      <color indexed="23"/>
      <name val="Calibri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4"/>
      <color indexed="14"/>
      <name val="VNottawa"/>
      <family val="2"/>
    </font>
    <font>
      <b/>
      <sz val="16"/>
      <color indexed="14"/>
      <name val="VNottawa"/>
      <family val="2"/>
    </font>
    <font>
      <sz val="11"/>
      <color indexed="17"/>
      <name val="Calibri"/>
      <family val="2"/>
    </font>
    <font>
      <sz val="10"/>
      <name val=".VnArialH"/>
      <family val="2"/>
    </font>
    <font>
      <b/>
      <sz val="12"/>
      <name val=".VnBook-AntiquaH"/>
      <family val="2"/>
    </font>
    <font>
      <b/>
      <sz val="12"/>
      <name val="Helv"/>
    </font>
    <font>
      <b/>
      <sz val="11"/>
      <color indexed="56"/>
      <name val="Calibri"/>
      <family val="2"/>
    </font>
    <font>
      <b/>
      <sz val="14"/>
      <name val=".VnTimeH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4"/>
      <name val="System"/>
      <family val="2"/>
    </font>
    <font>
      <sz val="11"/>
      <name val="–¾’©"/>
      <family val="1"/>
      <charset val="128"/>
    </font>
    <font>
      <b/>
      <sz val="11"/>
      <color indexed="63"/>
      <name val="Calibri"/>
      <family val="2"/>
    </font>
    <font>
      <b/>
      <sz val="18"/>
      <color indexed="8"/>
      <name val="Cambria"/>
      <family val="1"/>
    </font>
    <font>
      <b/>
      <sz val="10.5"/>
      <name val=".VnAvantH"/>
      <family val="2"/>
    </font>
    <font>
      <sz val="10"/>
      <name val=".VnAvantH"/>
      <family val="2"/>
    </font>
    <font>
      <sz val="12"/>
      <name val="VNTime"/>
    </font>
    <font>
      <sz val="12"/>
      <name val="VNTime"/>
      <family val="2"/>
    </font>
    <font>
      <sz val="11"/>
      <name val=".VnAvant"/>
      <family val="2"/>
    </font>
    <font>
      <b/>
      <sz val="12"/>
      <name val="VNI-Times"/>
    </font>
    <font>
      <sz val="9.5"/>
      <name val=".VnBlackH"/>
      <family val="2"/>
    </font>
    <font>
      <b/>
      <sz val="10"/>
      <name val=".VnBahamasBH"/>
      <family val="2"/>
    </font>
    <font>
      <b/>
      <sz val="11"/>
      <name val=".VnArialH"/>
      <family val="2"/>
    </font>
    <font>
      <b/>
      <sz val="18"/>
      <color indexed="56"/>
      <name val="Cambria"/>
      <family val="2"/>
    </font>
    <font>
      <b/>
      <sz val="10"/>
      <name val=".VnArialH"/>
      <family val="2"/>
    </font>
    <font>
      <b/>
      <sz val="8"/>
      <name val="VN Helvetica"/>
    </font>
    <font>
      <b/>
      <sz val="10"/>
      <name val="VN AvantGBook"/>
    </font>
    <font>
      <b/>
      <sz val="16"/>
      <name val=".VnTime"/>
      <family val="2"/>
    </font>
    <font>
      <sz val="11"/>
      <color indexed="10"/>
      <name val="Calibri"/>
      <family val="2"/>
    </font>
    <font>
      <sz val="14"/>
      <name val=".VnArial"/>
      <family val="2"/>
    </font>
    <font>
      <u/>
      <sz val="12"/>
      <color indexed="12"/>
      <name val="·s²Ó©úÅé"/>
      <charset val="136"/>
    </font>
    <font>
      <sz val="12"/>
      <name val="Times New Roman"/>
      <family val="1"/>
      <charset val="134"/>
    </font>
    <font>
      <sz val="10"/>
      <name val="Tms Rmn"/>
    </font>
    <font>
      <sz val="8"/>
      <name val="CG Times (E1)"/>
    </font>
    <font>
      <sz val="12"/>
      <name val="SWISS"/>
    </font>
    <font>
      <sz val="12"/>
      <name val="Tms Rmn"/>
    </font>
    <font>
      <sz val="24"/>
      <color indexed="13"/>
      <name val="SWISS"/>
    </font>
    <font>
      <b/>
      <sz val="14"/>
      <name val="SWISS"/>
    </font>
    <font>
      <shadow/>
      <sz val="8"/>
      <color indexed="12"/>
      <name val="Times New Roman"/>
      <family val="1"/>
    </font>
    <font>
      <sz val="12"/>
      <color indexed="8"/>
      <name val="Arial"/>
      <family val="2"/>
    </font>
    <font>
      <b/>
      <sz val="8"/>
      <name val="Univers Condensed"/>
      <family val="2"/>
    </font>
    <font>
      <b/>
      <sz val="12"/>
      <name val="Univers (WN)"/>
    </font>
    <font>
      <sz val="9"/>
      <name val="Tms Rmn"/>
    </font>
    <font>
      <sz val="10"/>
      <name val="Univers (E1)"/>
    </font>
    <font>
      <sz val="8"/>
      <name val="Univers Condensed"/>
      <family val="2"/>
    </font>
    <font>
      <sz val="12"/>
      <color indexed="8"/>
      <name val="宋体"/>
      <charset val="134"/>
    </font>
    <font>
      <sz val="11"/>
      <name val="돋움"/>
      <family val="3"/>
      <charset val="129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9"/>
      <color rgb="FFFF0000"/>
      <name val="Times New Roman"/>
      <family val="1"/>
    </font>
    <font>
      <sz val="9"/>
      <color rgb="FFFF0000"/>
      <name val="Times New Roman"/>
      <family val="1"/>
    </font>
    <font>
      <b/>
      <i/>
      <sz val="12"/>
      <name val="Times New Roman"/>
      <family val="1"/>
    </font>
    <font>
      <sz val="13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Cambria"/>
      <family val="1"/>
      <scheme val="major"/>
    </font>
    <font>
      <vertAlign val="superscript"/>
      <sz val="12"/>
      <name val="Cambria"/>
      <family val="1"/>
      <scheme val="maj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Cambria"/>
      <family val="1"/>
      <scheme val="major"/>
    </font>
    <font>
      <sz val="12"/>
      <color rgb="FFFF0000"/>
      <name val="Calibri"/>
      <family val="2"/>
      <scheme val="minor"/>
    </font>
    <font>
      <sz val="10"/>
      <color theme="9" tint="-0.499984740745262"/>
      <name val="Arial"/>
      <family val="2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b/>
      <sz val="9"/>
      <name val="Arial"/>
      <family val="2"/>
    </font>
    <font>
      <sz val="7"/>
      <name val="Microsoft Sans Serif"/>
      <family val="2"/>
    </font>
    <font>
      <sz val="7"/>
      <color rgb="FF000000"/>
      <name val="Microsoft Sans Serif"/>
      <family val="2"/>
    </font>
    <font>
      <sz val="9"/>
      <name val="Microsoft Sans Serif"/>
      <family val="2"/>
    </font>
    <font>
      <b/>
      <sz val="7"/>
      <name val="Arial"/>
      <family val="2"/>
    </font>
    <font>
      <b/>
      <sz val="6.5"/>
      <name val="Arial"/>
      <family val="2"/>
    </font>
    <font>
      <sz val="9"/>
      <color rgb="FF000000"/>
      <name val="Microsoft Sans Serif"/>
      <family val="2"/>
    </font>
    <font>
      <sz val="7"/>
      <color rgb="FFFF0000"/>
      <name val="Microsoft Sans Serif"/>
      <family val="2"/>
    </font>
    <font>
      <b/>
      <sz val="12"/>
      <color theme="1"/>
      <name val="Calibri"/>
      <family val="2"/>
      <scheme val="minor"/>
    </font>
    <font>
      <b/>
      <u/>
      <sz val="12"/>
      <name val="Times New Roman"/>
      <family val="1"/>
    </font>
    <font>
      <b/>
      <u val="singleAccounting"/>
      <sz val="12"/>
      <name val="Times New Roman"/>
      <family val="1"/>
    </font>
    <font>
      <b/>
      <sz val="10"/>
      <color theme="1"/>
      <name val="Calibri"/>
      <family val="2"/>
      <scheme val="minor"/>
    </font>
    <font>
      <b/>
      <sz val="14"/>
      <name val="Times New Roman"/>
      <family val="1"/>
    </font>
    <font>
      <b/>
      <i/>
      <sz val="12"/>
      <color theme="1"/>
      <name val="Times New Roman"/>
      <family val="1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mediumGray">
        <fgColor indexed="9"/>
        <bgColor indexed="13"/>
      </patternFill>
    </fill>
    <fill>
      <patternFill patternType="solid">
        <fgColor indexed="9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 style="hair">
        <color indexed="64"/>
      </diagonal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0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06">
    <xf numFmtId="0" fontId="0" fillId="0" borderId="0"/>
    <xf numFmtId="165" fontId="14" fillId="0" borderId="0" applyFont="0" applyFill="0" applyBorder="0" applyAlignment="0" applyProtection="0"/>
    <xf numFmtId="0" fontId="15" fillId="0" borderId="0"/>
    <xf numFmtId="165" fontId="20" fillId="0" borderId="0" applyFont="0" applyFill="0" applyBorder="0" applyAlignment="0" applyProtection="0"/>
    <xf numFmtId="0" fontId="21" fillId="0" borderId="0"/>
    <xf numFmtId="173" fontId="15" fillId="0" borderId="0" applyFont="0" applyFill="0" applyBorder="0" applyAlignment="0" applyProtection="0"/>
    <xf numFmtId="0" fontId="25" fillId="0" borderId="0"/>
    <xf numFmtId="167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26" fillId="0" borderId="0"/>
    <xf numFmtId="0" fontId="30" fillId="0" borderId="0"/>
    <xf numFmtId="173" fontId="15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73" fontId="15" fillId="0" borderId="0" applyFont="0" applyFill="0" applyBorder="0" applyAlignment="0" applyProtection="0"/>
    <xf numFmtId="0" fontId="12" fillId="0" borderId="0"/>
    <xf numFmtId="165" fontId="25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25" fillId="0" borderId="0"/>
    <xf numFmtId="179" fontId="2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2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30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0" fillId="0" borderId="0"/>
    <xf numFmtId="0" fontId="22" fillId="0" borderId="0"/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184" fontId="25" fillId="0" borderId="0" applyFont="0" applyFill="0" applyBorder="0" applyAlignment="0" applyProtection="0"/>
    <xf numFmtId="185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22" fillId="0" borderId="0"/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22" fillId="0" borderId="0"/>
    <xf numFmtId="0" fontId="22" fillId="0" borderId="0"/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171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7" fontId="40" fillId="0" borderId="0" applyFont="0" applyFill="0" applyBorder="0" applyAlignment="0" applyProtection="0"/>
    <xf numFmtId="186" fontId="25" fillId="0" borderId="0" applyFont="0" applyFill="0" applyBorder="0" applyAlignment="0" applyProtection="0"/>
    <xf numFmtId="172" fontId="40" fillId="0" borderId="0" applyFont="0" applyFill="0" applyBorder="0" applyAlignment="0" applyProtection="0"/>
    <xf numFmtId="165" fontId="25" fillId="0" borderId="0" applyFont="0" applyFill="0" applyBorder="0" applyAlignment="0" applyProtection="0"/>
    <xf numFmtId="188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1" fontId="41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65" fontId="40" fillId="0" borderId="0" applyFont="0" applyFill="0" applyBorder="0" applyAlignment="0" applyProtection="0"/>
    <xf numFmtId="192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4" fontId="25" fillId="0" borderId="0" applyFont="0" applyFill="0" applyBorder="0" applyAlignment="0" applyProtection="0"/>
    <xf numFmtId="179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193" fontId="30" fillId="0" borderId="0" applyFont="0" applyFill="0" applyBorder="0" applyAlignment="0" applyProtection="0"/>
    <xf numFmtId="168" fontId="40" fillId="0" borderId="0" applyFont="0" applyFill="0" applyBorder="0" applyAlignment="0" applyProtection="0"/>
    <xf numFmtId="18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94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188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1" fontId="41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65" fontId="40" fillId="0" borderId="0" applyFont="0" applyFill="0" applyBorder="0" applyAlignment="0" applyProtection="0"/>
    <xf numFmtId="192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95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8" fontId="41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72" fontId="40" fillId="0" borderId="0" applyFont="0" applyFill="0" applyBorder="0" applyAlignment="0" applyProtection="0"/>
    <xf numFmtId="199" fontId="30" fillId="0" borderId="0" applyFont="0" applyFill="0" applyBorder="0" applyAlignment="0" applyProtection="0"/>
    <xf numFmtId="171" fontId="4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193" fontId="30" fillId="0" borderId="0" applyFont="0" applyFill="0" applyBorder="0" applyAlignment="0" applyProtection="0"/>
    <xf numFmtId="168" fontId="40" fillId="0" borderId="0" applyFont="0" applyFill="0" applyBorder="0" applyAlignment="0" applyProtection="0"/>
    <xf numFmtId="18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94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95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8" fontId="41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72" fontId="40" fillId="0" borderId="0" applyFont="0" applyFill="0" applyBorder="0" applyAlignment="0" applyProtection="0"/>
    <xf numFmtId="199" fontId="30" fillId="0" borderId="0" applyFont="0" applyFill="0" applyBorder="0" applyAlignment="0" applyProtection="0"/>
    <xf numFmtId="171" fontId="4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1" fontId="41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65" fontId="40" fillId="0" borderId="0" applyFont="0" applyFill="0" applyBorder="0" applyAlignment="0" applyProtection="0"/>
    <xf numFmtId="192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4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7" fontId="40" fillId="0" borderId="0" applyFont="0" applyFill="0" applyBorder="0" applyAlignment="0" applyProtection="0"/>
    <xf numFmtId="186" fontId="25" fillId="0" borderId="0" applyFont="0" applyFill="0" applyBorder="0" applyAlignment="0" applyProtection="0"/>
    <xf numFmtId="172" fontId="40" fillId="0" borderId="0" applyFont="0" applyFill="0" applyBorder="0" applyAlignment="0" applyProtection="0"/>
    <xf numFmtId="171" fontId="30" fillId="0" borderId="0" applyFont="0" applyFill="0" applyBorder="0" applyAlignment="0" applyProtection="0"/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22" fillId="0" borderId="0"/>
    <xf numFmtId="0" fontId="15" fillId="0" borderId="16" quotePrefix="1">
      <alignment horizontal="justify" vertical="justify" textRotation="255" wrapText="1" justifyLastLine="1"/>
      <protection hidden="1"/>
    </xf>
    <xf numFmtId="184" fontId="25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193" fontId="30" fillId="0" borderId="0" applyFont="0" applyFill="0" applyBorder="0" applyAlignment="0" applyProtection="0"/>
    <xf numFmtId="168" fontId="40" fillId="0" borderId="0" applyFont="0" applyFill="0" applyBorder="0" applyAlignment="0" applyProtection="0"/>
    <xf numFmtId="18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94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0" fontId="15" fillId="0" borderId="16" quotePrefix="1">
      <alignment horizontal="justify" vertical="justify" textRotation="255" wrapText="1" justifyLastLine="1"/>
      <protection hidden="1"/>
    </xf>
    <xf numFmtId="0" fontId="42" fillId="0" borderId="0">
      <alignment vertical="top"/>
    </xf>
    <xf numFmtId="0" fontId="22" fillId="0" borderId="0"/>
    <xf numFmtId="0" fontId="15" fillId="0" borderId="16" quotePrefix="1">
      <alignment horizontal="justify" vertical="justify" textRotation="255" wrapText="1" justifyLastLine="1"/>
      <protection hidden="1"/>
    </xf>
    <xf numFmtId="0" fontId="42" fillId="0" borderId="0">
      <alignment vertical="top"/>
    </xf>
    <xf numFmtId="0" fontId="42" fillId="0" borderId="0">
      <alignment vertical="top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0" applyFill="0"/>
    <xf numFmtId="0" fontId="42" fillId="0" borderId="0">
      <alignment vertical="top"/>
    </xf>
    <xf numFmtId="164" fontId="25" fillId="0" borderId="0" applyFont="0" applyFill="0" applyBorder="0" applyAlignment="0" applyProtection="0"/>
    <xf numFmtId="195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8" fontId="41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72" fontId="40" fillId="0" borderId="0" applyFont="0" applyFill="0" applyBorder="0" applyAlignment="0" applyProtection="0"/>
    <xf numFmtId="199" fontId="30" fillId="0" borderId="0" applyFont="0" applyFill="0" applyBorder="0" applyAlignment="0" applyProtection="0"/>
    <xf numFmtId="171" fontId="4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1" fontId="41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165" fontId="40" fillId="0" borderId="0" applyFont="0" applyFill="0" applyBorder="0" applyAlignment="0" applyProtection="0"/>
    <xf numFmtId="192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79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7" fontId="40" fillId="0" borderId="0" applyFont="0" applyFill="0" applyBorder="0" applyAlignment="0" applyProtection="0"/>
    <xf numFmtId="186" fontId="25" fillId="0" borderId="0" applyFont="0" applyFill="0" applyBorder="0" applyAlignment="0" applyProtection="0"/>
    <xf numFmtId="172" fontId="40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16" quotePrefix="1">
      <alignment horizontal="justify" vertical="justify" textRotation="255" wrapText="1" justifyLastLine="1"/>
      <protection hidden="1"/>
    </xf>
    <xf numFmtId="0" fontId="15" fillId="0" borderId="0"/>
    <xf numFmtId="0" fontId="15" fillId="0" borderId="0"/>
    <xf numFmtId="0" fontId="25" fillId="0" borderId="0" applyFont="0" applyFill="0" applyBorder="0" applyAlignment="0"/>
    <xf numFmtId="9" fontId="43" fillId="0" borderId="0" applyBorder="0" applyAlignment="0" applyProtection="0"/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15" fillId="0" borderId="0"/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200" fontId="15" fillId="0" borderId="0" applyFont="0" applyFill="0" applyBorder="0" applyAlignment="0" applyProtection="0"/>
    <xf numFmtId="0" fontId="46" fillId="0" borderId="0" applyFont="0" applyFill="0" applyBorder="0" applyAlignment="0" applyProtection="0"/>
    <xf numFmtId="201" fontId="25" fillId="0" borderId="0" applyFont="0" applyFill="0" applyBorder="0" applyAlignment="0" applyProtection="0"/>
    <xf numFmtId="202" fontId="15" fillId="0" borderId="0" applyFont="0" applyFill="0" applyBorder="0" applyAlignment="0" applyProtection="0"/>
    <xf numFmtId="0" fontId="46" fillId="0" borderId="0" applyFont="0" applyFill="0" applyBorder="0" applyAlignment="0" applyProtection="0"/>
    <xf numFmtId="202" fontId="15" fillId="0" borderId="0" applyFont="0" applyFill="0" applyBorder="0" applyAlignment="0" applyProtection="0"/>
    <xf numFmtId="0" fontId="47" fillId="0" borderId="0"/>
    <xf numFmtId="0" fontId="29" fillId="0" borderId="0">
      <alignment horizontal="center" wrapText="1"/>
      <protection locked="0"/>
    </xf>
    <xf numFmtId="203" fontId="48" fillId="0" borderId="0" applyFont="0" applyFill="0" applyBorder="0" applyAlignment="0" applyProtection="0"/>
    <xf numFmtId="0" fontId="46" fillId="0" borderId="0" applyFont="0" applyFill="0" applyBorder="0" applyAlignment="0" applyProtection="0"/>
    <xf numFmtId="20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0" fontId="46" fillId="0" borderId="0" applyFont="0" applyFill="0" applyBorder="0" applyAlignment="0" applyProtection="0"/>
    <xf numFmtId="173" fontId="48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6" fillId="0" borderId="0"/>
    <xf numFmtId="0" fontId="17" fillId="0" borderId="0"/>
    <xf numFmtId="0" fontId="49" fillId="0" borderId="0"/>
    <xf numFmtId="0" fontId="50" fillId="0" borderId="0"/>
    <xf numFmtId="204" fontId="15" fillId="0" borderId="0" applyFill="0" applyBorder="0" applyAlignment="0"/>
    <xf numFmtId="205" fontId="15" fillId="0" borderId="0" applyFill="0" applyBorder="0" applyAlignment="0"/>
    <xf numFmtId="206" fontId="15" fillId="0" borderId="0" applyFill="0" applyBorder="0" applyAlignment="0"/>
    <xf numFmtId="206" fontId="15" fillId="0" borderId="0" applyFill="0" applyBorder="0" applyAlignment="0"/>
    <xf numFmtId="207" fontId="15" fillId="0" borderId="0" applyFill="0" applyBorder="0" applyAlignment="0"/>
    <xf numFmtId="207" fontId="15" fillId="0" borderId="0" applyFill="0" applyBorder="0" applyAlignment="0"/>
    <xf numFmtId="0" fontId="51" fillId="0" borderId="0"/>
    <xf numFmtId="208" fontId="30" fillId="0" borderId="0" applyFont="0" applyFill="0" applyBorder="0" applyAlignment="0" applyProtection="0"/>
    <xf numFmtId="1" fontId="52" fillId="0" borderId="6" applyBorder="0"/>
    <xf numFmtId="0" fontId="53" fillId="0" borderId="5">
      <alignment horizontal="center"/>
    </xf>
    <xf numFmtId="166" fontId="10" fillId="0" borderId="0" applyFont="0" applyFill="0" applyBorder="0" applyAlignment="0" applyProtection="0"/>
    <xf numFmtId="165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65" fontId="15" fillId="0" borderId="0"/>
    <xf numFmtId="165" fontId="10" fillId="0" borderId="0" applyFont="0" applyFill="0" applyBorder="0" applyAlignment="0" applyProtection="0"/>
    <xf numFmtId="172" fontId="1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209" fontId="55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5" fillId="0" borderId="0" applyFont="0" applyFill="0" applyBorder="0" applyAlignment="0" applyProtection="0"/>
    <xf numFmtId="17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56" fillId="0" borderId="0" applyNumberFormat="0" applyAlignment="0">
      <alignment horizontal="left"/>
    </xf>
    <xf numFmtId="0" fontId="57" fillId="0" borderId="0" applyNumberFormat="0" applyAlignment="0"/>
    <xf numFmtId="210" fontId="15" fillId="0" borderId="0" applyFont="0" applyFill="0" applyBorder="0" applyAlignment="0" applyProtection="0"/>
    <xf numFmtId="169" fontId="20" fillId="0" borderId="0" applyFont="0" applyFill="0" applyBorder="0" applyAlignment="0" applyProtection="0"/>
    <xf numFmtId="211" fontId="15" fillId="0" borderId="0" applyFont="0" applyFill="0" applyBorder="0" applyAlignment="0" applyProtection="0"/>
    <xf numFmtId="4" fontId="58" fillId="0" borderId="17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0" fillId="0" borderId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60" fillId="0" borderId="0" applyNumberFormat="0" applyAlignment="0">
      <alignment horizontal="left"/>
    </xf>
    <xf numFmtId="2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38" fontId="61" fillId="19" borderId="0" applyNumberFormat="0" applyBorder="0" applyAlignment="0" applyProtection="0"/>
    <xf numFmtId="0" fontId="62" fillId="0" borderId="0">
      <alignment horizontal="left"/>
    </xf>
    <xf numFmtId="0" fontId="63" fillId="0" borderId="18" applyNumberFormat="0" applyAlignment="0" applyProtection="0">
      <alignment horizontal="left" vertical="center"/>
    </xf>
    <xf numFmtId="0" fontId="63" fillId="0" borderId="12">
      <alignment horizontal="left" vertical="center"/>
    </xf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212" fontId="25" fillId="0" borderId="0">
      <protection locked="0"/>
    </xf>
    <xf numFmtId="212" fontId="25" fillId="0" borderId="0">
      <protection locked="0"/>
    </xf>
    <xf numFmtId="0" fontId="65" fillId="0" borderId="0" applyNumberFormat="0" applyFill="0" applyBorder="0" applyAlignment="0" applyProtection="0"/>
    <xf numFmtId="164" fontId="30" fillId="0" borderId="0" applyFont="0" applyFill="0" applyBorder="0" applyAlignment="0" applyProtection="0"/>
    <xf numFmtId="10" fontId="61" fillId="20" borderId="1" applyNumberFormat="0" applyBorder="0" applyAlignment="0" applyProtection="0"/>
    <xf numFmtId="213" fontId="66" fillId="21" borderId="0"/>
    <xf numFmtId="0" fontId="15" fillId="21" borderId="0"/>
    <xf numFmtId="0" fontId="67" fillId="0" borderId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213" fontId="68" fillId="22" borderId="0"/>
    <xf numFmtId="0" fontId="15" fillId="22" borderId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69" fillId="0" borderId="19"/>
    <xf numFmtId="179" fontId="15" fillId="0" borderId="0" applyFont="0" applyFill="0" applyBorder="0" applyAlignment="0" applyProtection="0"/>
    <xf numFmtId="214" fontId="15" fillId="0" borderId="0" applyFont="0" applyFill="0" applyBorder="0" applyAlignment="0" applyProtection="0"/>
    <xf numFmtId="215" fontId="70" fillId="0" borderId="0" applyFont="0" applyFill="0" applyBorder="0" applyAlignment="0" applyProtection="0"/>
    <xf numFmtId="216" fontId="70" fillId="0" borderId="0" applyFont="0" applyFill="0" applyBorder="0" applyAlignment="0" applyProtection="0"/>
    <xf numFmtId="0" fontId="55" fillId="0" borderId="0" applyNumberFormat="0" applyFont="0" applyFill="0" applyAlignment="0"/>
    <xf numFmtId="0" fontId="71" fillId="0" borderId="1" applyNumberFormat="0" applyFont="0" applyFill="0" applyBorder="0" applyAlignment="0">
      <alignment horizontal="center"/>
    </xf>
    <xf numFmtId="0" fontId="15" fillId="0" borderId="0"/>
    <xf numFmtId="0" fontId="34" fillId="0" borderId="0"/>
    <xf numFmtId="0" fontId="34" fillId="0" borderId="0"/>
    <xf numFmtId="0" fontId="72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3" fillId="0" borderId="0"/>
    <xf numFmtId="0" fontId="5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14" fillId="0" borderId="0"/>
    <xf numFmtId="0" fontId="10" fillId="0" borderId="0"/>
    <xf numFmtId="0" fontId="34" fillId="0" borderId="0"/>
    <xf numFmtId="0" fontId="34" fillId="0" borderId="0"/>
    <xf numFmtId="0" fontId="22" fillId="0" borderId="0"/>
    <xf numFmtId="0" fontId="15" fillId="0" borderId="0" applyFont="0" applyFill="0" applyBorder="0" applyAlignment="0" applyProtection="0"/>
    <xf numFmtId="0" fontId="17" fillId="0" borderId="0"/>
    <xf numFmtId="0" fontId="74" fillId="0" borderId="0"/>
    <xf numFmtId="14" fontId="29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7" fillId="0" borderId="20" applyNumberFormat="0" applyBorder="0"/>
    <xf numFmtId="0" fontId="75" fillId="0" borderId="21" applyFill="0" applyBorder="0" applyAlignment="0" applyProtection="0">
      <alignment horizontal="right"/>
    </xf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217" fontId="76" fillId="0" borderId="0"/>
    <xf numFmtId="0" fontId="67" fillId="0" borderId="0" applyNumberFormat="0" applyFont="0" applyFill="0" applyBorder="0" applyAlignment="0" applyProtection="0">
      <alignment horizontal="left"/>
    </xf>
    <xf numFmtId="14" fontId="77" fillId="0" borderId="0" applyNumberFormat="0" applyFill="0" applyBorder="0" applyAlignment="0" applyProtection="0">
      <alignment horizontal="left"/>
    </xf>
    <xf numFmtId="218" fontId="15" fillId="0" borderId="0" applyNumberFormat="0" applyFill="0" applyBorder="0" applyAlignment="0" applyProtection="0">
      <alignment horizontal="left"/>
    </xf>
    <xf numFmtId="164" fontId="30" fillId="0" borderId="0" applyFont="0" applyFill="0" applyBorder="0" applyAlignment="0" applyProtection="0"/>
    <xf numFmtId="0" fontId="78" fillId="0" borderId="0">
      <alignment horizontal="center" vertical="top"/>
    </xf>
    <xf numFmtId="0" fontId="79" fillId="0" borderId="0">
      <alignment horizontal="left" vertical="top"/>
    </xf>
    <xf numFmtId="0" fontId="80" fillId="0" borderId="0">
      <alignment horizontal="right" vertical="center"/>
    </xf>
    <xf numFmtId="0" fontId="81" fillId="0" borderId="0">
      <alignment horizontal="right" vertical="center"/>
    </xf>
    <xf numFmtId="0" fontId="80" fillId="0" borderId="0">
      <alignment horizontal="left" vertical="top"/>
    </xf>
    <xf numFmtId="0" fontId="80" fillId="0" borderId="0">
      <alignment horizontal="left" vertical="center"/>
    </xf>
    <xf numFmtId="0" fontId="79" fillId="0" borderId="0">
      <alignment horizontal="center" vertical="center"/>
    </xf>
    <xf numFmtId="0" fontId="80" fillId="0" borderId="0">
      <alignment horizontal="right" vertical="center"/>
    </xf>
    <xf numFmtId="0" fontId="82" fillId="0" borderId="0">
      <alignment horizontal="center" vertical="top"/>
    </xf>
    <xf numFmtId="0" fontId="80" fillId="0" borderId="0">
      <alignment horizontal="right" vertical="center"/>
    </xf>
    <xf numFmtId="0" fontId="83" fillId="0" borderId="0">
      <alignment horizontal="center" vertical="center"/>
    </xf>
    <xf numFmtId="0" fontId="83" fillId="0" borderId="0">
      <alignment horizontal="right" vertical="top"/>
    </xf>
    <xf numFmtId="0" fontId="80" fillId="0" borderId="0">
      <alignment horizontal="center" vertical="center"/>
    </xf>
    <xf numFmtId="0" fontId="79" fillId="0" borderId="0">
      <alignment horizontal="right" vertical="top"/>
    </xf>
    <xf numFmtId="0" fontId="80" fillId="0" borderId="0">
      <alignment horizontal="center" vertical="center"/>
    </xf>
    <xf numFmtId="0" fontId="81" fillId="0" borderId="0">
      <alignment horizontal="left" vertical="center"/>
    </xf>
    <xf numFmtId="0" fontId="81" fillId="0" borderId="0">
      <alignment horizontal="right" vertical="center"/>
    </xf>
    <xf numFmtId="0" fontId="81" fillId="0" borderId="0">
      <alignment horizontal="right" vertical="center"/>
    </xf>
    <xf numFmtId="0" fontId="15" fillId="0" borderId="0"/>
    <xf numFmtId="179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64" fontId="40" fillId="0" borderId="0" applyFont="0" applyFill="0" applyBorder="0" applyAlignment="0" applyProtection="0"/>
    <xf numFmtId="194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8" fontId="41" fillId="0" borderId="0" applyFont="0" applyFill="0" applyBorder="0" applyAlignment="0" applyProtection="0"/>
    <xf numFmtId="164" fontId="30" fillId="0" borderId="0" applyFont="0" applyFill="0" applyBorder="0" applyAlignment="0" applyProtection="0"/>
    <xf numFmtId="195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5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72" fontId="40" fillId="0" borderId="0" applyFont="0" applyFill="0" applyBorder="0" applyAlignment="0" applyProtection="0"/>
    <xf numFmtId="199" fontId="30" fillId="0" borderId="0" applyFont="0" applyFill="0" applyBorder="0" applyAlignment="0" applyProtection="0"/>
    <xf numFmtId="171" fontId="40" fillId="0" borderId="0" applyFont="0" applyFill="0" applyBorder="0" applyAlignment="0" applyProtection="0"/>
    <xf numFmtId="196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64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8" fontId="41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172" fontId="40" fillId="0" borderId="0" applyFont="0" applyFill="0" applyBorder="0" applyAlignment="0" applyProtection="0"/>
    <xf numFmtId="199" fontId="30" fillId="0" borderId="0" applyFont="0" applyFill="0" applyBorder="0" applyAlignment="0" applyProtection="0"/>
    <xf numFmtId="171" fontId="4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71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71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70" fontId="40" fillId="0" borderId="0" applyFont="0" applyFill="0" applyBorder="0" applyAlignment="0" applyProtection="0"/>
    <xf numFmtId="193" fontId="30" fillId="0" borderId="0" applyFont="0" applyFill="0" applyBorder="0" applyAlignment="0" applyProtection="0"/>
    <xf numFmtId="168" fontId="40" fillId="0" borderId="0" applyFont="0" applyFill="0" applyBorder="0" applyAlignment="0" applyProtection="0"/>
    <xf numFmtId="18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0" fontId="69" fillId="0" borderId="0"/>
    <xf numFmtId="40" fontId="84" fillId="0" borderId="0" applyBorder="0">
      <alignment horizontal="right"/>
    </xf>
    <xf numFmtId="219" fontId="85" fillId="0" borderId="3">
      <alignment horizontal="right" vertical="center"/>
    </xf>
    <xf numFmtId="49" fontId="42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184" fontId="85" fillId="0" borderId="3">
      <alignment horizontal="center"/>
    </xf>
    <xf numFmtId="0" fontId="86" fillId="0" borderId="0">
      <alignment horizontal="center" vertical="top"/>
    </xf>
    <xf numFmtId="0" fontId="15" fillId="0" borderId="22" applyNumberFormat="0" applyFont="0" applyFill="0" applyAlignment="0" applyProtection="0"/>
    <xf numFmtId="0" fontId="15" fillId="0" borderId="22" applyNumberFormat="0" applyFont="0" applyFill="0" applyAlignment="0" applyProtection="0"/>
    <xf numFmtId="0" fontId="15" fillId="0" borderId="22" applyNumberFormat="0" applyFont="0" applyFill="0" applyAlignment="0" applyProtection="0"/>
    <xf numFmtId="220" fontId="40" fillId="0" borderId="0"/>
    <xf numFmtId="221" fontId="85" fillId="0" borderId="1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8" fillId="0" borderId="0">
      <alignment vertical="center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22" fillId="0" borderId="0">
      <alignment vertical="center"/>
    </xf>
    <xf numFmtId="40" fontId="90" fillId="0" borderId="0" applyFont="0" applyFill="0" applyBorder="0" applyAlignment="0" applyProtection="0"/>
    <xf numFmtId="38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9" fontId="91" fillId="0" borderId="0" applyBorder="0" applyAlignment="0" applyProtection="0"/>
    <xf numFmtId="0" fontId="92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93" fillId="0" borderId="0"/>
    <xf numFmtId="0" fontId="94" fillId="23" borderId="0" applyNumberFormat="0" applyBorder="0" applyAlignment="0" applyProtection="0">
      <alignment vertical="center"/>
    </xf>
    <xf numFmtId="0" fontId="20" fillId="24" borderId="23" applyNumberFormat="0" applyFont="0" applyAlignment="0" applyProtection="0">
      <alignment vertical="center"/>
    </xf>
    <xf numFmtId="165" fontId="25" fillId="0" borderId="0" applyFont="0" applyFill="0" applyBorder="0" applyAlignment="0" applyProtection="0"/>
    <xf numFmtId="0" fontId="96" fillId="0" borderId="24" applyNumberFormat="0" applyFill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25" fillId="0" borderId="0"/>
    <xf numFmtId="0" fontId="20" fillId="0" borderId="0">
      <alignment vertical="center"/>
    </xf>
    <xf numFmtId="173" fontId="15" fillId="0" borderId="0" applyFont="0" applyFill="0" applyBorder="0" applyAlignment="0" applyProtection="0"/>
    <xf numFmtId="203" fontId="15" fillId="0" borderId="0" applyFont="0" applyFill="0" applyBorder="0" applyAlignment="0" applyProtection="0"/>
    <xf numFmtId="0" fontId="99" fillId="0" borderId="0"/>
    <xf numFmtId="0" fontId="100" fillId="0" borderId="0" applyNumberFormat="0" applyFill="0" applyBorder="0" applyAlignment="0" applyProtection="0">
      <alignment vertical="center"/>
    </xf>
    <xf numFmtId="0" fontId="101" fillId="0" borderId="25" applyNumberFormat="0" applyFill="0" applyAlignment="0" applyProtection="0">
      <alignment vertical="center"/>
    </xf>
    <xf numFmtId="0" fontId="102" fillId="0" borderId="26" applyNumberFormat="0" applyFill="0" applyAlignment="0" applyProtection="0">
      <alignment vertical="center"/>
    </xf>
    <xf numFmtId="0" fontId="103" fillId="0" borderId="27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25" borderId="28" applyNumberFormat="0" applyAlignment="0" applyProtection="0">
      <alignment vertical="center"/>
    </xf>
    <xf numFmtId="0" fontId="105" fillId="26" borderId="29" applyNumberFormat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223" fontId="95" fillId="0" borderId="0" applyFont="0" applyFill="0" applyBorder="0" applyAlignment="0" applyProtection="0"/>
    <xf numFmtId="0" fontId="108" fillId="0" borderId="0" applyNumberFormat="0" applyFill="0" applyBorder="0" applyAlignment="0" applyProtection="0">
      <alignment vertical="top"/>
      <protection locked="0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109" fillId="10" borderId="29" applyNumberFormat="0" applyAlignment="0" applyProtection="0">
      <alignment vertical="center"/>
    </xf>
    <xf numFmtId="0" fontId="110" fillId="26" borderId="30" applyNumberFormat="0" applyAlignment="0" applyProtection="0">
      <alignment vertical="center"/>
    </xf>
    <xf numFmtId="224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0" fontId="111" fillId="0" borderId="31" applyNumberFormat="0" applyFill="0" applyAlignment="0" applyProtection="0">
      <alignment vertical="center"/>
    </xf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0" fontId="119" fillId="0" borderId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15" fillId="0" borderId="0"/>
    <xf numFmtId="0" fontId="15" fillId="0" borderId="0"/>
    <xf numFmtId="167" fontId="15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8" fillId="0" borderId="0"/>
    <xf numFmtId="0" fontId="15" fillId="0" borderId="0"/>
    <xf numFmtId="0" fontId="15" fillId="0" borderId="0"/>
    <xf numFmtId="0" fontId="15" fillId="0" borderId="0"/>
    <xf numFmtId="186" fontId="25" fillId="0" borderId="0" applyFont="0" applyFill="0" applyBorder="0" applyAlignment="0" applyProtection="0"/>
    <xf numFmtId="40" fontId="67" fillId="0" borderId="0" applyFont="0" applyFill="0" applyBorder="0" applyAlignment="0" applyProtection="0"/>
    <xf numFmtId="38" fontId="67" fillId="0" borderId="0" applyFill="0" applyBorder="0" applyAlignment="0" applyProtection="0"/>
    <xf numFmtId="43" fontId="123" fillId="0" borderId="0" applyFont="0" applyFill="0" applyBorder="0" applyAlignment="0" applyProtection="0"/>
    <xf numFmtId="38" fontId="67" fillId="0" borderId="0" applyFill="0" applyBorder="0" applyAlignment="0" applyProtection="0"/>
    <xf numFmtId="38" fontId="67" fillId="0" borderId="0" applyFill="0" applyBorder="0" applyAlignment="0" applyProtection="0"/>
    <xf numFmtId="38" fontId="67" fillId="0" borderId="0" applyFill="0" applyBorder="0" applyAlignment="0" applyProtection="0"/>
    <xf numFmtId="176" fontId="145" fillId="0" borderId="34" applyFont="0" applyBorder="0"/>
    <xf numFmtId="0" fontId="15" fillId="0" borderId="0"/>
    <xf numFmtId="42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252" fontId="30" fillId="0" borderId="0" applyFont="0" applyFill="0" applyBorder="0" applyAlignment="0" applyProtection="0"/>
    <xf numFmtId="0" fontId="123" fillId="0" borderId="0" applyFill="0"/>
    <xf numFmtId="0" fontId="123" fillId="0" borderId="0" applyFill="0"/>
    <xf numFmtId="38" fontId="67" fillId="0" borderId="0" applyFill="0" applyBorder="0" applyAlignment="0" applyProtection="0"/>
    <xf numFmtId="40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38" fontId="67" fillId="0" borderId="0" applyFill="0" applyBorder="0" applyAlignment="0" applyProtection="0"/>
    <xf numFmtId="42" fontId="30" fillId="0" borderId="0" applyFont="0" applyFill="0" applyBorder="0" applyAlignment="0" applyProtection="0"/>
    <xf numFmtId="249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26" fontId="25" fillId="0" borderId="0" applyFont="0" applyFill="0" applyBorder="0" applyAlignment="0" applyProtection="0"/>
    <xf numFmtId="226" fontId="25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25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5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250" fontId="30" fillId="0" borderId="0" applyFont="0" applyFill="0" applyBorder="0" applyAlignment="0" applyProtection="0"/>
    <xf numFmtId="0" fontId="189" fillId="0" borderId="8" applyNumberFormat="0" applyBorder="0" applyAlignment="0">
      <alignment horizontal="center"/>
    </xf>
    <xf numFmtId="184" fontId="25" fillId="0" borderId="0" applyFont="0" applyFill="0" applyBorder="0" applyAlignment="0" applyProtection="0"/>
    <xf numFmtId="25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5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250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0" fontId="189" fillId="0" borderId="8" applyNumberFormat="0" applyBorder="0" applyAlignment="0">
      <alignment horizontal="center"/>
    </xf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249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26" fontId="25" fillId="0" borderId="0" applyFont="0" applyFill="0" applyBorder="0" applyAlignment="0" applyProtection="0"/>
    <xf numFmtId="226" fontId="25" fillId="0" borderId="0" applyFont="0" applyFill="0" applyBorder="0" applyAlignment="0" applyProtection="0"/>
    <xf numFmtId="0" fontId="59" fillId="0" borderId="0"/>
    <xf numFmtId="42" fontId="30" fillId="0" borderId="0" applyFont="0" applyFill="0" applyBorder="0" applyAlignment="0" applyProtection="0"/>
    <xf numFmtId="0" fontId="15" fillId="0" borderId="0"/>
    <xf numFmtId="184" fontId="30" fillId="0" borderId="0" applyFont="0" applyFill="0" applyBorder="0" applyAlignment="0" applyProtection="0"/>
    <xf numFmtId="253" fontId="30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23" fillId="0" borderId="0" applyFill="0"/>
    <xf numFmtId="0" fontId="123" fillId="0" borderId="0" applyFill="0"/>
    <xf numFmtId="0" fontId="123" fillId="0" borderId="0" applyFill="0"/>
    <xf numFmtId="0" fontId="123" fillId="0" borderId="0" applyFill="0" applyProtection="0"/>
    <xf numFmtId="0" fontId="30" fillId="0" borderId="0" applyFill="0"/>
    <xf numFmtId="0" fontId="30" fillId="0" borderId="0" applyFill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250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249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26" fontId="25" fillId="0" borderId="0" applyFont="0" applyFill="0" applyBorder="0" applyAlignment="0" applyProtection="0"/>
    <xf numFmtId="226" fontId="25" fillId="0" borderId="0" applyFont="0" applyFill="0" applyBorder="0" applyAlignment="0" applyProtection="0"/>
    <xf numFmtId="0" fontId="123" fillId="0" borderId="0" applyFill="0"/>
    <xf numFmtId="229" fontId="146" fillId="0" borderId="0" applyFont="0" applyFill="0" applyBorder="0" applyAlignment="0" applyProtection="0"/>
    <xf numFmtId="228" fontId="146" fillId="0" borderId="0" applyFont="0" applyFill="0" applyBorder="0" applyAlignment="0" applyProtection="0"/>
    <xf numFmtId="0" fontId="204" fillId="0" borderId="0" applyNumberFormat="0" applyFill="0" applyBorder="0" applyAlignment="0" applyProtection="0">
      <alignment vertical="top"/>
      <protection locked="0"/>
    </xf>
    <xf numFmtId="0" fontId="147" fillId="0" borderId="0"/>
    <xf numFmtId="38" fontId="67" fillId="0" borderId="0" applyFill="0" applyBorder="0" applyAlignment="0" applyProtection="0"/>
    <xf numFmtId="38" fontId="67" fillId="0" borderId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5" fillId="0" borderId="0"/>
    <xf numFmtId="0" fontId="15" fillId="0" borderId="0"/>
    <xf numFmtId="190" fontId="123" fillId="0" borderId="0" applyFont="0" applyFill="0" applyBorder="0" applyAlignment="0" applyProtection="0"/>
    <xf numFmtId="0" fontId="125" fillId="19" borderId="0"/>
    <xf numFmtId="176" fontId="148" fillId="0" borderId="0">
      <alignment horizontal="centerContinuous"/>
    </xf>
    <xf numFmtId="244" fontId="30" fillId="0" borderId="0" applyNumberFormat="0" applyFont="0" applyFill="0" applyBorder="0" applyAlignment="0"/>
    <xf numFmtId="0" fontId="149" fillId="0" borderId="0"/>
    <xf numFmtId="0" fontId="126" fillId="19" borderId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127" fillId="19" borderId="0"/>
    <xf numFmtId="0" fontId="123" fillId="0" borderId="0"/>
    <xf numFmtId="264" fontId="205" fillId="0" borderId="0" applyFont="0" applyFill="0" applyBorder="0" applyAlignment="0" applyProtection="0"/>
    <xf numFmtId="265" fontId="205" fillId="0" borderId="0" applyFont="0" applyFill="0" applyBorder="0" applyAlignment="0" applyProtection="0"/>
    <xf numFmtId="0" fontId="128" fillId="0" borderId="0">
      <alignment wrapText="1"/>
    </xf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150" fillId="15" borderId="0" applyNumberFormat="0" applyBorder="0" applyAlignment="0" applyProtection="0"/>
    <xf numFmtId="0" fontId="150" fillId="12" borderId="0" applyNumberFormat="0" applyBorder="0" applyAlignment="0" applyProtection="0"/>
    <xf numFmtId="0" fontId="150" fillId="13" borderId="0" applyNumberFormat="0" applyBorder="0" applyAlignment="0" applyProtection="0"/>
    <xf numFmtId="0" fontId="150" fillId="16" borderId="0" applyNumberFormat="0" applyBorder="0" applyAlignment="0" applyProtection="0"/>
    <xf numFmtId="0" fontId="150" fillId="17" borderId="0" applyNumberFormat="0" applyBorder="0" applyAlignment="0" applyProtection="0"/>
    <xf numFmtId="0" fontId="150" fillId="18" borderId="0" applyNumberFormat="0" applyBorder="0" applyAlignment="0" applyProtection="0"/>
    <xf numFmtId="38" fontId="67" fillId="0" borderId="0" applyFill="0" applyBorder="0" applyAlignment="0" applyProtection="0"/>
    <xf numFmtId="0" fontId="150" fillId="27" borderId="0" applyNumberFormat="0" applyBorder="0" applyAlignment="0" applyProtection="0"/>
    <xf numFmtId="0" fontId="150" fillId="28" borderId="0" applyNumberFormat="0" applyBorder="0" applyAlignment="0" applyProtection="0"/>
    <xf numFmtId="0" fontId="150" fillId="29" borderId="0" applyNumberFormat="0" applyBorder="0" applyAlignment="0" applyProtection="0"/>
    <xf numFmtId="0" fontId="150" fillId="16" borderId="0" applyNumberFormat="0" applyBorder="0" applyAlignment="0" applyProtection="0"/>
    <xf numFmtId="0" fontId="150" fillId="17" borderId="0" applyNumberFormat="0" applyBorder="0" applyAlignment="0" applyProtection="0"/>
    <xf numFmtId="0" fontId="150" fillId="30" borderId="0" applyNumberFormat="0" applyBorder="0" applyAlignment="0" applyProtection="0"/>
    <xf numFmtId="249" fontId="123" fillId="0" borderId="0" applyFont="0" applyFill="0" applyBorder="0" applyAlignment="0" applyProtection="0"/>
    <xf numFmtId="38" fontId="67" fillId="0" borderId="0" applyFill="0" applyBorder="0" applyAlignment="0" applyProtection="0"/>
    <xf numFmtId="0" fontId="151" fillId="6" borderId="0" applyNumberFormat="0" applyBorder="0" applyAlignment="0" applyProtection="0"/>
    <xf numFmtId="0" fontId="55" fillId="31" borderId="9"/>
    <xf numFmtId="263" fontId="137" fillId="0" borderId="0" applyNumberFormat="0" applyFill="0" applyBorder="0" applyAlignment="0"/>
    <xf numFmtId="205" fontId="123" fillId="0" borderId="0" applyFill="0" applyBorder="0" applyAlignment="0"/>
    <xf numFmtId="213" fontId="141" fillId="0" borderId="0" applyFill="0" applyBorder="0" applyAlignment="0"/>
    <xf numFmtId="230" fontId="141" fillId="0" borderId="0" applyFill="0" applyBorder="0" applyAlignment="0"/>
    <xf numFmtId="234" fontId="141" fillId="0" borderId="0" applyFill="0" applyBorder="0" applyAlignment="0"/>
    <xf numFmtId="237" fontId="123" fillId="0" borderId="0" applyFill="0" applyBorder="0" applyAlignment="0"/>
    <xf numFmtId="227" fontId="141" fillId="0" borderId="0" applyFill="0" applyBorder="0" applyAlignment="0"/>
    <xf numFmtId="235" fontId="141" fillId="0" borderId="0" applyFill="0" applyBorder="0" applyAlignment="0"/>
    <xf numFmtId="213" fontId="141" fillId="0" borderId="0" applyFill="0" applyBorder="0" applyAlignment="0"/>
    <xf numFmtId="0" fontId="152" fillId="26" borderId="29" applyNumberFormat="0" applyAlignment="0" applyProtection="0"/>
    <xf numFmtId="0" fontId="153" fillId="0" borderId="0"/>
    <xf numFmtId="0" fontId="154" fillId="25" borderId="28" applyNumberFormat="0" applyAlignment="0" applyProtection="0"/>
    <xf numFmtId="43" fontId="123" fillId="0" borderId="0" applyFont="0" applyFill="0" applyBorder="0" applyAlignment="0" applyProtection="0"/>
    <xf numFmtId="263" fontId="206" fillId="0" borderId="0" applyFill="0" applyBorder="0" applyAlignment="0" applyProtection="0"/>
    <xf numFmtId="40" fontId="206" fillId="0" borderId="0" applyFill="0" applyBorder="0" applyAlignment="0" applyProtection="0"/>
    <xf numFmtId="266" fontId="206" fillId="32" borderId="0" applyFill="0" applyBorder="0" applyAlignment="0">
      <alignment vertical="top"/>
    </xf>
    <xf numFmtId="270" fontId="206" fillId="0" borderId="0" applyFill="0" applyBorder="0" applyAlignment="0" applyProtection="0"/>
    <xf numFmtId="0" fontId="74" fillId="0" borderId="1"/>
    <xf numFmtId="227" fontId="141" fillId="0" borderId="0" applyFont="0" applyFill="0" applyBorder="0" applyAlignment="0" applyProtection="0"/>
    <xf numFmtId="43" fontId="15" fillId="0" borderId="0" applyFont="0" applyFill="0" applyBorder="0" applyAlignment="0" applyProtection="0"/>
    <xf numFmtId="254" fontId="17" fillId="0" borderId="0"/>
    <xf numFmtId="0" fontId="155" fillId="33" borderId="1">
      <alignment horizontal="center"/>
    </xf>
    <xf numFmtId="271" fontId="206" fillId="32" borderId="35" applyFill="0" applyBorder="0" applyAlignment="0">
      <alignment horizontal="right"/>
    </xf>
    <xf numFmtId="213" fontId="141" fillId="0" borderId="0" applyFont="0" applyFill="0" applyBorder="0" applyAlignment="0" applyProtection="0"/>
    <xf numFmtId="4" fontId="15" fillId="0" borderId="1">
      <alignment horizontal="right"/>
    </xf>
    <xf numFmtId="255" fontId="15" fillId="0" borderId="0"/>
    <xf numFmtId="14" fontId="42" fillId="0" borderId="0" applyFill="0" applyBorder="0" applyAlignment="0"/>
    <xf numFmtId="0" fontId="15" fillId="0" borderId="0" applyFont="0" applyFill="0" applyBorder="0" applyAlignment="0" applyProtection="0"/>
    <xf numFmtId="213" fontId="207" fillId="0" borderId="0" applyFont="0" applyFill="0" applyBorder="0" applyAlignment="0" applyProtection="0">
      <protection locked="0"/>
    </xf>
    <xf numFmtId="39" fontId="141" fillId="0" borderId="0" applyFont="0" applyFill="0" applyBorder="0" applyAlignment="0" applyProtection="0"/>
    <xf numFmtId="236" fontId="29" fillId="0" borderId="0" applyFont="0" applyFill="0" applyBorder="0" applyAlignment="0"/>
    <xf numFmtId="0" fontId="208" fillId="0" borderId="0"/>
    <xf numFmtId="256" fontId="15" fillId="0" borderId="36">
      <alignment vertical="center"/>
    </xf>
    <xf numFmtId="239" fontId="15" fillId="0" borderId="0" applyFont="0" applyFill="0" applyBorder="0" applyAlignment="0" applyProtection="0"/>
    <xf numFmtId="240" fontId="15" fillId="0" borderId="0" applyFont="0" applyFill="0" applyBorder="0" applyAlignment="0" applyProtection="0"/>
    <xf numFmtId="257" fontId="15" fillId="0" borderId="0"/>
    <xf numFmtId="0" fontId="208" fillId="0" borderId="37"/>
    <xf numFmtId="0" fontId="208" fillId="0" borderId="37"/>
    <xf numFmtId="0" fontId="209" fillId="0" borderId="0" applyNumberFormat="0" applyFill="0" applyBorder="0" applyAlignment="0" applyProtection="0"/>
    <xf numFmtId="0" fontId="156" fillId="34" borderId="0" applyNumberFormat="0" applyBorder="0" applyAlignment="0" applyProtection="0"/>
    <xf numFmtId="0" fontId="156" fillId="35" borderId="0" applyNumberFormat="0" applyBorder="0" applyAlignment="0" applyProtection="0"/>
    <xf numFmtId="0" fontId="156" fillId="35" borderId="0" applyNumberFormat="0" applyBorder="0" applyAlignment="0" applyProtection="0"/>
    <xf numFmtId="40" fontId="67" fillId="0" borderId="0" applyFont="0" applyFill="0" applyBorder="0" applyAlignment="0" applyProtection="0"/>
    <xf numFmtId="0" fontId="210" fillId="36" borderId="0"/>
    <xf numFmtId="227" fontId="141" fillId="0" borderId="0" applyFill="0" applyBorder="0" applyAlignment="0"/>
    <xf numFmtId="213" fontId="141" fillId="0" borderId="0" applyFill="0" applyBorder="0" applyAlignment="0"/>
    <xf numFmtId="227" fontId="141" fillId="0" borderId="0" applyFill="0" applyBorder="0" applyAlignment="0"/>
    <xf numFmtId="235" fontId="141" fillId="0" borderId="0" applyFill="0" applyBorder="0" applyAlignment="0"/>
    <xf numFmtId="213" fontId="141" fillId="0" borderId="0" applyFill="0" applyBorder="0" applyAlignment="0"/>
    <xf numFmtId="233" fontId="67" fillId="0" borderId="0" applyFon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0" applyProtection="0"/>
    <xf numFmtId="0" fontId="159" fillId="0" borderId="0" applyProtection="0"/>
    <xf numFmtId="0" fontId="160" fillId="0" borderId="0" applyProtection="0"/>
    <xf numFmtId="0" fontId="161" fillId="0" borderId="0" applyProtection="0"/>
    <xf numFmtId="0" fontId="162" fillId="0" borderId="0" applyNumberFormat="0" applyFont="0" applyFill="0" applyBorder="0" applyAlignment="0" applyProtection="0"/>
    <xf numFmtId="0" fontId="163" fillId="0" borderId="0" applyProtection="0"/>
    <xf numFmtId="0" fontId="164" fillId="0" borderId="0" applyProtection="0"/>
    <xf numFmtId="0" fontId="165" fillId="0" borderId="0" applyNumberFormat="0" applyFill="0" applyBorder="0" applyAlignment="0" applyProtection="0"/>
    <xf numFmtId="0" fontId="166" fillId="0" borderId="0" applyNumberFormat="0" applyFill="0" applyBorder="0" applyProtection="0">
      <alignment vertical="center"/>
    </xf>
    <xf numFmtId="0" fontId="167" fillId="0" borderId="0" applyNumberFormat="0" applyFill="0" applyBorder="0" applyAlignment="0" applyProtection="0"/>
    <xf numFmtId="0" fontId="168" fillId="0" borderId="0" applyNumberFormat="0" applyFill="0" applyBorder="0" applyProtection="0">
      <alignment vertical="center"/>
    </xf>
    <xf numFmtId="0" fontId="169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247" fontId="170" fillId="0" borderId="38" applyNumberFormat="0" applyFill="0" applyBorder="0" applyAlignment="0" applyProtection="0"/>
    <xf numFmtId="0" fontId="171" fillId="0" borderId="0" applyNumberFormat="0" applyFill="0" applyBorder="0" applyAlignment="0" applyProtection="0"/>
    <xf numFmtId="0" fontId="211" fillId="0" borderId="39"/>
    <xf numFmtId="0" fontId="211" fillId="0" borderId="37"/>
    <xf numFmtId="0" fontId="211" fillId="37" borderId="37"/>
    <xf numFmtId="0" fontId="172" fillId="7" borderId="0" applyNumberFormat="0" applyBorder="0" applyAlignment="0" applyProtection="0"/>
    <xf numFmtId="0" fontId="173" fillId="0" borderId="9" applyNumberFormat="0" applyFill="0" applyBorder="0" applyAlignment="0" applyProtection="0">
      <alignment horizontal="center" vertical="center"/>
    </xf>
    <xf numFmtId="0" fontId="174" fillId="0" borderId="0" applyNumberFormat="0" applyFont="0" applyBorder="0" applyAlignment="0">
      <alignment horizontal="left" vertical="center"/>
    </xf>
    <xf numFmtId="0" fontId="175" fillId="0" borderId="0">
      <alignment horizontal="left"/>
    </xf>
    <xf numFmtId="14" fontId="33" fillId="38" borderId="19">
      <alignment horizontal="center" vertical="center" wrapText="1"/>
    </xf>
    <xf numFmtId="0" fontId="176" fillId="0" borderId="27" applyNumberFormat="0" applyFill="0" applyAlignment="0" applyProtection="0"/>
    <xf numFmtId="0" fontId="176" fillId="0" borderId="0" applyNumberFormat="0" applyFill="0" applyBorder="0" applyAlignment="0" applyProtection="0"/>
    <xf numFmtId="241" fontId="142" fillId="0" borderId="0">
      <protection locked="0"/>
    </xf>
    <xf numFmtId="241" fontId="142" fillId="0" borderId="0">
      <protection locked="0"/>
    </xf>
    <xf numFmtId="5" fontId="130" fillId="39" borderId="1" applyNumberFormat="0" applyAlignment="0">
      <alignment horizontal="left" vertical="top"/>
    </xf>
    <xf numFmtId="267" fontId="206" fillId="0" borderId="0" applyFill="0" applyBorder="0" applyAlignment="0" applyProtection="0"/>
    <xf numFmtId="49" fontId="177" fillId="0" borderId="1">
      <alignment vertical="center"/>
    </xf>
    <xf numFmtId="199" fontId="30" fillId="0" borderId="0" applyFont="0" applyFill="0" applyBorder="0" applyAlignment="0" applyProtection="0"/>
    <xf numFmtId="0" fontId="178" fillId="10" borderId="29" applyNumberFormat="0" applyAlignment="0" applyProtection="0"/>
    <xf numFmtId="206" fontId="212" fillId="0" borderId="40" applyFill="0" applyBorder="0" applyAlignment="0">
      <alignment horizontal="center"/>
      <protection locked="0"/>
    </xf>
    <xf numFmtId="10" fontId="61" fillId="40" borderId="1" applyNumberFormat="0" applyBorder="0" applyAlignment="0" applyProtection="0"/>
    <xf numFmtId="213" fontId="212" fillId="0" borderId="0" applyFill="0" applyBorder="0" applyAlignment="0">
      <protection locked="0"/>
    </xf>
    <xf numFmtId="236" fontId="212" fillId="0" borderId="0" applyFill="0" applyBorder="0" applyAlignment="0" applyProtection="0">
      <protection locked="0"/>
    </xf>
    <xf numFmtId="210" fontId="15" fillId="21" borderId="0"/>
    <xf numFmtId="40" fontId="67" fillId="0" borderId="0" applyFont="0" applyFill="0" applyBorder="0" applyAlignment="0" applyProtection="0"/>
    <xf numFmtId="0" fontId="67" fillId="0" borderId="0"/>
    <xf numFmtId="227" fontId="141" fillId="0" borderId="0" applyFill="0" applyBorder="0" applyAlignment="0"/>
    <xf numFmtId="213" fontId="141" fillId="0" borderId="0" applyFill="0" applyBorder="0" applyAlignment="0"/>
    <xf numFmtId="227" fontId="141" fillId="0" borderId="0" applyFill="0" applyBorder="0" applyAlignment="0"/>
    <xf numFmtId="235" fontId="141" fillId="0" borderId="0" applyFill="0" applyBorder="0" applyAlignment="0"/>
    <xf numFmtId="213" fontId="141" fillId="0" borderId="0" applyFill="0" applyBorder="0" applyAlignment="0"/>
    <xf numFmtId="0" fontId="179" fillId="0" borderId="31" applyNumberFormat="0" applyFill="0" applyAlignment="0" applyProtection="0"/>
    <xf numFmtId="210" fontId="15" fillId="22" borderId="0"/>
    <xf numFmtId="38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180" fillId="0" borderId="19"/>
    <xf numFmtId="248" fontId="181" fillId="0" borderId="32"/>
    <xf numFmtId="231" fontId="67" fillId="0" borderId="0" applyFont="0" applyFill="0" applyBorder="0" applyAlignment="0" applyProtection="0"/>
    <xf numFmtId="232" fontId="67" fillId="0" borderId="0" applyFont="0" applyFill="0" applyBorder="0" applyAlignment="0" applyProtection="0"/>
    <xf numFmtId="245" fontId="123" fillId="0" borderId="0" applyFont="0" applyFill="0" applyBorder="0" applyAlignment="0" applyProtection="0"/>
    <xf numFmtId="184" fontId="15" fillId="0" borderId="0" applyFont="0" applyFill="0" applyBorder="0" applyAlignment="0" applyProtection="0"/>
    <xf numFmtId="246" fontId="123" fillId="0" borderId="0" applyFont="0" applyFill="0" applyBorder="0" applyAlignment="0" applyProtection="0"/>
    <xf numFmtId="208" fontId="15" fillId="0" borderId="0" applyFont="0" applyFill="0" applyBorder="0" applyAlignment="0" applyProtection="0"/>
    <xf numFmtId="260" fontId="123" fillId="0" borderId="0" applyFont="0" applyFill="0" applyBorder="0" applyAlignment="0" applyProtection="0"/>
    <xf numFmtId="215" fontId="70" fillId="0" borderId="0" applyFont="0" applyFill="0" applyBorder="0" applyAlignment="0" applyProtection="0"/>
    <xf numFmtId="216" fontId="70" fillId="0" borderId="0" applyFont="0" applyFill="0" applyBorder="0" applyAlignment="0" applyProtection="0"/>
    <xf numFmtId="0" fontId="182" fillId="23" borderId="0" applyNumberFormat="0" applyBorder="0" applyAlignment="0" applyProtection="0"/>
    <xf numFmtId="49" fontId="213" fillId="0" borderId="0" applyNumberFormat="0" applyBorder="0" applyAlignment="0">
      <alignment horizontal="left"/>
    </xf>
    <xf numFmtId="0" fontId="17" fillId="0" borderId="0"/>
    <xf numFmtId="37" fontId="183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93" fillId="0" borderId="0"/>
    <xf numFmtId="263" fontId="136" fillId="0" borderId="0" applyFill="0" applyBorder="0" applyAlignment="0"/>
    <xf numFmtId="0" fontId="30" fillId="24" borderId="23" applyNumberFormat="0" applyFont="0" applyAlignment="0" applyProtection="0"/>
    <xf numFmtId="3" fontId="184" fillId="0" borderId="0" applyFont="0" applyFill="0" applyBorder="0" applyAlignment="0" applyProtection="0"/>
    <xf numFmtId="203" fontId="15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40" fontId="67" fillId="0" borderId="0" applyFont="0" applyFill="0" applyBorder="0" applyAlignment="0" applyProtection="0"/>
    <xf numFmtId="0" fontId="186" fillId="26" borderId="30" applyNumberFormat="0" applyAlignment="0" applyProtection="0"/>
    <xf numFmtId="0" fontId="121" fillId="20" borderId="0"/>
    <xf numFmtId="9" fontId="123" fillId="0" borderId="0" applyFont="0" applyFill="0" applyBorder="0" applyAlignment="0" applyProtection="0"/>
    <xf numFmtId="235" fontId="29" fillId="0" borderId="13" applyFont="0" applyFill="0" applyBorder="0" applyAlignment="0" applyProtection="0">
      <alignment horizontal="right"/>
    </xf>
    <xf numFmtId="272" fontId="206" fillId="32" borderId="0" applyFill="0" applyBorder="0" applyAlignment="0" applyProtection="0">
      <protection locked="0"/>
    </xf>
    <xf numFmtId="269" fontId="206" fillId="32" borderId="0" applyFill="0" applyBorder="0" applyAlignment="0" applyProtection="0">
      <alignment vertical="top"/>
    </xf>
    <xf numFmtId="268" fontId="206" fillId="0" borderId="0" applyFill="0" applyBorder="0" applyAlignment="0" applyProtection="0"/>
    <xf numFmtId="237" fontId="123" fillId="0" borderId="0" applyFont="0" applyFill="0" applyBorder="0" applyAlignment="0" applyProtection="0"/>
    <xf numFmtId="236" fontId="123" fillId="0" borderId="0" applyFont="0" applyFill="0" applyBorder="0" applyAlignment="0" applyProtection="0"/>
    <xf numFmtId="44" fontId="15" fillId="0" borderId="0" applyFont="0" applyFill="0" applyBorder="0" applyAlignment="0" applyProtection="0"/>
    <xf numFmtId="261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0" fontId="55" fillId="0" borderId="1">
      <alignment horizontal="center"/>
    </xf>
    <xf numFmtId="227" fontId="141" fillId="0" borderId="0" applyFill="0" applyBorder="0" applyAlignment="0"/>
    <xf numFmtId="213" fontId="141" fillId="0" borderId="0" applyFill="0" applyBorder="0" applyAlignment="0"/>
    <xf numFmtId="227" fontId="141" fillId="0" borderId="0" applyFill="0" applyBorder="0" applyAlignment="0"/>
    <xf numFmtId="235" fontId="141" fillId="0" borderId="0" applyFill="0" applyBorder="0" applyAlignment="0"/>
    <xf numFmtId="213" fontId="141" fillId="0" borderId="0" applyFill="0" applyBorder="0" applyAlignment="0"/>
    <xf numFmtId="5" fontId="76" fillId="0" borderId="0"/>
    <xf numFmtId="0" fontId="143" fillId="0" borderId="19">
      <alignment horizontal="center"/>
    </xf>
    <xf numFmtId="258" fontId="214" fillId="0" borderId="10" applyFont="0" applyBorder="0" applyAlignment="0">
      <alignment horizontal="center" vertical="center"/>
    </xf>
    <xf numFmtId="0" fontId="208" fillId="0" borderId="0"/>
    <xf numFmtId="218" fontId="123" fillId="0" borderId="0" applyNumberFormat="0" applyFill="0" applyBorder="0" applyAlignment="0" applyProtection="0">
      <alignment horizontal="left"/>
    </xf>
    <xf numFmtId="190" fontId="123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187" fillId="0" borderId="0" applyNumberFormat="0" applyFill="0" applyBorder="0" applyAlignment="0" applyProtection="0"/>
    <xf numFmtId="0" fontId="185" fillId="0" borderId="0" applyFont="0" applyBorder="0" applyAlignment="0"/>
    <xf numFmtId="176" fontId="188" fillId="0" borderId="0" applyNumberFormat="0" applyBorder="0" applyAlignment="0">
      <alignment horizontal="centerContinuous"/>
    </xf>
    <xf numFmtId="0" fontId="59" fillId="0" borderId="0"/>
    <xf numFmtId="203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97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250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40" fontId="67" fillId="0" borderId="0" applyFont="0" applyFill="0" applyBorder="0" applyAlignment="0" applyProtection="0"/>
    <xf numFmtId="181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81" fontId="25" fillId="0" borderId="0" applyFont="0" applyFill="0" applyBorder="0" applyAlignment="0" applyProtection="0"/>
    <xf numFmtId="197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250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184" fontId="25" fillId="0" borderId="0" applyFont="0" applyFill="0" applyBorder="0" applyAlignment="0" applyProtection="0"/>
    <xf numFmtId="25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53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18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96" fontId="30" fillId="0" borderId="0" applyFont="0" applyFill="0" applyBorder="0" applyAlignment="0" applyProtection="0"/>
    <xf numFmtId="0" fontId="180" fillId="0" borderId="0"/>
    <xf numFmtId="38" fontId="215" fillId="0" borderId="0" applyFill="0" applyBorder="0" applyAlignment="0" applyProtection="0"/>
    <xf numFmtId="261" fontId="123" fillId="0" borderId="0" applyFill="0" applyBorder="0" applyAlignment="0" applyProtection="0"/>
    <xf numFmtId="38" fontId="215" fillId="0" borderId="0" applyFill="0" applyBorder="0" applyAlignment="0" applyProtection="0"/>
    <xf numFmtId="0" fontId="15" fillId="0" borderId="0"/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45" fontId="138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219" fontId="85" fillId="0" borderId="3">
      <alignment horizontal="right" vertical="center"/>
    </xf>
    <xf numFmtId="0" fontId="216" fillId="0" borderId="0" applyNumberFormat="0" applyFill="0" applyBorder="0" applyAlignment="0" applyProtection="0"/>
    <xf numFmtId="238" fontId="123" fillId="0" borderId="0" applyFill="0" applyBorder="0" applyAlignment="0"/>
    <xf numFmtId="223" fontId="123" fillId="0" borderId="0" applyFill="0" applyBorder="0" applyAlignment="0"/>
    <xf numFmtId="0" fontId="189" fillId="0" borderId="8" applyNumberFormat="0" applyBorder="0" applyAlignment="0">
      <alignment horizontal="center"/>
    </xf>
    <xf numFmtId="0" fontId="190" fillId="0" borderId="41"/>
    <xf numFmtId="184" fontId="85" fillId="0" borderId="3">
      <alignment horizontal="center"/>
    </xf>
    <xf numFmtId="0" fontId="191" fillId="0" borderId="41"/>
    <xf numFmtId="0" fontId="190" fillId="0" borderId="41"/>
    <xf numFmtId="0" fontId="191" fillId="0" borderId="41"/>
    <xf numFmtId="0" fontId="190" fillId="0" borderId="41"/>
    <xf numFmtId="0" fontId="137" fillId="0" borderId="0" applyNumberFormat="0" applyFill="0" applyBorder="0" applyAlignment="0" applyProtection="0"/>
    <xf numFmtId="0" fontId="36" fillId="0" borderId="8" applyNumberFormat="0" applyBorder="0" applyAlignment="0"/>
    <xf numFmtId="0" fontId="192" fillId="0" borderId="32" applyNumberFormat="0" applyBorder="0" applyAlignment="0">
      <alignment horizontal="center"/>
    </xf>
    <xf numFmtId="0" fontId="193" fillId="0" borderId="1">
      <alignment horizontal="center"/>
    </xf>
    <xf numFmtId="18" fontId="207" fillId="0" borderId="0" applyFont="0" applyFill="0" applyBorder="0" applyAlignment="0" applyProtection="0">
      <alignment horizontal="left"/>
    </xf>
    <xf numFmtId="40" fontId="24" fillId="0" borderId="0"/>
    <xf numFmtId="3" fontId="194" fillId="0" borderId="0" applyNumberFormat="0" applyFill="0" applyBorder="0" applyAlignment="0" applyProtection="0">
      <alignment horizontal="center" wrapText="1"/>
    </xf>
    <xf numFmtId="0" fontId="195" fillId="0" borderId="5" applyBorder="0" applyAlignment="0">
      <alignment horizontal="center" vertical="center"/>
    </xf>
    <xf numFmtId="0" fontId="196" fillId="0" borderId="0" applyNumberFormat="0" applyFill="0" applyBorder="0" applyAlignment="0" applyProtection="0">
      <alignment horizontal="centerContinuous"/>
    </xf>
    <xf numFmtId="0" fontId="173" fillId="0" borderId="42" applyNumberFormat="0" applyFill="0" applyBorder="0" applyAlignment="0" applyProtection="0">
      <alignment horizontal="center" vertical="center" wrapText="1"/>
    </xf>
    <xf numFmtId="0" fontId="197" fillId="0" borderId="0" applyNumberFormat="0" applyFill="0" applyBorder="0" applyAlignment="0" applyProtection="0"/>
    <xf numFmtId="0" fontId="198" fillId="0" borderId="43" applyNumberFormat="0" applyBorder="0" applyAlignment="0">
      <alignment vertical="center"/>
    </xf>
    <xf numFmtId="0" fontId="181" fillId="0" borderId="44" applyNumberFormat="0" applyAlignment="0">
      <alignment horizontal="center"/>
    </xf>
    <xf numFmtId="0" fontId="136" fillId="0" borderId="0"/>
    <xf numFmtId="0" fontId="64" fillId="0" borderId="0">
      <alignment horizontal="center"/>
    </xf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0" fontId="217" fillId="0" borderId="45" applyNumberFormat="0" applyFont="0" applyFill="0" applyAlignment="0" applyProtection="0"/>
    <xf numFmtId="40" fontId="218" fillId="0" borderId="1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23" fontId="85" fillId="0" borderId="0"/>
    <xf numFmtId="43" fontId="123" fillId="0" borderId="0" applyFont="0" applyFill="0" applyBorder="0" applyAlignment="0" applyProtection="0"/>
    <xf numFmtId="0" fontId="140" fillId="0" borderId="0"/>
    <xf numFmtId="9" fontId="123" fillId="0" borderId="0" applyFont="0" applyFill="0" applyBorder="0" applyAlignment="0" applyProtection="0"/>
    <xf numFmtId="5" fontId="199" fillId="41" borderId="5">
      <alignment vertical="top"/>
    </xf>
    <xf numFmtId="0" fontId="129" fillId="42" borderId="1">
      <alignment horizontal="left" vertical="center"/>
    </xf>
    <xf numFmtId="6" fontId="200" fillId="43" borderId="5"/>
    <xf numFmtId="5" fontId="130" fillId="0" borderId="5">
      <alignment horizontal="left" vertical="top"/>
    </xf>
    <xf numFmtId="0" fontId="201" fillId="44" borderId="0">
      <alignment horizontal="left" vertical="center"/>
    </xf>
    <xf numFmtId="5" fontId="131" fillId="0" borderId="7">
      <alignment horizontal="left" vertical="top"/>
    </xf>
    <xf numFmtId="0" fontId="132" fillId="0" borderId="7">
      <alignment horizontal="left" vertical="center"/>
    </xf>
    <xf numFmtId="242" fontId="15" fillId="0" borderId="0" applyFont="0" applyFill="0" applyBorder="0" applyAlignment="0" applyProtection="0"/>
    <xf numFmtId="243" fontId="15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3" fillId="0" borderId="0" applyNumberFormat="0" applyFill="0" applyBorder="0" applyAlignment="0" applyProtection="0"/>
    <xf numFmtId="262" fontId="123" fillId="0" borderId="12" applyFont="0" applyFill="0" applyBorder="0" applyAlignment="0" applyProtection="0"/>
    <xf numFmtId="220" fontId="123" fillId="0" borderId="5" applyFont="0" applyBorder="0" applyAlignment="0">
      <alignment horizontal="center" vertical="center"/>
    </xf>
    <xf numFmtId="165" fontId="133" fillId="0" borderId="0" applyFont="0" applyFill="0" applyBorder="0" applyAlignment="0" applyProtection="0"/>
    <xf numFmtId="42" fontId="144" fillId="0" borderId="0" applyFont="0" applyFill="0" applyBorder="0" applyAlignment="0" applyProtection="0"/>
    <xf numFmtId="44" fontId="144" fillId="0" borderId="0" applyFont="0" applyFill="0" applyBorder="0" applyAlignment="0" applyProtection="0"/>
    <xf numFmtId="0" fontId="134" fillId="0" borderId="0"/>
    <xf numFmtId="186" fontId="25" fillId="0" borderId="0" applyFont="0" applyFill="0" applyBorder="0" applyAlignment="0" applyProtection="0"/>
    <xf numFmtId="0" fontId="15" fillId="0" borderId="0"/>
    <xf numFmtId="203" fontId="93" fillId="0" borderId="0" applyFont="0" applyFill="0" applyBorder="0" applyAlignment="0" applyProtection="0"/>
    <xf numFmtId="43" fontId="135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5" fillId="0" borderId="0"/>
    <xf numFmtId="41" fontId="67" fillId="0" borderId="0" applyFont="0" applyFill="0" applyBorder="0" applyAlignment="0" applyProtection="0"/>
    <xf numFmtId="164" fontId="139" fillId="0" borderId="0" applyFont="0" applyFill="0" applyBorder="0" applyAlignment="0" applyProtection="0"/>
    <xf numFmtId="165" fontId="139" fillId="0" borderId="0" applyFont="0" applyFill="0" applyBorder="0" applyAlignment="0" applyProtection="0"/>
    <xf numFmtId="0" fontId="219" fillId="0" borderId="0"/>
    <xf numFmtId="226" fontId="139" fillId="0" borderId="0" applyFont="0" applyFill="0" applyBorder="0" applyAlignment="0" applyProtection="0"/>
    <xf numFmtId="227" fontId="139" fillId="0" borderId="0" applyFont="0" applyFill="0" applyBorder="0" applyAlignment="0" applyProtection="0"/>
    <xf numFmtId="0" fontId="124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7" fillId="0" borderId="0"/>
    <xf numFmtId="186" fontId="25" fillId="0" borderId="0" applyFont="0" applyFill="0" applyBorder="0" applyAlignment="0" applyProtection="0"/>
    <xf numFmtId="0" fontId="15" fillId="0" borderId="0"/>
    <xf numFmtId="0" fontId="7" fillId="0" borderId="0"/>
    <xf numFmtId="0" fontId="15" fillId="0" borderId="0"/>
    <xf numFmtId="165" fontId="7" fillId="0" borderId="0" applyFont="0" applyFill="0" applyBorder="0" applyAlignment="0" applyProtection="0"/>
    <xf numFmtId="0" fontId="220" fillId="0" borderId="0"/>
    <xf numFmtId="43" fontId="15" fillId="0" borderId="0" applyFont="0" applyFill="0" applyBorder="0" applyAlignment="0" applyProtection="0"/>
    <xf numFmtId="9" fontId="123" fillId="0" borderId="0" applyFont="0" applyFill="0" applyBorder="0" applyAlignment="0" applyProtection="0"/>
    <xf numFmtId="43" fontId="123" fillId="0" borderId="0" applyFont="0" applyFill="0" applyBorder="0" applyAlignment="0" applyProtection="0"/>
    <xf numFmtId="0" fontId="178" fillId="10" borderId="29" applyNumberFormat="0" applyAlignment="0" applyProtection="0"/>
    <xf numFmtId="0" fontId="178" fillId="10" borderId="29" applyNumberFormat="0" applyAlignment="0" applyProtection="0"/>
    <xf numFmtId="0" fontId="178" fillId="10" borderId="29" applyNumberFormat="0" applyAlignment="0" applyProtection="0"/>
    <xf numFmtId="0" fontId="178" fillId="10" borderId="29" applyNumberFormat="0" applyAlignment="0" applyProtection="0"/>
    <xf numFmtId="9" fontId="123" fillId="0" borderId="0" applyFont="0" applyFill="0" applyBorder="0" applyAlignment="0" applyProtection="0"/>
    <xf numFmtId="0" fontId="189" fillId="0" borderId="8" applyNumberFormat="0" applyBorder="0" applyAlignment="0">
      <alignment horizontal="center"/>
    </xf>
    <xf numFmtId="0" fontId="189" fillId="0" borderId="8" applyNumberFormat="0" applyBorder="0" applyAlignment="0">
      <alignment horizontal="center"/>
    </xf>
    <xf numFmtId="0" fontId="15" fillId="0" borderId="0"/>
    <xf numFmtId="186" fontId="25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0" fontId="15" fillId="0" borderId="0"/>
    <xf numFmtId="186" fontId="25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43" fontId="123" fillId="0" borderId="0" applyFont="0" applyFill="0" applyBorder="0" applyAlignment="0" applyProtection="0"/>
    <xf numFmtId="9" fontId="123" fillId="0" borderId="0" applyFont="0" applyFill="0" applyBorder="0" applyAlignment="0" applyProtection="0"/>
    <xf numFmtId="43" fontId="123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17" fillId="0" borderId="0"/>
    <xf numFmtId="0" fontId="15" fillId="0" borderId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43" fontId="15" fillId="0" borderId="0" applyFont="0" applyFill="0" applyBorder="0" applyAlignment="0" applyProtection="0"/>
    <xf numFmtId="0" fontId="1" fillId="0" borderId="0"/>
  </cellStyleXfs>
  <cellXfs count="471">
    <xf numFmtId="0" fontId="0" fillId="0" borderId="0" xfId="0"/>
    <xf numFmtId="0" fontId="23" fillId="2" borderId="0" xfId="2" applyFont="1" applyFill="1" applyAlignment="1">
      <alignment vertical="center"/>
    </xf>
    <xf numFmtId="0" fontId="23" fillId="2" borderId="1" xfId="2" applyFont="1" applyFill="1" applyBorder="1" applyAlignment="1">
      <alignment horizontal="center" vertical="center" wrapText="1"/>
    </xf>
    <xf numFmtId="175" fontId="23" fillId="2" borderId="0" xfId="2" applyNumberFormat="1" applyFont="1" applyFill="1" applyAlignment="1">
      <alignment vertical="center"/>
    </xf>
    <xf numFmtId="175" fontId="23" fillId="2" borderId="0" xfId="1" applyNumberFormat="1" applyFont="1" applyFill="1" applyBorder="1" applyAlignment="1">
      <alignment vertical="center" wrapText="1"/>
    </xf>
    <xf numFmtId="0" fontId="23" fillId="2" borderId="0" xfId="2" applyFont="1" applyFill="1" applyAlignment="1">
      <alignment vertical="center" wrapText="1"/>
    </xf>
    <xf numFmtId="0" fontId="17" fillId="2" borderId="0" xfId="2" applyFont="1" applyFill="1" applyAlignment="1">
      <alignment vertical="center"/>
    </xf>
    <xf numFmtId="0" fontId="23" fillId="2" borderId="1" xfId="2" applyFont="1" applyFill="1" applyBorder="1" applyAlignment="1">
      <alignment horizontal="left" vertical="center" wrapText="1"/>
    </xf>
    <xf numFmtId="0" fontId="23" fillId="2" borderId="0" xfId="2" applyFont="1" applyFill="1" applyAlignment="1">
      <alignment wrapText="1"/>
    </xf>
    <xf numFmtId="0" fontId="23" fillId="0" borderId="0" xfId="2" applyFont="1" applyAlignment="1">
      <alignment wrapText="1"/>
    </xf>
    <xf numFmtId="0" fontId="23" fillId="0" borderId="0" xfId="2" applyFont="1" applyAlignment="1">
      <alignment vertical="center" wrapText="1"/>
    </xf>
    <xf numFmtId="0" fontId="24" fillId="0" borderId="0" xfId="2" applyFont="1" applyAlignment="1">
      <alignment horizontal="center" wrapText="1" shrinkToFit="1"/>
    </xf>
    <xf numFmtId="0" fontId="23" fillId="0" borderId="0" xfId="2" applyFont="1" applyAlignment="1">
      <alignment vertical="center" wrapText="1" shrinkToFit="1"/>
    </xf>
    <xf numFmtId="0" fontId="23" fillId="0" borderId="0" xfId="2" applyFont="1" applyAlignment="1">
      <alignment wrapText="1" shrinkToFit="1"/>
    </xf>
    <xf numFmtId="0" fontId="17" fillId="2" borderId="0" xfId="2" applyFont="1" applyFill="1" applyAlignment="1">
      <alignment horizontal="center"/>
    </xf>
    <xf numFmtId="0" fontId="24" fillId="2" borderId="0" xfId="10" applyFont="1" applyFill="1"/>
    <xf numFmtId="0" fontId="24" fillId="2" borderId="0" xfId="2" applyFont="1" applyFill="1"/>
    <xf numFmtId="0" fontId="24" fillId="2" borderId="0" xfId="2" applyFont="1" applyFill="1" applyAlignment="1">
      <alignment horizontal="center"/>
    </xf>
    <xf numFmtId="176" fontId="24" fillId="2" borderId="0" xfId="5" applyNumberFormat="1" applyFont="1" applyFill="1"/>
    <xf numFmtId="176" fontId="24" fillId="2" borderId="0" xfId="8" applyNumberFormat="1" applyFont="1" applyFill="1"/>
    <xf numFmtId="0" fontId="24" fillId="2" borderId="0" xfId="2" applyFont="1" applyFill="1" applyAlignment="1">
      <alignment vertical="center"/>
    </xf>
    <xf numFmtId="0" fontId="23" fillId="2" borderId="0" xfId="2" applyFont="1" applyFill="1" applyAlignment="1">
      <alignment horizontal="center" vertical="center" wrapText="1"/>
    </xf>
    <xf numFmtId="0" fontId="23" fillId="2" borderId="0" xfId="2" applyFont="1" applyFill="1" applyAlignment="1">
      <alignment horizontal="center" vertical="center"/>
    </xf>
    <xf numFmtId="0" fontId="23" fillId="2" borderId="0" xfId="2" applyFont="1" applyFill="1"/>
    <xf numFmtId="0" fontId="23" fillId="2" borderId="0" xfId="2" applyFont="1" applyFill="1" applyAlignment="1">
      <alignment horizontal="center"/>
    </xf>
    <xf numFmtId="176" fontId="23" fillId="2" borderId="0" xfId="5" applyNumberFormat="1" applyFont="1" applyFill="1"/>
    <xf numFmtId="175" fontId="23" fillId="2" borderId="0" xfId="2" applyNumberFormat="1" applyFont="1" applyFill="1"/>
    <xf numFmtId="0" fontId="23" fillId="2" borderId="0" xfId="2" applyFont="1" applyFill="1" applyAlignment="1">
      <alignment horizontal="left"/>
    </xf>
    <xf numFmtId="176" fontId="23" fillId="2" borderId="0" xfId="8" applyNumberFormat="1" applyFont="1" applyFill="1"/>
    <xf numFmtId="0" fontId="23" fillId="2" borderId="1" xfId="2" applyFont="1" applyFill="1" applyBorder="1" applyAlignment="1">
      <alignment horizontal="left" vertical="center" wrapText="1" shrinkToFit="1"/>
    </xf>
    <xf numFmtId="176" fontId="23" fillId="2" borderId="1" xfId="5" applyNumberFormat="1" applyFont="1" applyFill="1" applyBorder="1" applyAlignment="1">
      <alignment vertical="center" wrapText="1"/>
    </xf>
    <xf numFmtId="176" fontId="23" fillId="2" borderId="0" xfId="5" applyNumberFormat="1" applyFont="1" applyFill="1" applyBorder="1" applyAlignment="1">
      <alignment vertical="center" wrapText="1"/>
    </xf>
    <xf numFmtId="176" fontId="23" fillId="2" borderId="0" xfId="2" applyNumberFormat="1" applyFont="1" applyFill="1" applyAlignment="1">
      <alignment vertical="center" wrapText="1"/>
    </xf>
    <xf numFmtId="176" fontId="23" fillId="2" borderId="1" xfId="5" applyNumberFormat="1" applyFont="1" applyFill="1" applyBorder="1" applyAlignment="1">
      <alignment horizontal="left" vertical="center" wrapText="1" shrinkToFit="1"/>
    </xf>
    <xf numFmtId="0" fontId="17" fillId="2" borderId="1" xfId="2" applyFont="1" applyFill="1" applyBorder="1" applyAlignment="1">
      <alignment vertical="center"/>
    </xf>
    <xf numFmtId="0" fontId="17" fillId="2" borderId="8" xfId="2" applyFont="1" applyFill="1" applyBorder="1" applyAlignment="1">
      <alignment horizontal="center" vertical="center"/>
    </xf>
    <xf numFmtId="0" fontId="17" fillId="2" borderId="8" xfId="2" applyFont="1" applyFill="1" applyBorder="1" applyAlignment="1">
      <alignment vertical="center" shrinkToFit="1"/>
    </xf>
    <xf numFmtId="49" fontId="19" fillId="2" borderId="8" xfId="625" applyNumberFormat="1" applyFont="1" applyFill="1" applyBorder="1" applyAlignment="1">
      <alignment vertical="center" shrinkToFit="1"/>
    </xf>
    <xf numFmtId="0" fontId="17" fillId="2" borderId="14" xfId="2" applyFont="1" applyFill="1" applyBorder="1" applyAlignment="1">
      <alignment vertical="center"/>
    </xf>
    <xf numFmtId="0" fontId="17" fillId="2" borderId="15" xfId="2" applyFont="1" applyFill="1" applyBorder="1" applyAlignment="1">
      <alignment vertical="center"/>
    </xf>
    <xf numFmtId="0" fontId="17" fillId="2" borderId="11" xfId="2" applyFont="1" applyFill="1" applyBorder="1" applyAlignment="1">
      <alignment horizontal="center" vertical="center"/>
    </xf>
    <xf numFmtId="0" fontId="17" fillId="2" borderId="11" xfId="2" applyFont="1" applyFill="1" applyBorder="1" applyAlignment="1">
      <alignment vertical="center" shrinkToFit="1"/>
    </xf>
    <xf numFmtId="49" fontId="19" fillId="2" borderId="11" xfId="625" applyNumberFormat="1" applyFont="1" applyFill="1" applyBorder="1" applyAlignment="1">
      <alignment vertical="center" shrinkToFit="1"/>
    </xf>
    <xf numFmtId="173" fontId="118" fillId="2" borderId="0" xfId="5" applyFont="1" applyFill="1" applyAlignment="1">
      <alignment horizontal="center"/>
    </xf>
    <xf numFmtId="0" fontId="17" fillId="2" borderId="9" xfId="2" applyFont="1" applyFill="1" applyBorder="1" applyAlignment="1">
      <alignment horizontal="center" vertical="center"/>
    </xf>
    <xf numFmtId="0" fontId="23" fillId="2" borderId="8" xfId="2" applyFont="1" applyFill="1" applyBorder="1" applyAlignment="1">
      <alignment horizontal="center" vertical="center"/>
    </xf>
    <xf numFmtId="0" fontId="23" fillId="2" borderId="8" xfId="2" applyFont="1" applyFill="1" applyBorder="1" applyAlignment="1">
      <alignment vertical="center" wrapText="1" shrinkToFit="1"/>
    </xf>
    <xf numFmtId="49" fontId="23" fillId="2" borderId="8" xfId="625" applyNumberFormat="1" applyFont="1" applyFill="1" applyBorder="1" applyAlignment="1">
      <alignment vertical="center" shrinkToFit="1"/>
    </xf>
    <xf numFmtId="176" fontId="23" fillId="2" borderId="8" xfId="5" applyNumberFormat="1" applyFont="1" applyFill="1" applyBorder="1" applyAlignment="1">
      <alignment horizontal="center" vertical="center"/>
    </xf>
    <xf numFmtId="0" fontId="23" fillId="2" borderId="14" xfId="2" applyFont="1" applyFill="1" applyBorder="1" applyAlignment="1">
      <alignment vertical="center"/>
    </xf>
    <xf numFmtId="0" fontId="23" fillId="2" borderId="15" xfId="2" applyFont="1" applyFill="1" applyBorder="1" applyAlignment="1">
      <alignment vertical="center"/>
    </xf>
    <xf numFmtId="176" fontId="24" fillId="2" borderId="8" xfId="5" applyNumberFormat="1" applyFont="1" applyFill="1" applyBorder="1" applyAlignment="1">
      <alignment horizontal="center" vertical="center"/>
    </xf>
    <xf numFmtId="0" fontId="24" fillId="2" borderId="1" xfId="2" applyFont="1" applyFill="1" applyBorder="1" applyAlignment="1">
      <alignment vertical="center"/>
    </xf>
    <xf numFmtId="0" fontId="23" fillId="2" borderId="0" xfId="2" applyFont="1" applyFill="1" applyAlignment="1">
      <alignment horizontal="left" wrapText="1"/>
    </xf>
    <xf numFmtId="173" fontId="222" fillId="2" borderId="0" xfId="5" applyFont="1" applyFill="1" applyAlignment="1">
      <alignment horizontal="center"/>
    </xf>
    <xf numFmtId="176" fontId="23" fillId="2" borderId="0" xfId="5" applyNumberFormat="1" applyFont="1" applyFill="1" applyBorder="1" applyAlignment="1">
      <alignment horizontal="center"/>
    </xf>
    <xf numFmtId="176" fontId="23" fillId="2" borderId="0" xfId="8" applyNumberFormat="1" applyFont="1" applyFill="1" applyAlignment="1">
      <alignment horizontal="center"/>
    </xf>
    <xf numFmtId="14" fontId="35" fillId="0" borderId="5" xfId="900" applyNumberFormat="1" applyFont="1" applyBorder="1" applyAlignment="1">
      <alignment horizontal="center" vertical="center" wrapText="1"/>
    </xf>
    <xf numFmtId="164" fontId="35" fillId="0" borderId="5" xfId="900" applyNumberFormat="1" applyFont="1" applyBorder="1" applyAlignment="1">
      <alignment horizontal="left" vertical="center" wrapText="1"/>
    </xf>
    <xf numFmtId="0" fontId="35" fillId="0" borderId="5" xfId="900" applyFont="1" applyBorder="1" applyAlignment="1">
      <alignment horizontal="center" vertical="center" wrapText="1"/>
    </xf>
    <xf numFmtId="176" fontId="35" fillId="0" borderId="5" xfId="902" applyNumberFormat="1" applyFont="1" applyBorder="1" applyAlignment="1">
      <alignment vertical="center" wrapText="1"/>
    </xf>
    <xf numFmtId="0" fontId="120" fillId="0" borderId="0" xfId="2" applyFont="1" applyAlignment="1">
      <alignment vertical="center" wrapText="1"/>
    </xf>
    <xf numFmtId="0" fontId="224" fillId="0" borderId="0" xfId="2" applyFont="1" applyAlignment="1">
      <alignment vertical="center" wrapText="1" shrinkToFit="1"/>
    </xf>
    <xf numFmtId="0" fontId="224" fillId="0" borderId="0" xfId="2" applyFont="1" applyAlignment="1">
      <alignment vertical="center" wrapText="1"/>
    </xf>
    <xf numFmtId="165" fontId="120" fillId="2" borderId="1" xfId="1" applyFont="1" applyFill="1" applyBorder="1" applyAlignment="1">
      <alignment horizontal="right" vertical="center" wrapText="1" shrinkToFit="1"/>
    </xf>
    <xf numFmtId="165" fontId="28" fillId="0" borderId="0" xfId="1" applyFont="1" applyFill="1" applyBorder="1" applyAlignment="1">
      <alignment horizontal="right" vertical="center" wrapText="1"/>
    </xf>
    <xf numFmtId="2" fontId="35" fillId="0" borderId="5" xfId="900" applyNumberFormat="1" applyFont="1" applyBorder="1" applyAlignment="1">
      <alignment horizontal="center" vertical="center" wrapText="1"/>
    </xf>
    <xf numFmtId="49" fontId="114" fillId="2" borderId="1" xfId="1568" quotePrefix="1" applyNumberFormat="1" applyFont="1" applyFill="1" applyBorder="1" applyAlignment="1">
      <alignment horizontal="left" vertical="center"/>
    </xf>
    <xf numFmtId="3" fontId="120" fillId="2" borderId="1" xfId="16" quotePrefix="1" applyNumberFormat="1" applyFont="1" applyFill="1" applyBorder="1" applyAlignment="1">
      <alignment vertical="center" wrapText="1"/>
    </xf>
    <xf numFmtId="175" fontId="23" fillId="2" borderId="1" xfId="5" applyNumberFormat="1" applyFont="1" applyFill="1" applyBorder="1" applyAlignment="1">
      <alignment vertical="center" wrapText="1"/>
    </xf>
    <xf numFmtId="174" fontId="122" fillId="0" borderId="0" xfId="5" applyNumberFormat="1" applyFont="1" applyFill="1" applyBorder="1" applyAlignment="1">
      <alignment horizontal="right" vertical="center" wrapText="1"/>
    </xf>
    <xf numFmtId="173" fontId="116" fillId="0" borderId="0" xfId="5" applyFont="1" applyFill="1" applyBorder="1" applyAlignment="1">
      <alignment horizontal="right" vertical="center" wrapText="1"/>
    </xf>
    <xf numFmtId="0" fontId="16" fillId="2" borderId="2" xfId="2" applyFont="1" applyFill="1" applyBorder="1" applyAlignment="1">
      <alignment horizontal="left" vertical="center" wrapText="1"/>
    </xf>
    <xf numFmtId="175" fontId="0" fillId="0" borderId="0" xfId="0" applyNumberFormat="1"/>
    <xf numFmtId="273" fontId="19" fillId="0" borderId="11" xfId="994" applyNumberFormat="1" applyFont="1" applyFill="1" applyBorder="1" applyAlignment="1">
      <alignment horizontal="right" vertical="center" shrinkToFit="1"/>
    </xf>
    <xf numFmtId="49" fontId="19" fillId="0" borderId="11" xfId="0" quotePrefix="1" applyNumberFormat="1" applyFont="1" applyBorder="1" applyAlignment="1">
      <alignment horizontal="center" vertical="center"/>
    </xf>
    <xf numFmtId="176" fontId="228" fillId="0" borderId="5" xfId="902" applyNumberFormat="1" applyFont="1" applyBorder="1" applyAlignment="1">
      <alignment vertical="center" wrapText="1"/>
    </xf>
    <xf numFmtId="0" fontId="17" fillId="2" borderId="8" xfId="0" applyFont="1" applyFill="1" applyBorder="1" applyAlignment="1">
      <alignment horizontal="center" vertical="center"/>
    </xf>
    <xf numFmtId="14" fontId="17" fillId="2" borderId="8" xfId="0" applyNumberFormat="1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left" vertical="center"/>
    </xf>
    <xf numFmtId="176" fontId="17" fillId="2" borderId="8" xfId="1" applyNumberFormat="1" applyFont="1" applyFill="1" applyBorder="1" applyAlignment="1">
      <alignment horizontal="center" vertical="center"/>
    </xf>
    <xf numFmtId="14" fontId="230" fillId="20" borderId="46" xfId="2" applyNumberFormat="1" applyFont="1" applyFill="1" applyBorder="1" applyAlignment="1">
      <alignment horizontal="center" vertical="center" shrinkToFit="1"/>
    </xf>
    <xf numFmtId="0" fontId="230" fillId="20" borderId="46" xfId="2" applyFont="1" applyFill="1" applyBorder="1" applyAlignment="1">
      <alignment horizontal="center" vertical="center" shrinkToFit="1"/>
    </xf>
    <xf numFmtId="0" fontId="230" fillId="20" borderId="46" xfId="2" applyFont="1" applyFill="1" applyBorder="1" applyAlignment="1">
      <alignment horizontal="left" vertical="center" shrinkToFit="1"/>
    </xf>
    <xf numFmtId="176" fontId="230" fillId="20" borderId="46" xfId="995" applyNumberFormat="1" applyFont="1" applyFill="1" applyBorder="1" applyAlignment="1">
      <alignment horizontal="center" vertical="center" shrinkToFit="1"/>
    </xf>
    <xf numFmtId="176" fontId="230" fillId="20" borderId="0" xfId="995" applyNumberFormat="1" applyFont="1" applyFill="1" applyBorder="1" applyAlignment="1">
      <alignment horizontal="center" vertical="center" shrinkToFit="1"/>
    </xf>
    <xf numFmtId="176" fontId="0" fillId="0" borderId="0" xfId="0" applyNumberFormat="1"/>
    <xf numFmtId="0" fontId="231" fillId="0" borderId="1" xfId="0" applyFont="1" applyBorder="1" applyAlignment="1">
      <alignment horizontal="center"/>
    </xf>
    <xf numFmtId="14" fontId="231" fillId="0" borderId="1" xfId="0" applyNumberFormat="1" applyFont="1" applyBorder="1" applyAlignment="1">
      <alignment horizontal="center"/>
    </xf>
    <xf numFmtId="0" fontId="231" fillId="0" borderId="1" xfId="0" applyFont="1" applyBorder="1" applyAlignment="1">
      <alignment horizontal="left" wrapText="1"/>
    </xf>
    <xf numFmtId="176" fontId="231" fillId="0" borderId="1" xfId="0" applyNumberFormat="1" applyFont="1" applyBorder="1"/>
    <xf numFmtId="225" fontId="19" fillId="0" borderId="11" xfId="0" applyNumberFormat="1" applyFont="1" applyBorder="1" applyAlignment="1">
      <alignment horizontal="center" vertical="center" shrinkToFit="1"/>
    </xf>
    <xf numFmtId="0" fontId="19" fillId="0" borderId="11" xfId="0" quotePrefix="1" applyFont="1" applyBorder="1" applyAlignment="1">
      <alignment horizontal="justify" vertical="center"/>
    </xf>
    <xf numFmtId="274" fontId="19" fillId="0" borderId="11" xfId="994" applyNumberFormat="1" applyFont="1" applyFill="1" applyBorder="1" applyAlignment="1">
      <alignment horizontal="right" vertical="center" shrinkToFit="1"/>
    </xf>
    <xf numFmtId="273" fontId="19" fillId="0" borderId="11" xfId="0" applyNumberFormat="1" applyFont="1" applyBorder="1" applyAlignment="1">
      <alignment horizontal="right" vertical="center" shrinkToFit="1"/>
    </xf>
    <xf numFmtId="273" fontId="0" fillId="0" borderId="0" xfId="0" applyNumberFormat="1"/>
    <xf numFmtId="0" fontId="33" fillId="0" borderId="1" xfId="622" applyFont="1" applyBorder="1" applyAlignment="1">
      <alignment horizontal="center" vertical="center" wrapText="1"/>
    </xf>
    <xf numFmtId="9" fontId="33" fillId="0" borderId="1" xfId="622" applyNumberFormat="1" applyFont="1" applyBorder="1" applyAlignment="1">
      <alignment horizontal="center" vertical="center"/>
    </xf>
    <xf numFmtId="0" fontId="15" fillId="0" borderId="1" xfId="1598" applyFont="1" applyBorder="1" applyAlignment="1">
      <alignment horizontal="left" vertical="center" wrapText="1"/>
    </xf>
    <xf numFmtId="0" fontId="15" fillId="0" borderId="1" xfId="622" quotePrefix="1" applyBorder="1" applyAlignment="1">
      <alignment horizontal="center" vertical="center" wrapText="1"/>
    </xf>
    <xf numFmtId="275" fontId="15" fillId="0" borderId="1" xfId="622" applyNumberFormat="1" applyBorder="1" applyAlignment="1">
      <alignment horizontal="center" vertical="center" wrapText="1"/>
    </xf>
    <xf numFmtId="176" fontId="15" fillId="0" borderId="1" xfId="1542" applyNumberFormat="1" applyFont="1" applyBorder="1" applyAlignment="1">
      <alignment horizontal="center" vertical="center" wrapText="1"/>
    </xf>
    <xf numFmtId="0" fontId="15" fillId="0" borderId="1" xfId="622" applyBorder="1" applyAlignment="1">
      <alignment horizontal="center" vertical="center" wrapText="1"/>
    </xf>
    <xf numFmtId="176" fontId="15" fillId="0" borderId="1" xfId="1542" applyNumberFormat="1" applyFont="1" applyFill="1" applyBorder="1" applyAlignment="1">
      <alignment horizontal="center" vertical="center" wrapText="1"/>
    </xf>
    <xf numFmtId="273" fontId="18" fillId="0" borderId="11" xfId="0" applyNumberFormat="1" applyFont="1" applyBorder="1" applyAlignment="1">
      <alignment horizontal="right" vertical="center" shrinkToFit="1"/>
    </xf>
    <xf numFmtId="273" fontId="226" fillId="0" borderId="11" xfId="0" applyNumberFormat="1" applyFont="1" applyBorder="1" applyAlignment="1">
      <alignment horizontal="right" vertical="center" shrinkToFit="1"/>
    </xf>
    <xf numFmtId="176" fontId="234" fillId="20" borderId="0" xfId="995" applyNumberFormat="1" applyFont="1" applyFill="1" applyBorder="1" applyAlignment="1">
      <alignment horizontal="center" vertical="center" shrinkToFit="1"/>
    </xf>
    <xf numFmtId="176" fontId="235" fillId="0" borderId="0" xfId="0" applyNumberFormat="1" applyFont="1"/>
    <xf numFmtId="273" fontId="225" fillId="0" borderId="11" xfId="0" applyNumberFormat="1" applyFont="1" applyBorder="1" applyAlignment="1">
      <alignment horizontal="right" vertical="center" shrinkToFit="1"/>
    </xf>
    <xf numFmtId="0" fontId="232" fillId="0" borderId="1" xfId="1598" applyFont="1" applyBorder="1" applyAlignment="1">
      <alignment horizontal="left" vertical="center" wrapText="1"/>
    </xf>
    <xf numFmtId="0" fontId="232" fillId="0" borderId="1" xfId="622" quotePrefix="1" applyFont="1" applyBorder="1" applyAlignment="1">
      <alignment horizontal="center" vertical="center" wrapText="1"/>
    </xf>
    <xf numFmtId="275" fontId="232" fillId="0" borderId="1" xfId="622" applyNumberFormat="1" applyFont="1" applyBorder="1" applyAlignment="1">
      <alignment horizontal="center" vertical="center" wrapText="1"/>
    </xf>
    <xf numFmtId="176" fontId="232" fillId="0" borderId="1" xfId="1542" applyNumberFormat="1" applyFont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240" fillId="0" borderId="0" xfId="0" applyFont="1" applyAlignment="1">
      <alignment horizontal="right" vertical="center" wrapText="1"/>
    </xf>
    <xf numFmtId="3" fontId="241" fillId="0" borderId="0" xfId="0" applyNumberFormat="1" applyFont="1" applyAlignment="1">
      <alignment horizontal="right" vertical="center" shrinkToFit="1"/>
    </xf>
    <xf numFmtId="0" fontId="240" fillId="0" borderId="0" xfId="0" applyFont="1" applyAlignment="1">
      <alignment horizontal="left" vertical="center" wrapText="1"/>
    </xf>
    <xf numFmtId="3" fontId="238" fillId="0" borderId="49" xfId="0" applyNumberFormat="1" applyFont="1" applyBorder="1" applyAlignment="1">
      <alignment horizontal="right" vertical="center" shrinkToFit="1"/>
    </xf>
    <xf numFmtId="175" fontId="33" fillId="0" borderId="1" xfId="1" applyNumberFormat="1" applyFont="1" applyBorder="1" applyAlignment="1">
      <alignment horizontal="center" vertical="center" wrapText="1"/>
    </xf>
    <xf numFmtId="175" fontId="33" fillId="0" borderId="1" xfId="1" applyNumberFormat="1" applyFont="1" applyBorder="1" applyAlignment="1">
      <alignment horizontal="center" vertical="center"/>
    </xf>
    <xf numFmtId="3" fontId="246" fillId="47" borderId="0" xfId="0" applyNumberFormat="1" applyFont="1" applyFill="1" applyAlignment="1">
      <alignment horizontal="right" vertical="center" shrinkToFit="1"/>
    </xf>
    <xf numFmtId="0" fontId="235" fillId="47" borderId="0" xfId="0" applyFont="1" applyFill="1" applyAlignment="1">
      <alignment horizontal="left" vertical="center" wrapText="1"/>
    </xf>
    <xf numFmtId="0" fontId="246" fillId="47" borderId="0" xfId="0" applyFont="1" applyFill="1" applyAlignment="1">
      <alignment horizontal="right" vertical="center" wrapText="1"/>
    </xf>
    <xf numFmtId="0" fontId="246" fillId="47" borderId="0" xfId="0" applyFont="1" applyFill="1" applyAlignment="1">
      <alignment horizontal="left" vertical="center" wrapText="1"/>
    </xf>
    <xf numFmtId="0" fontId="246" fillId="49" borderId="0" xfId="0" applyFont="1" applyFill="1" applyAlignment="1">
      <alignment horizontal="left" vertical="center" wrapText="1"/>
    </xf>
    <xf numFmtId="0" fontId="235" fillId="49" borderId="0" xfId="0" applyFont="1" applyFill="1" applyAlignment="1">
      <alignment horizontal="left" vertical="center" wrapText="1"/>
    </xf>
    <xf numFmtId="0" fontId="246" fillId="49" borderId="0" xfId="0" applyFont="1" applyFill="1" applyAlignment="1">
      <alignment horizontal="right" vertical="center" wrapText="1"/>
    </xf>
    <xf numFmtId="3" fontId="246" fillId="49" borderId="0" xfId="0" applyNumberFormat="1" applyFont="1" applyFill="1" applyAlignment="1">
      <alignment horizontal="right" vertical="center" shrinkToFit="1"/>
    </xf>
    <xf numFmtId="0" fontId="15" fillId="49" borderId="1" xfId="1598" applyFont="1" applyFill="1" applyBorder="1" applyAlignment="1">
      <alignment horizontal="left" vertical="center" wrapText="1"/>
    </xf>
    <xf numFmtId="0" fontId="15" fillId="49" borderId="1" xfId="622" applyFill="1" applyBorder="1" applyAlignment="1">
      <alignment horizontal="center" vertical="center" wrapText="1"/>
    </xf>
    <xf numFmtId="275" fontId="15" fillId="49" borderId="1" xfId="622" applyNumberFormat="1" applyFill="1" applyBorder="1" applyAlignment="1">
      <alignment horizontal="center" vertical="center" wrapText="1"/>
    </xf>
    <xf numFmtId="176" fontId="15" fillId="49" borderId="1" xfId="1542" applyNumberFormat="1" applyFont="1" applyFill="1" applyBorder="1" applyAlignment="1">
      <alignment horizontal="center" vertical="center" wrapText="1"/>
    </xf>
    <xf numFmtId="3" fontId="241" fillId="49" borderId="0" xfId="0" applyNumberFormat="1" applyFont="1" applyFill="1" applyAlignment="1">
      <alignment horizontal="right" vertical="center" shrinkToFit="1"/>
    </xf>
    <xf numFmtId="0" fontId="0" fillId="49" borderId="0" xfId="0" applyFill="1" applyAlignment="1">
      <alignment horizontal="left" vertical="center" wrapText="1"/>
    </xf>
    <xf numFmtId="0" fontId="240" fillId="49" borderId="0" xfId="0" applyFont="1" applyFill="1" applyAlignment="1">
      <alignment horizontal="right" vertical="center" wrapText="1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/>
    </xf>
    <xf numFmtId="274" fontId="18" fillId="0" borderId="1" xfId="0" applyNumberFormat="1" applyFont="1" applyBorder="1" applyAlignment="1">
      <alignment horizontal="right" vertical="center" shrinkToFit="1"/>
    </xf>
    <xf numFmtId="273" fontId="18" fillId="0" borderId="1" xfId="0" applyNumberFormat="1" applyFont="1" applyBorder="1" applyAlignment="1">
      <alignment horizontal="right" vertical="center" shrinkToFit="1"/>
    </xf>
    <xf numFmtId="0" fontId="16" fillId="0" borderId="4" xfId="0" applyFont="1" applyBorder="1" applyAlignment="1">
      <alignment horizontal="centerContinuous"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Continuous" vertical="center" wrapText="1"/>
    </xf>
    <xf numFmtId="38" fontId="16" fillId="0" borderId="1" xfId="0" applyNumberFormat="1" applyFont="1" applyBorder="1" applyAlignment="1">
      <alignment horizontal="centerContinuous"/>
    </xf>
    <xf numFmtId="14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38" fontId="16" fillId="0" borderId="1" xfId="0" applyNumberFormat="1" applyFont="1" applyBorder="1" applyAlignment="1">
      <alignment horizontal="center"/>
    </xf>
    <xf numFmtId="14" fontId="18" fillId="0" borderId="11" xfId="0" applyNumberFormat="1" applyFont="1" applyBorder="1" applyAlignment="1">
      <alignment horizontal="justify" vertical="center"/>
    </xf>
    <xf numFmtId="0" fontId="18" fillId="0" borderId="11" xfId="0" applyFont="1" applyBorder="1" applyAlignment="1">
      <alignment horizontal="center" vertical="center"/>
    </xf>
    <xf numFmtId="37" fontId="18" fillId="0" borderId="11" xfId="0" applyNumberFormat="1" applyFont="1" applyBorder="1" applyAlignment="1">
      <alignment horizontal="right" vertical="center"/>
    </xf>
    <xf numFmtId="273" fontId="18" fillId="49" borderId="11" xfId="0" applyNumberFormat="1" applyFont="1" applyFill="1" applyBorder="1" applyAlignment="1">
      <alignment horizontal="right" vertical="center" shrinkToFit="1"/>
    </xf>
    <xf numFmtId="273" fontId="18" fillId="0" borderId="11" xfId="994" applyNumberFormat="1" applyFont="1" applyFill="1" applyBorder="1" applyAlignment="1">
      <alignment horizontal="right" vertical="center" shrinkToFit="1"/>
    </xf>
    <xf numFmtId="273" fontId="19" fillId="49" borderId="11" xfId="994" applyNumberFormat="1" applyFont="1" applyFill="1" applyBorder="1" applyAlignment="1">
      <alignment horizontal="right" vertical="center" shrinkToFit="1"/>
    </xf>
    <xf numFmtId="273" fontId="226" fillId="0" borderId="11" xfId="994" applyNumberFormat="1" applyFont="1" applyFill="1" applyBorder="1" applyAlignment="1">
      <alignment horizontal="right" vertical="center" shrinkToFit="1"/>
    </xf>
    <xf numFmtId="175" fontId="0" fillId="0" borderId="0" xfId="1" applyNumberFormat="1" applyFont="1"/>
    <xf numFmtId="175" fontId="229" fillId="0" borderId="0" xfId="1" applyNumberFormat="1" applyFont="1"/>
    <xf numFmtId="0" fontId="240" fillId="49" borderId="0" xfId="0" applyFont="1" applyFill="1" applyAlignment="1">
      <alignment horizontal="left" vertical="center" wrapText="1"/>
    </xf>
    <xf numFmtId="0" fontId="232" fillId="0" borderId="0" xfId="622" applyFont="1" applyAlignment="1">
      <alignment vertical="center"/>
    </xf>
    <xf numFmtId="14" fontId="233" fillId="0" borderId="0" xfId="622" applyNumberFormat="1" applyFont="1" applyAlignment="1">
      <alignment vertical="center"/>
    </xf>
    <xf numFmtId="176" fontId="233" fillId="0" borderId="0" xfId="1542" applyNumberFormat="1" applyFont="1" applyAlignment="1">
      <alignment vertical="center"/>
    </xf>
    <xf numFmtId="175" fontId="233" fillId="0" borderId="0" xfId="1" applyNumberFormat="1" applyFont="1" applyAlignment="1">
      <alignment vertical="center"/>
    </xf>
    <xf numFmtId="0" fontId="15" fillId="0" borderId="0" xfId="622" applyAlignment="1">
      <alignment vertical="center"/>
    </xf>
    <xf numFmtId="176" fontId="15" fillId="0" borderId="1" xfId="1542" applyNumberFormat="1" applyBorder="1" applyAlignment="1">
      <alignment vertical="center"/>
    </xf>
    <xf numFmtId="176" fontId="236" fillId="0" borderId="1" xfId="1542" applyNumberFormat="1" applyFont="1" applyBorder="1" applyAlignment="1">
      <alignment vertical="center"/>
    </xf>
    <xf numFmtId="175" fontId="15" fillId="0" borderId="1" xfId="1" applyNumberFormat="1" applyFont="1" applyBorder="1" applyAlignment="1">
      <alignment vertical="center"/>
    </xf>
    <xf numFmtId="176" fontId="232" fillId="0" borderId="1" xfId="1542" applyNumberFormat="1" applyFont="1" applyBorder="1" applyAlignment="1">
      <alignment vertical="center"/>
    </xf>
    <xf numFmtId="175" fontId="232" fillId="0" borderId="1" xfId="1" applyNumberFormat="1" applyFont="1" applyBorder="1" applyAlignment="1">
      <alignment vertical="center"/>
    </xf>
    <xf numFmtId="176" fontId="15" fillId="49" borderId="1" xfId="1542" applyNumberFormat="1" applyFill="1" applyBorder="1" applyAlignment="1">
      <alignment vertical="center"/>
    </xf>
    <xf numFmtId="175" fontId="15" fillId="49" borderId="1" xfId="1" applyNumberFormat="1" applyFont="1" applyFill="1" applyBorder="1" applyAlignment="1">
      <alignment vertical="center"/>
    </xf>
    <xf numFmtId="0" fontId="15" fillId="49" borderId="0" xfId="622" applyFill="1" applyAlignment="1">
      <alignment vertical="center"/>
    </xf>
    <xf numFmtId="0" fontId="0" fillId="0" borderId="0" xfId="0" applyAlignment="1">
      <alignment horizontal="left" vertical="center"/>
    </xf>
    <xf numFmtId="175" fontId="0" fillId="0" borderId="0" xfId="1" applyNumberFormat="1" applyFont="1" applyFill="1" applyBorder="1" applyAlignment="1">
      <alignment horizontal="left" vertical="center"/>
    </xf>
    <xf numFmtId="175" fontId="15" fillId="0" borderId="0" xfId="1" applyNumberFormat="1" applyFont="1" applyAlignment="1">
      <alignment vertical="center"/>
    </xf>
    <xf numFmtId="276" fontId="237" fillId="0" borderId="47" xfId="0" applyNumberFormat="1" applyFont="1" applyBorder="1" applyAlignment="1">
      <alignment horizontal="right" vertical="center" shrinkToFit="1"/>
    </xf>
    <xf numFmtId="0" fontId="239" fillId="0" borderId="48" xfId="0" applyFont="1" applyBorder="1" applyAlignment="1">
      <alignment horizontal="left" vertical="center" wrapText="1"/>
    </xf>
    <xf numFmtId="0" fontId="239" fillId="0" borderId="48" xfId="0" applyFont="1" applyBorder="1" applyAlignment="1">
      <alignment horizontal="right" vertical="center" wrapText="1"/>
    </xf>
    <xf numFmtId="0" fontId="0" fillId="0" borderId="48" xfId="0" applyBorder="1" applyAlignment="1">
      <alignment horizontal="right" vertical="center" wrapText="1"/>
    </xf>
    <xf numFmtId="0" fontId="239" fillId="0" borderId="0" xfId="0" applyFont="1" applyAlignment="1">
      <alignment horizontal="left" vertical="center" wrapText="1"/>
    </xf>
    <xf numFmtId="0" fontId="235" fillId="49" borderId="0" xfId="0" applyFont="1" applyFill="1" applyAlignment="1">
      <alignment horizontal="left" vertical="center"/>
    </xf>
    <xf numFmtId="175" fontId="235" fillId="49" borderId="0" xfId="1" applyNumberFormat="1" applyFont="1" applyFill="1" applyBorder="1" applyAlignment="1">
      <alignment horizontal="left" vertical="center"/>
    </xf>
    <xf numFmtId="175" fontId="232" fillId="49" borderId="0" xfId="1" applyNumberFormat="1" applyFont="1" applyFill="1" applyAlignment="1">
      <alignment vertical="center"/>
    </xf>
    <xf numFmtId="0" fontId="232" fillId="49" borderId="0" xfId="622" applyFont="1" applyFill="1" applyAlignment="1">
      <alignment vertical="center"/>
    </xf>
    <xf numFmtId="0" fontId="235" fillId="47" borderId="0" xfId="0" applyFont="1" applyFill="1" applyAlignment="1">
      <alignment horizontal="left" vertical="center"/>
    </xf>
    <xf numFmtId="175" fontId="235" fillId="47" borderId="0" xfId="1" applyNumberFormat="1" applyFont="1" applyFill="1" applyBorder="1" applyAlignment="1">
      <alignment horizontal="left" vertical="center"/>
    </xf>
    <xf numFmtId="175" fontId="232" fillId="47" borderId="0" xfId="1" applyNumberFormat="1" applyFont="1" applyFill="1" applyAlignment="1">
      <alignment vertical="center"/>
    </xf>
    <xf numFmtId="0" fontId="232" fillId="47" borderId="0" xfId="622" applyFont="1" applyFill="1" applyAlignment="1">
      <alignment vertical="center"/>
    </xf>
    <xf numFmtId="0" fontId="0" fillId="49" borderId="0" xfId="0" applyFill="1" applyAlignment="1">
      <alignment horizontal="left" vertical="center"/>
    </xf>
    <xf numFmtId="175" fontId="0" fillId="49" borderId="0" xfId="1" applyNumberFormat="1" applyFont="1" applyFill="1" applyBorder="1" applyAlignment="1">
      <alignment horizontal="left" vertical="center"/>
    </xf>
    <xf numFmtId="175" fontId="15" fillId="49" borderId="0" xfId="1" applyNumberFormat="1" applyFont="1" applyFill="1" applyAlignment="1">
      <alignment vertical="center"/>
    </xf>
    <xf numFmtId="0" fontId="242" fillId="0" borderId="47" xfId="0" applyFont="1" applyBorder="1" applyAlignment="1">
      <alignment horizontal="right" vertical="center" wrapText="1"/>
    </xf>
    <xf numFmtId="0" fontId="243" fillId="0" borderId="47" xfId="0" applyFont="1" applyBorder="1" applyAlignment="1">
      <alignment horizontal="right" vertical="center" wrapText="1"/>
    </xf>
    <xf numFmtId="0" fontId="244" fillId="0" borderId="47" xfId="0" applyFont="1" applyBorder="1" applyAlignment="1">
      <alignment horizontal="right" vertical="center" wrapText="1"/>
    </xf>
    <xf numFmtId="3" fontId="15" fillId="0" borderId="0" xfId="622" applyNumberFormat="1" applyAlignment="1">
      <alignment vertical="center"/>
    </xf>
    <xf numFmtId="0" fontId="239" fillId="0" borderId="0" xfId="0" applyFont="1" applyAlignment="1">
      <alignment horizontal="right" vertical="center" wrapText="1"/>
    </xf>
    <xf numFmtId="0" fontId="242" fillId="0" borderId="0" xfId="0" applyFont="1" applyAlignment="1">
      <alignment horizontal="left" vertical="center" wrapText="1"/>
    </xf>
    <xf numFmtId="0" fontId="242" fillId="0" borderId="0" xfId="0" applyFont="1" applyAlignment="1">
      <alignment horizontal="right" vertical="center" wrapText="1"/>
    </xf>
    <xf numFmtId="3" fontId="245" fillId="0" borderId="0" xfId="0" applyNumberFormat="1" applyFont="1" applyAlignment="1">
      <alignment horizontal="right" vertical="center" shrinkToFit="1"/>
    </xf>
    <xf numFmtId="3" fontId="237" fillId="0" borderId="49" xfId="0" applyNumberFormat="1" applyFont="1" applyBorder="1" applyAlignment="1">
      <alignment horizontal="right" vertical="center" shrinkToFit="1"/>
    </xf>
    <xf numFmtId="175" fontId="18" fillId="0" borderId="11" xfId="1" applyNumberFormat="1" applyFont="1" applyFill="1" applyBorder="1" applyAlignment="1">
      <alignment horizontal="right" vertical="center" shrinkToFit="1"/>
    </xf>
    <xf numFmtId="175" fontId="19" fillId="0" borderId="11" xfId="1" applyNumberFormat="1" applyFont="1" applyFill="1" applyBorder="1" applyAlignment="1">
      <alignment horizontal="right" vertical="center" shrinkToFit="1"/>
    </xf>
    <xf numFmtId="175" fontId="18" fillId="0" borderId="1" xfId="1" applyNumberFormat="1" applyFont="1" applyBorder="1" applyAlignment="1">
      <alignment horizontal="right" vertical="center" shrinkToFit="1"/>
    </xf>
    <xf numFmtId="273" fontId="19" fillId="49" borderId="11" xfId="0" applyNumberFormat="1" applyFont="1" applyFill="1" applyBorder="1" applyAlignment="1">
      <alignment horizontal="right" vertical="center" shrinkToFit="1"/>
    </xf>
    <xf numFmtId="175" fontId="19" fillId="49" borderId="11" xfId="1" applyNumberFormat="1" applyFont="1" applyFill="1" applyBorder="1" applyAlignment="1">
      <alignment horizontal="right" vertical="center" shrinkToFit="1"/>
    </xf>
    <xf numFmtId="175" fontId="247" fillId="49" borderId="0" xfId="0" applyNumberFormat="1" applyFont="1" applyFill="1"/>
    <xf numFmtId="0" fontId="15" fillId="45" borderId="1" xfId="1598" applyFont="1" applyFill="1" applyBorder="1" applyAlignment="1">
      <alignment horizontal="left" vertical="center" wrapText="1"/>
    </xf>
    <xf numFmtId="0" fontId="15" fillId="45" borderId="1" xfId="622" applyFill="1" applyBorder="1" applyAlignment="1">
      <alignment horizontal="center" vertical="center" wrapText="1"/>
    </xf>
    <xf numFmtId="275" fontId="15" fillId="45" borderId="1" xfId="622" applyNumberFormat="1" applyFill="1" applyBorder="1" applyAlignment="1">
      <alignment horizontal="center" vertical="center" wrapText="1"/>
    </xf>
    <xf numFmtId="176" fontId="15" fillId="45" borderId="1" xfId="1542" applyNumberFormat="1" applyFont="1" applyFill="1" applyBorder="1" applyAlignment="1">
      <alignment horizontal="center" vertical="center" wrapText="1"/>
    </xf>
    <xf numFmtId="176" fontId="15" fillId="45" borderId="1" xfId="1542" applyNumberFormat="1" applyFill="1" applyBorder="1" applyAlignment="1">
      <alignment vertical="center"/>
    </xf>
    <xf numFmtId="175" fontId="15" fillId="45" borderId="1" xfId="1" applyNumberFormat="1" applyFont="1" applyFill="1" applyBorder="1" applyAlignment="1">
      <alignment vertical="center"/>
    </xf>
    <xf numFmtId="0" fontId="15" fillId="45" borderId="0" xfId="622" applyFill="1" applyAlignment="1">
      <alignment vertical="center"/>
    </xf>
    <xf numFmtId="0" fontId="32" fillId="2" borderId="6" xfId="0" applyFont="1" applyFill="1" applyBorder="1" applyAlignment="1">
      <alignment horizontal="center" vertical="center"/>
    </xf>
    <xf numFmtId="14" fontId="32" fillId="2" borderId="6" xfId="0" applyNumberFormat="1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left" vertical="center" wrapText="1"/>
    </xf>
    <xf numFmtId="0" fontId="227" fillId="2" borderId="6" xfId="0" applyFont="1" applyFill="1" applyBorder="1" applyAlignment="1">
      <alignment horizontal="center" vertical="center"/>
    </xf>
    <xf numFmtId="176" fontId="32" fillId="2" borderId="6" xfId="1" applyNumberFormat="1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0" fontId="248" fillId="2" borderId="1" xfId="0" applyFont="1" applyFill="1" applyBorder="1" applyAlignment="1">
      <alignment horizontal="left" vertical="center" wrapText="1"/>
    </xf>
    <xf numFmtId="0" fontId="227" fillId="2" borderId="1" xfId="0" applyFont="1" applyFill="1" applyBorder="1" applyAlignment="1">
      <alignment horizontal="center" vertical="center"/>
    </xf>
    <xf numFmtId="176" fontId="249" fillId="2" borderId="1" xfId="1" applyNumberFormat="1" applyFont="1" applyFill="1" applyBorder="1" applyAlignment="1">
      <alignment horizontal="center" vertical="center" shrinkToFit="1"/>
    </xf>
    <xf numFmtId="175" fontId="232" fillId="47" borderId="0" xfId="622" applyNumberFormat="1" applyFont="1" applyFill="1" applyAlignment="1">
      <alignment vertical="center"/>
    </xf>
    <xf numFmtId="0" fontId="0" fillId="0" borderId="0" xfId="1" applyNumberFormat="1" applyFont="1" applyFill="1" applyBorder="1" applyAlignment="1">
      <alignment horizontal="center" vertical="center"/>
    </xf>
    <xf numFmtId="2" fontId="35" fillId="0" borderId="1" xfId="900" applyNumberFormat="1" applyFont="1" applyBorder="1" applyAlignment="1">
      <alignment horizontal="center" vertical="center" wrapText="1"/>
    </xf>
    <xf numFmtId="14" fontId="35" fillId="0" borderId="1" xfId="900" applyNumberFormat="1" applyFont="1" applyBorder="1" applyAlignment="1">
      <alignment horizontal="center" vertical="center" wrapText="1"/>
    </xf>
    <xf numFmtId="164" fontId="35" fillId="0" borderId="1" xfId="900" applyNumberFormat="1" applyFont="1" applyBorder="1" applyAlignment="1">
      <alignment horizontal="left" vertical="center" wrapText="1"/>
    </xf>
    <xf numFmtId="0" fontId="35" fillId="0" borderId="1" xfId="900" applyFont="1" applyBorder="1" applyAlignment="1">
      <alignment horizontal="center" vertical="center" wrapText="1"/>
    </xf>
    <xf numFmtId="175" fontId="17" fillId="0" borderId="1" xfId="1" applyNumberFormat="1" applyFont="1" applyBorder="1" applyAlignment="1">
      <alignment vertical="center" wrapText="1"/>
    </xf>
    <xf numFmtId="175" fontId="250" fillId="0" borderId="0" xfId="0" applyNumberFormat="1" applyFont="1"/>
    <xf numFmtId="273" fontId="247" fillId="0" borderId="0" xfId="0" applyNumberFormat="1" applyFont="1"/>
    <xf numFmtId="0" fontId="120" fillId="2" borderId="1" xfId="0" applyFont="1" applyFill="1" applyBorder="1" applyAlignment="1" applyProtection="1">
      <alignment horizontal="left" vertical="center" wrapText="1" shrinkToFit="1"/>
      <protection hidden="1"/>
    </xf>
    <xf numFmtId="49" fontId="120" fillId="2" borderId="1" xfId="649" applyNumberFormat="1" applyFont="1" applyFill="1" applyBorder="1" applyAlignment="1">
      <alignment vertical="center" wrapText="1"/>
    </xf>
    <xf numFmtId="3" fontId="232" fillId="49" borderId="0" xfId="622" applyNumberFormat="1" applyFont="1" applyFill="1" applyAlignment="1">
      <alignment vertical="center"/>
    </xf>
    <xf numFmtId="176" fontId="24" fillId="2" borderId="9" xfId="5" applyNumberFormat="1" applyFont="1" applyFill="1" applyBorder="1" applyAlignment="1">
      <alignment horizontal="center" vertical="center"/>
    </xf>
    <xf numFmtId="3" fontId="23" fillId="2" borderId="0" xfId="2" applyNumberFormat="1" applyFont="1" applyFill="1" applyAlignment="1">
      <alignment vertical="center"/>
    </xf>
    <xf numFmtId="176" fontId="23" fillId="2" borderId="0" xfId="2" applyNumberFormat="1" applyFont="1" applyFill="1" applyAlignment="1">
      <alignment vertical="center"/>
    </xf>
    <xf numFmtId="3" fontId="17" fillId="2" borderId="0" xfId="2" applyNumberFormat="1" applyFont="1" applyFill="1" applyAlignment="1">
      <alignment vertical="center"/>
    </xf>
    <xf numFmtId="3" fontId="24" fillId="2" borderId="0" xfId="2" applyNumberFormat="1" applyFont="1" applyFill="1" applyAlignment="1">
      <alignment vertical="center"/>
    </xf>
    <xf numFmtId="3" fontId="23" fillId="2" borderId="0" xfId="2" applyNumberFormat="1" applyFont="1" applyFill="1" applyAlignment="1">
      <alignment vertical="center" wrapText="1"/>
    </xf>
    <xf numFmtId="176" fontId="23" fillId="2" borderId="0" xfId="2" applyNumberFormat="1" applyFont="1" applyFill="1"/>
    <xf numFmtId="175" fontId="23" fillId="2" borderId="0" xfId="1" applyNumberFormat="1" applyFont="1" applyFill="1" applyAlignment="1">
      <alignment vertical="center" wrapText="1"/>
    </xf>
    <xf numFmtId="0" fontId="24" fillId="4" borderId="1" xfId="2" applyFont="1" applyFill="1" applyBorder="1" applyAlignment="1">
      <alignment horizontal="center" vertical="center"/>
    </xf>
    <xf numFmtId="49" fontId="24" fillId="4" borderId="1" xfId="625" applyNumberFormat="1" applyFont="1" applyFill="1" applyBorder="1" applyAlignment="1">
      <alignment vertical="center" shrinkToFit="1"/>
    </xf>
    <xf numFmtId="0" fontId="17" fillId="4" borderId="1" xfId="2" applyFont="1" applyFill="1" applyBorder="1" applyAlignment="1">
      <alignment horizontal="center" vertical="center"/>
    </xf>
    <xf numFmtId="176" fontId="24" fillId="4" borderId="1" xfId="5" applyNumberFormat="1" applyFont="1" applyFill="1" applyBorder="1" applyAlignment="1">
      <alignment horizontal="center" vertical="center"/>
    </xf>
    <xf numFmtId="0" fontId="17" fillId="0" borderId="8" xfId="2" applyFont="1" applyBorder="1" applyAlignment="1">
      <alignment horizontal="center" vertical="center"/>
    </xf>
    <xf numFmtId="0" fontId="17" fillId="0" borderId="8" xfId="2" applyFont="1" applyBorder="1" applyAlignment="1">
      <alignment vertical="center" shrinkToFit="1"/>
    </xf>
    <xf numFmtId="49" fontId="19" fillId="0" borderId="8" xfId="625" applyNumberFormat="1" applyFont="1" applyBorder="1" applyAlignment="1">
      <alignment vertical="center" shrinkToFit="1"/>
    </xf>
    <xf numFmtId="0" fontId="24" fillId="4" borderId="33" xfId="2" applyFont="1" applyFill="1" applyBorder="1" applyAlignment="1">
      <alignment horizontal="center" vertical="center"/>
    </xf>
    <xf numFmtId="49" fontId="24" fillId="4" borderId="33" xfId="625" applyNumberFormat="1" applyFont="1" applyFill="1" applyBorder="1" applyAlignment="1">
      <alignment vertical="center" shrinkToFit="1"/>
    </xf>
    <xf numFmtId="0" fontId="17" fillId="4" borderId="33" xfId="2" applyFont="1" applyFill="1" applyBorder="1" applyAlignment="1">
      <alignment horizontal="center" vertical="center"/>
    </xf>
    <xf numFmtId="176" fontId="24" fillId="4" borderId="33" xfId="5" applyNumberFormat="1" applyFont="1" applyFill="1" applyBorder="1" applyAlignment="1">
      <alignment horizontal="center" vertical="center"/>
    </xf>
    <xf numFmtId="49" fontId="224" fillId="2" borderId="1" xfId="1569" quotePrefix="1" applyNumberFormat="1" applyFont="1" applyFill="1" applyBorder="1" applyAlignment="1">
      <alignment horizontal="left" vertical="center" wrapText="1"/>
    </xf>
    <xf numFmtId="49" fontId="224" fillId="2" borderId="1" xfId="1569" quotePrefix="1" applyNumberFormat="1" applyFont="1" applyFill="1" applyBorder="1" applyAlignment="1">
      <alignment vertical="center" wrapText="1"/>
    </xf>
    <xf numFmtId="0" fontId="24" fillId="48" borderId="1" xfId="2" applyFont="1" applyFill="1" applyBorder="1" applyAlignment="1">
      <alignment horizontal="center" vertical="center"/>
    </xf>
    <xf numFmtId="49" fontId="24" fillId="48" borderId="1" xfId="625" applyNumberFormat="1" applyFont="1" applyFill="1" applyBorder="1" applyAlignment="1">
      <alignment horizontal="center" vertical="center" wrapText="1"/>
    </xf>
    <xf numFmtId="0" fontId="24" fillId="48" borderId="1" xfId="2" applyFont="1" applyFill="1" applyBorder="1" applyAlignment="1">
      <alignment horizontal="center" vertical="center" wrapText="1"/>
    </xf>
    <xf numFmtId="165" fontId="24" fillId="48" borderId="1" xfId="556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vertical="center" wrapText="1" shrinkToFit="1"/>
    </xf>
    <xf numFmtId="0" fontId="24" fillId="2" borderId="0" xfId="2" applyFont="1" applyFill="1" applyAlignment="1">
      <alignment horizontal="center" vertical="center"/>
    </xf>
    <xf numFmtId="0" fontId="17" fillId="0" borderId="0" xfId="2" applyFont="1" applyAlignment="1">
      <alignment vertical="center"/>
    </xf>
    <xf numFmtId="176" fontId="23" fillId="0" borderId="0" xfId="2" applyNumberFormat="1" applyFont="1" applyAlignment="1">
      <alignment vertical="center"/>
    </xf>
    <xf numFmtId="176" fontId="23" fillId="2" borderId="11" xfId="5" applyNumberFormat="1" applyFont="1" applyFill="1" applyBorder="1" applyAlignment="1">
      <alignment horizontal="center" vertical="center"/>
    </xf>
    <xf numFmtId="176" fontId="23" fillId="0" borderId="8" xfId="5" applyNumberFormat="1" applyFont="1" applyFill="1" applyBorder="1" applyAlignment="1">
      <alignment horizontal="center" vertical="center"/>
    </xf>
    <xf numFmtId="175" fontId="24" fillId="2" borderId="0" xfId="2" applyNumberFormat="1" applyFont="1" applyFill="1" applyAlignment="1">
      <alignment vertical="center"/>
    </xf>
    <xf numFmtId="0" fontId="23" fillId="2" borderId="8" xfId="2" applyFont="1" applyFill="1" applyBorder="1" applyAlignment="1">
      <alignment vertical="center" shrinkToFit="1"/>
    </xf>
    <xf numFmtId="0" fontId="24" fillId="2" borderId="8" xfId="2" applyFont="1" applyFill="1" applyBorder="1" applyAlignment="1">
      <alignment horizontal="center" vertical="center"/>
    </xf>
    <xf numFmtId="0" fontId="16" fillId="2" borderId="8" xfId="2" applyFont="1" applyFill="1" applyBorder="1" applyAlignment="1">
      <alignment horizontal="center" vertical="center"/>
    </xf>
    <xf numFmtId="0" fontId="24" fillId="2" borderId="9" xfId="2" applyFont="1" applyFill="1" applyBorder="1" applyAlignment="1">
      <alignment horizontal="center" vertical="center"/>
    </xf>
    <xf numFmtId="0" fontId="23" fillId="0" borderId="8" xfId="2" applyFont="1" applyBorder="1" applyAlignment="1">
      <alignment horizontal="center" vertical="center"/>
    </xf>
    <xf numFmtId="0" fontId="23" fillId="2" borderId="11" xfId="2" applyFont="1" applyFill="1" applyBorder="1" applyAlignment="1">
      <alignment horizontal="center" vertical="center"/>
    </xf>
    <xf numFmtId="0" fontId="24" fillId="2" borderId="8" xfId="2" applyFont="1" applyFill="1" applyBorder="1" applyAlignment="1">
      <alignment vertical="center" wrapText="1" shrinkToFit="1"/>
    </xf>
    <xf numFmtId="0" fontId="24" fillId="2" borderId="9" xfId="2" applyFont="1" applyFill="1" applyBorder="1" applyAlignment="1">
      <alignment vertical="center" wrapText="1" shrinkToFit="1"/>
    </xf>
    <xf numFmtId="0" fontId="16" fillId="2" borderId="8" xfId="2" applyFont="1" applyFill="1" applyBorder="1" applyAlignment="1">
      <alignment vertical="center" shrinkToFit="1"/>
    </xf>
    <xf numFmtId="49" fontId="18" fillId="2" borderId="8" xfId="625" applyNumberFormat="1" applyFont="1" applyFill="1" applyBorder="1" applyAlignment="1">
      <alignment vertical="center" shrinkToFit="1"/>
    </xf>
    <xf numFmtId="49" fontId="24" fillId="2" borderId="8" xfId="625" applyNumberFormat="1" applyFont="1" applyFill="1" applyBorder="1" applyAlignment="1">
      <alignment vertical="center" shrinkToFit="1"/>
    </xf>
    <xf numFmtId="0" fontId="16" fillId="2" borderId="8" xfId="2" applyFont="1" applyFill="1" applyBorder="1" applyAlignment="1">
      <alignment vertical="center" wrapText="1" shrinkToFit="1"/>
    </xf>
    <xf numFmtId="177" fontId="221" fillId="48" borderId="1" xfId="2" applyNumberFormat="1" applyFont="1" applyFill="1" applyBorder="1" applyAlignment="1">
      <alignment horizontal="center" vertical="center"/>
    </xf>
    <xf numFmtId="0" fontId="221" fillId="2" borderId="0" xfId="0" applyFont="1" applyFill="1" applyAlignment="1">
      <alignment vertical="center" wrapText="1"/>
    </xf>
    <xf numFmtId="176" fontId="23" fillId="2" borderId="0" xfId="5" applyNumberFormat="1" applyFont="1" applyFill="1" applyBorder="1" applyAlignment="1">
      <alignment horizontal="center" vertical="center"/>
    </xf>
    <xf numFmtId="49" fontId="24" fillId="2" borderId="9" xfId="625" applyNumberFormat="1" applyFont="1" applyFill="1" applyBorder="1" applyAlignment="1">
      <alignment vertical="center" shrinkToFit="1"/>
    </xf>
    <xf numFmtId="176" fontId="24" fillId="2" borderId="1" xfId="5" applyNumberFormat="1" applyFont="1" applyFill="1" applyBorder="1" applyAlignment="1">
      <alignment vertical="center" wrapText="1"/>
    </xf>
    <xf numFmtId="174" fontId="224" fillId="2" borderId="1" xfId="5" applyNumberFormat="1" applyFont="1" applyFill="1" applyBorder="1" applyAlignment="1">
      <alignment horizontal="right" vertical="center" wrapText="1" shrinkToFit="1"/>
    </xf>
    <xf numFmtId="174" fontId="28" fillId="3" borderId="1" xfId="5" applyNumberFormat="1" applyFont="1" applyFill="1" applyBorder="1" applyAlignment="1">
      <alignment horizontal="right" vertical="center" wrapText="1" shrinkToFit="1"/>
    </xf>
    <xf numFmtId="174" fontId="28" fillId="2" borderId="1" xfId="5" applyNumberFormat="1" applyFont="1" applyFill="1" applyBorder="1" applyAlignment="1">
      <alignment horizontal="right" vertical="center" wrapText="1" shrinkToFit="1"/>
    </xf>
    <xf numFmtId="49" fontId="27" fillId="2" borderId="1" xfId="1568" quotePrefix="1" applyNumberFormat="1" applyFont="1" applyFill="1" applyBorder="1" applyAlignment="1">
      <alignment horizontal="left" vertical="center"/>
    </xf>
    <xf numFmtId="0" fontId="27" fillId="2" borderId="1" xfId="2" applyFont="1" applyFill="1" applyBorder="1" applyAlignment="1">
      <alignment horizontal="left" vertical="center" wrapText="1"/>
    </xf>
    <xf numFmtId="49" fontId="27" fillId="2" borderId="1" xfId="1568" quotePrefix="1" applyNumberFormat="1" applyFont="1" applyFill="1" applyBorder="1" applyAlignment="1">
      <alignment vertical="center"/>
    </xf>
    <xf numFmtId="3" fontId="28" fillId="2" borderId="1" xfId="16" quotePrefix="1" applyNumberFormat="1" applyFont="1" applyFill="1" applyBorder="1" applyAlignment="1">
      <alignment vertical="center" wrapText="1"/>
    </xf>
    <xf numFmtId="0" fontId="27" fillId="2" borderId="1" xfId="1568" quotePrefix="1" applyFont="1" applyFill="1" applyBorder="1" applyAlignment="1">
      <alignment horizontal="left" vertical="center"/>
    </xf>
    <xf numFmtId="49" fontId="114" fillId="2" borderId="1" xfId="1569" quotePrefix="1" applyNumberFormat="1" applyFont="1" applyFill="1" applyBorder="1" applyAlignment="1">
      <alignment horizontal="left" vertical="center" wrapText="1"/>
    </xf>
    <xf numFmtId="0" fontId="28" fillId="2" borderId="1" xfId="0" applyFont="1" applyFill="1" applyBorder="1" applyAlignment="1" applyProtection="1">
      <alignment horizontal="left" vertical="center" wrapText="1" shrinkToFit="1"/>
      <protection hidden="1"/>
    </xf>
    <xf numFmtId="173" fontId="28" fillId="2" borderId="1" xfId="5" applyFont="1" applyFill="1" applyBorder="1" applyAlignment="1">
      <alignment horizontal="right" vertical="center" wrapText="1" shrinkToFit="1"/>
    </xf>
    <xf numFmtId="175" fontId="120" fillId="2" borderId="1" xfId="1" applyNumberFormat="1" applyFont="1" applyFill="1" applyBorder="1" applyAlignment="1">
      <alignment horizontal="right" vertical="center"/>
    </xf>
    <xf numFmtId="165" fontId="120" fillId="2" borderId="1" xfId="1" applyFont="1" applyFill="1" applyBorder="1" applyAlignment="1">
      <alignment horizontal="right" vertical="center"/>
    </xf>
    <xf numFmtId="0" fontId="224" fillId="2" borderId="0" xfId="2" applyFont="1" applyFill="1" applyAlignment="1">
      <alignment vertical="center" wrapText="1"/>
    </xf>
    <xf numFmtId="0" fontId="27" fillId="2" borderId="1" xfId="0" applyFont="1" applyFill="1" applyBorder="1" applyAlignment="1" applyProtection="1">
      <alignment horizontal="left" vertical="center" wrapText="1" shrinkToFit="1"/>
      <protection hidden="1"/>
    </xf>
    <xf numFmtId="0" fontId="224" fillId="2" borderId="1" xfId="2" applyFont="1" applyFill="1" applyBorder="1" applyAlignment="1">
      <alignment horizontal="left" vertical="center" wrapText="1"/>
    </xf>
    <xf numFmtId="174" fontId="224" fillId="2" borderId="1" xfId="5" applyNumberFormat="1" applyFont="1" applyFill="1" applyBorder="1" applyAlignment="1">
      <alignment vertical="center" wrapText="1" shrinkToFit="1"/>
    </xf>
    <xf numFmtId="173" fontId="224" fillId="2" borderId="0" xfId="5" applyFont="1" applyFill="1" applyBorder="1" applyAlignment="1">
      <alignment horizontal="center" vertical="center" wrapText="1" shrinkToFit="1"/>
    </xf>
    <xf numFmtId="173" fontId="224" fillId="2" borderId="0" xfId="5" applyFont="1" applyFill="1" applyAlignment="1">
      <alignment vertical="center" wrapText="1"/>
    </xf>
    <xf numFmtId="49" fontId="224" fillId="2" borderId="1" xfId="649" applyNumberFormat="1" applyFont="1" applyFill="1" applyBorder="1" applyAlignment="1">
      <alignment vertical="center" wrapText="1"/>
    </xf>
    <xf numFmtId="175" fontId="120" fillId="0" borderId="0" xfId="1" applyNumberFormat="1" applyFont="1" applyFill="1" applyBorder="1" applyAlignment="1">
      <alignment horizontal="right" vertical="center" wrapText="1"/>
    </xf>
    <xf numFmtId="165" fontId="120" fillId="0" borderId="0" xfId="1" applyFont="1" applyFill="1" applyBorder="1" applyAlignment="1">
      <alignment horizontal="right" vertical="center" wrapText="1"/>
    </xf>
    <xf numFmtId="0" fontId="120" fillId="3" borderId="1" xfId="0" applyFont="1" applyFill="1" applyBorder="1" applyAlignment="1" applyProtection="1">
      <alignment horizontal="left" vertical="center" wrapText="1" shrinkToFit="1"/>
      <protection hidden="1"/>
    </xf>
    <xf numFmtId="49" fontId="224" fillId="3" borderId="1" xfId="1569" quotePrefix="1" applyNumberFormat="1" applyFont="1" applyFill="1" applyBorder="1" applyAlignment="1">
      <alignment horizontal="left" vertical="center" wrapText="1"/>
    </xf>
    <xf numFmtId="175" fontId="120" fillId="3" borderId="1" xfId="1" applyNumberFormat="1" applyFont="1" applyFill="1" applyBorder="1" applyAlignment="1">
      <alignment horizontal="right" vertical="center"/>
    </xf>
    <xf numFmtId="165" fontId="120" fillId="3" borderId="1" xfId="1" applyFont="1" applyFill="1" applyBorder="1" applyAlignment="1">
      <alignment horizontal="right" vertical="center"/>
    </xf>
    <xf numFmtId="173" fontId="28" fillId="3" borderId="1" xfId="5" applyFont="1" applyFill="1" applyBorder="1" applyAlignment="1">
      <alignment horizontal="right" vertical="center" wrapText="1" shrinkToFit="1"/>
    </xf>
    <xf numFmtId="0" fontId="114" fillId="2" borderId="1" xfId="0" quotePrefix="1" applyFont="1" applyFill="1" applyBorder="1" applyAlignment="1">
      <alignment horizontal="left" vertical="center"/>
    </xf>
    <xf numFmtId="3" fontId="27" fillId="2" borderId="1" xfId="921" quotePrefix="1" applyNumberFormat="1" applyFont="1" applyFill="1" applyBorder="1" applyAlignment="1">
      <alignment horizontal="left" vertical="center"/>
    </xf>
    <xf numFmtId="0" fontId="27" fillId="3" borderId="1" xfId="1568" quotePrefix="1" applyFont="1" applyFill="1" applyBorder="1" applyAlignment="1">
      <alignment horizontal="left" vertical="center"/>
    </xf>
    <xf numFmtId="0" fontId="16" fillId="2" borderId="0" xfId="2" applyFont="1" applyFill="1" applyAlignment="1">
      <alignment horizontal="left" vertical="center" wrapText="1"/>
    </xf>
    <xf numFmtId="0" fontId="27" fillId="2" borderId="0" xfId="2" applyFont="1" applyFill="1" applyAlignment="1">
      <alignment horizontal="left" vertical="center" wrapText="1"/>
    </xf>
    <xf numFmtId="0" fontId="24" fillId="0" borderId="0" xfId="2" applyFont="1" applyAlignment="1">
      <alignment wrapText="1"/>
    </xf>
    <xf numFmtId="49" fontId="27" fillId="3" borderId="1" xfId="1568" quotePrefix="1" applyNumberFormat="1" applyFont="1" applyFill="1" applyBorder="1" applyAlignment="1">
      <alignment horizontal="left" vertical="center"/>
    </xf>
    <xf numFmtId="0" fontId="28" fillId="3" borderId="1" xfId="0" applyFont="1" applyFill="1" applyBorder="1" applyAlignment="1" applyProtection="1">
      <alignment horizontal="left" vertical="center" wrapText="1" shrinkToFit="1"/>
      <protection hidden="1"/>
    </xf>
    <xf numFmtId="49" fontId="114" fillId="3" borderId="1" xfId="1569" quotePrefix="1" applyNumberFormat="1" applyFont="1" applyFill="1" applyBorder="1" applyAlignment="1">
      <alignment horizontal="left" vertical="center" wrapText="1"/>
    </xf>
    <xf numFmtId="165" fontId="22" fillId="0" borderId="0" xfId="1" applyFont="1" applyFill="1" applyAlignment="1">
      <alignment horizontal="right" wrapText="1"/>
    </xf>
    <xf numFmtId="174" fontId="116" fillId="0" borderId="0" xfId="5" applyNumberFormat="1" applyFont="1" applyFill="1" applyAlignment="1">
      <alignment horizontal="right" wrapText="1"/>
    </xf>
    <xf numFmtId="173" fontId="116" fillId="0" borderId="0" xfId="5" applyFont="1" applyFill="1" applyAlignment="1">
      <alignment horizontal="right" wrapText="1"/>
    </xf>
    <xf numFmtId="174" fontId="116" fillId="2" borderId="0" xfId="5" applyNumberFormat="1" applyFont="1" applyFill="1" applyAlignment="1">
      <alignment horizontal="right" vertical="center" wrapText="1"/>
    </xf>
    <xf numFmtId="165" fontId="116" fillId="0" borderId="0" xfId="1" applyFont="1" applyFill="1" applyAlignment="1">
      <alignment horizontal="right" vertical="center" wrapText="1"/>
    </xf>
    <xf numFmtId="175" fontId="116" fillId="2" borderId="0" xfId="1" applyNumberFormat="1" applyFont="1" applyFill="1" applyAlignment="1">
      <alignment horizontal="right" vertical="center" wrapText="1"/>
    </xf>
    <xf numFmtId="173" fontId="116" fillId="0" borderId="0" xfId="5" applyFont="1" applyFill="1" applyAlignment="1">
      <alignment horizontal="right" vertical="center" wrapText="1"/>
    </xf>
    <xf numFmtId="0" fontId="22" fillId="0" borderId="2" xfId="2" applyFont="1" applyBorder="1" applyAlignment="1">
      <alignment horizontal="left" vertical="center" wrapText="1"/>
    </xf>
    <xf numFmtId="165" fontId="22" fillId="0" borderId="0" xfId="1" applyFont="1" applyAlignment="1">
      <alignment horizontal="center" wrapText="1" shrinkToFit="1"/>
    </xf>
    <xf numFmtId="0" fontId="22" fillId="0" borderId="0" xfId="2" applyFont="1" applyAlignment="1">
      <alignment horizontal="center" wrapText="1" shrinkToFit="1"/>
    </xf>
    <xf numFmtId="165" fontId="22" fillId="0" borderId="2" xfId="1" applyFont="1" applyBorder="1" applyAlignment="1">
      <alignment horizontal="left" vertical="center" wrapText="1"/>
    </xf>
    <xf numFmtId="0" fontId="116" fillId="0" borderId="0" xfId="2" applyFont="1" applyAlignment="1">
      <alignment horizontal="center" wrapText="1" shrinkToFit="1"/>
    </xf>
    <xf numFmtId="0" fontId="116" fillId="0" borderId="2" xfId="2" applyFont="1" applyBorder="1" applyAlignment="1">
      <alignment horizontal="left" vertical="center" wrapText="1"/>
    </xf>
    <xf numFmtId="0" fontId="32" fillId="2" borderId="0" xfId="2" applyFont="1" applyFill="1" applyAlignment="1">
      <alignment horizontal="center" wrapText="1" shrinkToFit="1"/>
    </xf>
    <xf numFmtId="0" fontId="32" fillId="0" borderId="2" xfId="2" applyFont="1" applyBorder="1" applyAlignment="1">
      <alignment horizontal="left" vertical="center" wrapText="1"/>
    </xf>
    <xf numFmtId="175" fontId="32" fillId="2" borderId="0" xfId="1" applyNumberFormat="1" applyFont="1" applyFill="1" applyAlignment="1">
      <alignment horizontal="center" wrapText="1" shrinkToFit="1"/>
    </xf>
    <xf numFmtId="0" fontId="32" fillId="0" borderId="0" xfId="2" applyFont="1" applyAlignment="1">
      <alignment horizontal="center" wrapText="1" shrinkToFit="1"/>
    </xf>
    <xf numFmtId="175" fontId="116" fillId="46" borderId="1" xfId="1" applyNumberFormat="1" applyFont="1" applyFill="1" applyBorder="1" applyAlignment="1">
      <alignment horizontal="center" vertical="center" wrapText="1"/>
    </xf>
    <xf numFmtId="165" fontId="116" fillId="46" borderId="1" xfId="1" applyFont="1" applyFill="1" applyBorder="1" applyAlignment="1">
      <alignment horizontal="center" vertical="center" wrapText="1"/>
    </xf>
    <xf numFmtId="176" fontId="116" fillId="46" borderId="1" xfId="994" applyNumberFormat="1" applyFont="1" applyFill="1" applyBorder="1" applyAlignment="1">
      <alignment horizontal="center" vertical="center" wrapText="1"/>
    </xf>
    <xf numFmtId="173" fontId="116" fillId="46" borderId="1" xfId="994" applyNumberFormat="1" applyFont="1" applyFill="1" applyBorder="1" applyAlignment="1">
      <alignment horizontal="center" vertical="center" wrapText="1"/>
    </xf>
    <xf numFmtId="176" fontId="116" fillId="48" borderId="1" xfId="994" applyNumberFormat="1" applyFont="1" applyFill="1" applyBorder="1" applyAlignment="1">
      <alignment horizontal="center" vertical="center" wrapText="1"/>
    </xf>
    <xf numFmtId="165" fontId="116" fillId="48" borderId="1" xfId="994" applyNumberFormat="1" applyFont="1" applyFill="1" applyBorder="1" applyAlignment="1">
      <alignment horizontal="center" vertical="center" wrapText="1"/>
    </xf>
    <xf numFmtId="175" fontId="116" fillId="48" borderId="1" xfId="1" applyNumberFormat="1" applyFont="1" applyFill="1" applyBorder="1" applyAlignment="1">
      <alignment horizontal="center" vertical="center" wrapText="1"/>
    </xf>
    <xf numFmtId="173" fontId="116" fillId="48" borderId="1" xfId="994" applyNumberFormat="1" applyFont="1" applyFill="1" applyBorder="1" applyAlignment="1">
      <alignment horizontal="center" vertical="center" wrapText="1"/>
    </xf>
    <xf numFmtId="174" fontId="120" fillId="2" borderId="1" xfId="5" applyNumberFormat="1" applyFont="1" applyFill="1" applyBorder="1" applyAlignment="1">
      <alignment horizontal="right" vertical="center" wrapText="1" shrinkToFit="1"/>
    </xf>
    <xf numFmtId="175" fontId="120" fillId="2" borderId="1" xfId="1" applyNumberFormat="1" applyFont="1" applyFill="1" applyBorder="1" applyAlignment="1">
      <alignment horizontal="right" vertical="center" wrapText="1" shrinkToFit="1"/>
    </xf>
    <xf numFmtId="173" fontId="120" fillId="2" borderId="1" xfId="5" applyFont="1" applyFill="1" applyBorder="1" applyAlignment="1">
      <alignment horizontal="right" vertical="center" wrapText="1" shrinkToFit="1"/>
    </xf>
    <xf numFmtId="174" fontId="120" fillId="3" borderId="1" xfId="5" applyNumberFormat="1" applyFont="1" applyFill="1" applyBorder="1" applyAlignment="1">
      <alignment horizontal="right" vertical="center" wrapText="1" shrinkToFit="1"/>
    </xf>
    <xf numFmtId="165" fontId="120" fillId="3" borderId="1" xfId="1" applyFont="1" applyFill="1" applyBorder="1" applyAlignment="1">
      <alignment horizontal="right" vertical="center" wrapText="1" shrinkToFit="1"/>
    </xf>
    <xf numFmtId="175" fontId="120" fillId="3" borderId="1" xfId="1" applyNumberFormat="1" applyFont="1" applyFill="1" applyBorder="1" applyAlignment="1">
      <alignment horizontal="right" vertical="center" wrapText="1" shrinkToFit="1"/>
    </xf>
    <xf numFmtId="173" fontId="120" fillId="3" borderId="1" xfId="5" applyFont="1" applyFill="1" applyBorder="1" applyAlignment="1">
      <alignment horizontal="right" vertical="center" wrapText="1" shrinkToFit="1"/>
    </xf>
    <xf numFmtId="175" fontId="122" fillId="3" borderId="1" xfId="1" applyNumberFormat="1" applyFont="1" applyFill="1" applyBorder="1" applyAlignment="1">
      <alignment horizontal="center" vertical="center" wrapText="1"/>
    </xf>
    <xf numFmtId="165" fontId="122" fillId="3" borderId="1" xfId="1" applyFont="1" applyFill="1" applyBorder="1" applyAlignment="1">
      <alignment horizontal="center" vertical="center" wrapText="1"/>
    </xf>
    <xf numFmtId="174" fontId="116" fillId="3" borderId="1" xfId="5" applyNumberFormat="1" applyFont="1" applyFill="1" applyBorder="1" applyAlignment="1">
      <alignment horizontal="center" vertical="center" wrapText="1"/>
    </xf>
    <xf numFmtId="173" fontId="116" fillId="3" borderId="1" xfId="5" applyFont="1" applyFill="1" applyBorder="1" applyAlignment="1">
      <alignment horizontal="center" vertical="center" wrapText="1"/>
    </xf>
    <xf numFmtId="165" fontId="116" fillId="3" borderId="1" xfId="5" applyNumberFormat="1" applyFont="1" applyFill="1" applyBorder="1" applyAlignment="1">
      <alignment horizontal="center" vertical="center" wrapText="1"/>
    </xf>
    <xf numFmtId="175" fontId="116" fillId="3" borderId="1" xfId="1" applyNumberFormat="1" applyFont="1" applyFill="1" applyBorder="1" applyAlignment="1">
      <alignment horizontal="center" vertical="center" wrapText="1"/>
    </xf>
    <xf numFmtId="175" fontId="22" fillId="0" borderId="0" xfId="1" applyNumberFormat="1" applyFont="1" applyFill="1" applyBorder="1" applyAlignment="1">
      <alignment horizontal="right" vertical="center" wrapText="1"/>
    </xf>
    <xf numFmtId="165" fontId="22" fillId="0" borderId="0" xfId="1" applyFont="1" applyFill="1" applyBorder="1" applyAlignment="1">
      <alignment horizontal="right" vertical="center" wrapText="1"/>
    </xf>
    <xf numFmtId="165" fontId="116" fillId="0" borderId="0" xfId="1" applyFont="1" applyFill="1" applyBorder="1" applyAlignment="1">
      <alignment horizontal="right" vertical="center" wrapText="1"/>
    </xf>
    <xf numFmtId="175" fontId="122" fillId="0" borderId="0" xfId="1" applyNumberFormat="1" applyFont="1" applyFill="1" applyBorder="1" applyAlignment="1">
      <alignment horizontal="right" vertical="center" wrapText="1"/>
    </xf>
    <xf numFmtId="175" fontId="120" fillId="0" borderId="0" xfId="1" applyNumberFormat="1" applyFont="1" applyFill="1" applyBorder="1" applyAlignment="1">
      <alignment horizontal="center" vertical="center" wrapText="1"/>
    </xf>
    <xf numFmtId="165" fontId="120" fillId="0" borderId="0" xfId="1" applyFont="1" applyFill="1" applyBorder="1" applyAlignment="1">
      <alignment horizontal="center" vertical="center" wrapText="1"/>
    </xf>
    <xf numFmtId="174" fontId="120" fillId="0" borderId="0" xfId="5" applyNumberFormat="1" applyFont="1" applyFill="1" applyBorder="1" applyAlignment="1">
      <alignment horizontal="right" vertical="center" wrapText="1"/>
    </xf>
    <xf numFmtId="173" fontId="28" fillId="0" borderId="0" xfId="5" applyFont="1" applyFill="1" applyBorder="1" applyAlignment="1">
      <alignment horizontal="right" vertical="center" wrapText="1"/>
    </xf>
    <xf numFmtId="174" fontId="122" fillId="2" borderId="0" xfId="5" applyNumberFormat="1" applyFont="1" applyFill="1" applyBorder="1" applyAlignment="1">
      <alignment horizontal="right" vertical="center" wrapText="1"/>
    </xf>
    <xf numFmtId="175" fontId="122" fillId="2" borderId="0" xfId="1" applyNumberFormat="1" applyFont="1" applyFill="1" applyBorder="1" applyAlignment="1">
      <alignment horizontal="right" vertical="center" wrapText="1"/>
    </xf>
    <xf numFmtId="175" fontId="22" fillId="0" borderId="0" xfId="1" applyNumberFormat="1" applyFont="1" applyFill="1" applyBorder="1" applyAlignment="1">
      <alignment horizontal="right" wrapText="1"/>
    </xf>
    <xf numFmtId="165" fontId="22" fillId="0" borderId="0" xfId="1" applyFont="1" applyFill="1" applyBorder="1" applyAlignment="1">
      <alignment horizontal="right" wrapText="1"/>
    </xf>
    <xf numFmtId="174" fontId="122" fillId="0" borderId="0" xfId="5" applyNumberFormat="1" applyFont="1" applyFill="1" applyBorder="1" applyAlignment="1">
      <alignment horizontal="right" wrapText="1"/>
    </xf>
    <xf numFmtId="173" fontId="116" fillId="0" borderId="0" xfId="5" applyFont="1" applyFill="1" applyBorder="1" applyAlignment="1">
      <alignment horizontal="right" wrapText="1"/>
    </xf>
    <xf numFmtId="175" fontId="22" fillId="0" borderId="0" xfId="1" applyNumberFormat="1" applyFont="1" applyFill="1" applyAlignment="1">
      <alignment horizontal="right" wrapText="1"/>
    </xf>
    <xf numFmtId="174" fontId="122" fillId="0" borderId="0" xfId="5" applyNumberFormat="1" applyFont="1" applyFill="1" applyAlignment="1">
      <alignment horizontal="right" wrapText="1"/>
    </xf>
    <xf numFmtId="174" fontId="122" fillId="2" borderId="0" xfId="5" applyNumberFormat="1" applyFont="1" applyFill="1" applyAlignment="1">
      <alignment horizontal="right" vertical="center" wrapText="1"/>
    </xf>
    <xf numFmtId="175" fontId="122" fillId="2" borderId="0" xfId="1" applyNumberFormat="1" applyFont="1" applyFill="1" applyAlignment="1">
      <alignment horizontal="right" vertical="center" wrapText="1"/>
    </xf>
    <xf numFmtId="173" fontId="222" fillId="2" borderId="0" xfId="5" applyFont="1" applyFill="1" applyAlignment="1">
      <alignment horizontal="center"/>
    </xf>
    <xf numFmtId="0" fontId="221" fillId="2" borderId="0" xfId="0" applyFont="1" applyFill="1" applyAlignment="1">
      <alignment horizontal="center" vertical="center" wrapText="1"/>
    </xf>
    <xf numFmtId="49" fontId="24" fillId="2" borderId="0" xfId="625" applyNumberFormat="1" applyFont="1" applyFill="1" applyAlignment="1">
      <alignment horizontal="center" vertical="center" wrapText="1"/>
    </xf>
    <xf numFmtId="0" fontId="24" fillId="2" borderId="0" xfId="625" applyFont="1" applyFill="1" applyAlignment="1">
      <alignment horizontal="center" vertical="center" wrapText="1"/>
    </xf>
    <xf numFmtId="0" fontId="221" fillId="2" borderId="0" xfId="2" applyFont="1" applyFill="1" applyAlignment="1">
      <alignment horizontal="center"/>
    </xf>
    <xf numFmtId="0" fontId="23" fillId="2" borderId="0" xfId="2" applyFont="1" applyFill="1" applyAlignment="1">
      <alignment horizontal="center"/>
    </xf>
    <xf numFmtId="0" fontId="24" fillId="2" borderId="0" xfId="2" applyFont="1" applyFill="1" applyAlignment="1">
      <alignment horizontal="center" vertical="center"/>
    </xf>
    <xf numFmtId="174" fontId="122" fillId="2" borderId="1" xfId="5" applyNumberFormat="1" applyFont="1" applyFill="1" applyBorder="1" applyAlignment="1">
      <alignment horizontal="right" vertical="center" wrapText="1" shrinkToFit="1"/>
    </xf>
    <xf numFmtId="0" fontId="24" fillId="4" borderId="8" xfId="2" applyFont="1" applyFill="1" applyBorder="1" applyAlignment="1">
      <alignment horizontal="center" vertical="center"/>
    </xf>
    <xf numFmtId="0" fontId="223" fillId="4" borderId="53" xfId="2" applyFont="1" applyFill="1" applyBorder="1" applyAlignment="1">
      <alignment horizontal="left" vertical="center" wrapText="1" shrinkToFit="1"/>
    </xf>
    <xf numFmtId="0" fontId="223" fillId="4" borderId="52" xfId="2" applyFont="1" applyFill="1" applyBorder="1" applyAlignment="1">
      <alignment horizontal="left" vertical="center" wrapText="1" shrinkToFit="1"/>
    </xf>
    <xf numFmtId="0" fontId="17" fillId="4" borderId="32" xfId="2" applyFont="1" applyFill="1" applyBorder="1" applyAlignment="1">
      <alignment horizontal="center" vertical="center"/>
    </xf>
    <xf numFmtId="176" fontId="23" fillId="4" borderId="32" xfId="5" applyNumberFormat="1" applyFont="1" applyFill="1" applyBorder="1" applyAlignment="1">
      <alignment horizontal="center" vertical="center"/>
    </xf>
    <xf numFmtId="0" fontId="223" fillId="3" borderId="9" xfId="2" applyFont="1" applyFill="1" applyBorder="1" applyAlignment="1">
      <alignment horizontal="center" vertical="center"/>
    </xf>
    <xf numFmtId="0" fontId="113" fillId="3" borderId="4" xfId="2" applyFont="1" applyFill="1" applyBorder="1" applyAlignment="1">
      <alignment horizontal="left" vertical="center" shrinkToFit="1"/>
    </xf>
    <xf numFmtId="0" fontId="31" fillId="3" borderId="1" xfId="2" applyFont="1" applyFill="1" applyBorder="1" applyAlignment="1">
      <alignment horizontal="center" vertical="center"/>
    </xf>
    <xf numFmtId="0" fontId="115" fillId="3" borderId="1" xfId="2" applyFont="1" applyFill="1" applyBorder="1" applyAlignment="1">
      <alignment horizontal="center" vertical="center"/>
    </xf>
    <xf numFmtId="176" fontId="115" fillId="3" borderId="1" xfId="5" applyNumberFormat="1" applyFont="1" applyFill="1" applyBorder="1" applyAlignment="1">
      <alignment horizontal="center" vertical="center"/>
    </xf>
    <xf numFmtId="176" fontId="222" fillId="2" borderId="0" xfId="5" applyNumberFormat="1" applyFont="1" applyFill="1" applyBorder="1" applyAlignment="1">
      <alignment horizontal="center"/>
    </xf>
    <xf numFmtId="165" fontId="24" fillId="48" borderId="0" xfId="556" applyFont="1" applyFill="1" applyBorder="1" applyAlignment="1">
      <alignment horizontal="center" vertical="center" wrapText="1"/>
    </xf>
    <xf numFmtId="177" fontId="221" fillId="48" borderId="0" xfId="2" applyNumberFormat="1" applyFont="1" applyFill="1" applyBorder="1" applyAlignment="1">
      <alignment horizontal="center" vertical="center"/>
    </xf>
    <xf numFmtId="176" fontId="23" fillId="4" borderId="0" xfId="5" applyNumberFormat="1" applyFont="1" applyFill="1" applyBorder="1" applyAlignment="1">
      <alignment horizontal="center" vertical="center"/>
    </xf>
    <xf numFmtId="176" fontId="24" fillId="2" borderId="0" xfId="5" applyNumberFormat="1" applyFont="1" applyFill="1" applyBorder="1" applyAlignment="1">
      <alignment horizontal="center" vertical="center"/>
    </xf>
    <xf numFmtId="176" fontId="24" fillId="4" borderId="0" xfId="5" applyNumberFormat="1" applyFont="1" applyFill="1" applyBorder="1" applyAlignment="1">
      <alignment horizontal="center" vertical="center"/>
    </xf>
    <xf numFmtId="176" fontId="115" fillId="3" borderId="0" xfId="5" applyNumberFormat="1" applyFont="1" applyFill="1" applyBorder="1" applyAlignment="1">
      <alignment horizontal="center" vertical="center"/>
    </xf>
    <xf numFmtId="176" fontId="23" fillId="0" borderId="0" xfId="5" applyNumberFormat="1" applyFont="1" applyFill="1" applyBorder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21" fillId="2" borderId="0" xfId="2" applyFont="1" applyFill="1" applyAlignment="1">
      <alignment horizontal="center"/>
    </xf>
    <xf numFmtId="0" fontId="24" fillId="2" borderId="0" xfId="2" applyFont="1" applyFill="1" applyAlignment="1">
      <alignment horizontal="center"/>
    </xf>
    <xf numFmtId="0" fontId="23" fillId="2" borderId="0" xfId="2" applyFont="1" applyFill="1" applyAlignment="1">
      <alignment horizontal="center" vertical="center"/>
    </xf>
    <xf numFmtId="0" fontId="222" fillId="2" borderId="2" xfId="2" applyFont="1" applyFill="1" applyBorder="1" applyAlignment="1">
      <alignment horizontal="center"/>
    </xf>
    <xf numFmtId="0" fontId="23" fillId="2" borderId="0" xfId="2" applyFont="1" applyFill="1" applyAlignment="1">
      <alignment horizontal="left"/>
    </xf>
    <xf numFmtId="0" fontId="23" fillId="2" borderId="0" xfId="2" applyFont="1" applyFill="1" applyAlignment="1">
      <alignment horizontal="center"/>
    </xf>
    <xf numFmtId="0" fontId="23" fillId="2" borderId="0" xfId="0" applyFont="1" applyFill="1" applyAlignment="1">
      <alignment horizontal="center" vertical="center" wrapText="1"/>
    </xf>
    <xf numFmtId="0" fontId="221" fillId="2" borderId="0" xfId="0" applyFont="1" applyFill="1" applyAlignment="1">
      <alignment horizontal="center" vertical="center" wrapText="1"/>
    </xf>
    <xf numFmtId="173" fontId="222" fillId="2" borderId="0" xfId="5" applyFont="1" applyFill="1" applyAlignment="1">
      <alignment horizontal="center"/>
    </xf>
    <xf numFmtId="173" fontId="118" fillId="2" borderId="0" xfId="5" applyFont="1" applyFill="1" applyAlignment="1">
      <alignment horizontal="center"/>
    </xf>
    <xf numFmtId="176" fontId="222" fillId="2" borderId="2" xfId="5" applyNumberFormat="1" applyFont="1" applyFill="1" applyBorder="1" applyAlignment="1">
      <alignment horizontal="center"/>
    </xf>
    <xf numFmtId="0" fontId="23" fillId="2" borderId="0" xfId="2" applyFont="1" applyFill="1" applyAlignment="1">
      <alignment horizontal="center" vertical="center" wrapText="1"/>
    </xf>
    <xf numFmtId="49" fontId="24" fillId="2" borderId="0" xfId="625" applyNumberFormat="1" applyFont="1" applyFill="1" applyAlignment="1">
      <alignment horizontal="center" vertical="center" wrapText="1"/>
    </xf>
    <xf numFmtId="0" fontId="24" fillId="2" borderId="0" xfId="625" applyFont="1" applyFill="1" applyAlignment="1">
      <alignment horizontal="center" vertical="center" wrapText="1"/>
    </xf>
    <xf numFmtId="0" fontId="112" fillId="2" borderId="0" xfId="625" applyFont="1" applyFill="1" applyAlignment="1">
      <alignment horizontal="center" vertical="center" wrapText="1"/>
    </xf>
    <xf numFmtId="49" fontId="17" fillId="2" borderId="0" xfId="625" applyNumberFormat="1" applyFont="1" applyFill="1" applyAlignment="1">
      <alignment horizontal="center" vertical="center" wrapText="1"/>
    </xf>
    <xf numFmtId="0" fontId="221" fillId="2" borderId="0" xfId="2" applyFont="1" applyFill="1" applyAlignment="1">
      <alignment horizontal="center" wrapText="1"/>
    </xf>
    <xf numFmtId="0" fontId="118" fillId="2" borderId="0" xfId="2" applyFont="1" applyFill="1" applyAlignment="1">
      <alignment horizontal="center"/>
    </xf>
    <xf numFmtId="0" fontId="17" fillId="2" borderId="0" xfId="2" applyFont="1" applyFill="1" applyAlignment="1">
      <alignment horizontal="center"/>
    </xf>
    <xf numFmtId="0" fontId="24" fillId="2" borderId="0" xfId="2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center"/>
    </xf>
    <xf numFmtId="0" fontId="24" fillId="4" borderId="3" xfId="2" applyFont="1" applyFill="1" applyBorder="1" applyAlignment="1">
      <alignment horizontal="center" vertical="center" wrapText="1" shrinkToFit="1"/>
    </xf>
    <xf numFmtId="0" fontId="24" fillId="4" borderId="4" xfId="2" applyFont="1" applyFill="1" applyBorder="1" applyAlignment="1">
      <alignment horizontal="center" vertical="center" wrapText="1" shrinkToFit="1"/>
    </xf>
    <xf numFmtId="0" fontId="24" fillId="4" borderId="50" xfId="2" applyFont="1" applyFill="1" applyBorder="1" applyAlignment="1">
      <alignment horizontal="center" vertical="center" wrapText="1" shrinkToFit="1"/>
    </xf>
    <xf numFmtId="0" fontId="24" fillId="4" borderId="51" xfId="2" applyFont="1" applyFill="1" applyBorder="1" applyAlignment="1">
      <alignment horizontal="center" vertical="center" wrapText="1" shrinkToFit="1"/>
    </xf>
    <xf numFmtId="0" fontId="32" fillId="2" borderId="0" xfId="10" applyFont="1" applyFill="1" applyAlignment="1">
      <alignment vertical="center" wrapText="1"/>
    </xf>
    <xf numFmtId="0" fontId="32" fillId="2" borderId="0" xfId="2" applyFont="1" applyFill="1" applyAlignment="1">
      <alignment vertical="center"/>
    </xf>
    <xf numFmtId="0" fontId="116" fillId="46" borderId="3" xfId="994" applyNumberFormat="1" applyFont="1" applyFill="1" applyBorder="1" applyAlignment="1">
      <alignment horizontal="center" vertical="center" wrapText="1"/>
    </xf>
    <xf numFmtId="0" fontId="116" fillId="46" borderId="12" xfId="994" applyNumberFormat="1" applyFont="1" applyFill="1" applyBorder="1" applyAlignment="1">
      <alignment horizontal="center" vertical="center" wrapText="1"/>
    </xf>
    <xf numFmtId="0" fontId="116" fillId="46" borderId="4" xfId="994" applyNumberFormat="1" applyFont="1" applyFill="1" applyBorder="1" applyAlignment="1">
      <alignment horizontal="center" vertical="center" wrapText="1"/>
    </xf>
    <xf numFmtId="176" fontId="116" fillId="46" borderId="3" xfId="11" applyNumberFormat="1" applyFont="1" applyFill="1" applyBorder="1" applyAlignment="1">
      <alignment horizontal="center" vertical="center" wrapText="1"/>
    </xf>
    <xf numFmtId="176" fontId="116" fillId="46" borderId="12" xfId="11" applyNumberFormat="1" applyFont="1" applyFill="1" applyBorder="1" applyAlignment="1">
      <alignment horizontal="center" vertical="center" wrapText="1"/>
    </xf>
    <xf numFmtId="176" fontId="116" fillId="46" borderId="4" xfId="11" applyNumberFormat="1" applyFont="1" applyFill="1" applyBorder="1" applyAlignment="1">
      <alignment horizontal="center" vertical="center" wrapText="1"/>
    </xf>
    <xf numFmtId="0" fontId="113" fillId="48" borderId="5" xfId="0" applyFont="1" applyFill="1" applyBorder="1" applyAlignment="1" applyProtection="1">
      <alignment horizontal="center" vertical="center" wrapText="1"/>
      <protection hidden="1"/>
    </xf>
    <xf numFmtId="0" fontId="113" fillId="48" borderId="6" xfId="0" applyFont="1" applyFill="1" applyBorder="1" applyAlignment="1" applyProtection="1">
      <alignment horizontal="center" vertical="center" wrapText="1"/>
      <protection hidden="1"/>
    </xf>
    <xf numFmtId="0" fontId="223" fillId="46" borderId="1" xfId="0" applyFont="1" applyFill="1" applyBorder="1" applyAlignment="1" applyProtection="1">
      <alignment horizontal="center" vertical="center" wrapText="1"/>
      <protection hidden="1"/>
    </xf>
    <xf numFmtId="0" fontId="223" fillId="48" borderId="1" xfId="0" applyFont="1" applyFill="1" applyBorder="1" applyAlignment="1" applyProtection="1">
      <alignment horizontal="center" vertical="center" wrapText="1"/>
      <protection hidden="1"/>
    </xf>
    <xf numFmtId="0" fontId="117" fillId="0" borderId="0" xfId="2" applyFont="1" applyAlignment="1">
      <alignment horizontal="center" vertical="center"/>
    </xf>
    <xf numFmtId="0" fontId="117" fillId="2" borderId="0" xfId="2" applyFont="1" applyFill="1" applyAlignment="1">
      <alignment horizontal="center" vertical="center"/>
    </xf>
    <xf numFmtId="0" fontId="251" fillId="0" borderId="0" xfId="2" applyFont="1" applyAlignment="1">
      <alignment horizontal="center" vertical="center" wrapText="1"/>
    </xf>
    <xf numFmtId="0" fontId="251" fillId="2" borderId="0" xfId="2" applyFont="1" applyFill="1" applyAlignment="1">
      <alignment horizontal="center" vertical="center" wrapText="1"/>
    </xf>
    <xf numFmtId="176" fontId="116" fillId="48" borderId="3" xfId="994" applyNumberFormat="1" applyFont="1" applyFill="1" applyBorder="1" applyAlignment="1">
      <alignment horizontal="center" vertical="center" wrapText="1"/>
    </xf>
    <xf numFmtId="176" fontId="116" fillId="48" borderId="12" xfId="994" applyNumberFormat="1" applyFont="1" applyFill="1" applyBorder="1" applyAlignment="1">
      <alignment horizontal="center" vertical="center" wrapText="1"/>
    </xf>
    <xf numFmtId="176" fontId="116" fillId="48" borderId="4" xfId="994" applyNumberFormat="1" applyFont="1" applyFill="1" applyBorder="1" applyAlignment="1">
      <alignment horizontal="center" vertical="center" wrapText="1"/>
    </xf>
    <xf numFmtId="0" fontId="223" fillId="3" borderId="3" xfId="2" applyFont="1" applyFill="1" applyBorder="1" applyAlignment="1">
      <alignment horizontal="center" vertical="center" wrapText="1" shrinkToFit="1"/>
    </xf>
    <xf numFmtId="0" fontId="223" fillId="3" borderId="12" xfId="2" applyFont="1" applyFill="1" applyBorder="1" applyAlignment="1">
      <alignment horizontal="center" vertical="center" wrapText="1" shrinkToFit="1"/>
    </xf>
    <xf numFmtId="0" fontId="223" fillId="3" borderId="4" xfId="2" applyFont="1" applyFill="1" applyBorder="1" applyAlignment="1">
      <alignment horizontal="center" vertical="center" wrapText="1" shrinkToFit="1"/>
    </xf>
    <xf numFmtId="165" fontId="252" fillId="0" borderId="0" xfId="1" applyFont="1" applyFill="1" applyBorder="1" applyAlignment="1">
      <alignment horizontal="center" vertical="center" wrapText="1"/>
    </xf>
    <xf numFmtId="0" fontId="28" fillId="0" borderId="0" xfId="2" applyFont="1" applyAlignment="1">
      <alignment horizontal="center" vertical="center" wrapText="1" shrinkToFit="1"/>
    </xf>
    <xf numFmtId="174" fontId="120" fillId="0" borderId="0" xfId="5" applyNumberFormat="1" applyFont="1" applyFill="1" applyBorder="1" applyAlignment="1">
      <alignment horizontal="center" vertical="center" wrapText="1"/>
    </xf>
    <xf numFmtId="0" fontId="116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3" fontId="245" fillId="0" borderId="0" xfId="0" applyNumberFormat="1" applyFont="1" applyAlignment="1">
      <alignment horizontal="center" vertical="center" shrinkToFit="1"/>
    </xf>
    <xf numFmtId="37" fontId="245" fillId="0" borderId="0" xfId="0" applyNumberFormat="1" applyFont="1" applyAlignment="1">
      <alignment horizontal="center" vertical="center" shrinkToFit="1"/>
    </xf>
    <xf numFmtId="3" fontId="237" fillId="0" borderId="0" xfId="0" applyNumberFormat="1" applyFont="1" applyAlignment="1">
      <alignment horizontal="left" vertical="center" shrinkToFit="1"/>
    </xf>
    <xf numFmtId="0" fontId="23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5" fontId="33" fillId="0" borderId="1" xfId="1" applyNumberFormat="1" applyFont="1" applyBorder="1" applyAlignment="1">
      <alignment horizontal="center" vertical="center" wrapText="1"/>
    </xf>
    <xf numFmtId="0" fontId="63" fillId="0" borderId="0" xfId="0" applyFont="1" applyAlignment="1">
      <alignment horizontal="left" vertical="center" wrapText="1"/>
    </xf>
    <xf numFmtId="0" fontId="33" fillId="0" borderId="5" xfId="622" applyFont="1" applyBorder="1" applyAlignment="1">
      <alignment vertical="center"/>
    </xf>
    <xf numFmtId="0" fontId="33" fillId="0" borderId="7" xfId="622" applyFont="1" applyBorder="1" applyAlignment="1">
      <alignment vertical="center"/>
    </xf>
    <xf numFmtId="0" fontId="33" fillId="0" borderId="6" xfId="622" applyFont="1" applyBorder="1" applyAlignment="1">
      <alignment vertical="center"/>
    </xf>
    <xf numFmtId="0" fontId="33" fillId="0" borderId="5" xfId="622" applyFont="1" applyBorder="1" applyAlignment="1">
      <alignment horizontal="center" vertical="center" wrapText="1"/>
    </xf>
    <xf numFmtId="0" fontId="33" fillId="0" borderId="7" xfId="622" applyFont="1" applyBorder="1" applyAlignment="1">
      <alignment horizontal="center" vertical="center" wrapText="1"/>
    </xf>
    <xf numFmtId="0" fontId="33" fillId="0" borderId="6" xfId="622" applyFont="1" applyBorder="1" applyAlignment="1">
      <alignment horizontal="center" vertical="center" wrapText="1"/>
    </xf>
    <xf numFmtId="0" fontId="242" fillId="0" borderId="0" xfId="0" applyFont="1" applyAlignment="1">
      <alignment horizontal="left" vertical="center" wrapText="1"/>
    </xf>
    <xf numFmtId="0" fontId="33" fillId="0" borderId="1" xfId="622" applyFont="1" applyBorder="1" applyAlignment="1">
      <alignment horizontal="center" vertical="center"/>
    </xf>
    <xf numFmtId="176" fontId="224" fillId="2" borderId="1" xfId="5" applyNumberFormat="1" applyFont="1" applyFill="1" applyBorder="1" applyAlignment="1">
      <alignment vertical="center" wrapText="1"/>
    </xf>
  </cellXfs>
  <cellStyles count="1606">
    <cellStyle name="_x0001_" xfId="24"/>
    <cellStyle name="_x000f_" xfId="1001"/>
    <cellStyle name="_x0001_ 2" xfId="1000"/>
    <cellStyle name="_x0001_ 3" xfId="1512"/>
    <cellStyle name="_x0001_ 4" xfId="1557"/>
    <cellStyle name="_x0001_ 5" xfId="1536"/>
    <cellStyle name="_x0001_ 6" xfId="1553"/>
    <cellStyle name="_x0009__x0005_M_x0004_" xfId="1002"/>
    <cellStyle name="_x000a__x0005__x001c__x0005__x000a_" xfId="1003"/>
    <cellStyle name="_x000b_" xfId="1004"/>
    <cellStyle name="&amp;R&amp;&quot;Book Antiqua,Bold&quot;&amp;16A" xfId="1005"/>
    <cellStyle name=",Regular&quot;&amp;F. &amp;A_x000a_&amp;D, &amp;Tb" xfId="1006"/>
    <cellStyle name="." xfId="1007"/>
    <cellStyle name="??" xfId="25"/>
    <cellStyle name="?? [0.00]_List-dwg" xfId="26"/>
    <cellStyle name="?? [0]" xfId="27"/>
    <cellStyle name="?? [0] 2" xfId="28"/>
    <cellStyle name="?? 10" xfId="1355"/>
    <cellStyle name="?? 11" xfId="1556"/>
    <cellStyle name="?? 12" xfId="1537"/>
    <cellStyle name="?? 13" xfId="1552"/>
    <cellStyle name="?? 2" xfId="29"/>
    <cellStyle name="?? 3" xfId="30"/>
    <cellStyle name="?? 4" xfId="31"/>
    <cellStyle name="?? 5" xfId="32"/>
    <cellStyle name="?? 6" xfId="33"/>
    <cellStyle name="?? 7" xfId="34"/>
    <cellStyle name="?? 8" xfId="35"/>
    <cellStyle name="?? 9" xfId="1008"/>
    <cellStyle name="???? [0.00]_List-dwg" xfId="36"/>
    <cellStyle name="????_List-dwg" xfId="37"/>
    <cellStyle name="???[0]_Book1" xfId="38"/>
    <cellStyle name="???_???" xfId="39"/>
    <cellStyle name="??_ ??? ???? " xfId="40"/>
    <cellStyle name="]_x000d__x000a_Zoomed=1_x000d__x000a_Row=0_x000d__x000a_Column=0_x000d__x000a_Height=0_x000d__x000a_Width=0_x000d__x000a_FontName=FoxFont_x000d__x000a_FontStyle=0_x000d__x000a_FontSize=9_x000d__x000a_PrtFontName=FoxPrin" xfId="41"/>
    <cellStyle name="_09-14" xfId="42"/>
    <cellStyle name="_4.LUONG DL T01-11" xfId="43"/>
    <cellStyle name="_4.LUONG DL T01-12" xfId="44"/>
    <cellStyle name="_4.LUONG DL T02-11" xfId="45"/>
    <cellStyle name="_4.LUONG DL T03-11" xfId="46"/>
    <cellStyle name="_4.LUONG DL T04-11" xfId="47"/>
    <cellStyle name="_4.LUONG DL T05-11" xfId="48"/>
    <cellStyle name="_4.LUONG DL T06-11" xfId="49"/>
    <cellStyle name="_4.LUONG DL T09-11." xfId="50"/>
    <cellStyle name="_4.LUONG DL T12-11" xfId="51"/>
    <cellStyle name="_7.LUONG DL T01-13" xfId="52"/>
    <cellStyle name="_7.LUONG DL T09-12" xfId="53"/>
    <cellStyle name="_7.LUONG DL T11-12" xfId="54"/>
    <cellStyle name="_7.LUONG DL T12-12" xfId="55"/>
    <cellStyle name="_BANG TH COM" xfId="56"/>
    <cellStyle name="_BANG TONG HOP DOI CHIEU-2008" xfId="57"/>
    <cellStyle name="_BHXH-THANG 01-2011-TRAM BONG" xfId="58"/>
    <cellStyle name="_BHXH-THANG 03-2011-TRAM BONG" xfId="59"/>
    <cellStyle name="_BHXH-THANG 04-2011-TRAM BONG" xfId="60"/>
    <cellStyle name="_BHXH-THANG 06-2011-TRAM BONG" xfId="61"/>
    <cellStyle name="_BHXH-THANG 10-2009" xfId="62"/>
    <cellStyle name="_BL NGAN HANG 2007 -HD MOI" xfId="1009"/>
    <cellStyle name="_Book1" xfId="63"/>
    <cellStyle name="_Book1 2" xfId="1010"/>
    <cellStyle name="_Book1_1" xfId="64"/>
    <cellStyle name="_Book1_BC-QT-WB-dthao" xfId="65"/>
    <cellStyle name="_Book1_BC-QT-WB-dthao 2" xfId="1011"/>
    <cellStyle name="_Book1_Kho_TPVT12" xfId="66"/>
    <cellStyle name="_Book2" xfId="67"/>
    <cellStyle name="_Book3" xfId="68"/>
    <cellStyle name="_Book4" xfId="69"/>
    <cellStyle name="_Book5" xfId="70"/>
    <cellStyle name="_Cashier_Bao cao thu chi Invest 18.08.2008(1)" xfId="1012"/>
    <cellStyle name="_Cashier_Bao cao thu chi Invest 19.08.2008(1)" xfId="1013"/>
    <cellStyle name="_CHI TIET CHI KIM ANH" xfId="71"/>
    <cellStyle name="_Copy of CHUYEN KHOAN" xfId="72"/>
    <cellStyle name="_DANH SACH CN NGHI VIEC THANG 02" xfId="73"/>
    <cellStyle name="_DANH SACH CN NGHI VIEC THANG 08" xfId="74"/>
    <cellStyle name="_DANH SACH CN NGHI VIEC THANG 10" xfId="75"/>
    <cellStyle name="_DANH SACH CONG NHAN TOAN CONG TY 01-11" xfId="76"/>
    <cellStyle name="_DANH SACH DANG KY NGUOI PHU THUOC 3-2011" xfId="77"/>
    <cellStyle name="_DANH SACH TRU TIEN DI DU LICH PHAN THIET 2012" xfId="78"/>
    <cellStyle name="_Fixed assets" xfId="1014"/>
    <cellStyle name="_FSA-FH" xfId="1015"/>
    <cellStyle name="_FSA-FH2" xfId="1016"/>
    <cellStyle name="_giai thich ck bhyt 05-09" xfId="79"/>
    <cellStyle name="_HOP DONG2007" xfId="1017"/>
    <cellStyle name="_Kho_TPVT12" xfId="80"/>
    <cellStyle name="_Kiem dem 13.08" xfId="1018"/>
    <cellStyle name="_Korchina-10-VAS report-261011-V-TSN" xfId="1019"/>
    <cellStyle name="_KT (2)" xfId="81"/>
    <cellStyle name="_KT (2) 2" xfId="1020"/>
    <cellStyle name="_KT (2)_1" xfId="82"/>
    <cellStyle name="_KT (2)_1 2" xfId="1021"/>
    <cellStyle name="_KT (2)_1_Book1" xfId="1022"/>
    <cellStyle name="_KT (2)_1_Ke hoach LV- Th06-MK5" xfId="1023"/>
    <cellStyle name="_KT (2)_1_Lora-tungchau" xfId="83"/>
    <cellStyle name="_KT (2)_1_Lora-tungchau 2" xfId="1024"/>
    <cellStyle name="_KT (2)_1_Qt-HT3PQ1(CauKho)" xfId="84"/>
    <cellStyle name="_KT (2)_1_Qt-HT3PQ1(CauKho)_Don gia quy 3 nam 2003 - Ban Dien Luc" xfId="85"/>
    <cellStyle name="_KT (2)_1_Qt-HT3PQ1(CauKho)_NC-VL2-2003" xfId="86"/>
    <cellStyle name="_KT (2)_1_Qt-HT3PQ1(CauKho)_NC-VL2-2003_1" xfId="87"/>
    <cellStyle name="_KT (2)_1_Qt-HT3PQ1(CauKho)_XL4Test5" xfId="88"/>
    <cellStyle name="_KT (2)_2" xfId="89"/>
    <cellStyle name="_KT (2)_2_TG-TH" xfId="90"/>
    <cellStyle name="_KT (2)_2_TG-TH 2" xfId="1025"/>
    <cellStyle name="_KT (2)_2_TG-TH_BAO CAO KLCT PT2000" xfId="91"/>
    <cellStyle name="_KT (2)_2_TG-TH_BAO CAO KLCT PT2000 2" xfId="1026"/>
    <cellStyle name="_KT (2)_2_TG-TH_BAO CAO PT2000" xfId="92"/>
    <cellStyle name="_KT (2)_2_TG-TH_BAO CAO PT2000_Book1" xfId="93"/>
    <cellStyle name="_KT (2)_2_TG-TH_Bao cao XDCB 2001 - T11 KH dieu chinh 20-11-THAI" xfId="94"/>
    <cellStyle name="_KT (2)_2_TG-TH_Book1" xfId="95"/>
    <cellStyle name="_KT (2)_2_TG-TH_Book1 2" xfId="1027"/>
    <cellStyle name="_KT (2)_2_TG-TH_Book1_1" xfId="96"/>
    <cellStyle name="_KT (2)_2_TG-TH_Book1_1_DanhMucDonGiaVTTB_Dien_TAM" xfId="97"/>
    <cellStyle name="_KT (2)_2_TG-TH_Book1_1_Kho_TPVT12" xfId="98"/>
    <cellStyle name="_KT (2)_2_TG-TH_Book1_2" xfId="99"/>
    <cellStyle name="_KT (2)_2_TG-TH_Book1_2 2" xfId="1028"/>
    <cellStyle name="_KT (2)_2_TG-TH_Book1_2_Kho_TPVT12" xfId="100"/>
    <cellStyle name="_KT (2)_2_TG-TH_Book1_3" xfId="101"/>
    <cellStyle name="_KT (2)_2_TG-TH_Book1_3_Kho_TPVT12" xfId="102"/>
    <cellStyle name="_KT (2)_2_TG-TH_Book1_4" xfId="103"/>
    <cellStyle name="_KT (2)_2_TG-TH_Book1_Book1" xfId="104"/>
    <cellStyle name="_KT (2)_2_TG-TH_Book1_DanhMucDonGiaVTTB_Dien_TAM" xfId="105"/>
    <cellStyle name="_KT (2)_2_TG-TH_Book1_Kho_TPVT12" xfId="106"/>
    <cellStyle name="_KT (2)_2_TG-TH_Book1_XL4Poppy" xfId="107"/>
    <cellStyle name="_KT (2)_2_TG-TH_Dcdtoan-bcnckt " xfId="108"/>
    <cellStyle name="_KT (2)_2_TG-TH_Dcdtoan-bcnckt _XL4Poppy" xfId="109"/>
    <cellStyle name="_KT (2)_2_TG-TH_Dcdtoan-bcnckt _XL4Test5" xfId="110"/>
    <cellStyle name="_KT (2)_2_TG-TH_Dongia2-2003" xfId="111"/>
    <cellStyle name="_KT (2)_2_TG-TH_DTCDT MR.2N110.HOCMON.TDTOAN.CCUNG" xfId="112"/>
    <cellStyle name="_KT (2)_2_TG-TH_Ke hoach LV- Th06-MK5" xfId="1029"/>
    <cellStyle name="_KT (2)_2_TG-TH_Kho_TPVT12" xfId="113"/>
    <cellStyle name="_KT (2)_2_TG-TH_Lora-tungchau" xfId="114"/>
    <cellStyle name="_KT (2)_2_TG-TH_moi" xfId="115"/>
    <cellStyle name="_KT (2)_2_TG-TH_moi_XL4Poppy" xfId="116"/>
    <cellStyle name="_KT (2)_2_TG-TH_moi_XL4Test5" xfId="117"/>
    <cellStyle name="_KT (2)_2_TG-TH_PGIA-phieu tham tra Kho bac" xfId="118"/>
    <cellStyle name="_KT (2)_2_TG-TH_PT02-02" xfId="119"/>
    <cellStyle name="_KT (2)_2_TG-TH_PT02-02_Book1" xfId="120"/>
    <cellStyle name="_KT (2)_2_TG-TH_PT02-03" xfId="121"/>
    <cellStyle name="_KT (2)_2_TG-TH_PT02-03_Book1" xfId="122"/>
    <cellStyle name="_KT (2)_2_TG-TH_Qt-HT3PQ1(CauKho)" xfId="123"/>
    <cellStyle name="_KT (2)_2_TG-TH_Qt-HT3PQ1(CauKho)_Don gia quy 3 nam 2003 - Ban Dien Luc" xfId="124"/>
    <cellStyle name="_KT (2)_2_TG-TH_Qt-HT3PQ1(CauKho)_NC-VL2-2003" xfId="125"/>
    <cellStyle name="_KT (2)_2_TG-TH_Qt-HT3PQ1(CauKho)_NC-VL2-2003_1" xfId="126"/>
    <cellStyle name="_KT (2)_2_TG-TH_Qt-HT3PQ1(CauKho)_XL4Test5" xfId="127"/>
    <cellStyle name="_KT (2)_2_TG-TH_Sheet2" xfId="128"/>
    <cellStyle name="_KT (2)_2_TG-TH_XL4Poppy" xfId="129"/>
    <cellStyle name="_KT (2)_2_TG-TH_XL4Poppy_XL4Test5" xfId="130"/>
    <cellStyle name="_KT (2)_2_TG-TH_XL4Test5" xfId="131"/>
    <cellStyle name="_KT (2)_3" xfId="132"/>
    <cellStyle name="_KT (2)_3_TG-TH" xfId="133"/>
    <cellStyle name="_KT (2)_3_TG-TH 2" xfId="1030"/>
    <cellStyle name="_KT (2)_3_TG-TH_Book1" xfId="134"/>
    <cellStyle name="_KT (2)_3_TG-TH_Book1 2" xfId="1031"/>
    <cellStyle name="_KT (2)_3_TG-TH_Book1_1" xfId="135"/>
    <cellStyle name="_KT (2)_3_TG-TH_Book1_BC-QT-WB-dthao" xfId="136"/>
    <cellStyle name="_KT (2)_3_TG-TH_Book1_BC-QT-WB-dthao 2" xfId="1032"/>
    <cellStyle name="_KT (2)_3_TG-TH_Book1_Kho_TPVT12" xfId="137"/>
    <cellStyle name="_KT (2)_3_TG-TH_Kho_TPVT12" xfId="138"/>
    <cellStyle name="_KT (2)_3_TG-TH_Lora-tungchau" xfId="139"/>
    <cellStyle name="_KT (2)_3_TG-TH_Lora-tungchau 2" xfId="1033"/>
    <cellStyle name="_KT (2)_3_TG-TH_PERSONAL" xfId="140"/>
    <cellStyle name="_KT (2)_3_TG-TH_PERSONAL 2" xfId="1034"/>
    <cellStyle name="_KT (2)_3_TG-TH_PERSONAL_Book1" xfId="141"/>
    <cellStyle name="_KT (2)_3_TG-TH_PERSONAL_HTQ.8 GD1" xfId="142"/>
    <cellStyle name="_KT (2)_3_TG-TH_PERSONAL_HTQ.8 GD1 2" xfId="1035"/>
    <cellStyle name="_KT (2)_3_TG-TH_PERSONAL_HTQ.8 GD1_Don gia quy 3 nam 2003 - Ban Dien Luc" xfId="143"/>
    <cellStyle name="_KT (2)_3_TG-TH_PERSONAL_HTQ.8 GD1_NC-VL2-2003" xfId="144"/>
    <cellStyle name="_KT (2)_3_TG-TH_PERSONAL_HTQ.8 GD1_NC-VL2-2003_1" xfId="145"/>
    <cellStyle name="_KT (2)_3_TG-TH_PERSONAL_HTQ.8 GD1_XL4Test5" xfId="146"/>
    <cellStyle name="_KT (2)_3_TG-TH_PERSONAL_Tong hop KHCB 2001" xfId="147"/>
    <cellStyle name="_KT (2)_3_TG-TH_Qt-HT3PQ1(CauKho)" xfId="148"/>
    <cellStyle name="_KT (2)_3_TG-TH_Qt-HT3PQ1(CauKho)_Don gia quy 3 nam 2003 - Ban Dien Luc" xfId="149"/>
    <cellStyle name="_KT (2)_3_TG-TH_Qt-HT3PQ1(CauKho)_NC-VL2-2003" xfId="150"/>
    <cellStyle name="_KT (2)_3_TG-TH_Qt-HT3PQ1(CauKho)_NC-VL2-2003_1" xfId="151"/>
    <cellStyle name="_KT (2)_3_TG-TH_Qt-HT3PQ1(CauKho)_XL4Test5" xfId="152"/>
    <cellStyle name="_KT (2)_4" xfId="153"/>
    <cellStyle name="_KT (2)_4 2" xfId="1036"/>
    <cellStyle name="_KT (2)_4_BAO CAO KLCT PT2000" xfId="154"/>
    <cellStyle name="_KT (2)_4_BAO CAO KLCT PT2000 2" xfId="1037"/>
    <cellStyle name="_KT (2)_4_BAO CAO PT2000" xfId="155"/>
    <cellStyle name="_KT (2)_4_BAO CAO PT2000_Book1" xfId="156"/>
    <cellStyle name="_KT (2)_4_Bao cao XDCB 2001 - T11 KH dieu chinh 20-11-THAI" xfId="157"/>
    <cellStyle name="_KT (2)_4_Book1" xfId="158"/>
    <cellStyle name="_KT (2)_4_Book1 2" xfId="1038"/>
    <cellStyle name="_KT (2)_4_Book1_1" xfId="159"/>
    <cellStyle name="_KT (2)_4_Book1_1_DanhMucDonGiaVTTB_Dien_TAM" xfId="160"/>
    <cellStyle name="_KT (2)_4_Book1_1_Kho_TPVT12" xfId="161"/>
    <cellStyle name="_KT (2)_4_Book1_2" xfId="162"/>
    <cellStyle name="_KT (2)_4_Book1_2 2" xfId="1039"/>
    <cellStyle name="_KT (2)_4_Book1_2_Kho_TPVT12" xfId="163"/>
    <cellStyle name="_KT (2)_4_Book1_3" xfId="164"/>
    <cellStyle name="_KT (2)_4_Book1_3_Kho_TPVT12" xfId="165"/>
    <cellStyle name="_KT (2)_4_Book1_4" xfId="166"/>
    <cellStyle name="_KT (2)_4_Book1_Book1" xfId="167"/>
    <cellStyle name="_KT (2)_4_Book1_DanhMucDonGiaVTTB_Dien_TAM" xfId="168"/>
    <cellStyle name="_KT (2)_4_Book1_Kho_TPVT12" xfId="169"/>
    <cellStyle name="_KT (2)_4_Book1_XL4Poppy" xfId="170"/>
    <cellStyle name="_KT (2)_4_Dcdtoan-bcnckt " xfId="171"/>
    <cellStyle name="_KT (2)_4_Dcdtoan-bcnckt _XL4Poppy" xfId="172"/>
    <cellStyle name="_KT (2)_4_Dcdtoan-bcnckt _XL4Test5" xfId="173"/>
    <cellStyle name="_KT (2)_4_Dongia2-2003" xfId="174"/>
    <cellStyle name="_KT (2)_4_DTCDT MR.2N110.HOCMON.TDTOAN.CCUNG" xfId="175"/>
    <cellStyle name="_KT (2)_4_Ke hoach LV- Th06-MK5" xfId="1040"/>
    <cellStyle name="_KT (2)_4_Kho_TPVT12" xfId="176"/>
    <cellStyle name="_KT (2)_4_Lora-tungchau" xfId="177"/>
    <cellStyle name="_KT (2)_4_moi" xfId="178"/>
    <cellStyle name="_KT (2)_4_moi_XL4Poppy" xfId="179"/>
    <cellStyle name="_KT (2)_4_moi_XL4Test5" xfId="180"/>
    <cellStyle name="_KT (2)_4_PGIA-phieu tham tra Kho bac" xfId="181"/>
    <cellStyle name="_KT (2)_4_PT02-02" xfId="182"/>
    <cellStyle name="_KT (2)_4_PT02-02_Book1" xfId="183"/>
    <cellStyle name="_KT (2)_4_PT02-03" xfId="184"/>
    <cellStyle name="_KT (2)_4_PT02-03_Book1" xfId="185"/>
    <cellStyle name="_KT (2)_4_Qt-HT3PQ1(CauKho)" xfId="186"/>
    <cellStyle name="_KT (2)_4_Qt-HT3PQ1(CauKho)_Don gia quy 3 nam 2003 - Ban Dien Luc" xfId="187"/>
    <cellStyle name="_KT (2)_4_Qt-HT3PQ1(CauKho)_NC-VL2-2003" xfId="188"/>
    <cellStyle name="_KT (2)_4_Qt-HT3PQ1(CauKho)_NC-VL2-2003_1" xfId="189"/>
    <cellStyle name="_KT (2)_4_Qt-HT3PQ1(CauKho)_XL4Test5" xfId="190"/>
    <cellStyle name="_KT (2)_4_Sheet2" xfId="191"/>
    <cellStyle name="_KT (2)_4_TG-TH" xfId="192"/>
    <cellStyle name="_KT (2)_4_XL4Poppy" xfId="193"/>
    <cellStyle name="_KT (2)_4_XL4Poppy_XL4Test5" xfId="194"/>
    <cellStyle name="_KT (2)_4_XL4Test5" xfId="195"/>
    <cellStyle name="_KT (2)_5" xfId="196"/>
    <cellStyle name="_KT (2)_5 2" xfId="1041"/>
    <cellStyle name="_KT (2)_5_BAO CAO KLCT PT2000" xfId="197"/>
    <cellStyle name="_KT (2)_5_BAO CAO KLCT PT2000 2" xfId="1042"/>
    <cellStyle name="_KT (2)_5_BAO CAO PT2000" xfId="198"/>
    <cellStyle name="_KT (2)_5_BAO CAO PT2000_Book1" xfId="199"/>
    <cellStyle name="_KT (2)_5_Bao cao XDCB 2001 - T11 KH dieu chinh 20-11-THAI" xfId="200"/>
    <cellStyle name="_KT (2)_5_Book1" xfId="201"/>
    <cellStyle name="_KT (2)_5_Book1 2" xfId="1043"/>
    <cellStyle name="_KT (2)_5_Book1_1" xfId="202"/>
    <cellStyle name="_KT (2)_5_Book1_1_DanhMucDonGiaVTTB_Dien_TAM" xfId="203"/>
    <cellStyle name="_KT (2)_5_Book1_1_Kho_TPVT12" xfId="204"/>
    <cellStyle name="_KT (2)_5_Book1_2" xfId="205"/>
    <cellStyle name="_KT (2)_5_Book1_2 2" xfId="1044"/>
    <cellStyle name="_KT (2)_5_Book1_2_Kho_TPVT12" xfId="206"/>
    <cellStyle name="_KT (2)_5_Book1_3" xfId="207"/>
    <cellStyle name="_KT (2)_5_Book1_3 2" xfId="1045"/>
    <cellStyle name="_KT (2)_5_Book1_BC-QT-WB-dthao" xfId="208"/>
    <cellStyle name="_KT (2)_5_Book1_Book1" xfId="209"/>
    <cellStyle name="_KT (2)_5_Book1_DanhMucDonGiaVTTB_Dien_TAM" xfId="210"/>
    <cellStyle name="_KT (2)_5_Book1_Kho_TPVT12" xfId="211"/>
    <cellStyle name="_KT (2)_5_Book1_XL4Poppy" xfId="212"/>
    <cellStyle name="_KT (2)_5_Dcdtoan-bcnckt " xfId="213"/>
    <cellStyle name="_KT (2)_5_Dcdtoan-bcnckt _XL4Poppy" xfId="214"/>
    <cellStyle name="_KT (2)_5_Dcdtoan-bcnckt _XL4Test5" xfId="215"/>
    <cellStyle name="_KT (2)_5_Dongia2-2003" xfId="216"/>
    <cellStyle name="_KT (2)_5_DTCDT MR.2N110.HOCMON.TDTOAN.CCUNG" xfId="217"/>
    <cellStyle name="_KT (2)_5_Ke hoach LV- Th06-MK5" xfId="1046"/>
    <cellStyle name="_KT (2)_5_Kho_TPVT12" xfId="218"/>
    <cellStyle name="_KT (2)_5_Lora-tungchau" xfId="219"/>
    <cellStyle name="_KT (2)_5_moi" xfId="220"/>
    <cellStyle name="_KT (2)_5_moi_XL4Poppy" xfId="221"/>
    <cellStyle name="_KT (2)_5_moi_XL4Test5" xfId="222"/>
    <cellStyle name="_KT (2)_5_PGIA-phieu tham tra Kho bac" xfId="223"/>
    <cellStyle name="_KT (2)_5_PT02-02" xfId="224"/>
    <cellStyle name="_KT (2)_5_PT02-02_Book1" xfId="225"/>
    <cellStyle name="_KT (2)_5_PT02-03" xfId="226"/>
    <cellStyle name="_KT (2)_5_PT02-03_Book1" xfId="227"/>
    <cellStyle name="_KT (2)_5_Qt-HT3PQ1(CauKho)" xfId="228"/>
    <cellStyle name="_KT (2)_5_Qt-HT3PQ1(CauKho)_Don gia quy 3 nam 2003 - Ban Dien Luc" xfId="229"/>
    <cellStyle name="_KT (2)_5_Qt-HT3PQ1(CauKho)_NC-VL2-2003" xfId="230"/>
    <cellStyle name="_KT (2)_5_Qt-HT3PQ1(CauKho)_NC-VL2-2003_1" xfId="231"/>
    <cellStyle name="_KT (2)_5_Qt-HT3PQ1(CauKho)_XL4Test5" xfId="232"/>
    <cellStyle name="_KT (2)_5_Sheet2" xfId="233"/>
    <cellStyle name="_KT (2)_5_XL4Poppy" xfId="234"/>
    <cellStyle name="_KT (2)_5_XL4Poppy_XL4Test5" xfId="235"/>
    <cellStyle name="_KT (2)_5_XL4Test5" xfId="236"/>
    <cellStyle name="_KT (2)_Book1" xfId="237"/>
    <cellStyle name="_KT (2)_Book1 2" xfId="1048"/>
    <cellStyle name="_KT (2)_Book1_1" xfId="238"/>
    <cellStyle name="_KT (2)_Book1_BC-QT-WB-dthao" xfId="239"/>
    <cellStyle name="_KT (2)_Book1_BC-QT-WB-dthao 2" xfId="1049"/>
    <cellStyle name="_KT (2)_Book1_Kho_TPVT12" xfId="240"/>
    <cellStyle name="_KT (2)_Kho_TPVT12" xfId="241"/>
    <cellStyle name="_KT (2)_Lora-tungchau" xfId="242"/>
    <cellStyle name="_KT (2)_Lora-tungchau 2" xfId="1050"/>
    <cellStyle name="_KT (2)_PERSONAL" xfId="243"/>
    <cellStyle name="_KT (2)_PERSONAL 2" xfId="1051"/>
    <cellStyle name="_KT (2)_PERSONAL_Book1" xfId="244"/>
    <cellStyle name="_KT (2)_PERSONAL_HTQ.8 GD1" xfId="245"/>
    <cellStyle name="_KT (2)_PERSONAL_HTQ.8 GD1 2" xfId="1052"/>
    <cellStyle name="_KT (2)_PERSONAL_HTQ.8 GD1_Don gia quy 3 nam 2003 - Ban Dien Luc" xfId="246"/>
    <cellStyle name="_KT (2)_PERSONAL_HTQ.8 GD1_NC-VL2-2003" xfId="247"/>
    <cellStyle name="_KT (2)_PERSONAL_HTQ.8 GD1_NC-VL2-2003_1" xfId="248"/>
    <cellStyle name="_KT (2)_PERSONAL_HTQ.8 GD1_XL4Test5" xfId="249"/>
    <cellStyle name="_KT (2)_PERSONAL_Tong hop KHCB 2001" xfId="250"/>
    <cellStyle name="_KT (2)_Qt-HT3PQ1(CauKho)" xfId="251"/>
    <cellStyle name="_KT (2)_Qt-HT3PQ1(CauKho)_Don gia quy 3 nam 2003 - Ban Dien Luc" xfId="252"/>
    <cellStyle name="_KT (2)_Qt-HT3PQ1(CauKho)_NC-VL2-2003" xfId="253"/>
    <cellStyle name="_KT (2)_Qt-HT3PQ1(CauKho)_NC-VL2-2003_1" xfId="254"/>
    <cellStyle name="_KT (2)_Qt-HT3PQ1(CauKho)_XL4Test5" xfId="255"/>
    <cellStyle name="_KT (2)_TG-TH" xfId="256"/>
    <cellStyle name="_KT_TG" xfId="257"/>
    <cellStyle name="_KT_TG_1" xfId="258"/>
    <cellStyle name="_KT_TG_1 2" xfId="1053"/>
    <cellStyle name="_KT_TG_1_BAO CAO KLCT PT2000" xfId="259"/>
    <cellStyle name="_KT_TG_1_BAO CAO KLCT PT2000 2" xfId="1054"/>
    <cellStyle name="_KT_TG_1_BAO CAO PT2000" xfId="260"/>
    <cellStyle name="_KT_TG_1_BAO CAO PT2000_Book1" xfId="261"/>
    <cellStyle name="_KT_TG_1_Bao cao XDCB 2001 - T11 KH dieu chinh 20-11-THAI" xfId="262"/>
    <cellStyle name="_KT_TG_1_Book1" xfId="263"/>
    <cellStyle name="_KT_TG_1_Book1 2" xfId="1055"/>
    <cellStyle name="_KT_TG_1_Book1_1" xfId="264"/>
    <cellStyle name="_KT_TG_1_Book1_1_DanhMucDonGiaVTTB_Dien_TAM" xfId="265"/>
    <cellStyle name="_KT_TG_1_Book1_1_Kho_TPVT12" xfId="266"/>
    <cellStyle name="_KT_TG_1_Book1_2" xfId="267"/>
    <cellStyle name="_KT_TG_1_Book1_2 2" xfId="1056"/>
    <cellStyle name="_KT_TG_1_Book1_2_Kho_TPVT12" xfId="268"/>
    <cellStyle name="_KT_TG_1_Book1_3" xfId="269"/>
    <cellStyle name="_KT_TG_1_Book1_3 2" xfId="1057"/>
    <cellStyle name="_KT_TG_1_Book1_BC-QT-WB-dthao" xfId="270"/>
    <cellStyle name="_KT_TG_1_Book1_Book1" xfId="271"/>
    <cellStyle name="_KT_TG_1_Book1_DanhMucDonGiaVTTB_Dien_TAM" xfId="272"/>
    <cellStyle name="_KT_TG_1_Book1_Kho_TPVT12" xfId="273"/>
    <cellStyle name="_KT_TG_1_Book1_XL4Poppy" xfId="274"/>
    <cellStyle name="_KT_TG_1_Dcdtoan-bcnckt " xfId="275"/>
    <cellStyle name="_KT_TG_1_Dcdtoan-bcnckt _XL4Poppy" xfId="276"/>
    <cellStyle name="_KT_TG_1_Dcdtoan-bcnckt _XL4Test5" xfId="277"/>
    <cellStyle name="_KT_TG_1_Dongia2-2003" xfId="278"/>
    <cellStyle name="_KT_TG_1_DTCDT MR.2N110.HOCMON.TDTOAN.CCUNG" xfId="279"/>
    <cellStyle name="_KT_TG_1_Ke hoach LV- Th06-MK5" xfId="1058"/>
    <cellStyle name="_KT_TG_1_Kho_TPVT12" xfId="280"/>
    <cellStyle name="_KT_TG_1_Lora-tungchau" xfId="281"/>
    <cellStyle name="_KT_TG_1_moi" xfId="282"/>
    <cellStyle name="_KT_TG_1_moi_XL4Poppy" xfId="283"/>
    <cellStyle name="_KT_TG_1_moi_XL4Test5" xfId="284"/>
    <cellStyle name="_KT_TG_1_PGIA-phieu tham tra Kho bac" xfId="285"/>
    <cellStyle name="_KT_TG_1_PT02-02" xfId="286"/>
    <cellStyle name="_KT_TG_1_PT02-02_Book1" xfId="287"/>
    <cellStyle name="_KT_TG_1_PT02-03" xfId="288"/>
    <cellStyle name="_KT_TG_1_PT02-03_Book1" xfId="289"/>
    <cellStyle name="_KT_TG_1_Qt-HT3PQ1(CauKho)" xfId="290"/>
    <cellStyle name="_KT_TG_1_Qt-HT3PQ1(CauKho)_Don gia quy 3 nam 2003 - Ban Dien Luc" xfId="291"/>
    <cellStyle name="_KT_TG_1_Qt-HT3PQ1(CauKho)_NC-VL2-2003" xfId="292"/>
    <cellStyle name="_KT_TG_1_Qt-HT3PQ1(CauKho)_NC-VL2-2003_1" xfId="293"/>
    <cellStyle name="_KT_TG_1_Qt-HT3PQ1(CauKho)_XL4Test5" xfId="294"/>
    <cellStyle name="_KT_TG_1_Sheet2" xfId="295"/>
    <cellStyle name="_KT_TG_1_XL4Poppy" xfId="296"/>
    <cellStyle name="_KT_TG_1_XL4Poppy_XL4Test5" xfId="297"/>
    <cellStyle name="_KT_TG_1_XL4Test5" xfId="298"/>
    <cellStyle name="_KT_TG_2" xfId="299"/>
    <cellStyle name="_KT_TG_2 2" xfId="1059"/>
    <cellStyle name="_KT_TG_2_BAO CAO KLCT PT2000" xfId="300"/>
    <cellStyle name="_KT_TG_2_BAO CAO KLCT PT2000 2" xfId="1060"/>
    <cellStyle name="_KT_TG_2_BAO CAO PT2000" xfId="301"/>
    <cellStyle name="_KT_TG_2_BAO CAO PT2000_Book1" xfId="302"/>
    <cellStyle name="_KT_TG_2_Bao cao XDCB 2001 - T11 KH dieu chinh 20-11-THAI" xfId="303"/>
    <cellStyle name="_KT_TG_2_Book1" xfId="304"/>
    <cellStyle name="_KT_TG_2_Book1 2" xfId="1062"/>
    <cellStyle name="_KT_TG_2_Book1_1" xfId="305"/>
    <cellStyle name="_KT_TG_2_Book1_1_DanhMucDonGiaVTTB_Dien_TAM" xfId="306"/>
    <cellStyle name="_KT_TG_2_Book1_1_Kho_TPVT12" xfId="307"/>
    <cellStyle name="_KT_TG_2_Book1_2" xfId="308"/>
    <cellStyle name="_KT_TG_2_Book1_2 2" xfId="1063"/>
    <cellStyle name="_KT_TG_2_Book1_2_Kho_TPVT12" xfId="309"/>
    <cellStyle name="_KT_TG_2_Book1_3" xfId="310"/>
    <cellStyle name="_KT_TG_2_Book1_3_Kho_TPVT12" xfId="311"/>
    <cellStyle name="_KT_TG_2_Book1_4" xfId="312"/>
    <cellStyle name="_KT_TG_2_Book1_Book1" xfId="313"/>
    <cellStyle name="_KT_TG_2_Book1_DanhMucDonGiaVTTB_Dien_TAM" xfId="314"/>
    <cellStyle name="_KT_TG_2_Book1_Kho_TPVT12" xfId="315"/>
    <cellStyle name="_KT_TG_2_Book1_XL4Poppy" xfId="316"/>
    <cellStyle name="_KT_TG_2_Dcdtoan-bcnckt " xfId="317"/>
    <cellStyle name="_KT_TG_2_Dcdtoan-bcnckt _XL4Poppy" xfId="318"/>
    <cellStyle name="_KT_TG_2_Dcdtoan-bcnckt _XL4Test5" xfId="319"/>
    <cellStyle name="_KT_TG_2_Dongia2-2003" xfId="320"/>
    <cellStyle name="_KT_TG_2_DTCDT MR.2N110.HOCMON.TDTOAN.CCUNG" xfId="321"/>
    <cellStyle name="_KT_TG_2_Ke hoach LV- Th06-MK5" xfId="1064"/>
    <cellStyle name="_KT_TG_2_Kho_TPVT12" xfId="322"/>
    <cellStyle name="_KT_TG_2_Lora-tungchau" xfId="323"/>
    <cellStyle name="_KT_TG_2_moi" xfId="324"/>
    <cellStyle name="_KT_TG_2_moi_XL4Poppy" xfId="325"/>
    <cellStyle name="_KT_TG_2_moi_XL4Test5" xfId="326"/>
    <cellStyle name="_KT_TG_2_PGIA-phieu tham tra Kho bac" xfId="327"/>
    <cellStyle name="_KT_TG_2_PT02-02" xfId="328"/>
    <cellStyle name="_KT_TG_2_PT02-02_Book1" xfId="329"/>
    <cellStyle name="_KT_TG_2_PT02-03" xfId="330"/>
    <cellStyle name="_KT_TG_2_PT02-03_Book1" xfId="331"/>
    <cellStyle name="_KT_TG_2_Qt-HT3PQ1(CauKho)" xfId="332"/>
    <cellStyle name="_KT_TG_2_Qt-HT3PQ1(CauKho)_Don gia quy 3 nam 2003 - Ban Dien Luc" xfId="333"/>
    <cellStyle name="_KT_TG_2_Qt-HT3PQ1(CauKho)_NC-VL2-2003" xfId="334"/>
    <cellStyle name="_KT_TG_2_Qt-HT3PQ1(CauKho)_NC-VL2-2003_1" xfId="335"/>
    <cellStyle name="_KT_TG_2_Qt-HT3PQ1(CauKho)_XL4Test5" xfId="336"/>
    <cellStyle name="_KT_TG_2_Sheet2" xfId="337"/>
    <cellStyle name="_KT_TG_2_XL4Poppy" xfId="338"/>
    <cellStyle name="_KT_TG_2_XL4Poppy_XL4Test5" xfId="339"/>
    <cellStyle name="_KT_TG_2_XL4Test5" xfId="340"/>
    <cellStyle name="_KT_TG_3" xfId="341"/>
    <cellStyle name="_KT_TG_4" xfId="342"/>
    <cellStyle name="_KT_TG_4 2" xfId="1065"/>
    <cellStyle name="_KT_TG_4_Book1" xfId="1066"/>
    <cellStyle name="_KT_TG_4_Ke hoach LV- Th06-MK5" xfId="1067"/>
    <cellStyle name="_KT_TG_4_Lora-tungchau" xfId="343"/>
    <cellStyle name="_KT_TG_4_Lora-tungchau 2" xfId="1068"/>
    <cellStyle name="_KT_TG_4_Qt-HT3PQ1(CauKho)" xfId="344"/>
    <cellStyle name="_KT_TG_4_Qt-HT3PQ1(CauKho)_Don gia quy 3 nam 2003 - Ban Dien Luc" xfId="345"/>
    <cellStyle name="_KT_TG_4_Qt-HT3PQ1(CauKho)_NC-VL2-2003" xfId="346"/>
    <cellStyle name="_KT_TG_4_Qt-HT3PQ1(CauKho)_NC-VL2-2003_1" xfId="347"/>
    <cellStyle name="_KT_TG_4_Qt-HT3PQ1(CauKho)_XL4Test5" xfId="348"/>
    <cellStyle name="_LIET KE NHAN NO" xfId="1069"/>
    <cellStyle name="_Lora-tungchau" xfId="349"/>
    <cellStyle name="_Lora-tungchau 2" xfId="1070"/>
    <cellStyle name="_LSP" xfId="350"/>
    <cellStyle name="_LSP KY 1" xfId="351"/>
    <cellStyle name="_LSP T11-08" xfId="352"/>
    <cellStyle name="_LSP T12-08" xfId="353"/>
    <cellStyle name="_LUONG DL 01" xfId="354"/>
    <cellStyle name="_LUONG DL 11" xfId="355"/>
    <cellStyle name="_LUONG DL 12" xfId="356"/>
    <cellStyle name="_LUONG DL T11-2012 - KỲ I" xfId="357"/>
    <cellStyle name="_LUONG DL T12-10" xfId="358"/>
    <cellStyle name="_LUONG DL T12-2012 - KỲ II" xfId="359"/>
    <cellStyle name="_LUONG KY I" xfId="360"/>
    <cellStyle name="_LUONG KY I- T01-2011" xfId="361"/>
    <cellStyle name="_LUONG XD 11-08" xfId="362"/>
    <cellStyle name="_NH2" xfId="363"/>
    <cellStyle name="_Nomad-FS&amp;Notes-161109 final-TSN" xfId="1071"/>
    <cellStyle name="_PERSONAL" xfId="364"/>
    <cellStyle name="_PERSONAL 2" xfId="1072"/>
    <cellStyle name="_PERSONAL_Book1" xfId="365"/>
    <cellStyle name="_PERSONAL_HTQ.8 GD1" xfId="366"/>
    <cellStyle name="_PERSONAL_HTQ.8 GD1 2" xfId="1073"/>
    <cellStyle name="_PERSONAL_HTQ.8 GD1_Don gia quy 3 nam 2003 - Ban Dien Luc" xfId="367"/>
    <cellStyle name="_PERSONAL_HTQ.8 GD1_NC-VL2-2003" xfId="368"/>
    <cellStyle name="_PERSONAL_HTQ.8 GD1_NC-VL2-2003_1" xfId="369"/>
    <cellStyle name="_PERSONAL_HTQ.8 GD1_XL4Test5" xfId="370"/>
    <cellStyle name="_PERSONAL_Tong hop KHCB 2001" xfId="371"/>
    <cellStyle name="_Qt-HT3PQ1(CauKho)" xfId="372"/>
    <cellStyle name="_Qt-HT3PQ1(CauKho)_Don gia quy 3 nam 2003 - Ban Dien Luc" xfId="373"/>
    <cellStyle name="_Qt-HT3PQ1(CauKho)_NC-VL2-2003" xfId="374"/>
    <cellStyle name="_Qt-HT3PQ1(CauKho)_NC-VL2-2003_1" xfId="375"/>
    <cellStyle name="_Qt-HT3PQ1(CauKho)_XL4Test5" xfId="376"/>
    <cellStyle name="_Sheet1" xfId="377"/>
    <cellStyle name="_Sheet1 2" xfId="1074"/>
    <cellStyle name="_Sheet1_1" xfId="1075"/>
    <cellStyle name="_Sheet1_BCC" xfId="378"/>
    <cellStyle name="_Sheet2" xfId="379"/>
    <cellStyle name="_Sheet2 2" xfId="1076"/>
    <cellStyle name="_Sheet2_1" xfId="380"/>
    <cellStyle name="_Sheet2_BCC" xfId="381"/>
    <cellStyle name="_Sheet2_LUONG KY II" xfId="382"/>
    <cellStyle name="_Sheet3" xfId="383"/>
    <cellStyle name="_Sheet3 2" xfId="1077"/>
    <cellStyle name="_Sheet4" xfId="384"/>
    <cellStyle name="_So du 140506-1" xfId="1078"/>
    <cellStyle name="_T9" xfId="385"/>
    <cellStyle name="_Table2_Out" xfId="2"/>
    <cellStyle name="_Table2_Out 2" xfId="386"/>
    <cellStyle name="_Table2_Out 3" xfId="1079"/>
    <cellStyle name="_Table2_Out_BANG THEO DOI TT CHI TIET" xfId="1080"/>
    <cellStyle name="_Table2_Out_Bao cao tuan 3 thang 7 OPI" xfId="1081"/>
    <cellStyle name="_Table2_Out_LIET KE NHAN NO" xfId="1082"/>
    <cellStyle name="_Table2_Out_Parkson  - Bao cao ban hang nuoc hoa - S.O tu 21.3 den 27.3" xfId="1083"/>
    <cellStyle name="_Table2_Out_Salary_July_2008-TH" xfId="1084"/>
    <cellStyle name="_TAI KHOAN CHUAN" xfId="387"/>
    <cellStyle name="_TG-TH" xfId="388"/>
    <cellStyle name="_TG-TH_1" xfId="389"/>
    <cellStyle name="_TG-TH_1 2" xfId="1085"/>
    <cellStyle name="_TG-TH_1_BAO CAO KLCT PT2000" xfId="390"/>
    <cellStyle name="_TG-TH_1_BAO CAO KLCT PT2000 2" xfId="1086"/>
    <cellStyle name="_TG-TH_1_BAO CAO PT2000" xfId="391"/>
    <cellStyle name="_TG-TH_1_BAO CAO PT2000_Book1" xfId="392"/>
    <cellStyle name="_TG-TH_1_Bao cao XDCB 2001 - T11 KH dieu chinh 20-11-THAI" xfId="393"/>
    <cellStyle name="_TG-TH_1_Book1" xfId="394"/>
    <cellStyle name="_TG-TH_1_Book1 2" xfId="1087"/>
    <cellStyle name="_TG-TH_1_Book1_1" xfId="395"/>
    <cellStyle name="_TG-TH_1_Book1_1_DanhMucDonGiaVTTB_Dien_TAM" xfId="396"/>
    <cellStyle name="_TG-TH_1_Book1_1_Kho_TPVT12" xfId="397"/>
    <cellStyle name="_TG-TH_1_Book1_2" xfId="398"/>
    <cellStyle name="_TG-TH_1_Book1_2 2" xfId="1088"/>
    <cellStyle name="_TG-TH_1_Book1_2_Kho_TPVT12" xfId="399"/>
    <cellStyle name="_TG-TH_1_Book1_3" xfId="400"/>
    <cellStyle name="_TG-TH_1_Book1_3 2" xfId="1089"/>
    <cellStyle name="_TG-TH_1_Book1_BC-QT-WB-dthao" xfId="401"/>
    <cellStyle name="_TG-TH_1_Book1_Book1" xfId="402"/>
    <cellStyle name="_TG-TH_1_Book1_DanhMucDonGiaVTTB_Dien_TAM" xfId="403"/>
    <cellStyle name="_TG-TH_1_Book1_Kho_TPVT12" xfId="404"/>
    <cellStyle name="_TG-TH_1_Book1_XL4Poppy" xfId="405"/>
    <cellStyle name="_TG-TH_1_Dcdtoan-bcnckt " xfId="406"/>
    <cellStyle name="_TG-TH_1_Dcdtoan-bcnckt _XL4Poppy" xfId="407"/>
    <cellStyle name="_TG-TH_1_Dcdtoan-bcnckt _XL4Test5" xfId="408"/>
    <cellStyle name="_TG-TH_1_Dongia2-2003" xfId="409"/>
    <cellStyle name="_TG-TH_1_DTCDT MR.2N110.HOCMON.TDTOAN.CCUNG" xfId="410"/>
    <cellStyle name="_TG-TH_1_Ke hoach LV- Th06-MK5" xfId="1090"/>
    <cellStyle name="_TG-TH_1_Kho_TPVT12" xfId="411"/>
    <cellStyle name="_TG-TH_1_Lora-tungchau" xfId="412"/>
    <cellStyle name="_TG-TH_1_moi" xfId="413"/>
    <cellStyle name="_TG-TH_1_moi_XL4Poppy" xfId="414"/>
    <cellStyle name="_TG-TH_1_moi_XL4Test5" xfId="415"/>
    <cellStyle name="_TG-TH_1_PGIA-phieu tham tra Kho bac" xfId="416"/>
    <cellStyle name="_TG-TH_1_PT02-02" xfId="417"/>
    <cellStyle name="_TG-TH_1_PT02-02_Book1" xfId="418"/>
    <cellStyle name="_TG-TH_1_PT02-03" xfId="419"/>
    <cellStyle name="_TG-TH_1_PT02-03_Book1" xfId="420"/>
    <cellStyle name="_TG-TH_1_Qt-HT3PQ1(CauKho)" xfId="421"/>
    <cellStyle name="_TG-TH_1_Qt-HT3PQ1(CauKho)_Don gia quy 3 nam 2003 - Ban Dien Luc" xfId="422"/>
    <cellStyle name="_TG-TH_1_Qt-HT3PQ1(CauKho)_NC-VL2-2003" xfId="423"/>
    <cellStyle name="_TG-TH_1_Qt-HT3PQ1(CauKho)_NC-VL2-2003_1" xfId="424"/>
    <cellStyle name="_TG-TH_1_Qt-HT3PQ1(CauKho)_XL4Test5" xfId="425"/>
    <cellStyle name="_TG-TH_1_Sheet2" xfId="426"/>
    <cellStyle name="_TG-TH_1_XL4Poppy" xfId="427"/>
    <cellStyle name="_TG-TH_1_XL4Poppy_XL4Test5" xfId="428"/>
    <cellStyle name="_TG-TH_1_XL4Test5" xfId="429"/>
    <cellStyle name="_TG-TH_2" xfId="430"/>
    <cellStyle name="_TG-TH_2 2" xfId="1091"/>
    <cellStyle name="_TG-TH_2_BAO CAO KLCT PT2000" xfId="431"/>
    <cellStyle name="_TG-TH_2_BAO CAO KLCT PT2000 2" xfId="1092"/>
    <cellStyle name="_TG-TH_2_BAO CAO PT2000" xfId="432"/>
    <cellStyle name="_TG-TH_2_BAO CAO PT2000_Book1" xfId="433"/>
    <cellStyle name="_TG-TH_2_Bao cao XDCB 2001 - T11 KH dieu chinh 20-11-THAI" xfId="434"/>
    <cellStyle name="_TG-TH_2_Book1" xfId="435"/>
    <cellStyle name="_TG-TH_2_Book1 2" xfId="1093"/>
    <cellStyle name="_TG-TH_2_Book1_1" xfId="436"/>
    <cellStyle name="_TG-TH_2_Book1_1_DanhMucDonGiaVTTB_Dien_TAM" xfId="437"/>
    <cellStyle name="_TG-TH_2_Book1_1_Kho_TPVT12" xfId="438"/>
    <cellStyle name="_TG-TH_2_Book1_2" xfId="439"/>
    <cellStyle name="_TG-TH_2_Book1_2 2" xfId="1094"/>
    <cellStyle name="_TG-TH_2_Book1_2_Kho_TPVT12" xfId="440"/>
    <cellStyle name="_TG-TH_2_Book1_3" xfId="441"/>
    <cellStyle name="_TG-TH_2_Book1_3_Kho_TPVT12" xfId="442"/>
    <cellStyle name="_TG-TH_2_Book1_4" xfId="443"/>
    <cellStyle name="_TG-TH_2_Book1_Book1" xfId="444"/>
    <cellStyle name="_TG-TH_2_Book1_DanhMucDonGiaVTTB_Dien_TAM" xfId="445"/>
    <cellStyle name="_TG-TH_2_Book1_Kho_TPVT12" xfId="446"/>
    <cellStyle name="_TG-TH_2_Book1_XL4Poppy" xfId="447"/>
    <cellStyle name="_TG-TH_2_Dcdtoan-bcnckt " xfId="448"/>
    <cellStyle name="_TG-TH_2_Dcdtoan-bcnckt _XL4Poppy" xfId="449"/>
    <cellStyle name="_TG-TH_2_Dcdtoan-bcnckt _XL4Test5" xfId="450"/>
    <cellStyle name="_TG-TH_2_Dongia2-2003" xfId="451"/>
    <cellStyle name="_TG-TH_2_DTCDT MR.2N110.HOCMON.TDTOAN.CCUNG" xfId="452"/>
    <cellStyle name="_TG-TH_2_Ke hoach LV- Th06-MK5" xfId="1095"/>
    <cellStyle name="_TG-TH_2_Kho_TPVT12" xfId="453"/>
    <cellStyle name="_TG-TH_2_Lora-tungchau" xfId="454"/>
    <cellStyle name="_TG-TH_2_moi" xfId="455"/>
    <cellStyle name="_TG-TH_2_moi_XL4Poppy" xfId="456"/>
    <cellStyle name="_TG-TH_2_moi_XL4Test5" xfId="457"/>
    <cellStyle name="_TG-TH_2_PGIA-phieu tham tra Kho bac" xfId="458"/>
    <cellStyle name="_TG-TH_2_PT02-02" xfId="459"/>
    <cellStyle name="_TG-TH_2_PT02-02_Book1" xfId="460"/>
    <cellStyle name="_TG-TH_2_PT02-03" xfId="461"/>
    <cellStyle name="_TG-TH_2_PT02-03_Book1" xfId="462"/>
    <cellStyle name="_TG-TH_2_Qt-HT3PQ1(CauKho)" xfId="463"/>
    <cellStyle name="_TG-TH_2_Qt-HT3PQ1(CauKho)_Don gia quy 3 nam 2003 - Ban Dien Luc" xfId="464"/>
    <cellStyle name="_TG-TH_2_Qt-HT3PQ1(CauKho)_NC-VL2-2003" xfId="465"/>
    <cellStyle name="_TG-TH_2_Qt-HT3PQ1(CauKho)_NC-VL2-2003_1" xfId="466"/>
    <cellStyle name="_TG-TH_2_Qt-HT3PQ1(CauKho)_XL4Test5" xfId="467"/>
    <cellStyle name="_TG-TH_2_Sheet2" xfId="468"/>
    <cellStyle name="_TG-TH_2_XL4Poppy" xfId="469"/>
    <cellStyle name="_TG-TH_2_XL4Poppy_XL4Test5" xfId="470"/>
    <cellStyle name="_TG-TH_2_XL4Test5" xfId="471"/>
    <cellStyle name="_TG-TH_3" xfId="472"/>
    <cellStyle name="_TG-TH_3 2" xfId="1096"/>
    <cellStyle name="_TG-TH_3_Book1" xfId="1097"/>
    <cellStyle name="_TG-TH_3_Ke hoach LV- Th06-MK5" xfId="1098"/>
    <cellStyle name="_TG-TH_3_Lora-tungchau" xfId="473"/>
    <cellStyle name="_TG-TH_3_Lora-tungchau 2" xfId="1099"/>
    <cellStyle name="_TG-TH_3_Qt-HT3PQ1(CauKho)" xfId="474"/>
    <cellStyle name="_TG-TH_3_Qt-HT3PQ1(CauKho)_Don gia quy 3 nam 2003 - Ban Dien Luc" xfId="475"/>
    <cellStyle name="_TG-TH_3_Qt-HT3PQ1(CauKho)_NC-VL2-2003" xfId="476"/>
    <cellStyle name="_TG-TH_3_Qt-HT3PQ1(CauKho)_NC-VL2-2003_1" xfId="477"/>
    <cellStyle name="_TG-TH_3_Qt-HT3PQ1(CauKho)_XL4Test5" xfId="478"/>
    <cellStyle name="_TG-TH_4" xfId="479"/>
    <cellStyle name="_TH COM T01-2011" xfId="480"/>
    <cellStyle name="_TH COM T02-2011" xfId="481"/>
    <cellStyle name="_TH LSP T01-2011" xfId="482"/>
    <cellStyle name="_TH LSP T01-2012" xfId="483"/>
    <cellStyle name="_TH LSP T02-2012" xfId="484"/>
    <cellStyle name="_TH LSP T03-2011" xfId="485"/>
    <cellStyle name="_TH LSP T03-2012" xfId="486"/>
    <cellStyle name="_TH LSP T04-2011" xfId="487"/>
    <cellStyle name="_TH LSP T04-2012" xfId="488"/>
    <cellStyle name="_TH LSP T05-2011" xfId="489"/>
    <cellStyle name="_TH LSP T05-2012" xfId="490"/>
    <cellStyle name="_TH LSP T06-2011" xfId="491"/>
    <cellStyle name="_TH LSP T06-2012" xfId="492"/>
    <cellStyle name="_TH LSP T07-2011" xfId="493"/>
    <cellStyle name="_TH LSP T07-2012" xfId="494"/>
    <cellStyle name="_TH LSP T08-2011" xfId="495"/>
    <cellStyle name="_TH LSP T08-2012" xfId="496"/>
    <cellStyle name="_TH LSP T09-2011" xfId="497"/>
    <cellStyle name="_TH LSP T10-2011" xfId="498"/>
    <cellStyle name="_TH LSP T11-2011" xfId="499"/>
    <cellStyle name="_TH LSP T12-2011" xfId="500"/>
    <cellStyle name="_tien dien hang thang Parkson" xfId="1100"/>
    <cellStyle name="_tru thue thu nhap T01-2011" xfId="501"/>
    <cellStyle name="_TU T12-10" xfId="502"/>
    <cellStyle name="’Ê‰Ý [0.00]_laroux" xfId="1101"/>
    <cellStyle name="’Ê‰Ý_laroux" xfId="1102"/>
    <cellStyle name="¶W³sµ²" xfId="1103"/>
    <cellStyle name="•W€_STDFOR" xfId="503"/>
    <cellStyle name="•W_¯–ì" xfId="1104"/>
    <cellStyle name="_x0018__x0002__x0003_⟀Å٢b" xfId="1105"/>
    <cellStyle name="঴" xfId="1106"/>
    <cellStyle name="fEñY [0.00]_Region Orders (2)" xfId="1107"/>
    <cellStyle name="fEñY_Region Orders (2)" xfId="1108"/>
    <cellStyle name="W_STDFOR" xfId="504"/>
    <cellStyle name="0,0_x000d__x000a_NA_x000d__x000a_" xfId="1109"/>
    <cellStyle name="0,0_x000d__x000a_NA_x000d__x000a_ 2" xfId="1110"/>
    <cellStyle name="0,0_x000d__x000a_NA_x000d__x000a_ 3" xfId="1541"/>
    <cellStyle name="0.0" xfId="505"/>
    <cellStyle name="0]_ITOCPX" xfId="1111"/>
    <cellStyle name="1" xfId="1112"/>
    <cellStyle name="12" xfId="1113"/>
    <cellStyle name="123" xfId="1114"/>
    <cellStyle name="15" xfId="1115"/>
    <cellStyle name="¹éºÐÀ²_      " xfId="506"/>
    <cellStyle name="2" xfId="1116"/>
    <cellStyle name="20% - Accent1 2" xfId="1117"/>
    <cellStyle name="20% - Accent2 2" xfId="1118"/>
    <cellStyle name="20% - Accent3 2" xfId="1119"/>
    <cellStyle name="20% - Accent4 2" xfId="1120"/>
    <cellStyle name="20% - Accent5 2" xfId="1121"/>
    <cellStyle name="20% - Accent6 2" xfId="1122"/>
    <cellStyle name="20% - 輔色1" xfId="507"/>
    <cellStyle name="20% - 輔色2" xfId="508"/>
    <cellStyle name="20% - 輔色3" xfId="509"/>
    <cellStyle name="20% - 輔色4" xfId="510"/>
    <cellStyle name="20% - 輔色5" xfId="511"/>
    <cellStyle name="20% - 輔色6" xfId="512"/>
    <cellStyle name="3" xfId="1123"/>
    <cellStyle name="32B12" xfId="1124"/>
    <cellStyle name="32B12 2" xfId="513"/>
    <cellStyle name="³f¹ô [0]_Book3" xfId="1125"/>
    <cellStyle name="³f¹ô_Book3" xfId="1126"/>
    <cellStyle name="4" xfId="1127"/>
    <cellStyle name="40% - Accent1 2" xfId="1128"/>
    <cellStyle name="40% - Accent2 2" xfId="1129"/>
    <cellStyle name="40% - Accent3 2" xfId="1130"/>
    <cellStyle name="40% - Accent4 2" xfId="1131"/>
    <cellStyle name="40% - Accent5 2" xfId="1132"/>
    <cellStyle name="40% - Accent6 2" xfId="1133"/>
    <cellStyle name="40% - 輔色1" xfId="514"/>
    <cellStyle name="40% - 輔色2" xfId="515"/>
    <cellStyle name="40% - 輔色3" xfId="516"/>
    <cellStyle name="40% - 輔色4" xfId="517"/>
    <cellStyle name="40% - 輔色5" xfId="518"/>
    <cellStyle name="40% - 輔色6" xfId="519"/>
    <cellStyle name="60% - Accent1 2" xfId="1134"/>
    <cellStyle name="60% - Accent2 2" xfId="1135"/>
    <cellStyle name="60% - Accent3 2" xfId="1136"/>
    <cellStyle name="60% - Accent4 2" xfId="1137"/>
    <cellStyle name="60% - Accent5 2" xfId="1138"/>
    <cellStyle name="60% - Accent6 2" xfId="1139"/>
    <cellStyle name="60% - 輔色1" xfId="520"/>
    <cellStyle name="60% - 輔色2" xfId="521"/>
    <cellStyle name="60% - 輔色3" xfId="522"/>
    <cellStyle name="60% - 輔色4" xfId="523"/>
    <cellStyle name="60% - 輔色5" xfId="524"/>
    <cellStyle name="60% - 輔色6" xfId="525"/>
    <cellStyle name="6Ab&amp;&amp;L&amp;&quot;Book Antiqua,Regular&quot;&amp;F. &amp;A_x000a_&amp;D, &amp;Tb" xfId="1140"/>
    <cellStyle name="Accent1 2" xfId="1141"/>
    <cellStyle name="Accent2 2" xfId="1142"/>
    <cellStyle name="Accent3 2" xfId="1143"/>
    <cellStyle name="Accent4 2" xfId="1144"/>
    <cellStyle name="Accent5 2" xfId="1145"/>
    <cellStyle name="Accent6 2" xfId="1146"/>
    <cellStyle name="ÅëÈ­ [0]_      " xfId="526"/>
    <cellStyle name="AeE­ [0]_INQUIRY ¿?¾÷AßAø " xfId="527"/>
    <cellStyle name="ÅëÈ­ [0]_L601CPT" xfId="528"/>
    <cellStyle name="ÅëÈ­_      " xfId="529"/>
    <cellStyle name="AeE­_INQUIRY ¿?¾÷AßAø " xfId="530"/>
    <cellStyle name="ÅëÈ­_L601CPT" xfId="531"/>
    <cellStyle name="Aptima" xfId="532"/>
    <cellStyle name="args.style" xfId="533"/>
    <cellStyle name="ÄÞ¸¶ [0]_      " xfId="534"/>
    <cellStyle name="AÞ¸¶ [0]_INQUIRY ¿?¾÷AßAø " xfId="535"/>
    <cellStyle name="ÄÞ¸¶ [0]_L601CPT" xfId="536"/>
    <cellStyle name="ÄÞ¸¶_      " xfId="537"/>
    <cellStyle name="AÞ¸¶_INQUIRY ¿?¾÷AßAø " xfId="538"/>
    <cellStyle name="ÄÞ¸¶_L601CPT" xfId="539"/>
    <cellStyle name="AutoFormat Options" xfId="540"/>
    <cellStyle name="AutoFormat Options 2" xfId="1147"/>
    <cellStyle name="b" xfId="1148"/>
    <cellStyle name="Bad 2" xfId="1149"/>
    <cellStyle name="BKCTGS" xfId="1150"/>
    <cellStyle name="Bold 11" xfId="1151"/>
    <cellStyle name="C?AØ_¿?¾÷CoE² " xfId="541"/>
    <cellStyle name="Ç¥ÁØ_      " xfId="542"/>
    <cellStyle name="C￥AØ_¿μ¾÷CoE² " xfId="543"/>
    <cellStyle name="Ç¥ÁØ_±¸¹Ì´ëÃ¥" xfId="544"/>
    <cellStyle name="Calc Currency (0)" xfId="545"/>
    <cellStyle name="Calc Currency (0) 2" xfId="546"/>
    <cellStyle name="Calc Currency (0) 3" xfId="1152"/>
    <cellStyle name="Calc Currency (2)" xfId="1153"/>
    <cellStyle name="Calc Percent (0)" xfId="547"/>
    <cellStyle name="Calc Percent (0) 2" xfId="548"/>
    <cellStyle name="Calc Percent (0) 3" xfId="1154"/>
    <cellStyle name="Calc Percent (1)" xfId="549"/>
    <cellStyle name="Calc Percent (1) 2" xfId="550"/>
    <cellStyle name="Calc Percent (1) 3" xfId="1155"/>
    <cellStyle name="Calc Percent (2)" xfId="1156"/>
    <cellStyle name="Calc Units (0)" xfId="1157"/>
    <cellStyle name="Calc Units (1)" xfId="1158"/>
    <cellStyle name="Calc Units (2)" xfId="1159"/>
    <cellStyle name="Calculation 2" xfId="1160"/>
    <cellStyle name="category" xfId="551"/>
    <cellStyle name="category 2" xfId="1161"/>
    <cellStyle name="Cerrency_Sheet2_XANGDAU" xfId="552"/>
    <cellStyle name="Check Cell 2" xfId="1162"/>
    <cellStyle name="CHUONG" xfId="553"/>
    <cellStyle name="Column_Title" xfId="554"/>
    <cellStyle name="Comma" xfId="1" builtinId="3"/>
    <cellStyle name="Comma (0.0)" xfId="1164"/>
    <cellStyle name="Comma (0.00)" xfId="1165"/>
    <cellStyle name="Comma (hidden)" xfId="1166"/>
    <cellStyle name="Comma (index)" xfId="1167"/>
    <cellStyle name="Comma [ ,]" xfId="1168"/>
    <cellStyle name="Comma [0] 2" xfId="19"/>
    <cellStyle name="Comma [0] 2 2" xfId="555"/>
    <cellStyle name="Comma [00]" xfId="1169"/>
    <cellStyle name="Comma 10" xfId="8"/>
    <cellStyle name="Comma 10 2" xfId="17"/>
    <cellStyle name="Comma 10 3" xfId="15"/>
    <cellStyle name="Comma 10 3 3" xfId="556"/>
    <cellStyle name="Comma 10 3 3 2" xfId="994"/>
    <cellStyle name="Comma 100" xfId="909"/>
    <cellStyle name="Comma 11" xfId="557"/>
    <cellStyle name="Comma 11 2" xfId="1604"/>
    <cellStyle name="Comma 12" xfId="558"/>
    <cellStyle name="Comma 13" xfId="559"/>
    <cellStyle name="Comma 14" xfId="21"/>
    <cellStyle name="Comma 14 2" xfId="902"/>
    <cellStyle name="Comma 14 2 2" xfId="1540"/>
    <cellStyle name="Comma 15" xfId="18"/>
    <cellStyle name="Comma 15 2" xfId="901"/>
    <cellStyle name="Comma 16" xfId="905"/>
    <cellStyle name="Comma 17" xfId="907"/>
    <cellStyle name="Comma 17 2" xfId="7"/>
    <cellStyle name="Comma 18" xfId="3"/>
    <cellStyle name="Comma 19" xfId="913"/>
    <cellStyle name="Comma 2" xfId="20"/>
    <cellStyle name="Comma 2 2" xfId="5"/>
    <cellStyle name="Comma 2 2 2" xfId="560"/>
    <cellStyle name="Comma 2 2 2 2" xfId="1542"/>
    <cellStyle name="Comma 2 3" xfId="561"/>
    <cellStyle name="Comma 2 3 2" xfId="11"/>
    <cellStyle name="Comma 2 4" xfId="1170"/>
    <cellStyle name="Comma 20" xfId="915"/>
    <cellStyle name="Comma 21" xfId="917"/>
    <cellStyle name="Comma 21 2" xfId="1532"/>
    <cellStyle name="Comma 22" xfId="920"/>
    <cellStyle name="Comma 23" xfId="1163"/>
    <cellStyle name="Comma 24" xfId="1544"/>
    <cellStyle name="Comma 25" xfId="1560"/>
    <cellStyle name="Comma 26" xfId="562"/>
    <cellStyle name="Comma 27" xfId="1490"/>
    <cellStyle name="Comma 28" xfId="1562"/>
    <cellStyle name="Comma 28 2" xfId="1600"/>
    <cellStyle name="Comma 29" xfId="1587"/>
    <cellStyle name="Comma 3" xfId="563"/>
    <cellStyle name="Comma 3 2" xfId="564"/>
    <cellStyle name="Comma 3 2 2" xfId="995"/>
    <cellStyle name="Comma 3 3" xfId="565"/>
    <cellStyle name="Comma 30" xfId="1589"/>
    <cellStyle name="Comma 31" xfId="1591"/>
    <cellStyle name="Comma 32" xfId="1593"/>
    <cellStyle name="Comma 33" xfId="1595"/>
    <cellStyle name="Comma 34" xfId="1597"/>
    <cellStyle name="Comma 4" xfId="566"/>
    <cellStyle name="Comma 4 2" xfId="1601"/>
    <cellStyle name="Comma 5" xfId="567"/>
    <cellStyle name="Comma 5 2" xfId="568"/>
    <cellStyle name="Comma 5 3" xfId="903"/>
    <cellStyle name="Comma 6" xfId="569"/>
    <cellStyle name="Comma 7" xfId="570"/>
    <cellStyle name="Comma 7 2" xfId="13"/>
    <cellStyle name="Comma 7 5 2 2" xfId="908"/>
    <cellStyle name="Comma 8" xfId="571"/>
    <cellStyle name="Comma 84" xfId="910"/>
    <cellStyle name="Comma 9" xfId="572"/>
    <cellStyle name="comma zerodec" xfId="1171"/>
    <cellStyle name="Comma0" xfId="573"/>
    <cellStyle name="Comma0 2" xfId="574"/>
    <cellStyle name="Copied" xfId="575"/>
    <cellStyle name="COST1" xfId="576"/>
    <cellStyle name="CTGS" xfId="1172"/>
    <cellStyle name="Currency (hidden)" xfId="1173"/>
    <cellStyle name="Currency [0] 2" xfId="577"/>
    <cellStyle name="Currency [00]" xfId="1174"/>
    <cellStyle name="Currency [1]" xfId="1175"/>
    <cellStyle name="Currency 2" xfId="1533"/>
    <cellStyle name="Currency 3" xfId="1559"/>
    <cellStyle name="Currency 4" xfId="1288"/>
    <cellStyle name="Currency 5" xfId="1555"/>
    <cellStyle name="Currency 6" xfId="1534"/>
    <cellStyle name="Currency0" xfId="578"/>
    <cellStyle name="Currency0 2" xfId="579"/>
    <cellStyle name="Currency1" xfId="1176"/>
    <cellStyle name="D_G_A" xfId="580"/>
    <cellStyle name="Date" xfId="581"/>
    <cellStyle name="Date 2" xfId="582"/>
    <cellStyle name="Date Short" xfId="1177"/>
    <cellStyle name="Date_BANG KE HANG HOA XUAT KHAU" xfId="1178"/>
    <cellStyle name="Decimal 1" xfId="1179"/>
    <cellStyle name="Decimal 2" xfId="1180"/>
    <cellStyle name="Decimal 3" xfId="1181"/>
    <cellStyle name="Define your own named style" xfId="1182"/>
    <cellStyle name="DELTA" xfId="1183"/>
    <cellStyle name="Dezimal [0]_68574_Materialbedarfsliste" xfId="1184"/>
    <cellStyle name="Dezimal_68574_Materialbedarfsliste" xfId="1185"/>
    <cellStyle name="Dollar (zero dec)" xfId="1186"/>
    <cellStyle name="Draw lines around data in range" xfId="1187"/>
    <cellStyle name="Draw shadow and lines within range" xfId="1188"/>
    <cellStyle name="E&amp;Y House" xfId="1189"/>
    <cellStyle name="Emphasis 1" xfId="1190"/>
    <cellStyle name="Emphasis 2" xfId="1191"/>
    <cellStyle name="Emphasis 3" xfId="1192"/>
    <cellStyle name="EN CO.," xfId="583"/>
    <cellStyle name="ency [0]_laroux" xfId="1193"/>
    <cellStyle name="Enlarge title text, yellow on blue" xfId="1194"/>
    <cellStyle name="Enter Currency (0)" xfId="584"/>
    <cellStyle name="Enter Currency (0) 2" xfId="585"/>
    <cellStyle name="Enter Currency (0) 2 2" xfId="586"/>
    <cellStyle name="Enter Currency (0) 3" xfId="587"/>
    <cellStyle name="Enter Currency (0) 4" xfId="1195"/>
    <cellStyle name="Enter Currency (0)_NAM PHONG Q2.2012" xfId="588"/>
    <cellStyle name="Enter Currency (2)" xfId="1196"/>
    <cellStyle name="Enter Units (0)" xfId="1197"/>
    <cellStyle name="Enter Units (1)" xfId="1198"/>
    <cellStyle name="Enter Units (2)" xfId="1199"/>
    <cellStyle name="Entered" xfId="589"/>
    <cellStyle name="Euro" xfId="1200"/>
    <cellStyle name="Explanatory Text 2" xfId="1201"/>
    <cellStyle name="F2" xfId="1202"/>
    <cellStyle name="F3" xfId="1203"/>
    <cellStyle name="F4" xfId="1204"/>
    <cellStyle name="F5" xfId="1205"/>
    <cellStyle name="F6" xfId="1206"/>
    <cellStyle name="F7" xfId="1207"/>
    <cellStyle name="F8" xfId="1208"/>
    <cellStyle name="Fixed" xfId="590"/>
    <cellStyle name="Fixed 2" xfId="591"/>
    <cellStyle name="Font Britannic16" xfId="1209"/>
    <cellStyle name="Font Britannic18" xfId="1210"/>
    <cellStyle name="Font CenturyCond 18" xfId="1211"/>
    <cellStyle name="Font Cond20" xfId="1212"/>
    <cellStyle name="Font LucidaSans16" xfId="1213"/>
    <cellStyle name="Font NewCenturyCond18" xfId="1214"/>
    <cellStyle name="Font Ottawa14" xfId="1215"/>
    <cellStyle name="Font Ottawa16" xfId="1216"/>
    <cellStyle name="Format a column of totals" xfId="1217"/>
    <cellStyle name="Format a row of totals" xfId="1218"/>
    <cellStyle name="Format text as bold, black on yello" xfId="1219"/>
    <cellStyle name="Good 2" xfId="1220"/>
    <cellStyle name="Grey" xfId="592"/>
    <cellStyle name="H" xfId="1221"/>
    <cellStyle name="ha" xfId="1222"/>
    <cellStyle name="HEADER" xfId="593"/>
    <cellStyle name="HEADER 2" xfId="1223"/>
    <cellStyle name="Header1" xfId="594"/>
    <cellStyle name="Header2" xfId="595"/>
    <cellStyle name="Heading" xfId="1224"/>
    <cellStyle name="Heading 1 2" xfId="596"/>
    <cellStyle name="Heading 2 2" xfId="597"/>
    <cellStyle name="Heading 3 2" xfId="1225"/>
    <cellStyle name="Heading 4 2" xfId="1226"/>
    <cellStyle name="Heading1" xfId="598"/>
    <cellStyle name="Heading1 2" xfId="1227"/>
    <cellStyle name="Heading2" xfId="599"/>
    <cellStyle name="Heading2 2" xfId="1228"/>
    <cellStyle name="headoption" xfId="1229"/>
    <cellStyle name="Hidden" xfId="1230"/>
    <cellStyle name="Hoa-Scholl" xfId="1231"/>
    <cellStyle name="Hyperlink 2" xfId="600"/>
    <cellStyle name="i·0" xfId="601"/>
    <cellStyle name="i·0 2" xfId="1232"/>
    <cellStyle name="Input %" xfId="1234"/>
    <cellStyle name="Input [yellow]" xfId="602"/>
    <cellStyle name="Input [yellow] 2" xfId="1235"/>
    <cellStyle name="Input 1" xfId="1236"/>
    <cellStyle name="Input 2" xfId="1233"/>
    <cellStyle name="Input 3" xfId="1237"/>
    <cellStyle name="Input 4" xfId="1547"/>
    <cellStyle name="Input 5" xfId="1546"/>
    <cellStyle name="Input 6" xfId="1548"/>
    <cellStyle name="Input 7" xfId="1545"/>
    <cellStyle name="Input Cells" xfId="603"/>
    <cellStyle name="Input Cells 2" xfId="604"/>
    <cellStyle name="Input Cells 3" xfId="1238"/>
    <cellStyle name="l,Bold&quot;&amp;18BBb_x0001_" xfId="1239"/>
    <cellStyle name="Ledger 17 x 11 in" xfId="1240"/>
    <cellStyle name="Line" xfId="605"/>
    <cellStyle name="Link Currency (0)" xfId="606"/>
    <cellStyle name="Link Currency (0) 2" xfId="607"/>
    <cellStyle name="Link Currency (0) 2 2" xfId="608"/>
    <cellStyle name="Link Currency (0) 3" xfId="609"/>
    <cellStyle name="Link Currency (0) 4" xfId="1241"/>
    <cellStyle name="Link Currency (0)_NAM PHONG Q2.2012" xfId="610"/>
    <cellStyle name="Link Currency (2)" xfId="1242"/>
    <cellStyle name="Link Units (0)" xfId="1243"/>
    <cellStyle name="Link Units (1)" xfId="1244"/>
    <cellStyle name="Link Units (2)" xfId="1245"/>
    <cellStyle name="Linked Cell 2" xfId="1246"/>
    <cellStyle name="Linked Cells" xfId="611"/>
    <cellStyle name="Linked Cells 2" xfId="612"/>
    <cellStyle name="Linked Cells 3" xfId="1247"/>
    <cellStyle name="Millares [0]_Well Timing" xfId="1248"/>
    <cellStyle name="Millares_Well Timing" xfId="1249"/>
    <cellStyle name="Milliers [0]_      " xfId="613"/>
    <cellStyle name="Milliers_      " xfId="614"/>
    <cellStyle name="Model" xfId="615"/>
    <cellStyle name="Model 2" xfId="1250"/>
    <cellStyle name="moi" xfId="1251"/>
    <cellStyle name="Mon?aire [0]_      " xfId="616"/>
    <cellStyle name="Mon?aire_      " xfId="617"/>
    <cellStyle name="Moneda [0]_Well Timing" xfId="1252"/>
    <cellStyle name="Moneda_Well Timing" xfId="1253"/>
    <cellStyle name="Monétaire [0]_      " xfId="1254"/>
    <cellStyle name="Monetaire [0]_!!!GO" xfId="1255"/>
    <cellStyle name="Monétaire [0]_!!!GO" xfId="618"/>
    <cellStyle name="Monétaire_      " xfId="1256"/>
    <cellStyle name="Monetaire_!!!GO" xfId="1257"/>
    <cellStyle name="Monétaire_!!!GO" xfId="619"/>
    <cellStyle name="Month" xfId="1258"/>
    <cellStyle name="Mon彋aire [0]_!!!GO" xfId="1259"/>
    <cellStyle name="Mon彋aire_!!!GO" xfId="1260"/>
    <cellStyle name="n" xfId="620"/>
    <cellStyle name="Neutral 2" xfId="1261"/>
    <cellStyle name="New" xfId="1262"/>
    <cellStyle name="New Times Roman" xfId="1263"/>
    <cellStyle name="no dec" xfId="1264"/>
    <cellStyle name="ÑONVÒ" xfId="621"/>
    <cellStyle name="Normal" xfId="0" builtinId="0"/>
    <cellStyle name="Normal - Style1" xfId="9"/>
    <cellStyle name="Normal - Style1 2" xfId="622"/>
    <cellStyle name="Normal - Style2" xfId="1265"/>
    <cellStyle name="Normal - Style3" xfId="1266"/>
    <cellStyle name="Normal - Style4" xfId="1267"/>
    <cellStyle name="Normal - Style5" xfId="1268"/>
    <cellStyle name="Normal - Style6" xfId="1269"/>
    <cellStyle name="Normal - Style7" xfId="1270"/>
    <cellStyle name="Normal - Style8" xfId="1271"/>
    <cellStyle name="Normal - 유형1" xfId="1272"/>
    <cellStyle name="Normal 10" xfId="623"/>
    <cellStyle name="Normal 100" xfId="955"/>
    <cellStyle name="Normal 101" xfId="911"/>
    <cellStyle name="Normal 102" xfId="956"/>
    <cellStyle name="Normal 103" xfId="957"/>
    <cellStyle name="Normal 104" xfId="958"/>
    <cellStyle name="Normal 105" xfId="959"/>
    <cellStyle name="Normal 106" xfId="960"/>
    <cellStyle name="Normal 107" xfId="961"/>
    <cellStyle name="Normal 108" xfId="962"/>
    <cellStyle name="Normal 109" xfId="963"/>
    <cellStyle name="Normal 11" xfId="624"/>
    <cellStyle name="Normal 11 2" xfId="1273"/>
    <cellStyle name="Normal 110" xfId="964"/>
    <cellStyle name="Normal 111" xfId="965"/>
    <cellStyle name="Normal 112" xfId="966"/>
    <cellStyle name="Normal 113" xfId="967"/>
    <cellStyle name="Normal 114" xfId="968"/>
    <cellStyle name="Normal 115" xfId="969"/>
    <cellStyle name="Normal 116" xfId="970"/>
    <cellStyle name="Normal 117" xfId="971"/>
    <cellStyle name="Normal 118" xfId="972"/>
    <cellStyle name="Normal 119" xfId="973"/>
    <cellStyle name="Normal 12" xfId="625"/>
    <cellStyle name="Normal 120" xfId="974"/>
    <cellStyle name="Normal 121" xfId="975"/>
    <cellStyle name="Normal 122" xfId="976"/>
    <cellStyle name="Normal 123" xfId="977"/>
    <cellStyle name="Normal 124" xfId="978"/>
    <cellStyle name="Normal 125" xfId="979"/>
    <cellStyle name="Normal 126" xfId="980"/>
    <cellStyle name="Normal 127" xfId="981"/>
    <cellStyle name="Normal 128" xfId="982"/>
    <cellStyle name="Normal 129" xfId="983"/>
    <cellStyle name="Normal 13" xfId="626"/>
    <cellStyle name="Normal 130" xfId="984"/>
    <cellStyle name="Normal 131" xfId="985"/>
    <cellStyle name="Normal 132" xfId="986"/>
    <cellStyle name="Normal 133" xfId="987"/>
    <cellStyle name="Normal 134" xfId="988"/>
    <cellStyle name="Normal 135" xfId="989"/>
    <cellStyle name="Normal 136" xfId="990"/>
    <cellStyle name="Normal 137" xfId="991"/>
    <cellStyle name="Normal 138" xfId="992"/>
    <cellStyle name="Normal 139" xfId="993"/>
    <cellStyle name="Normal 14" xfId="627"/>
    <cellStyle name="Normal 140" xfId="997"/>
    <cellStyle name="Normal 141" xfId="998"/>
    <cellStyle name="Normal 142" xfId="999"/>
    <cellStyle name="Normal 143" xfId="1513"/>
    <cellStyle name="Normal 144" xfId="1558"/>
    <cellStyle name="Normal 145" xfId="1539"/>
    <cellStyle name="Normal 146" xfId="1554"/>
    <cellStyle name="Normal 147" xfId="1563"/>
    <cellStyle name="Normal 148" xfId="1564"/>
    <cellStyle name="Normal 149" xfId="1565"/>
    <cellStyle name="Normal 15" xfId="628"/>
    <cellStyle name="Normal 150" xfId="1566"/>
    <cellStyle name="Normal 151" xfId="1567"/>
    <cellStyle name="Normal 152" xfId="1568"/>
    <cellStyle name="Normal 153" xfId="1569"/>
    <cellStyle name="Normal 154" xfId="1570"/>
    <cellStyle name="Normal 155" xfId="1571"/>
    <cellStyle name="Normal 156" xfId="1572"/>
    <cellStyle name="Normal 156 2" xfId="1580"/>
    <cellStyle name="Normal 157" xfId="1573"/>
    <cellStyle name="Normal 157 2" xfId="1584"/>
    <cellStyle name="Normal 158" xfId="1574"/>
    <cellStyle name="Normal 158 2" xfId="1581"/>
    <cellStyle name="Normal 159" xfId="1575"/>
    <cellStyle name="Normal 159 2" xfId="1583"/>
    <cellStyle name="Normal 16" xfId="629"/>
    <cellStyle name="Normal 160" xfId="1586"/>
    <cellStyle name="Normal 161" xfId="1588"/>
    <cellStyle name="Normal 161 2" xfId="1582"/>
    <cellStyle name="Normal 162" xfId="1590"/>
    <cellStyle name="Normal 162 2" xfId="1579"/>
    <cellStyle name="Normal 163" xfId="1592"/>
    <cellStyle name="Normal 164" xfId="1594"/>
    <cellStyle name="Normal 164 2" xfId="1585"/>
    <cellStyle name="Normal 165" xfId="1596"/>
    <cellStyle name="Normal 166" xfId="1605"/>
    <cellStyle name="Normal 17" xfId="630"/>
    <cellStyle name="Normal 18" xfId="631"/>
    <cellStyle name="Normal 181 2" xfId="1578"/>
    <cellStyle name="Normal 19" xfId="632"/>
    <cellStyle name="Normal 2" xfId="16"/>
    <cellStyle name="Normal 2 2" xfId="633"/>
    <cellStyle name="Normal 2 2 2" xfId="1599"/>
    <cellStyle name="Normal 2 3" xfId="634"/>
    <cellStyle name="Normal 2 4" xfId="921"/>
    <cellStyle name="Normal 2 5" xfId="996"/>
    <cellStyle name="Normal 2 5 2 2 2" xfId="1577"/>
    <cellStyle name="Normal 2 5 2 2 2 3" xfId="1602"/>
    <cellStyle name="Normal 2 6" xfId="1535"/>
    <cellStyle name="Normal 2 7" xfId="1576"/>
    <cellStyle name="Normal 20" xfId="635"/>
    <cellStyle name="Normal 203 2 2 2" xfId="1603"/>
    <cellStyle name="Normal 21" xfId="636"/>
    <cellStyle name="Normal 22" xfId="637"/>
    <cellStyle name="Normal 23" xfId="638"/>
    <cellStyle name="Normal 24" xfId="639"/>
    <cellStyle name="Normal 25" xfId="640"/>
    <cellStyle name="Normal 26" xfId="641"/>
    <cellStyle name="Normal 27" xfId="642"/>
    <cellStyle name="Normal 28" xfId="643"/>
    <cellStyle name="Normal 29" xfId="644"/>
    <cellStyle name="Normal 3" xfId="6"/>
    <cellStyle name="Normal 3 2" xfId="645"/>
    <cellStyle name="Normal 3 3" xfId="646"/>
    <cellStyle name="Normal 3 4" xfId="23"/>
    <cellStyle name="Normal 30" xfId="647"/>
    <cellStyle name="Normal 31" xfId="648"/>
    <cellStyle name="Normal 32" xfId="649"/>
    <cellStyle name="Normal 33" xfId="650"/>
    <cellStyle name="Normal 34" xfId="651"/>
    <cellStyle name="Normal 35" xfId="652"/>
    <cellStyle name="Normal 36" xfId="653"/>
    <cellStyle name="Normal 37" xfId="654"/>
    <cellStyle name="Normal 38" xfId="655"/>
    <cellStyle name="Normal 39" xfId="656"/>
    <cellStyle name="Normal 4" xfId="657"/>
    <cellStyle name="Normal 40" xfId="658"/>
    <cellStyle name="Normal 41" xfId="659"/>
    <cellStyle name="Normal 42" xfId="660"/>
    <cellStyle name="Normal 43" xfId="661"/>
    <cellStyle name="Normal 44" xfId="662"/>
    <cellStyle name="Normal 45" xfId="663"/>
    <cellStyle name="Normal 46" xfId="664"/>
    <cellStyle name="Normal 47" xfId="665"/>
    <cellStyle name="Normal 48" xfId="666"/>
    <cellStyle name="Normal 49" xfId="667"/>
    <cellStyle name="Normal 5" xfId="668"/>
    <cellStyle name="Normal 5 3" xfId="12"/>
    <cellStyle name="Normal 50" xfId="669"/>
    <cellStyle name="Normal 51" xfId="670"/>
    <cellStyle name="Normal 52" xfId="671"/>
    <cellStyle name="Normal 53" xfId="672"/>
    <cellStyle name="Normal 54" xfId="673"/>
    <cellStyle name="Normal 55" xfId="674"/>
    <cellStyle name="Normal 56" xfId="675"/>
    <cellStyle name="Normal 57" xfId="676"/>
    <cellStyle name="Normal 58" xfId="22"/>
    <cellStyle name="Normal 58 2" xfId="900"/>
    <cellStyle name="Normal 58 2 2" xfId="1538"/>
    <cellStyle name="Normal 59" xfId="677"/>
    <cellStyle name="Normal 6" xfId="4"/>
    <cellStyle name="Normal 60" xfId="904"/>
    <cellStyle name="Normal 61" xfId="906"/>
    <cellStyle name="Normal 62" xfId="912"/>
    <cellStyle name="Normal 63" xfId="914"/>
    <cellStyle name="Normal 64" xfId="916"/>
    <cellStyle name="Normal 65" xfId="918"/>
    <cellStyle name="Normal 66" xfId="919"/>
    <cellStyle name="Normal 67" xfId="923"/>
    <cellStyle name="Normal 68" xfId="926"/>
    <cellStyle name="Normal 69" xfId="922"/>
    <cellStyle name="Normal 7" xfId="678"/>
    <cellStyle name="Normal 7 2" xfId="14"/>
    <cellStyle name="Normal 70" xfId="924"/>
    <cellStyle name="Normal 71" xfId="925"/>
    <cellStyle name="Normal 72" xfId="927"/>
    <cellStyle name="Normal 73" xfId="928"/>
    <cellStyle name="Normal 74" xfId="929"/>
    <cellStyle name="Normal 75" xfId="930"/>
    <cellStyle name="Normal 76" xfId="931"/>
    <cellStyle name="Normal 77" xfId="932"/>
    <cellStyle name="Normal 78" xfId="933"/>
    <cellStyle name="Normal 79" xfId="934"/>
    <cellStyle name="Normal 8" xfId="679"/>
    <cellStyle name="Normal 80" xfId="935"/>
    <cellStyle name="Normal 81" xfId="936"/>
    <cellStyle name="Normal 82" xfId="937"/>
    <cellStyle name="Normal 83" xfId="938"/>
    <cellStyle name="Normal 84" xfId="939"/>
    <cellStyle name="Normal 85" xfId="940"/>
    <cellStyle name="Normal 86" xfId="941"/>
    <cellStyle name="Normal 87" xfId="942"/>
    <cellStyle name="Normal 88" xfId="943"/>
    <cellStyle name="Normal 89" xfId="944"/>
    <cellStyle name="Normal 9" xfId="680"/>
    <cellStyle name="Normal 90" xfId="945"/>
    <cellStyle name="Normal 91" xfId="946"/>
    <cellStyle name="Normal 92" xfId="947"/>
    <cellStyle name="Normal 93" xfId="948"/>
    <cellStyle name="Normal 94" xfId="949"/>
    <cellStyle name="Normal 95" xfId="950"/>
    <cellStyle name="Normal 96" xfId="951"/>
    <cellStyle name="Normal 97" xfId="952"/>
    <cellStyle name="Normal 98" xfId="953"/>
    <cellStyle name="Normal 99" xfId="954"/>
    <cellStyle name="Normal_Sheet1 2" xfId="1598"/>
    <cellStyle name="Note 2" xfId="1274"/>
    <cellStyle name="Œ…‹æØ‚è [0.00]_ÆÂ¹²" xfId="1275"/>
    <cellStyle name="Œ…‹æØ‚è_ƒ}ƒXƒ^i“¾ˆÓæj" xfId="1276"/>
    <cellStyle name="oft Excel]_x000d__x000a_Comment=open=/f ‚ðw’è‚·‚é‚ÆAƒ†[ƒU[’è‹`ŠÖ”‚ðŠÖ”“\‚è•t‚¯‚Ìˆê——‚É“o˜^‚·‚é‚±‚Æ‚ª‚Å‚«‚Ü‚·B_x000d__x000a_Maximized" xfId="1277"/>
    <cellStyle name="oft Excel]_x000d__x000a_Comment=The open=/f lines load custom functions into the Paste Function list._x000d__x000a_Maximized=2_x000d__x000a_DefaultPath" xfId="681"/>
    <cellStyle name="omma [0]_Mktg Prog" xfId="682"/>
    <cellStyle name="_x0004_omma_laroux_1_PLDT_Term loan &amp; PP-(YT)" xfId="1278"/>
    <cellStyle name="ormal_Sheet1_1" xfId="683"/>
    <cellStyle name="Output 2" xfId="1279"/>
    <cellStyle name="paint" xfId="1280"/>
    <cellStyle name="Pattern" xfId="684"/>
    <cellStyle name="per.style" xfId="685"/>
    <cellStyle name="Percent ()" xfId="1282"/>
    <cellStyle name="Percent (0%)" xfId="1283"/>
    <cellStyle name="Percent (0.0%)" xfId="1284"/>
    <cellStyle name="Percent (0.00%)" xfId="1285"/>
    <cellStyle name="Percent [0]" xfId="1286"/>
    <cellStyle name="Percent [00]" xfId="1287"/>
    <cellStyle name="Percent [2]" xfId="686"/>
    <cellStyle name="Percent [2] 2" xfId="687"/>
    <cellStyle name="Percent 1" xfId="1289"/>
    <cellStyle name="Percent 10" xfId="1543"/>
    <cellStyle name="Percent 11" xfId="1561"/>
    <cellStyle name="Percent 12" xfId="1492"/>
    <cellStyle name="Percent 2" xfId="688"/>
    <cellStyle name="Percent 2 2" xfId="689"/>
    <cellStyle name="Percent 2 3" xfId="1290"/>
    <cellStyle name="Percent 3" xfId="690"/>
    <cellStyle name="Percent 3 2" xfId="691"/>
    <cellStyle name="Percent 4" xfId="692"/>
    <cellStyle name="Percent 5" xfId="693"/>
    <cellStyle name="Percent 6" xfId="694"/>
    <cellStyle name="Percent 7" xfId="695"/>
    <cellStyle name="Percent 8" xfId="1281"/>
    <cellStyle name="Percent 9" xfId="1549"/>
    <cellStyle name="PERCENTAGE" xfId="696"/>
    <cellStyle name="phi" xfId="697"/>
    <cellStyle name="pivot table" xfId="1291"/>
    <cellStyle name="PrePop Currency (0)" xfId="698"/>
    <cellStyle name="PrePop Currency (0) 2" xfId="699"/>
    <cellStyle name="PrePop Currency (0) 2 2" xfId="700"/>
    <cellStyle name="PrePop Currency (0) 3" xfId="701"/>
    <cellStyle name="PrePop Currency (0) 4" xfId="1292"/>
    <cellStyle name="PrePop Currency (0)_NAM PHONG Q2.2012" xfId="702"/>
    <cellStyle name="PrePop Currency (2)" xfId="1293"/>
    <cellStyle name="PrePop Units (0)" xfId="1294"/>
    <cellStyle name="PrePop Units (1)" xfId="1295"/>
    <cellStyle name="PrePop Units (2)" xfId="1296"/>
    <cellStyle name="pricing" xfId="703"/>
    <cellStyle name="pricing 2" xfId="1297"/>
    <cellStyle name="PSChar" xfId="704"/>
    <cellStyle name="PSHeading" xfId="1298"/>
    <cellStyle name="Rate" xfId="1299"/>
    <cellStyle name="Reset range style to defaults" xfId="1300"/>
    <cellStyle name="RevList" xfId="705"/>
    <cellStyle name="RevList 2" xfId="706"/>
    <cellStyle name="RevList 3" xfId="1301"/>
    <cellStyle name="rrency [0]_laroux_1" xfId="1302"/>
    <cellStyle name="S—_x0008_" xfId="707"/>
    <cellStyle name="S—_x0008_ 2" xfId="1303"/>
    <cellStyle name="S0" xfId="708"/>
    <cellStyle name="S1" xfId="709"/>
    <cellStyle name="S10" xfId="710"/>
    <cellStyle name="S11" xfId="711"/>
    <cellStyle name="S12" xfId="712"/>
    <cellStyle name="S13" xfId="713"/>
    <cellStyle name="S14" xfId="714"/>
    <cellStyle name="S15" xfId="715"/>
    <cellStyle name="S16" xfId="716"/>
    <cellStyle name="S17" xfId="717"/>
    <cellStyle name="S2" xfId="718"/>
    <cellStyle name="S3" xfId="719"/>
    <cellStyle name="S4" xfId="720"/>
    <cellStyle name="S5" xfId="721"/>
    <cellStyle name="S6" xfId="722"/>
    <cellStyle name="S7" xfId="723"/>
    <cellStyle name="S8" xfId="724"/>
    <cellStyle name="S9" xfId="725"/>
    <cellStyle name="Sheet Title" xfId="1304"/>
    <cellStyle name="SHEET2" xfId="1305"/>
    <cellStyle name="Standard_AAbgleich" xfId="726"/>
    <cellStyle name="STTDG" xfId="1306"/>
    <cellStyle name="Style 1" xfId="727"/>
    <cellStyle name="Style 1 2" xfId="1307"/>
    <cellStyle name="Style 10" xfId="728"/>
    <cellStyle name="Style 10 2" xfId="1308"/>
    <cellStyle name="Style 100" xfId="729"/>
    <cellStyle name="Style 101" xfId="730"/>
    <cellStyle name="Style 102" xfId="731"/>
    <cellStyle name="Style 103" xfId="732"/>
    <cellStyle name="Style 11" xfId="733"/>
    <cellStyle name="Style 11 2" xfId="1309"/>
    <cellStyle name="Style 12" xfId="734"/>
    <cellStyle name="Style 12 2" xfId="1310"/>
    <cellStyle name="Style 13" xfId="735"/>
    <cellStyle name="Style 13 2" xfId="1311"/>
    <cellStyle name="Style 14" xfId="736"/>
    <cellStyle name="Style 14 2" xfId="1312"/>
    <cellStyle name="Style 15" xfId="737"/>
    <cellStyle name="Style 15 2" xfId="1313"/>
    <cellStyle name="Style 16" xfId="738"/>
    <cellStyle name="Style 16 2" xfId="1314"/>
    <cellStyle name="Style 17" xfId="739"/>
    <cellStyle name="Style 18" xfId="740"/>
    <cellStyle name="Style 18 2" xfId="1315"/>
    <cellStyle name="Style 19" xfId="741"/>
    <cellStyle name="Style 19 2" xfId="1316"/>
    <cellStyle name="Style 2" xfId="742"/>
    <cellStyle name="Style 2 2" xfId="1317"/>
    <cellStyle name="Style 20" xfId="743"/>
    <cellStyle name="Style 20 2" xfId="1318"/>
    <cellStyle name="Style 21" xfId="744"/>
    <cellStyle name="Style 21 2" xfId="1319"/>
    <cellStyle name="Style 22" xfId="745"/>
    <cellStyle name="Style 22 2" xfId="1320"/>
    <cellStyle name="Style 23" xfId="746"/>
    <cellStyle name="Style 23 2" xfId="1321"/>
    <cellStyle name="Style 24" xfId="747"/>
    <cellStyle name="Style 25" xfId="748"/>
    <cellStyle name="Style 26" xfId="749"/>
    <cellStyle name="Style 26 2" xfId="1322"/>
    <cellStyle name="Style 27" xfId="750"/>
    <cellStyle name="Style 27 2" xfId="1323"/>
    <cellStyle name="Style 28" xfId="751"/>
    <cellStyle name="Style 29" xfId="752"/>
    <cellStyle name="Style 29 2" xfId="1324"/>
    <cellStyle name="Style 3" xfId="753"/>
    <cellStyle name="Style 3 2" xfId="1325"/>
    <cellStyle name="Style 30" xfId="754"/>
    <cellStyle name="Style 30 2" xfId="1326"/>
    <cellStyle name="Style 31" xfId="755"/>
    <cellStyle name="Style 31 2" xfId="1327"/>
    <cellStyle name="Style 32" xfId="756"/>
    <cellStyle name="Style 32 2" xfId="1328"/>
    <cellStyle name="Style 33" xfId="757"/>
    <cellStyle name="Style 33 2" xfId="1329"/>
    <cellStyle name="Style 34" xfId="758"/>
    <cellStyle name="Style 34 2" xfId="1330"/>
    <cellStyle name="Style 35" xfId="759"/>
    <cellStyle name="Style 35 2" xfId="1331"/>
    <cellStyle name="Style 36" xfId="760"/>
    <cellStyle name="Style 36 2" xfId="1332"/>
    <cellStyle name="Style 37" xfId="761"/>
    <cellStyle name="Style 37 2" xfId="1333"/>
    <cellStyle name="Style 38" xfId="762"/>
    <cellStyle name="Style 38 2" xfId="1334"/>
    <cellStyle name="Style 39" xfId="763"/>
    <cellStyle name="Style 39 2" xfId="1335"/>
    <cellStyle name="Style 4" xfId="764"/>
    <cellStyle name="Style 4 2" xfId="1336"/>
    <cellStyle name="Style 40" xfId="765"/>
    <cellStyle name="Style 40 2" xfId="1337"/>
    <cellStyle name="Style 41" xfId="766"/>
    <cellStyle name="Style 41 2" xfId="1338"/>
    <cellStyle name="Style 42" xfId="767"/>
    <cellStyle name="Style 42 2" xfId="1339"/>
    <cellStyle name="Style 43" xfId="768"/>
    <cellStyle name="Style 43 2" xfId="1340"/>
    <cellStyle name="Style 44" xfId="769"/>
    <cellStyle name="Style 44 2" xfId="1341"/>
    <cellStyle name="Style 45" xfId="770"/>
    <cellStyle name="Style 45 2" xfId="1342"/>
    <cellStyle name="Style 46" xfId="771"/>
    <cellStyle name="Style 46 2" xfId="1343"/>
    <cellStyle name="Style 47" xfId="772"/>
    <cellStyle name="Style 47 2" xfId="1344"/>
    <cellStyle name="Style 48" xfId="773"/>
    <cellStyle name="Style 48 2" xfId="1345"/>
    <cellStyle name="Style 49" xfId="774"/>
    <cellStyle name="Style 5" xfId="775"/>
    <cellStyle name="Style 5 2" xfId="1346"/>
    <cellStyle name="Style 50" xfId="776"/>
    <cellStyle name="Style 51" xfId="777"/>
    <cellStyle name="Style 52" xfId="778"/>
    <cellStyle name="Style 53" xfId="779"/>
    <cellStyle name="Style 54" xfId="780"/>
    <cellStyle name="Style 55" xfId="781"/>
    <cellStyle name="Style 56" xfId="782"/>
    <cellStyle name="Style 57" xfId="783"/>
    <cellStyle name="Style 58" xfId="784"/>
    <cellStyle name="Style 59" xfId="785"/>
    <cellStyle name="Style 6" xfId="786"/>
    <cellStyle name="Style 6 2" xfId="1347"/>
    <cellStyle name="Style 60" xfId="787"/>
    <cellStyle name="Style 61" xfId="788"/>
    <cellStyle name="Style 62" xfId="789"/>
    <cellStyle name="Style 63" xfId="790"/>
    <cellStyle name="Style 64" xfId="791"/>
    <cellStyle name="Style 65" xfId="792"/>
    <cellStyle name="Style 66" xfId="793"/>
    <cellStyle name="Style 67" xfId="794"/>
    <cellStyle name="Style 68" xfId="795"/>
    <cellStyle name="Style 69" xfId="796"/>
    <cellStyle name="Style 7" xfId="797"/>
    <cellStyle name="Style 7 2" xfId="1348"/>
    <cellStyle name="Style 70" xfId="798"/>
    <cellStyle name="Style 71" xfId="799"/>
    <cellStyle name="Style 72" xfId="800"/>
    <cellStyle name="Style 73" xfId="801"/>
    <cellStyle name="Style 74" xfId="802"/>
    <cellStyle name="Style 75" xfId="803"/>
    <cellStyle name="Style 76" xfId="804"/>
    <cellStyle name="Style 77" xfId="805"/>
    <cellStyle name="Style 78" xfId="806"/>
    <cellStyle name="Style 79" xfId="807"/>
    <cellStyle name="Style 8" xfId="808"/>
    <cellStyle name="Style 8 2" xfId="1349"/>
    <cellStyle name="Style 80" xfId="809"/>
    <cellStyle name="Style 81" xfId="810"/>
    <cellStyle name="Style 82" xfId="811"/>
    <cellStyle name="Style 83" xfId="812"/>
    <cellStyle name="Style 84" xfId="813"/>
    <cellStyle name="Style 85" xfId="814"/>
    <cellStyle name="Style 86" xfId="815"/>
    <cellStyle name="Style 87" xfId="816"/>
    <cellStyle name="Style 88" xfId="817"/>
    <cellStyle name="Style 89" xfId="818"/>
    <cellStyle name="Style 9" xfId="819"/>
    <cellStyle name="Style 9 2" xfId="1350"/>
    <cellStyle name="Style 90" xfId="820"/>
    <cellStyle name="Style 91" xfId="821"/>
    <cellStyle name="Style 92" xfId="822"/>
    <cellStyle name="Style 93" xfId="823"/>
    <cellStyle name="Style 94" xfId="824"/>
    <cellStyle name="Style 95" xfId="825"/>
    <cellStyle name="Style 96" xfId="826"/>
    <cellStyle name="Style 97" xfId="827"/>
    <cellStyle name="Style 98" xfId="828"/>
    <cellStyle name="Style 99" xfId="829"/>
    <cellStyle name="subhead" xfId="830"/>
    <cellStyle name="subhead 2" xfId="1351"/>
    <cellStyle name="Subtotal" xfId="831"/>
    <cellStyle name="Sum" xfId="1352"/>
    <cellStyle name="Sum %of HV" xfId="1353"/>
    <cellStyle name="Sum_2000 Management Account-BS" xfId="1354"/>
    <cellStyle name="T" xfId="832"/>
    <cellStyle name="T_Bao cao kttb milk yomilkYAO-mien bac" xfId="1356"/>
    <cellStyle name="T_Bao cao kttb milk yomilkYAO-mien bac_HOP DONG2007" xfId="1357"/>
    <cellStyle name="T_Bao cao kttb milk yomilkYAO-mien bac_Sheet1" xfId="1358"/>
    <cellStyle name="T_Bao cao kttb milk yomilkYAO-mien bac_Sheet2" xfId="1359"/>
    <cellStyle name="T_Bao cao kttb milk yomilkYAO-mien bac_Sheet3" xfId="1360"/>
    <cellStyle name="T_Bao cao kttb milk yomilkYAO-mien bac_So du 140506-1" xfId="1361"/>
    <cellStyle name="T_bc_km_ngay" xfId="1362"/>
    <cellStyle name="T_bc_km_ngay_HOP DONG2007" xfId="1363"/>
    <cellStyle name="T_bc_km_ngay_Sheet1" xfId="1364"/>
    <cellStyle name="T_bc_km_ngay_Sheet2" xfId="1365"/>
    <cellStyle name="T_bc_km_ngay_Sheet3" xfId="1366"/>
    <cellStyle name="T_bc_km_ngay_So du 140506-1" xfId="1367"/>
    <cellStyle name="T_BL NGAN HANG 2007 -HD MOI" xfId="1368"/>
    <cellStyle name="T_Book1" xfId="1369"/>
    <cellStyle name="T_Book1_HOP DONG2007" xfId="1370"/>
    <cellStyle name="T_Book1_Sheet1" xfId="1371"/>
    <cellStyle name="T_Book1_Sheet2" xfId="1372"/>
    <cellStyle name="T_Book1_Sheet3" xfId="1373"/>
    <cellStyle name="T_Book1_So du 140506-1" xfId="1374"/>
    <cellStyle name="T_Cac bao cao TB  Milk-Yomilk-co Ke- CK 1-Vinh Thang" xfId="1375"/>
    <cellStyle name="T_Cac bao cao TB  Milk-Yomilk-co Ke- CK 1-Vinh Thang_HOP DONG2007" xfId="1376"/>
    <cellStyle name="T_Cac bao cao TB  Milk-Yomilk-co Ke- CK 1-Vinh Thang_Sheet1" xfId="1377"/>
    <cellStyle name="T_Cac bao cao TB  Milk-Yomilk-co Ke- CK 1-Vinh Thang_Sheet2" xfId="1378"/>
    <cellStyle name="T_Cac bao cao TB  Milk-Yomilk-co Ke- CK 1-Vinh Thang_Sheet3" xfId="1379"/>
    <cellStyle name="T_Cac bao cao TB  Milk-Yomilk-co Ke- CK 1-Vinh Thang_So du 140506-1" xfId="1380"/>
    <cellStyle name="T_cham diem Milk chu ky2-ANH MINH" xfId="1381"/>
    <cellStyle name="T_cham diem Milk chu ky2-ANH MINH_HOP DONG2007" xfId="1382"/>
    <cellStyle name="T_cham diem Milk chu ky2-ANH MINH_Sheet1" xfId="1383"/>
    <cellStyle name="T_cham diem Milk chu ky2-ANH MINH_Sheet2" xfId="1384"/>
    <cellStyle name="T_cham diem Milk chu ky2-ANH MINH_Sheet3" xfId="1385"/>
    <cellStyle name="T_cham diem Milk chu ky2-ANH MINH_So du 140506-1" xfId="1386"/>
    <cellStyle name="T_cham trung bay ck 1 m.Bac milk co ke 2" xfId="1387"/>
    <cellStyle name="T_cham trung bay ck 1 m.Bac milk co ke 2_HOP DONG2007" xfId="1388"/>
    <cellStyle name="T_cham trung bay ck 1 m.Bac milk co ke 2_Sheet1" xfId="1389"/>
    <cellStyle name="T_cham trung bay ck 1 m.Bac milk co ke 2_Sheet2" xfId="1390"/>
    <cellStyle name="T_cham trung bay ck 1 m.Bac milk co ke 2_Sheet3" xfId="1391"/>
    <cellStyle name="T_cham trung bay ck 1 m.Bac milk co ke 2_So du 140506-1" xfId="1392"/>
    <cellStyle name="T_cham trung bay yao smart milk ck 2 mien Bac" xfId="1393"/>
    <cellStyle name="T_cham trung bay yao smart milk ck 2 mien Bac_HOP DONG2007" xfId="1394"/>
    <cellStyle name="T_cham trung bay yao smart milk ck 2 mien Bac_Sheet1" xfId="1395"/>
    <cellStyle name="T_cham trung bay yao smart milk ck 2 mien Bac_Sheet2" xfId="1396"/>
    <cellStyle name="T_cham trung bay yao smart milk ck 2 mien Bac_Sheet3" xfId="1397"/>
    <cellStyle name="T_cham trung bay yao smart milk ck 2 mien Bac_So du 140506-1" xfId="1398"/>
    <cellStyle name="T_danh sach chua nop bcao trung bay sua chua  tinh den 1-3-06" xfId="1399"/>
    <cellStyle name="T_danh sach chua nop bcao trung bay sua chua  tinh den 1-3-06_HOP DONG2007" xfId="1400"/>
    <cellStyle name="T_danh sach chua nop bcao trung bay sua chua  tinh den 1-3-06_Sheet1" xfId="1401"/>
    <cellStyle name="T_danh sach chua nop bcao trung bay sua chua  tinh den 1-3-06_Sheet2" xfId="1402"/>
    <cellStyle name="T_danh sach chua nop bcao trung bay sua chua  tinh den 1-3-06_Sheet3" xfId="1403"/>
    <cellStyle name="T_danh sach chua nop bcao trung bay sua chua  tinh den 1-3-06_So du 140506-1" xfId="1404"/>
    <cellStyle name="T_Danh sach KH TB MilkYomilk Yao  Smart chu ky 2-Vinh Thang" xfId="1405"/>
    <cellStyle name="T_Danh sach KH TB MilkYomilk Yao  Smart chu ky 2-Vinh Thang_HOP DONG2007" xfId="1406"/>
    <cellStyle name="T_Danh sach KH TB MilkYomilk Yao  Smart chu ky 2-Vinh Thang_Sheet1" xfId="1407"/>
    <cellStyle name="T_Danh sach KH TB MilkYomilk Yao  Smart chu ky 2-Vinh Thang_Sheet2" xfId="1408"/>
    <cellStyle name="T_Danh sach KH TB MilkYomilk Yao  Smart chu ky 2-Vinh Thang_Sheet3" xfId="1409"/>
    <cellStyle name="T_Danh sach KH TB MilkYomilk Yao  Smart chu ky 2-Vinh Thang_So du 140506-1" xfId="1410"/>
    <cellStyle name="T_Danh sach KH trung bay MilkYomilk co ke chu ky 2-Vinh Thang" xfId="1411"/>
    <cellStyle name="T_Danh sach KH trung bay MilkYomilk co ke chu ky 2-Vinh Thang_HOP DONG2007" xfId="1412"/>
    <cellStyle name="T_Danh sach KH trung bay MilkYomilk co ke chu ky 2-Vinh Thang_Sheet1" xfId="1413"/>
    <cellStyle name="T_Danh sach KH trung bay MilkYomilk co ke chu ky 2-Vinh Thang_Sheet2" xfId="1414"/>
    <cellStyle name="T_Danh sach KH trung bay MilkYomilk co ke chu ky 2-Vinh Thang_Sheet3" xfId="1415"/>
    <cellStyle name="T_Danh sach KH trung bay MilkYomilk co ke chu ky 2-Vinh Thang_So du 140506-1" xfId="1416"/>
    <cellStyle name="T_DSACH MILK YO MILK CK 2 M.BAC" xfId="1417"/>
    <cellStyle name="T_DSACH MILK YO MILK CK 2 M.BAC_HOP DONG2007" xfId="1418"/>
    <cellStyle name="T_DSACH MILK YO MILK CK 2 M.BAC_Sheet1" xfId="1419"/>
    <cellStyle name="T_DSACH MILK YO MILK CK 2 M.BAC_Sheet2" xfId="1420"/>
    <cellStyle name="T_DSACH MILK YO MILK CK 2 M.BAC_Sheet3" xfId="1421"/>
    <cellStyle name="T_DSACH MILK YO MILK CK 2 M.BAC_So du 140506-1" xfId="1422"/>
    <cellStyle name="T_DSKH Tbay Milk , Yomilk CK 2 Vu Thi Hanh" xfId="1423"/>
    <cellStyle name="T_DSKH Tbay Milk , Yomilk CK 2 Vu Thi Hanh_HOP DONG2007" xfId="1424"/>
    <cellStyle name="T_DSKH Tbay Milk , Yomilk CK 2 Vu Thi Hanh_Sheet1" xfId="1425"/>
    <cellStyle name="T_DSKH Tbay Milk , Yomilk CK 2 Vu Thi Hanh_Sheet2" xfId="1426"/>
    <cellStyle name="T_DSKH Tbay Milk , Yomilk CK 2 Vu Thi Hanh_Sheet3" xfId="1427"/>
    <cellStyle name="T_DSKH Tbay Milk , Yomilk CK 2 Vu Thi Hanh_So du 140506-1" xfId="1428"/>
    <cellStyle name="T_form ton kho CK 2 tuan 8" xfId="1429"/>
    <cellStyle name="T_form ton kho CK 2 tuan 8_HOP DONG2007" xfId="1430"/>
    <cellStyle name="T_form ton kho CK 2 tuan 8_Sheet1" xfId="1431"/>
    <cellStyle name="T_form ton kho CK 2 tuan 8_Sheet2" xfId="1432"/>
    <cellStyle name="T_form ton kho CK 2 tuan 8_Sheet3" xfId="1433"/>
    <cellStyle name="T_form ton kho CK 2 tuan 8_So du 140506-1" xfId="1434"/>
    <cellStyle name="T_HOP DONG2007" xfId="1435"/>
    <cellStyle name="T_NPP Khanh Vinh Thai Nguyen - BC KTTB_CTrinh_TB__20_loc__Milk_Yomilk_CK1" xfId="1436"/>
    <cellStyle name="T_NPP Khanh Vinh Thai Nguyen - BC KTTB_CTrinh_TB__20_loc__Milk_Yomilk_CK1_HOP DONG2007" xfId="1437"/>
    <cellStyle name="T_NPP Khanh Vinh Thai Nguyen - BC KTTB_CTrinh_TB__20_loc__Milk_Yomilk_CK1_Sheet1" xfId="1438"/>
    <cellStyle name="T_NPP Khanh Vinh Thai Nguyen - BC KTTB_CTrinh_TB__20_loc__Milk_Yomilk_CK1_Sheet2" xfId="1439"/>
    <cellStyle name="T_NPP Khanh Vinh Thai Nguyen - BC KTTB_CTrinh_TB__20_loc__Milk_Yomilk_CK1_Sheet3" xfId="1440"/>
    <cellStyle name="T_NPP Khanh Vinh Thai Nguyen - BC KTTB_CTrinh_TB__20_loc__Milk_Yomilk_CK1_So du 140506-1" xfId="1441"/>
    <cellStyle name="T_Sheet1" xfId="1442"/>
    <cellStyle name="T_Sheet1_1" xfId="1443"/>
    <cellStyle name="T_Sheet1_HOP DONG2007" xfId="1444"/>
    <cellStyle name="T_Sheet1_Sheet1" xfId="1445"/>
    <cellStyle name="T_Sheet1_Sheet2" xfId="1446"/>
    <cellStyle name="T_Sheet1_Sheet3" xfId="1447"/>
    <cellStyle name="T_Sheet1_So du 140506-1" xfId="1448"/>
    <cellStyle name="T_Sheet2" xfId="1449"/>
    <cellStyle name="T_Sheet3" xfId="1450"/>
    <cellStyle name="T_So du 140506-1" xfId="1451"/>
    <cellStyle name="T_sua chua cham trung bay  mien Bac" xfId="1452"/>
    <cellStyle name="T_sua chua cham trung bay  mien Bac_HOP DONG2007" xfId="1453"/>
    <cellStyle name="T_sua chua cham trung bay  mien Bac_Sheet1" xfId="1454"/>
    <cellStyle name="T_sua chua cham trung bay  mien Bac_Sheet2" xfId="1455"/>
    <cellStyle name="T_sua chua cham trung bay  mien Bac_Sheet3" xfId="1456"/>
    <cellStyle name="T_sua chua cham trung bay  mien Bac_So du 140506-1" xfId="1457"/>
    <cellStyle name="Text" xfId="1458"/>
    <cellStyle name="Text Indent A" xfId="833"/>
    <cellStyle name="Text Indent B" xfId="834"/>
    <cellStyle name="Text Indent B 2" xfId="835"/>
    <cellStyle name="Text Indent B 2 2" xfId="836"/>
    <cellStyle name="Text Indent B 3" xfId="837"/>
    <cellStyle name="Text Indent B 4" xfId="1459"/>
    <cellStyle name="Text Indent B_NAM PHONG Q2.2012" xfId="838"/>
    <cellStyle name="Text Indent C" xfId="1460"/>
    <cellStyle name="th" xfId="839"/>
    <cellStyle name="þ_x001d_" xfId="1462"/>
    <cellStyle name="TH 2" xfId="1461"/>
    <cellStyle name="TH 3" xfId="1551"/>
    <cellStyle name="TH 4" xfId="1061"/>
    <cellStyle name="TH 5" xfId="1550"/>
    <cellStyle name="TH 6" xfId="1047"/>
    <cellStyle name="th_BL NGAN HANG 2007 -HD MOI" xfId="1463"/>
    <cellStyle name="þ_x001d_ð¤_x000c_¯þ_x0014_" xfId="1464"/>
    <cellStyle name="þ_x001d_ð¤_x000c_¯þ_x0014__x000d_¨" xfId="1465"/>
    <cellStyle name="þ_x001d_ð¤_x000c_¯þ_x0014__x000d_¨þU_x0001_" xfId="1466"/>
    <cellStyle name="þ_x001d_ð¤_x000c_¯þ_x0014__x000d_¨þU_x0001_À_x0004_ _x0015__x000f__x0001__x0001_" xfId="1467"/>
    <cellStyle name="þ_x001d_ðK_x000c_Fý_x001b__x000d_9ýU_x0001_Ð_x0008_¦)_x0007__x0001__x0001_" xfId="1468"/>
    <cellStyle name="thuong-10" xfId="1469"/>
    <cellStyle name="thuong-11" xfId="1470"/>
    <cellStyle name="Tickmark" xfId="840"/>
    <cellStyle name="TieuDeDM" xfId="1471"/>
    <cellStyle name="time" xfId="1472"/>
    <cellStyle name="Times New Roman" xfId="1473"/>
    <cellStyle name="tit1" xfId="1474"/>
    <cellStyle name="tit2" xfId="1475"/>
    <cellStyle name="tit3" xfId="1476"/>
    <cellStyle name="tit4" xfId="1477"/>
    <cellStyle name="Title 2" xfId="1478"/>
    <cellStyle name="Tongcong" xfId="1479"/>
    <cellStyle name="Total 2" xfId="841"/>
    <cellStyle name="Total 2 2" xfId="842"/>
    <cellStyle name="Total 3" xfId="843"/>
    <cellStyle name="trang" xfId="1480"/>
    <cellStyle name="TTinDN" xfId="1481"/>
    <cellStyle name="Tua de so" xfId="1482"/>
    <cellStyle name="Tusental (0)_pldt" xfId="1483"/>
    <cellStyle name="Tusental_pldt" xfId="1484"/>
    <cellStyle name="Underline 2" xfId="1485"/>
    <cellStyle name="Value" xfId="1486"/>
    <cellStyle name="Valuta (0)_pldt" xfId="1487"/>
    <cellStyle name="Valuta_pldt" xfId="1488"/>
    <cellStyle name="viet" xfId="844"/>
    <cellStyle name="viet 2" xfId="1489"/>
    <cellStyle name="viet2" xfId="845"/>
    <cellStyle name="Vietnam 1" xfId="1491"/>
    <cellStyle name="VN new romanNormal" xfId="846"/>
    <cellStyle name="VN new romanNormal 2" xfId="847"/>
    <cellStyle name="VN new romanNormal 2 2" xfId="848"/>
    <cellStyle name="VN time new roman" xfId="849"/>
    <cellStyle name="VN time new roman 2" xfId="850"/>
    <cellStyle name="VN time new roman 2 2" xfId="851"/>
    <cellStyle name="vnbo" xfId="1493"/>
    <cellStyle name="vnhead1" xfId="1494"/>
    <cellStyle name="vnhead2" xfId="1495"/>
    <cellStyle name="vnhead3" xfId="1496"/>
    <cellStyle name="vnhead4" xfId="1497"/>
    <cellStyle name="vntxt1" xfId="1498"/>
    <cellStyle name="vntxt2" xfId="1499"/>
    <cellStyle name="Währung [0]_68574_Materialbedarfsliste" xfId="1500"/>
    <cellStyle name="Währung_68574_Materialbedarfsliste" xfId="1501"/>
    <cellStyle name="Warning Text 2" xfId="1502"/>
    <cellStyle name="W鄣rung [0]_Compiling Utility Macross" xfId="1503"/>
    <cellStyle name="W鄣rung_Compiling Utility Macrosc" xfId="1504"/>
    <cellStyle name="xuan" xfId="1505"/>
    <cellStyle name="Year" xfId="1506"/>
    <cellStyle name="YY.MM" xfId="1507"/>
    <cellStyle name="センター" xfId="852"/>
    <cellStyle name="เครื่องหมายจุลภาค_th salary" xfId="1508"/>
    <cellStyle name="เครื่องหมายสกุลเงิน [0]_FTC_OFFER" xfId="1509"/>
    <cellStyle name="เครื่องหมายสกุลเงิน_FTC_OFFER" xfId="1510"/>
    <cellStyle name="ปกติ_Book1" xfId="1511"/>
    <cellStyle name=" [0.00]_ Att. 1- Cover" xfId="853"/>
    <cellStyle name="_ Att. 1- Cover" xfId="854"/>
    <cellStyle name="?_ Att. 1- Cover" xfId="855"/>
    <cellStyle name="똿뗦먛귟 [0.00]_PRODUCT DETAIL Q1" xfId="856"/>
    <cellStyle name="똿뗦먛귟_PRODUCT DETAIL Q1" xfId="857"/>
    <cellStyle name="믅됞 [0.00]_PRODUCT DETAIL Q1" xfId="858"/>
    <cellStyle name="믅됞_PRODUCT DETAIL Q1" xfId="859"/>
    <cellStyle name="백분율_††††† " xfId="860"/>
    <cellStyle name="뷭?_BOOKSHIP" xfId="861"/>
    <cellStyle name="쉼표 [0]_ffbom" xfId="1514"/>
    <cellStyle name="쉼표_pufoam03" xfId="1515"/>
    <cellStyle name="콤마 [ - 유형1" xfId="1516"/>
    <cellStyle name="콤마 [ - 유형2" xfId="1517"/>
    <cellStyle name="콤마 [ - 유형3" xfId="1518"/>
    <cellStyle name="콤마 [ - 유형4" xfId="1519"/>
    <cellStyle name="콤마 [ - 유형5" xfId="1520"/>
    <cellStyle name="콤마 [ - 유형6" xfId="1521"/>
    <cellStyle name="콤마 [ - 유형7" xfId="1522"/>
    <cellStyle name="콤마 [ - 유형8" xfId="1523"/>
    <cellStyle name="콤마 [0]_ 비목별 월별기술 " xfId="862"/>
    <cellStyle name="콤마_ 비목별 월별기술 " xfId="863"/>
    <cellStyle name="통화 [0]_††††† " xfId="864"/>
    <cellStyle name="통화_††††† " xfId="865"/>
    <cellStyle name="표준_ 97년 경영분석(안)" xfId="866"/>
    <cellStyle name="一般_00Q3902REV.1" xfId="1524"/>
    <cellStyle name="一般_Cat hung -thu" xfId="10"/>
    <cellStyle name="中等" xfId="867"/>
    <cellStyle name="備註" xfId="868"/>
    <cellStyle name="千位分隔 2" xfId="869"/>
    <cellStyle name="千位分隔[0]_科目明细表" xfId="1525"/>
    <cellStyle name="千分位[0]_00Q3902REV.1" xfId="1526"/>
    <cellStyle name="千分位_00Q3902REV.1" xfId="1527"/>
    <cellStyle name="合計" xfId="870"/>
    <cellStyle name="壞" xfId="871"/>
    <cellStyle name="好" xfId="872"/>
    <cellStyle name="常规 2 2" xfId="873"/>
    <cellStyle name="常规 3" xfId="874"/>
    <cellStyle name="常规_99-02发货" xfId="1528"/>
    <cellStyle name="桁区切り [0.00]_††††† " xfId="875"/>
    <cellStyle name="桁区切り_††††† " xfId="876"/>
    <cellStyle name="標準_††††† " xfId="877"/>
    <cellStyle name="標題" xfId="878"/>
    <cellStyle name="標題 1" xfId="879"/>
    <cellStyle name="標題 2" xfId="880"/>
    <cellStyle name="標題 3" xfId="881"/>
    <cellStyle name="標題 4" xfId="882"/>
    <cellStyle name="檢查儲存格" xfId="883"/>
    <cellStyle name="計算方式" xfId="884"/>
    <cellStyle name="說明文字" xfId="885"/>
    <cellStyle name="警告文字" xfId="886"/>
    <cellStyle name="貨幣 [0]_00Q3902REV.1" xfId="1529"/>
    <cellStyle name="貨幣[0]_BRE" xfId="887"/>
    <cellStyle name="貨幣_00Q3902REV.1" xfId="1530"/>
    <cellStyle name="超連結_Book1" xfId="888"/>
    <cellStyle name="輔色1" xfId="889"/>
    <cellStyle name="輔色2" xfId="890"/>
    <cellStyle name="輔色3" xfId="891"/>
    <cellStyle name="輔色4" xfId="892"/>
    <cellStyle name="輔色5" xfId="893"/>
    <cellStyle name="輔色6" xfId="894"/>
    <cellStyle name="輸入" xfId="895"/>
    <cellStyle name="輸出" xfId="896"/>
    <cellStyle name="通貨 [0.00]_††††† " xfId="897"/>
    <cellStyle name="通貨_††††† " xfId="898"/>
    <cellStyle name="連結的儲存格" xfId="899"/>
    <cellStyle name="隨後的超連結_Book1" xfId="1531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FF99"/>
      <color rgb="FFCCFF99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236</xdr:row>
      <xdr:rowOff>328421</xdr:rowOff>
    </xdr:from>
    <xdr:ext cx="1684655" cy="10795"/>
    <xdr:sp macro="" textlink="">
      <xdr:nvSpPr>
        <xdr:cNvPr id="2" name="Shape 20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/>
      </xdr:nvSpPr>
      <xdr:spPr>
        <a:xfrm>
          <a:off x="2257425" y="8091296"/>
          <a:ext cx="1684655" cy="10795"/>
        </a:xfrm>
        <a:custGeom>
          <a:avLst/>
          <a:gdLst/>
          <a:ahLst/>
          <a:cxnLst/>
          <a:rect l="0" t="0" r="0" b="0"/>
          <a:pathLst>
            <a:path w="1684655" h="10795">
              <a:moveTo>
                <a:pt x="1684274" y="0"/>
              </a:moveTo>
              <a:lnTo>
                <a:pt x="0" y="0"/>
              </a:lnTo>
              <a:lnTo>
                <a:pt x="0" y="10668"/>
              </a:lnTo>
              <a:lnTo>
                <a:pt x="1684274" y="10668"/>
              </a:lnTo>
              <a:lnTo>
                <a:pt x="168427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701001</xdr:colOff>
      <xdr:row>236</xdr:row>
      <xdr:rowOff>328421</xdr:rowOff>
    </xdr:from>
    <xdr:ext cx="1684655" cy="10795"/>
    <xdr:sp macro="" textlink="">
      <xdr:nvSpPr>
        <xdr:cNvPr id="3" name="Shape 2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/>
      </xdr:nvSpPr>
      <xdr:spPr>
        <a:xfrm>
          <a:off x="4853901" y="8091296"/>
          <a:ext cx="1684655" cy="10795"/>
        </a:xfrm>
        <a:custGeom>
          <a:avLst/>
          <a:gdLst/>
          <a:ahLst/>
          <a:cxnLst/>
          <a:rect l="0" t="0" r="0" b="0"/>
          <a:pathLst>
            <a:path w="1684655" h="10795">
              <a:moveTo>
                <a:pt x="1684274" y="0"/>
              </a:moveTo>
              <a:lnTo>
                <a:pt x="0" y="0"/>
              </a:lnTo>
              <a:lnTo>
                <a:pt x="0" y="10668"/>
              </a:lnTo>
              <a:lnTo>
                <a:pt x="1684274" y="10668"/>
              </a:lnTo>
              <a:lnTo>
                <a:pt x="168427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236</xdr:row>
      <xdr:rowOff>328421</xdr:rowOff>
    </xdr:from>
    <xdr:ext cx="1684655" cy="10795"/>
    <xdr:sp macro="" textlink="">
      <xdr:nvSpPr>
        <xdr:cNvPr id="4" name="Shape 20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/>
      </xdr:nvSpPr>
      <xdr:spPr>
        <a:xfrm>
          <a:off x="2257425" y="8091296"/>
          <a:ext cx="1684655" cy="10795"/>
        </a:xfrm>
        <a:custGeom>
          <a:avLst/>
          <a:gdLst/>
          <a:ahLst/>
          <a:cxnLst/>
          <a:rect l="0" t="0" r="0" b="0"/>
          <a:pathLst>
            <a:path w="1684655" h="10795">
              <a:moveTo>
                <a:pt x="1684274" y="0"/>
              </a:moveTo>
              <a:lnTo>
                <a:pt x="0" y="0"/>
              </a:lnTo>
              <a:lnTo>
                <a:pt x="0" y="10668"/>
              </a:lnTo>
              <a:lnTo>
                <a:pt x="1684274" y="10668"/>
              </a:lnTo>
              <a:lnTo>
                <a:pt x="168427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701001</xdr:colOff>
      <xdr:row>236</xdr:row>
      <xdr:rowOff>328421</xdr:rowOff>
    </xdr:from>
    <xdr:ext cx="1684655" cy="10795"/>
    <xdr:sp macro="" textlink="">
      <xdr:nvSpPr>
        <xdr:cNvPr id="5" name="Shape 2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/>
      </xdr:nvSpPr>
      <xdr:spPr>
        <a:xfrm>
          <a:off x="4853901" y="8091296"/>
          <a:ext cx="1684655" cy="10795"/>
        </a:xfrm>
        <a:custGeom>
          <a:avLst/>
          <a:gdLst/>
          <a:ahLst/>
          <a:cxnLst/>
          <a:rect l="0" t="0" r="0" b="0"/>
          <a:pathLst>
            <a:path w="1684655" h="10795">
              <a:moveTo>
                <a:pt x="1684274" y="0"/>
              </a:moveTo>
              <a:lnTo>
                <a:pt x="0" y="0"/>
              </a:lnTo>
              <a:lnTo>
                <a:pt x="0" y="10668"/>
              </a:lnTo>
              <a:lnTo>
                <a:pt x="1684274" y="10668"/>
              </a:lnTo>
              <a:lnTo>
                <a:pt x="168427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415962</xdr:colOff>
      <xdr:row>243</xdr:row>
      <xdr:rowOff>318812</xdr:rowOff>
    </xdr:from>
    <xdr:ext cx="1264285" cy="10795"/>
    <xdr:sp macro="" textlink="">
      <xdr:nvSpPr>
        <xdr:cNvPr id="6" name="Shape 22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>
        <a:xfrm>
          <a:off x="3854487" y="2280962"/>
          <a:ext cx="1264285" cy="10795"/>
        </a:xfrm>
        <a:custGeom>
          <a:avLst/>
          <a:gdLst/>
          <a:ahLst/>
          <a:cxnLst/>
          <a:rect l="0" t="0" r="0" b="0"/>
          <a:pathLst>
            <a:path w="1264285" h="10795">
              <a:moveTo>
                <a:pt x="1263700" y="0"/>
              </a:moveTo>
              <a:lnTo>
                <a:pt x="0" y="0"/>
              </a:lnTo>
              <a:lnTo>
                <a:pt x="0" y="10668"/>
              </a:lnTo>
              <a:lnTo>
                <a:pt x="1263700" y="10668"/>
              </a:lnTo>
              <a:lnTo>
                <a:pt x="12637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415962</xdr:colOff>
      <xdr:row>244</xdr:row>
      <xdr:rowOff>328421</xdr:rowOff>
    </xdr:from>
    <xdr:ext cx="1264285" cy="10795"/>
    <xdr:sp macro="" textlink="">
      <xdr:nvSpPr>
        <xdr:cNvPr id="7" name="Shape 23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>
        <a:xfrm>
          <a:off x="3854487" y="2614421"/>
          <a:ext cx="1264285" cy="10795"/>
        </a:xfrm>
        <a:custGeom>
          <a:avLst/>
          <a:gdLst/>
          <a:ahLst/>
          <a:cxnLst/>
          <a:rect l="0" t="0" r="0" b="0"/>
          <a:pathLst>
            <a:path w="1264285" h="10795">
              <a:moveTo>
                <a:pt x="1263700" y="0"/>
              </a:moveTo>
              <a:lnTo>
                <a:pt x="0" y="0"/>
              </a:lnTo>
              <a:lnTo>
                <a:pt x="0" y="10668"/>
              </a:lnTo>
              <a:lnTo>
                <a:pt x="1263700" y="10668"/>
              </a:lnTo>
              <a:lnTo>
                <a:pt x="12637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961386</xdr:colOff>
      <xdr:row>244</xdr:row>
      <xdr:rowOff>328421</xdr:rowOff>
    </xdr:from>
    <xdr:ext cx="1264285" cy="10795"/>
    <xdr:sp macro="" textlink="">
      <xdr:nvSpPr>
        <xdr:cNvPr id="8" name="Shape 26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SpPr/>
      </xdr:nvSpPr>
      <xdr:spPr>
        <a:xfrm>
          <a:off x="5304786" y="2614421"/>
          <a:ext cx="1264285" cy="10795"/>
        </a:xfrm>
        <a:custGeom>
          <a:avLst/>
          <a:gdLst/>
          <a:ahLst/>
          <a:cxnLst/>
          <a:rect l="0" t="0" r="0" b="0"/>
          <a:pathLst>
            <a:path w="1264285" h="10795">
              <a:moveTo>
                <a:pt x="1263700" y="0"/>
              </a:moveTo>
              <a:lnTo>
                <a:pt x="0" y="0"/>
              </a:lnTo>
              <a:lnTo>
                <a:pt x="0" y="10668"/>
              </a:lnTo>
              <a:lnTo>
                <a:pt x="1263700" y="10668"/>
              </a:lnTo>
              <a:lnTo>
                <a:pt x="12637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_DAT\excel\glstat\glst0799.xlw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1742%20-%20pathfinder\2004\GCL\Far%20East\shyM\WINDOWS\CCA\JAN99F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NGUYEN\VI&#202;&#803;T%20KHANG\N&#258;M%202018\NKC\Q&#218;Y%204%20-2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-NGAN%20CHAU_2025\SSKT\Users\Ho%20Phi%20Trong\Desktop\WP-2019\D%20-%20Substantive%20Tests%20-%20Assets\CPA\M&#7851;u\WP-CPA%20070915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NGUYEN\COMPOSITEGEAR\COMPOSITE\COMPOSITE\NKC\NKC%20Q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POSITEGEAR-1\Q2.2018%20ok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NGUYEN\VI&#202;&#803;T%20KHANG\N&#258;M%202018\NKC\N&#258;M%202018\NKC\SO%20SACH%20KE%20TOAN%20201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A\NGAN%20CHAU\KHO\YZ-&#30436;&#23384;-&#29986;&#21697;-2019%20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NGUYEN\NG&#7840;N%20CH&#194;U\N&#258;M%202018\TK%20NK\YZ-&#25033;&#25910;-2018S%20-%20&#32102;&#26371;&#35336;&#3826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CDPS"/>
    </sheetNames>
    <sheetDataSet>
      <sheetData sheetId="0"/>
      <sheetData sheetId="1"/>
      <sheetData sheetId="2"/>
      <sheetData sheetId="3">
        <row r="7">
          <cell r="A7" t="str">
            <v>01</v>
          </cell>
          <cell r="B7">
            <v>3.64</v>
          </cell>
          <cell r="C7">
            <v>3.92</v>
          </cell>
          <cell r="D7">
            <v>3.87</v>
          </cell>
          <cell r="E7">
            <v>3</v>
          </cell>
        </row>
        <row r="8">
          <cell r="A8" t="str">
            <v>02</v>
          </cell>
          <cell r="B8">
            <v>3.48</v>
          </cell>
          <cell r="C8">
            <v>3.19</v>
          </cell>
          <cell r="D8">
            <v>3.5</v>
          </cell>
          <cell r="E8">
            <v>3.453427870193619</v>
          </cell>
        </row>
        <row r="9">
          <cell r="A9" t="str">
            <v>03</v>
          </cell>
          <cell r="B9">
            <v>3.92</v>
          </cell>
          <cell r="C9">
            <v>3.96</v>
          </cell>
          <cell r="D9">
            <v>3.9</v>
          </cell>
          <cell r="E9">
            <v>3.9243194561265748</v>
          </cell>
        </row>
        <row r="10">
          <cell r="A10" t="str">
            <v>04</v>
          </cell>
          <cell r="B10">
            <v>3.57</v>
          </cell>
          <cell r="C10">
            <v>2.98</v>
          </cell>
          <cell r="D10">
            <v>3.64</v>
          </cell>
          <cell r="E10">
            <v>3.5690550749927197</v>
          </cell>
        </row>
        <row r="11">
          <cell r="A11" t="str">
            <v>05</v>
          </cell>
          <cell r="B11">
            <v>3.11</v>
          </cell>
          <cell r="C11">
            <v>2.5</v>
          </cell>
          <cell r="D11">
            <v>3.18</v>
          </cell>
          <cell r="E11">
            <v>3.1805737171952075</v>
          </cell>
        </row>
        <row r="12">
          <cell r="A12" t="str">
            <v>06</v>
          </cell>
          <cell r="B12">
            <v>2.97</v>
          </cell>
          <cell r="C12">
            <v>3.24</v>
          </cell>
          <cell r="D12">
            <v>2.85</v>
          </cell>
          <cell r="E12">
            <v>3.1175959684829961</v>
          </cell>
        </row>
        <row r="13">
          <cell r="A13" t="str">
            <v>07</v>
          </cell>
          <cell r="B13">
            <v>2.77</v>
          </cell>
          <cell r="C13">
            <v>2.87</v>
          </cell>
          <cell r="D13">
            <v>3.4</v>
          </cell>
          <cell r="E13">
            <v>2.8695375799711829</v>
          </cell>
        </row>
        <row r="14">
          <cell r="A14" t="str">
            <v>08</v>
          </cell>
          <cell r="B14">
            <v>2.73</v>
          </cell>
          <cell r="D14">
            <v>2.08</v>
          </cell>
          <cell r="E14">
            <v>2.8118984337799953</v>
          </cell>
        </row>
        <row r="15">
          <cell r="A15" t="str">
            <v>09</v>
          </cell>
          <cell r="B15">
            <v>4.13</v>
          </cell>
          <cell r="D15">
            <v>4.5599999999999996</v>
          </cell>
          <cell r="E15">
            <v>4.2538976305902487</v>
          </cell>
        </row>
        <row r="16">
          <cell r="A16" t="str">
            <v>10</v>
          </cell>
          <cell r="B16">
            <v>4.34</v>
          </cell>
          <cell r="D16">
            <v>4.0599999999999996</v>
          </cell>
          <cell r="E16">
            <v>4.4701975101117872</v>
          </cell>
        </row>
        <row r="17">
          <cell r="A17" t="str">
            <v>11</v>
          </cell>
          <cell r="B17">
            <v>3.85</v>
          </cell>
          <cell r="D17">
            <v>3.73</v>
          </cell>
          <cell r="E17">
            <v>3.9654977912281986</v>
          </cell>
        </row>
        <row r="18">
          <cell r="A18" t="str">
            <v>12</v>
          </cell>
          <cell r="B18">
            <v>1.8</v>
          </cell>
          <cell r="D18">
            <v>2.38</v>
          </cell>
          <cell r="E18">
            <v>1.8539989673274695</v>
          </cell>
        </row>
        <row r="27">
          <cell r="A27" t="str">
            <v>Folie</v>
          </cell>
          <cell r="B27">
            <v>5079</v>
          </cell>
        </row>
        <row r="28">
          <cell r="A28" t="str">
            <v>Möbel</v>
          </cell>
          <cell r="B28">
            <v>63</v>
          </cell>
        </row>
        <row r="29">
          <cell r="A29" t="str">
            <v>Faserplatten</v>
          </cell>
          <cell r="B29">
            <v>13770</v>
          </cell>
        </row>
        <row r="30">
          <cell r="A30" t="str">
            <v>Innenausbau</v>
          </cell>
          <cell r="B30">
            <v>1121</v>
          </cell>
        </row>
        <row r="31">
          <cell r="A31" t="str">
            <v>Kunststoff</v>
          </cell>
          <cell r="B31">
            <v>292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QHDKD"/>
      <sheetName val="BCDSPS"/>
      <sheetName val="NKC"/>
      <sheetName val="Z"/>
      <sheetName val="211"/>
      <sheetName val="2422"/>
      <sheetName val="CĐTK"/>
      <sheetName val="CTTK"/>
      <sheetName val="2421"/>
      <sheetName val="112USD"/>
      <sheetName val="331THAHIRA"/>
      <sheetName val="331CSR"/>
      <sheetName val="331MRJ EXPORTS"/>
      <sheetName val="131INTER"/>
      <sheetName val="331SHANGHAI JBICHEM"/>
      <sheetName val="131FREEMEN AMERICAS"/>
      <sheetName val="131SHANGHAI FREEMEN JAPAN"/>
      <sheetName val="131MITANI SANYO"/>
      <sheetName val="331seven"/>
      <sheetName val="3411"/>
      <sheetName val="211.O.lam"/>
      <sheetName val="DT.Duyen.Kiem"/>
      <sheetName val="Mộc+Thịnh"/>
      <sheetName val="331DERR.đang dỡ dang"/>
      <sheetName val="Bo"/>
      <sheetName val="Sheet2"/>
    </sheetNames>
    <sheetDataSet>
      <sheetData sheetId="0" refreshError="1"/>
      <sheetData sheetId="1">
        <row r="16">
          <cell r="K16">
            <v>9894435241.5000153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NGTIN"/>
      <sheetName val="a"/>
      <sheetName val="A250"/>
      <sheetName val="BCDTK"/>
      <sheetName val="A510.01"/>
      <sheetName val="Sheet1"/>
      <sheetName val="A510.02"/>
      <sheetName val="A510.3"/>
      <sheetName val="B360"/>
      <sheetName val="A710"/>
      <sheetName val="A810.01"/>
      <sheetName val="A810.02"/>
      <sheetName val="A110"/>
      <sheetName val="A120"/>
      <sheetName val="A230"/>
      <sheetName val="A240"/>
      <sheetName val="A260"/>
      <sheetName val="A270"/>
      <sheetName val="A271"/>
      <sheetName val="A280"/>
      <sheetName val="A290"/>
      <sheetName val="A291"/>
      <sheetName val="A292"/>
      <sheetName val="A310"/>
      <sheetName val="A410"/>
      <sheetName val="A411"/>
      <sheetName val="A420"/>
      <sheetName val="A421"/>
      <sheetName val="A430"/>
      <sheetName val="A431"/>
      <sheetName val="A440"/>
      <sheetName val="A441"/>
      <sheetName val="A450"/>
      <sheetName val="A451"/>
      <sheetName val="A610"/>
      <sheetName val="A620"/>
      <sheetName val="A630"/>
      <sheetName val="A640"/>
      <sheetName val="A720"/>
      <sheetName val="A910"/>
      <sheetName val="B110"/>
      <sheetName val="B120"/>
      <sheetName val="B130"/>
      <sheetName val="B140"/>
      <sheetName val="B370"/>
      <sheetName val="B410"/>
      <sheetName val="B411"/>
      <sheetName val="B430"/>
      <sheetName val="B450"/>
      <sheetName val="B560"/>
      <sheetName val="C110"/>
      <sheetName val="C210"/>
      <sheetName val="C310"/>
      <sheetName val="C410"/>
      <sheetName val="C510"/>
      <sheetName val="D110"/>
      <sheetName val="D120"/>
      <sheetName val="D130"/>
      <sheetName val="D140"/>
      <sheetName val="D141"/>
      <sheetName val="D141.1"/>
      <sheetName val="D141.2"/>
      <sheetName val="D141.3"/>
      <sheetName val="D142"/>
      <sheetName val="D142.1"/>
      <sheetName val="D142.2"/>
      <sheetName val="D143"/>
      <sheetName val="D210"/>
      <sheetName val="D230"/>
      <sheetName val="D310"/>
      <sheetName val="D320"/>
      <sheetName val="D330"/>
      <sheetName val="Sheet2"/>
      <sheetName val="D340"/>
      <sheetName val="D341"/>
      <sheetName val="D342"/>
      <sheetName val="D342.1"/>
      <sheetName val="D343"/>
      <sheetName val="D344"/>
      <sheetName val="Ageing Report"/>
      <sheetName val="D410"/>
      <sheetName val="D420"/>
      <sheetName val="D430"/>
      <sheetName val="D440"/>
      <sheetName val="D510"/>
      <sheetName val="D520"/>
      <sheetName val="D530"/>
      <sheetName val="D531"/>
      <sheetName val="D532"/>
      <sheetName val="D532.1 (Kiem ke NVL)"/>
      <sheetName val="D532.2 (Kiem ke VT)"/>
      <sheetName val="D532.3(Kiem ke TP)"/>
      <sheetName val="D532.4"/>
      <sheetName val="D532.5"/>
      <sheetName val="D533"/>
      <sheetName val="D540"/>
      <sheetName val="D541"/>
      <sheetName val="D542.1"/>
      <sheetName val="D542.2"/>
      <sheetName val="D542.3"/>
      <sheetName val="D544.1"/>
      <sheetName val="D544.2"/>
      <sheetName val="D544.3"/>
      <sheetName val="D545"/>
      <sheetName val="D545.1"/>
      <sheetName val="D546.1"/>
      <sheetName val="D546.2"/>
      <sheetName val="D547.1"/>
      <sheetName val="D547.2"/>
      <sheetName val="D547.3"/>
      <sheetName val="D548"/>
      <sheetName val="D610"/>
      <sheetName val="D620"/>
      <sheetName val="D630"/>
      <sheetName val="D640"/>
      <sheetName val="D640.1"/>
      <sheetName val="D641"/>
      <sheetName val="D641.1"/>
      <sheetName val="D642"/>
      <sheetName val="D710"/>
      <sheetName val="D720"/>
      <sheetName val="D721"/>
      <sheetName val="D722"/>
      <sheetName val="D723"/>
      <sheetName val="D724"/>
      <sheetName val="D730"/>
      <sheetName val="D740"/>
      <sheetName val="D741"/>
      <sheetName val="D742"/>
      <sheetName val="D743"/>
      <sheetName val="D745"/>
      <sheetName val="D810"/>
      <sheetName val="D830"/>
      <sheetName val="E110"/>
      <sheetName val="E120"/>
      <sheetName val="E130"/>
      <sheetName val="E140"/>
      <sheetName val="E141"/>
      <sheetName val="E210"/>
      <sheetName val="E220"/>
      <sheetName val="E230"/>
      <sheetName val="E240"/>
      <sheetName val="E241"/>
      <sheetName val="E242"/>
      <sheetName val="Sheet4"/>
      <sheetName val="E243"/>
      <sheetName val="E244"/>
      <sheetName val="E245"/>
      <sheetName val="E310"/>
      <sheetName val="E320"/>
      <sheetName val="E330"/>
      <sheetName val="E340"/>
      <sheetName val="E341"/>
      <sheetName val="E342"/>
      <sheetName val="E410"/>
      <sheetName val="E420"/>
      <sheetName val="E430"/>
      <sheetName val="E440"/>
      <sheetName val="E441"/>
      <sheetName val="E442"/>
      <sheetName val="E443"/>
      <sheetName val="E444"/>
      <sheetName val="E445"/>
      <sheetName val="E446"/>
      <sheetName val="E447"/>
      <sheetName val="E448"/>
      <sheetName val="E449"/>
      <sheetName val="E510"/>
      <sheetName val="E520"/>
      <sheetName val="E530"/>
      <sheetName val="E540"/>
      <sheetName val="E610"/>
      <sheetName val="E620"/>
      <sheetName val="E630"/>
      <sheetName val="E640"/>
      <sheetName val="F110"/>
      <sheetName val="F120"/>
      <sheetName val="F130"/>
      <sheetName val="F140"/>
      <sheetName val="F210"/>
      <sheetName val="F230"/>
      <sheetName val="F310"/>
      <sheetName val="F330"/>
      <sheetName val="F410"/>
      <sheetName val="F430"/>
      <sheetName val="G110"/>
      <sheetName val="G120"/>
      <sheetName val="G130"/>
      <sheetName val="G140"/>
      <sheetName val="G141"/>
      <sheetName val="G142"/>
      <sheetName val="G143"/>
      <sheetName val="G210"/>
      <sheetName val="G220"/>
      <sheetName val="G230"/>
      <sheetName val="G240"/>
      <sheetName val="G241"/>
      <sheetName val="G242"/>
      <sheetName val="G242.1"/>
      <sheetName val="G310"/>
      <sheetName val="G320"/>
      <sheetName val="G330"/>
      <sheetName val="G340"/>
      <sheetName val="G340.1"/>
      <sheetName val="G341"/>
      <sheetName val="G341.1"/>
      <sheetName val="G410"/>
      <sheetName val="G420"/>
      <sheetName val="G430"/>
      <sheetName val="G440"/>
      <sheetName val="G441"/>
      <sheetName val="G441.1"/>
      <sheetName val="G510"/>
      <sheetName val="G520"/>
      <sheetName val="G530"/>
      <sheetName val="G540"/>
      <sheetName val="G541"/>
      <sheetName val="G610"/>
      <sheetName val="G620"/>
      <sheetName val="G630"/>
      <sheetName val="G640"/>
      <sheetName val="G640.1"/>
      <sheetName val="G641"/>
      <sheetName val="G641.1"/>
      <sheetName val="G710"/>
      <sheetName val="G730"/>
      <sheetName val="H110"/>
      <sheetName val="H111"/>
      <sheetName val="H112"/>
      <sheetName val="H120"/>
      <sheetName val="H121"/>
      <sheetName val="H130"/>
      <sheetName val="H140"/>
      <sheetName val="H147"/>
      <sheetName val="H150"/>
      <sheetName val="H152"/>
      <sheetName val="H160"/>
      <sheetName val="H161"/>
      <sheetName val="H170"/>
      <sheetName val="H180"/>
      <sheetName val="H181"/>
      <sheetName val="H185"/>
      <sheetName val="H190"/>
      <sheetName val="H210"/>
      <sheetName val="Mau_bieu"/>
      <sheetName val="B341"/>
      <sheetName val="B342"/>
      <sheetName val="B343"/>
      <sheetName val="B420.01"/>
      <sheetName val="B420.03"/>
      <sheetName val="B420.02"/>
    </sheetNames>
    <sheetDataSet>
      <sheetData sheetId="0">
        <row r="2">
          <cell r="A2">
            <v>42370</v>
          </cell>
        </row>
        <row r="21">
          <cell r="A21" t="str">
            <v>Cao</v>
          </cell>
        </row>
        <row r="22">
          <cell r="A22" t="str">
            <v>T.B</v>
          </cell>
        </row>
        <row r="23">
          <cell r="A23" t="str">
            <v>Thấp</v>
          </cell>
        </row>
      </sheetData>
      <sheetData sheetId="1"/>
      <sheetData sheetId="2"/>
      <sheetData sheetId="3">
        <row r="2">
          <cell r="A2" t="str">
            <v>1111</v>
          </cell>
          <cell r="C2">
            <v>410700500</v>
          </cell>
          <cell r="D2">
            <v>0</v>
          </cell>
          <cell r="F2">
            <v>33129982748</v>
          </cell>
          <cell r="G2">
            <v>997033200</v>
          </cell>
          <cell r="H2">
            <v>0</v>
          </cell>
          <cell r="I2" t="str">
            <v>111</v>
          </cell>
          <cell r="J2">
            <v>0</v>
          </cell>
          <cell r="Q2">
            <v>997033200</v>
          </cell>
          <cell r="R2">
            <v>0</v>
          </cell>
          <cell r="S2" t="str">
            <v>111</v>
          </cell>
          <cell r="T2">
            <v>0</v>
          </cell>
          <cell r="W2" t="str">
            <v>1111</v>
          </cell>
        </row>
        <row r="3">
          <cell r="A3" t="str">
            <v>1121NV</v>
          </cell>
          <cell r="C3">
            <v>0</v>
          </cell>
          <cell r="D3">
            <v>0</v>
          </cell>
          <cell r="F3">
            <v>4591945391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W3" t="str">
            <v>1121</v>
          </cell>
        </row>
        <row r="4">
          <cell r="A4" t="str">
            <v>1121P</v>
          </cell>
          <cell r="C4">
            <v>558760966</v>
          </cell>
          <cell r="D4">
            <v>0</v>
          </cell>
          <cell r="F4">
            <v>42363317705</v>
          </cell>
          <cell r="G4">
            <v>1499726161</v>
          </cell>
          <cell r="H4">
            <v>0</v>
          </cell>
          <cell r="I4" t="str">
            <v>111</v>
          </cell>
          <cell r="J4">
            <v>0</v>
          </cell>
          <cell r="Q4">
            <v>1499726161</v>
          </cell>
          <cell r="R4">
            <v>0</v>
          </cell>
          <cell r="S4" t="str">
            <v>111</v>
          </cell>
          <cell r="T4">
            <v>0</v>
          </cell>
          <cell r="W4" t="str">
            <v>1121</v>
          </cell>
        </row>
        <row r="5">
          <cell r="A5" t="str">
            <v>1121Q</v>
          </cell>
          <cell r="C5">
            <v>473591246</v>
          </cell>
          <cell r="D5">
            <v>0</v>
          </cell>
          <cell r="F5">
            <v>33099576444</v>
          </cell>
          <cell r="G5">
            <v>453904141</v>
          </cell>
          <cell r="H5">
            <v>0</v>
          </cell>
          <cell r="I5" t="str">
            <v>111</v>
          </cell>
          <cell r="J5">
            <v>0</v>
          </cell>
          <cell r="Q5">
            <v>550239953</v>
          </cell>
          <cell r="R5">
            <v>0</v>
          </cell>
          <cell r="S5" t="str">
            <v>111</v>
          </cell>
          <cell r="T5">
            <v>0</v>
          </cell>
          <cell r="W5" t="str">
            <v>1121</v>
          </cell>
        </row>
        <row r="6">
          <cell r="A6" t="str">
            <v>1121S</v>
          </cell>
          <cell r="C6">
            <v>88672319</v>
          </cell>
          <cell r="D6">
            <v>0</v>
          </cell>
          <cell r="F6">
            <v>83960890640</v>
          </cell>
          <cell r="G6">
            <v>685435688</v>
          </cell>
          <cell r="H6">
            <v>0</v>
          </cell>
          <cell r="I6" t="str">
            <v>111</v>
          </cell>
          <cell r="J6">
            <v>0</v>
          </cell>
          <cell r="Q6">
            <v>589099876</v>
          </cell>
          <cell r="R6">
            <v>0</v>
          </cell>
          <cell r="S6" t="str">
            <v>111</v>
          </cell>
          <cell r="T6">
            <v>0</v>
          </cell>
          <cell r="W6" t="str">
            <v>1121</v>
          </cell>
        </row>
        <row r="7">
          <cell r="A7" t="str">
            <v>1121TE</v>
          </cell>
          <cell r="C7">
            <v>8495570</v>
          </cell>
          <cell r="D7">
            <v>0</v>
          </cell>
          <cell r="F7">
            <v>470568700</v>
          </cell>
          <cell r="G7">
            <v>1058461</v>
          </cell>
          <cell r="H7">
            <v>0</v>
          </cell>
          <cell r="I7" t="str">
            <v>111</v>
          </cell>
          <cell r="J7">
            <v>0</v>
          </cell>
          <cell r="Q7">
            <v>1003461</v>
          </cell>
          <cell r="R7">
            <v>0</v>
          </cell>
          <cell r="S7" t="str">
            <v>111</v>
          </cell>
          <cell r="T7">
            <v>0</v>
          </cell>
          <cell r="W7" t="str">
            <v>1121</v>
          </cell>
        </row>
        <row r="8">
          <cell r="A8" t="str">
            <v>1122P</v>
          </cell>
          <cell r="C8">
            <v>6927099</v>
          </cell>
          <cell r="D8">
            <v>0</v>
          </cell>
          <cell r="G8">
            <v>7003590</v>
          </cell>
          <cell r="H8">
            <v>0</v>
          </cell>
          <cell r="I8" t="str">
            <v>111</v>
          </cell>
          <cell r="J8">
            <v>0</v>
          </cell>
          <cell r="Q8">
            <v>7024960</v>
          </cell>
          <cell r="R8">
            <v>0</v>
          </cell>
          <cell r="S8" t="str">
            <v>111</v>
          </cell>
          <cell r="T8">
            <v>0</v>
          </cell>
          <cell r="W8" t="str">
            <v>1122</v>
          </cell>
        </row>
        <row r="9">
          <cell r="A9" t="str">
            <v>1122Q</v>
          </cell>
          <cell r="C9">
            <v>152959853</v>
          </cell>
          <cell r="D9">
            <v>0</v>
          </cell>
          <cell r="F9">
            <v>33643345337</v>
          </cell>
          <cell r="G9">
            <v>1611673898</v>
          </cell>
          <cell r="H9">
            <v>0</v>
          </cell>
          <cell r="I9" t="str">
            <v>111</v>
          </cell>
          <cell r="J9">
            <v>0</v>
          </cell>
          <cell r="Q9">
            <v>1611673898</v>
          </cell>
          <cell r="R9">
            <v>0</v>
          </cell>
          <cell r="S9" t="str">
            <v>111</v>
          </cell>
          <cell r="T9">
            <v>0</v>
          </cell>
          <cell r="W9" t="str">
            <v>1122</v>
          </cell>
        </row>
        <row r="10">
          <cell r="A10" t="str">
            <v>1122S</v>
          </cell>
          <cell r="C10">
            <v>7381373</v>
          </cell>
          <cell r="D10">
            <v>0</v>
          </cell>
          <cell r="G10">
            <v>7515829</v>
          </cell>
          <cell r="H10">
            <v>0</v>
          </cell>
          <cell r="I10" t="str">
            <v>111</v>
          </cell>
          <cell r="J10">
            <v>0</v>
          </cell>
          <cell r="Q10">
            <v>7515829</v>
          </cell>
          <cell r="R10">
            <v>0</v>
          </cell>
          <cell r="S10" t="str">
            <v>111</v>
          </cell>
          <cell r="T10">
            <v>0</v>
          </cell>
          <cell r="W10" t="str">
            <v>1122</v>
          </cell>
        </row>
        <row r="11">
          <cell r="A11" t="str">
            <v>1288</v>
          </cell>
          <cell r="C11">
            <v>400000000</v>
          </cell>
          <cell r="D11">
            <v>0</v>
          </cell>
          <cell r="F11">
            <v>400000000</v>
          </cell>
          <cell r="G11">
            <v>0</v>
          </cell>
          <cell r="H11">
            <v>0</v>
          </cell>
          <cell r="I11" t="str">
            <v>121</v>
          </cell>
          <cell r="J11">
            <v>0</v>
          </cell>
          <cell r="Q11">
            <v>0</v>
          </cell>
          <cell r="R11">
            <v>0</v>
          </cell>
          <cell r="S11" t="str">
            <v>121</v>
          </cell>
          <cell r="T11">
            <v>0</v>
          </cell>
          <cell r="W11" t="str">
            <v>1288</v>
          </cell>
        </row>
        <row r="12">
          <cell r="A12" t="str">
            <v>131</v>
          </cell>
          <cell r="C12">
            <v>13140905089</v>
          </cell>
          <cell r="D12">
            <v>162234828</v>
          </cell>
          <cell r="F12">
            <v>125420012407</v>
          </cell>
          <cell r="G12">
            <v>8088705400</v>
          </cell>
          <cell r="H12">
            <v>0</v>
          </cell>
          <cell r="I12" t="str">
            <v>131</v>
          </cell>
          <cell r="J12" t="str">
            <v>313</v>
          </cell>
          <cell r="Q12">
            <v>12635182370</v>
          </cell>
          <cell r="R12">
            <v>4552826970</v>
          </cell>
          <cell r="S12" t="str">
            <v>131</v>
          </cell>
          <cell r="T12" t="str">
            <v>313</v>
          </cell>
          <cell r="W12" t="str">
            <v>131</v>
          </cell>
        </row>
        <row r="13">
          <cell r="A13" t="str">
            <v>1331</v>
          </cell>
          <cell r="C13">
            <v>1147929</v>
          </cell>
          <cell r="D13">
            <v>0</v>
          </cell>
          <cell r="F13">
            <v>6327933642</v>
          </cell>
          <cell r="G13">
            <v>0</v>
          </cell>
          <cell r="H13">
            <v>0</v>
          </cell>
          <cell r="I13" t="str">
            <v>152</v>
          </cell>
          <cell r="J13">
            <v>0</v>
          </cell>
          <cell r="Q13">
            <v>0</v>
          </cell>
          <cell r="R13">
            <v>0</v>
          </cell>
          <cell r="S13" t="str">
            <v>152</v>
          </cell>
          <cell r="T13">
            <v>0</v>
          </cell>
          <cell r="W13" t="str">
            <v>1331</v>
          </cell>
        </row>
        <row r="14">
          <cell r="A14" t="str">
            <v>1333</v>
          </cell>
          <cell r="C14">
            <v>0</v>
          </cell>
          <cell r="D14">
            <v>0</v>
          </cell>
          <cell r="F14">
            <v>133233609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W14" t="str">
            <v>1333</v>
          </cell>
        </row>
        <row r="15">
          <cell r="A15" t="str">
            <v>1381</v>
          </cell>
          <cell r="C15">
            <v>0</v>
          </cell>
          <cell r="D15">
            <v>0</v>
          </cell>
          <cell r="F15">
            <v>2464737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W15" t="str">
            <v>1381</v>
          </cell>
        </row>
        <row r="16">
          <cell r="A16" t="str">
            <v>1388</v>
          </cell>
          <cell r="C16">
            <v>183605081</v>
          </cell>
          <cell r="D16">
            <v>0</v>
          </cell>
          <cell r="F16">
            <v>444730000</v>
          </cell>
          <cell r="G16">
            <v>159095081</v>
          </cell>
          <cell r="H16">
            <v>0</v>
          </cell>
          <cell r="I16" t="str">
            <v>135</v>
          </cell>
          <cell r="J16">
            <v>0</v>
          </cell>
          <cell r="Q16">
            <v>183605081</v>
          </cell>
          <cell r="R16">
            <v>0</v>
          </cell>
          <cell r="S16" t="str">
            <v>135</v>
          </cell>
          <cell r="T16">
            <v>0</v>
          </cell>
          <cell r="W16" t="str">
            <v>1388</v>
          </cell>
        </row>
        <row r="17">
          <cell r="A17" t="str">
            <v>1388LV</v>
          </cell>
          <cell r="C17">
            <v>24509999.999999996</v>
          </cell>
          <cell r="D17">
            <v>0</v>
          </cell>
          <cell r="G17">
            <v>24509999.999999996</v>
          </cell>
          <cell r="H17">
            <v>0</v>
          </cell>
          <cell r="I17" t="str">
            <v>135</v>
          </cell>
          <cell r="J17">
            <v>0</v>
          </cell>
          <cell r="Q17">
            <v>0</v>
          </cell>
          <cell r="R17">
            <v>3.7252902984619141E-9</v>
          </cell>
          <cell r="S17" t="str">
            <v>135</v>
          </cell>
          <cell r="T17" t="str">
            <v>319</v>
          </cell>
          <cell r="W17" t="str">
            <v>1388</v>
          </cell>
        </row>
        <row r="18">
          <cell r="A18" t="str">
            <v>139</v>
          </cell>
          <cell r="C18">
            <v>0</v>
          </cell>
          <cell r="D18">
            <v>615641779.5</v>
          </cell>
          <cell r="F18">
            <v>109753254</v>
          </cell>
          <cell r="G18">
            <v>0</v>
          </cell>
          <cell r="H18">
            <v>725395033.5</v>
          </cell>
          <cell r="I18">
            <v>0</v>
          </cell>
          <cell r="J18" t="str">
            <v>139</v>
          </cell>
          <cell r="Q18">
            <v>0</v>
          </cell>
          <cell r="R18">
            <v>639258475.5</v>
          </cell>
          <cell r="S18">
            <v>0</v>
          </cell>
          <cell r="T18" t="str">
            <v>139</v>
          </cell>
          <cell r="W18" t="str">
            <v>139</v>
          </cell>
        </row>
        <row r="19">
          <cell r="A19" t="str">
            <v>141</v>
          </cell>
          <cell r="C19">
            <v>0</v>
          </cell>
          <cell r="D19">
            <v>0</v>
          </cell>
          <cell r="F19">
            <v>4877163654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W19" t="str">
            <v>141</v>
          </cell>
        </row>
        <row r="20">
          <cell r="A20" t="str">
            <v>142</v>
          </cell>
          <cell r="C20">
            <v>291126112</v>
          </cell>
          <cell r="D20">
            <v>0</v>
          </cell>
          <cell r="F20">
            <v>1113218259</v>
          </cell>
          <cell r="G20">
            <v>658382001</v>
          </cell>
          <cell r="H20">
            <v>0</v>
          </cell>
          <cell r="I20" t="str">
            <v>151</v>
          </cell>
          <cell r="J20">
            <v>0</v>
          </cell>
          <cell r="Q20">
            <v>658382001</v>
          </cell>
          <cell r="R20">
            <v>0</v>
          </cell>
          <cell r="S20" t="str">
            <v>151</v>
          </cell>
          <cell r="T20">
            <v>0</v>
          </cell>
          <cell r="W20" t="str">
            <v>142</v>
          </cell>
        </row>
        <row r="21">
          <cell r="A21" t="str">
            <v>144</v>
          </cell>
          <cell r="C21">
            <v>0</v>
          </cell>
          <cell r="D21">
            <v>0</v>
          </cell>
          <cell r="G21">
            <v>1000000</v>
          </cell>
          <cell r="H21">
            <v>0</v>
          </cell>
          <cell r="I21" t="str">
            <v>158</v>
          </cell>
          <cell r="J21">
            <v>0</v>
          </cell>
          <cell r="Q21">
            <v>6000000</v>
          </cell>
          <cell r="R21">
            <v>0</v>
          </cell>
          <cell r="S21" t="str">
            <v>158</v>
          </cell>
          <cell r="T21">
            <v>0</v>
          </cell>
          <cell r="W21" t="str">
            <v>144</v>
          </cell>
        </row>
        <row r="22">
          <cell r="A22" t="str">
            <v>1521</v>
          </cell>
          <cell r="C22">
            <v>4033040430</v>
          </cell>
          <cell r="D22">
            <v>0</v>
          </cell>
          <cell r="F22">
            <v>45643949712</v>
          </cell>
          <cell r="G22">
            <v>3540565673</v>
          </cell>
          <cell r="H22">
            <v>0</v>
          </cell>
          <cell r="I22" t="str">
            <v>141</v>
          </cell>
          <cell r="J22">
            <v>0</v>
          </cell>
          <cell r="Q22">
            <v>3540565673</v>
          </cell>
          <cell r="R22">
            <v>0</v>
          </cell>
          <cell r="S22" t="str">
            <v>141</v>
          </cell>
          <cell r="T22">
            <v>0</v>
          </cell>
          <cell r="W22" t="str">
            <v>152</v>
          </cell>
        </row>
        <row r="23">
          <cell r="A23" t="str">
            <v>1525</v>
          </cell>
          <cell r="C23">
            <v>2117398289</v>
          </cell>
          <cell r="D23">
            <v>0</v>
          </cell>
          <cell r="F23">
            <v>28337204260</v>
          </cell>
          <cell r="G23">
            <v>2075754915</v>
          </cell>
          <cell r="H23">
            <v>0</v>
          </cell>
          <cell r="I23" t="str">
            <v>141</v>
          </cell>
          <cell r="J23">
            <v>0</v>
          </cell>
          <cell r="Q23">
            <v>2075754915</v>
          </cell>
          <cell r="R23">
            <v>0</v>
          </cell>
          <cell r="S23" t="str">
            <v>141</v>
          </cell>
          <cell r="T23">
            <v>0</v>
          </cell>
          <cell r="W23" t="str">
            <v>152</v>
          </cell>
        </row>
        <row r="24">
          <cell r="A24" t="str">
            <v>154</v>
          </cell>
          <cell r="C24">
            <v>0</v>
          </cell>
          <cell r="D24">
            <v>0</v>
          </cell>
          <cell r="F24">
            <v>101961219449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W24" t="str">
            <v>154</v>
          </cell>
        </row>
        <row r="25">
          <cell r="A25" t="str">
            <v>155</v>
          </cell>
          <cell r="C25">
            <v>1591667726</v>
          </cell>
          <cell r="D25">
            <v>0</v>
          </cell>
          <cell r="F25">
            <v>92856172714</v>
          </cell>
          <cell r="G25">
            <v>1521779724</v>
          </cell>
          <cell r="H25">
            <v>0</v>
          </cell>
          <cell r="I25" t="str">
            <v>141</v>
          </cell>
          <cell r="J25">
            <v>0</v>
          </cell>
          <cell r="Q25">
            <v>1521779724</v>
          </cell>
          <cell r="R25">
            <v>0</v>
          </cell>
          <cell r="S25" t="str">
            <v>141</v>
          </cell>
          <cell r="T25">
            <v>0</v>
          </cell>
          <cell r="W25" t="str">
            <v>155</v>
          </cell>
        </row>
        <row r="26">
          <cell r="A26" t="str">
            <v>1561</v>
          </cell>
          <cell r="C26">
            <v>463770708</v>
          </cell>
          <cell r="D26">
            <v>0</v>
          </cell>
          <cell r="F26">
            <v>1301075062</v>
          </cell>
          <cell r="G26">
            <v>2478183889</v>
          </cell>
          <cell r="H26">
            <v>0</v>
          </cell>
          <cell r="I26" t="str">
            <v>141</v>
          </cell>
          <cell r="J26">
            <v>0</v>
          </cell>
          <cell r="Q26">
            <v>2259229342</v>
          </cell>
          <cell r="R26">
            <v>0</v>
          </cell>
          <cell r="S26" t="str">
            <v>141</v>
          </cell>
          <cell r="T26">
            <v>0</v>
          </cell>
          <cell r="W26" t="str">
            <v>156</v>
          </cell>
        </row>
        <row r="27">
          <cell r="A27" t="str">
            <v>1562</v>
          </cell>
          <cell r="C27">
            <v>0</v>
          </cell>
          <cell r="D27">
            <v>0</v>
          </cell>
          <cell r="G27">
            <v>127473605</v>
          </cell>
          <cell r="H27">
            <v>0</v>
          </cell>
          <cell r="I27" t="str">
            <v>141</v>
          </cell>
          <cell r="J27">
            <v>0</v>
          </cell>
          <cell r="Q27">
            <v>127473605</v>
          </cell>
          <cell r="R27">
            <v>0</v>
          </cell>
          <cell r="S27" t="str">
            <v>141</v>
          </cell>
          <cell r="T27">
            <v>0</v>
          </cell>
          <cell r="W27" t="str">
            <v>156</v>
          </cell>
        </row>
        <row r="28">
          <cell r="A28" t="str">
            <v>2112</v>
          </cell>
          <cell r="C28">
            <v>13295833128</v>
          </cell>
          <cell r="D28">
            <v>0</v>
          </cell>
          <cell r="G28">
            <v>17720243422</v>
          </cell>
          <cell r="H28">
            <v>0</v>
          </cell>
          <cell r="I28" t="str">
            <v>222</v>
          </cell>
          <cell r="J28">
            <v>0</v>
          </cell>
          <cell r="Q28">
            <v>17720243422</v>
          </cell>
          <cell r="R28">
            <v>0</v>
          </cell>
          <cell r="S28" t="str">
            <v>222</v>
          </cell>
          <cell r="T28">
            <v>0</v>
          </cell>
          <cell r="W28" t="str">
            <v>2112</v>
          </cell>
        </row>
        <row r="29">
          <cell r="A29" t="str">
            <v>2113</v>
          </cell>
          <cell r="C29">
            <v>7180458241</v>
          </cell>
          <cell r="D29">
            <v>0</v>
          </cell>
          <cell r="G29">
            <v>7605705241</v>
          </cell>
          <cell r="H29">
            <v>0</v>
          </cell>
          <cell r="I29" t="str">
            <v>222</v>
          </cell>
          <cell r="J29">
            <v>0</v>
          </cell>
          <cell r="Q29">
            <v>7605705241</v>
          </cell>
          <cell r="R29">
            <v>0</v>
          </cell>
          <cell r="S29" t="str">
            <v>222</v>
          </cell>
          <cell r="T29">
            <v>0</v>
          </cell>
          <cell r="W29" t="str">
            <v>2113</v>
          </cell>
        </row>
        <row r="30">
          <cell r="A30" t="str">
            <v>2114</v>
          </cell>
          <cell r="C30">
            <v>1680207859</v>
          </cell>
          <cell r="D30">
            <v>0</v>
          </cell>
          <cell r="G30">
            <v>1680207859</v>
          </cell>
          <cell r="H30">
            <v>0</v>
          </cell>
          <cell r="I30" t="str">
            <v>222</v>
          </cell>
          <cell r="J30">
            <v>0</v>
          </cell>
          <cell r="Q30">
            <v>1680207859</v>
          </cell>
          <cell r="R30">
            <v>0</v>
          </cell>
          <cell r="S30" t="str">
            <v>222</v>
          </cell>
          <cell r="T30">
            <v>0</v>
          </cell>
          <cell r="W30" t="str">
            <v>2114</v>
          </cell>
        </row>
        <row r="31">
          <cell r="A31" t="str">
            <v>2115</v>
          </cell>
          <cell r="C31">
            <v>121305000</v>
          </cell>
          <cell r="D31">
            <v>0</v>
          </cell>
          <cell r="F31">
            <v>183950000</v>
          </cell>
          <cell r="G31">
            <v>37145000</v>
          </cell>
          <cell r="H31">
            <v>0</v>
          </cell>
          <cell r="I31" t="str">
            <v>222</v>
          </cell>
          <cell r="J31">
            <v>0</v>
          </cell>
          <cell r="Q31">
            <v>37145000</v>
          </cell>
          <cell r="R31">
            <v>0</v>
          </cell>
          <cell r="S31" t="str">
            <v>222</v>
          </cell>
          <cell r="T31">
            <v>0</v>
          </cell>
          <cell r="W31" t="str">
            <v>2115</v>
          </cell>
        </row>
        <row r="32">
          <cell r="A32" t="str">
            <v>2141</v>
          </cell>
          <cell r="C32">
            <v>0</v>
          </cell>
          <cell r="D32">
            <v>11163583040</v>
          </cell>
          <cell r="F32">
            <v>1895484856</v>
          </cell>
          <cell r="G32">
            <v>0</v>
          </cell>
          <cell r="H32">
            <v>13031925395</v>
          </cell>
          <cell r="I32">
            <v>0</v>
          </cell>
          <cell r="J32" t="str">
            <v>223</v>
          </cell>
          <cell r="Q32">
            <v>0</v>
          </cell>
          <cell r="R32">
            <v>13021829626</v>
          </cell>
          <cell r="S32">
            <v>0</v>
          </cell>
          <cell r="T32" t="str">
            <v>223</v>
          </cell>
          <cell r="W32" t="str">
            <v>2141</v>
          </cell>
        </row>
        <row r="33">
          <cell r="A33" t="str">
            <v>2413</v>
          </cell>
          <cell r="C33">
            <v>0</v>
          </cell>
          <cell r="D33">
            <v>0</v>
          </cell>
          <cell r="F33">
            <v>2038192821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W33" t="str">
            <v>2413</v>
          </cell>
        </row>
        <row r="34">
          <cell r="A34" t="str">
            <v>242</v>
          </cell>
          <cell r="C34">
            <v>567194423</v>
          </cell>
          <cell r="D34">
            <v>0</v>
          </cell>
          <cell r="F34">
            <v>677003108</v>
          </cell>
          <cell r="G34">
            <v>275496834</v>
          </cell>
          <cell r="H34">
            <v>0</v>
          </cell>
          <cell r="I34" t="str">
            <v>261</v>
          </cell>
          <cell r="J34">
            <v>0</v>
          </cell>
          <cell r="Q34">
            <v>275496834</v>
          </cell>
          <cell r="R34">
            <v>0</v>
          </cell>
          <cell r="S34" t="str">
            <v>261</v>
          </cell>
          <cell r="T34">
            <v>0</v>
          </cell>
          <cell r="W34" t="str">
            <v>242</v>
          </cell>
        </row>
        <row r="35">
          <cell r="A35" t="str">
            <v>244</v>
          </cell>
          <cell r="C35">
            <v>165000000</v>
          </cell>
          <cell r="D35">
            <v>0</v>
          </cell>
          <cell r="F35">
            <v>75000000</v>
          </cell>
          <cell r="G35">
            <v>90000000</v>
          </cell>
          <cell r="H35">
            <v>0</v>
          </cell>
          <cell r="I35" t="str">
            <v>268</v>
          </cell>
          <cell r="J35">
            <v>0</v>
          </cell>
          <cell r="Q35">
            <v>90000000</v>
          </cell>
          <cell r="R35">
            <v>0</v>
          </cell>
          <cell r="S35" t="str">
            <v>268</v>
          </cell>
          <cell r="T35">
            <v>0</v>
          </cell>
          <cell r="W35" t="str">
            <v>244</v>
          </cell>
        </row>
        <row r="36">
          <cell r="A36" t="str">
            <v>311</v>
          </cell>
          <cell r="C36">
            <v>0</v>
          </cell>
          <cell r="D36">
            <v>3217795172</v>
          </cell>
          <cell r="F36">
            <v>10449947456</v>
          </cell>
          <cell r="G36">
            <v>0</v>
          </cell>
          <cell r="H36">
            <v>4669956367</v>
          </cell>
          <cell r="I36">
            <v>0</v>
          </cell>
          <cell r="J36" t="str">
            <v>311</v>
          </cell>
          <cell r="Q36">
            <v>0</v>
          </cell>
          <cell r="R36">
            <v>4669956367</v>
          </cell>
          <cell r="S36">
            <v>0</v>
          </cell>
          <cell r="T36" t="str">
            <v>311</v>
          </cell>
          <cell r="W36" t="str">
            <v>311</v>
          </cell>
        </row>
        <row r="37">
          <cell r="A37" t="str">
            <v>331</v>
          </cell>
          <cell r="C37">
            <v>3916154060</v>
          </cell>
          <cell r="D37">
            <v>10391223940</v>
          </cell>
          <cell r="F37">
            <v>81525471374</v>
          </cell>
          <cell r="G37">
            <v>0</v>
          </cell>
          <cell r="H37">
            <v>6550175452</v>
          </cell>
          <cell r="I37" t="str">
            <v>132</v>
          </cell>
          <cell r="J37" t="str">
            <v>312</v>
          </cell>
          <cell r="Q37">
            <v>1038126618</v>
          </cell>
          <cell r="R37">
            <v>7352452070</v>
          </cell>
          <cell r="S37" t="str">
            <v>132</v>
          </cell>
          <cell r="T37" t="str">
            <v>312</v>
          </cell>
          <cell r="W37" t="str">
            <v>331</v>
          </cell>
        </row>
        <row r="38">
          <cell r="A38" t="str">
            <v>3331</v>
          </cell>
          <cell r="C38">
            <v>0</v>
          </cell>
          <cell r="D38">
            <v>0</v>
          </cell>
          <cell r="F38">
            <v>8227803361</v>
          </cell>
          <cell r="G38">
            <v>0</v>
          </cell>
          <cell r="H38">
            <v>376038222</v>
          </cell>
          <cell r="I38">
            <v>0</v>
          </cell>
          <cell r="J38" t="str">
            <v>314</v>
          </cell>
          <cell r="Q38">
            <v>0</v>
          </cell>
          <cell r="R38">
            <v>376038222</v>
          </cell>
          <cell r="S38">
            <v>0</v>
          </cell>
          <cell r="T38" t="str">
            <v>314</v>
          </cell>
          <cell r="W38" t="str">
            <v>3331</v>
          </cell>
        </row>
        <row r="39">
          <cell r="A39" t="str">
            <v>33311</v>
          </cell>
          <cell r="C39">
            <v>0</v>
          </cell>
          <cell r="D39">
            <v>0</v>
          </cell>
          <cell r="F39">
            <v>716576107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W39" t="str">
            <v>3331</v>
          </cell>
        </row>
        <row r="40">
          <cell r="A40" t="str">
            <v>3333</v>
          </cell>
          <cell r="C40">
            <v>0</v>
          </cell>
          <cell r="D40">
            <v>0</v>
          </cell>
          <cell r="F40">
            <v>900830376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W40" t="str">
            <v>3333</v>
          </cell>
        </row>
        <row r="41">
          <cell r="A41" t="str">
            <v>3334</v>
          </cell>
          <cell r="C41">
            <v>0</v>
          </cell>
          <cell r="D41">
            <v>261508193.875</v>
          </cell>
          <cell r="F41">
            <v>1422707346</v>
          </cell>
          <cell r="G41">
            <v>0</v>
          </cell>
          <cell r="H41">
            <v>85920526.875</v>
          </cell>
          <cell r="I41">
            <v>0</v>
          </cell>
          <cell r="J41" t="str">
            <v>314</v>
          </cell>
          <cell r="Q41">
            <v>0</v>
          </cell>
          <cell r="R41">
            <v>135941257.875</v>
          </cell>
          <cell r="S41">
            <v>0</v>
          </cell>
          <cell r="T41" t="str">
            <v>314</v>
          </cell>
          <cell r="W41" t="str">
            <v>3334</v>
          </cell>
        </row>
        <row r="42">
          <cell r="A42" t="str">
            <v>3335</v>
          </cell>
          <cell r="C42">
            <v>0</v>
          </cell>
          <cell r="D42">
            <v>39872720</v>
          </cell>
          <cell r="F42">
            <v>300306190</v>
          </cell>
          <cell r="G42">
            <v>0</v>
          </cell>
          <cell r="H42">
            <v>24705438</v>
          </cell>
          <cell r="I42">
            <v>0</v>
          </cell>
          <cell r="J42" t="str">
            <v>314</v>
          </cell>
          <cell r="Q42">
            <v>0</v>
          </cell>
          <cell r="R42">
            <v>24705438</v>
          </cell>
          <cell r="S42">
            <v>0</v>
          </cell>
          <cell r="T42" t="str">
            <v>314</v>
          </cell>
          <cell r="W42" t="str">
            <v>3335</v>
          </cell>
        </row>
        <row r="43">
          <cell r="A43" t="str">
            <v>3337</v>
          </cell>
          <cell r="C43">
            <v>0</v>
          </cell>
          <cell r="D43">
            <v>0</v>
          </cell>
          <cell r="F43">
            <v>2134597803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Q43">
            <v>0</v>
          </cell>
          <cell r="R43">
            <v>482223456</v>
          </cell>
          <cell r="S43">
            <v>0</v>
          </cell>
          <cell r="T43" t="str">
            <v>314</v>
          </cell>
          <cell r="W43" t="str">
            <v>3337</v>
          </cell>
        </row>
        <row r="44">
          <cell r="A44" t="str">
            <v>3338</v>
          </cell>
          <cell r="C44">
            <v>3228546</v>
          </cell>
          <cell r="D44">
            <v>0</v>
          </cell>
          <cell r="F44">
            <v>9228546</v>
          </cell>
          <cell r="G44">
            <v>0</v>
          </cell>
          <cell r="H44">
            <v>0</v>
          </cell>
          <cell r="I44" t="str">
            <v>154</v>
          </cell>
          <cell r="J44">
            <v>0</v>
          </cell>
          <cell r="Q44">
            <v>0</v>
          </cell>
          <cell r="R44">
            <v>0</v>
          </cell>
          <cell r="S44" t="str">
            <v>154</v>
          </cell>
          <cell r="T44">
            <v>0</v>
          </cell>
          <cell r="W44" t="str">
            <v>3338</v>
          </cell>
        </row>
        <row r="45">
          <cell r="A45" t="str">
            <v>3341</v>
          </cell>
          <cell r="C45">
            <v>0</v>
          </cell>
          <cell r="D45">
            <v>1473077559</v>
          </cell>
          <cell r="F45">
            <v>19602067999</v>
          </cell>
          <cell r="G45">
            <v>0</v>
          </cell>
          <cell r="H45">
            <v>488070176</v>
          </cell>
          <cell r="I45">
            <v>0</v>
          </cell>
          <cell r="J45" t="str">
            <v>315</v>
          </cell>
          <cell r="Q45">
            <v>0</v>
          </cell>
          <cell r="R45">
            <v>488070176</v>
          </cell>
          <cell r="S45">
            <v>0</v>
          </cell>
          <cell r="T45" t="str">
            <v>315</v>
          </cell>
          <cell r="W45" t="str">
            <v>3341</v>
          </cell>
        </row>
        <row r="46">
          <cell r="A46" t="str">
            <v>3342</v>
          </cell>
          <cell r="C46">
            <v>0</v>
          </cell>
          <cell r="D46">
            <v>0</v>
          </cell>
          <cell r="F46">
            <v>2232000201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W46" t="str">
            <v>3342</v>
          </cell>
        </row>
        <row r="47">
          <cell r="A47" t="str">
            <v>335</v>
          </cell>
          <cell r="C47">
            <v>0</v>
          </cell>
          <cell r="D47">
            <v>1814346115</v>
          </cell>
          <cell r="F47">
            <v>2742176146</v>
          </cell>
          <cell r="G47">
            <v>0</v>
          </cell>
          <cell r="H47">
            <v>1910307346</v>
          </cell>
          <cell r="I47">
            <v>0</v>
          </cell>
          <cell r="J47" t="str">
            <v>316</v>
          </cell>
          <cell r="Q47">
            <v>0</v>
          </cell>
          <cell r="R47">
            <v>1510827203.5</v>
          </cell>
          <cell r="S47">
            <v>0</v>
          </cell>
          <cell r="T47" t="str">
            <v>316</v>
          </cell>
          <cell r="W47" t="str">
            <v>335</v>
          </cell>
        </row>
        <row r="48">
          <cell r="A48" t="str">
            <v>3382</v>
          </cell>
          <cell r="C48">
            <v>0</v>
          </cell>
          <cell r="D48">
            <v>27036194</v>
          </cell>
          <cell r="F48">
            <v>107736140</v>
          </cell>
          <cell r="G48">
            <v>0</v>
          </cell>
          <cell r="H48">
            <v>72736140</v>
          </cell>
          <cell r="I48">
            <v>0</v>
          </cell>
          <cell r="J48" t="str">
            <v>319</v>
          </cell>
          <cell r="Q48">
            <v>0</v>
          </cell>
          <cell r="R48">
            <v>72736140</v>
          </cell>
          <cell r="S48">
            <v>0</v>
          </cell>
          <cell r="T48" t="str">
            <v>319</v>
          </cell>
          <cell r="W48" t="str">
            <v>3382</v>
          </cell>
        </row>
        <row r="49">
          <cell r="A49" t="str">
            <v>3383</v>
          </cell>
          <cell r="C49">
            <v>0</v>
          </cell>
          <cell r="D49">
            <v>62068734</v>
          </cell>
          <cell r="F49">
            <v>1419870821</v>
          </cell>
          <cell r="G49">
            <v>401919234</v>
          </cell>
          <cell r="H49">
            <v>0</v>
          </cell>
          <cell r="I49" t="str">
            <v>135</v>
          </cell>
          <cell r="J49" t="str">
            <v>319</v>
          </cell>
          <cell r="Q49">
            <v>49071284</v>
          </cell>
          <cell r="R49">
            <v>0</v>
          </cell>
          <cell r="S49" t="str">
            <v>135</v>
          </cell>
          <cell r="T49" t="str">
            <v>319</v>
          </cell>
          <cell r="W49" t="str">
            <v>3383</v>
          </cell>
        </row>
        <row r="50">
          <cell r="A50" t="str">
            <v>3384</v>
          </cell>
          <cell r="C50">
            <v>0</v>
          </cell>
          <cell r="D50">
            <v>0</v>
          </cell>
          <cell r="F50">
            <v>245166320</v>
          </cell>
          <cell r="G50">
            <v>0</v>
          </cell>
          <cell r="H50">
            <v>245166320</v>
          </cell>
          <cell r="I50">
            <v>0</v>
          </cell>
          <cell r="J50" t="str">
            <v>319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W50" t="str">
            <v>3384</v>
          </cell>
        </row>
        <row r="51">
          <cell r="A51" t="str">
            <v>3388</v>
          </cell>
          <cell r="C51">
            <v>25000000</v>
          </cell>
          <cell r="D51">
            <v>0</v>
          </cell>
          <cell r="F51">
            <v>80722552</v>
          </cell>
          <cell r="G51">
            <v>0</v>
          </cell>
          <cell r="H51">
            <v>0</v>
          </cell>
          <cell r="I51" t="str">
            <v>135</v>
          </cell>
          <cell r="J51">
            <v>0</v>
          </cell>
          <cell r="Q51">
            <v>0</v>
          </cell>
          <cell r="R51">
            <v>0</v>
          </cell>
          <cell r="S51" t="str">
            <v>135</v>
          </cell>
          <cell r="T51">
            <v>0</v>
          </cell>
          <cell r="W51" t="str">
            <v>3388</v>
          </cell>
        </row>
        <row r="52">
          <cell r="A52" t="str">
            <v>3389</v>
          </cell>
          <cell r="C52">
            <v>0</v>
          </cell>
          <cell r="D52">
            <v>0</v>
          </cell>
          <cell r="F52">
            <v>107681630</v>
          </cell>
          <cell r="G52">
            <v>0</v>
          </cell>
          <cell r="H52">
            <v>107681630</v>
          </cell>
          <cell r="I52">
            <v>0</v>
          </cell>
          <cell r="J52" t="str">
            <v>319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W52" t="str">
            <v>3389</v>
          </cell>
        </row>
        <row r="53">
          <cell r="A53" t="str">
            <v>344</v>
          </cell>
          <cell r="C53">
            <v>0</v>
          </cell>
          <cell r="D53">
            <v>1124000000</v>
          </cell>
          <cell r="F53">
            <v>160000000</v>
          </cell>
          <cell r="G53">
            <v>0</v>
          </cell>
          <cell r="H53">
            <v>1284000000</v>
          </cell>
          <cell r="I53">
            <v>0</v>
          </cell>
          <cell r="J53" t="str">
            <v>333</v>
          </cell>
          <cell r="Q53">
            <v>0</v>
          </cell>
          <cell r="R53">
            <v>1284000000</v>
          </cell>
          <cell r="S53">
            <v>0</v>
          </cell>
          <cell r="T53" t="str">
            <v>333</v>
          </cell>
          <cell r="W53" t="str">
            <v>344</v>
          </cell>
        </row>
        <row r="54">
          <cell r="A54" t="str">
            <v>353</v>
          </cell>
          <cell r="C54">
            <v>0</v>
          </cell>
          <cell r="D54">
            <v>114950000</v>
          </cell>
          <cell r="G54">
            <v>0</v>
          </cell>
          <cell r="H54">
            <v>114950000</v>
          </cell>
          <cell r="I54">
            <v>0</v>
          </cell>
          <cell r="J54" t="str">
            <v>323</v>
          </cell>
          <cell r="Q54">
            <v>0</v>
          </cell>
          <cell r="R54">
            <v>114950000</v>
          </cell>
          <cell r="S54">
            <v>0</v>
          </cell>
          <cell r="T54" t="str">
            <v>323</v>
          </cell>
          <cell r="W54" t="str">
            <v>353</v>
          </cell>
        </row>
        <row r="55">
          <cell r="A55" t="str">
            <v>3531</v>
          </cell>
          <cell r="C55">
            <v>0</v>
          </cell>
          <cell r="D55">
            <v>113175085</v>
          </cell>
          <cell r="G55">
            <v>91124915</v>
          </cell>
          <cell r="H55">
            <v>0</v>
          </cell>
          <cell r="I55" t="str">
            <v>323</v>
          </cell>
          <cell r="J55" t="str">
            <v>323</v>
          </cell>
          <cell r="Q55">
            <v>91124915</v>
          </cell>
          <cell r="R55">
            <v>0</v>
          </cell>
          <cell r="S55" t="str">
            <v>323</v>
          </cell>
          <cell r="T55" t="str">
            <v>323</v>
          </cell>
          <cell r="W55" t="str">
            <v>353</v>
          </cell>
        </row>
        <row r="56">
          <cell r="A56" t="str">
            <v>3532</v>
          </cell>
          <cell r="C56">
            <v>76932637</v>
          </cell>
          <cell r="D56">
            <v>0</v>
          </cell>
          <cell r="F56">
            <v>349390781</v>
          </cell>
          <cell r="G56">
            <v>0</v>
          </cell>
          <cell r="H56">
            <v>147500483</v>
          </cell>
          <cell r="I56" t="str">
            <v>323</v>
          </cell>
          <cell r="J56" t="str">
            <v>323</v>
          </cell>
          <cell r="Q56">
            <v>0</v>
          </cell>
          <cell r="R56">
            <v>147500483</v>
          </cell>
          <cell r="S56" t="str">
            <v>323</v>
          </cell>
          <cell r="T56" t="str">
            <v>323</v>
          </cell>
          <cell r="W56" t="str">
            <v>353</v>
          </cell>
        </row>
        <row r="57">
          <cell r="A57" t="str">
            <v>3534</v>
          </cell>
          <cell r="C57">
            <v>0</v>
          </cell>
          <cell r="D57">
            <v>32899711</v>
          </cell>
          <cell r="F57">
            <v>183889885</v>
          </cell>
          <cell r="G57">
            <v>0</v>
          </cell>
          <cell r="H57">
            <v>36789596</v>
          </cell>
          <cell r="I57">
            <v>0</v>
          </cell>
          <cell r="J57" t="str">
            <v>323</v>
          </cell>
          <cell r="Q57">
            <v>0</v>
          </cell>
          <cell r="R57">
            <v>36789596</v>
          </cell>
          <cell r="S57">
            <v>0</v>
          </cell>
          <cell r="T57" t="str">
            <v>323</v>
          </cell>
          <cell r="W57" t="str">
            <v>353</v>
          </cell>
        </row>
        <row r="58">
          <cell r="A58" t="str">
            <v>4111</v>
          </cell>
          <cell r="C58">
            <v>0</v>
          </cell>
          <cell r="D58">
            <v>14000000000</v>
          </cell>
          <cell r="G58">
            <v>0</v>
          </cell>
          <cell r="H58">
            <v>14000000000</v>
          </cell>
          <cell r="I58">
            <v>0</v>
          </cell>
          <cell r="J58" t="str">
            <v>411</v>
          </cell>
          <cell r="Q58">
            <v>0</v>
          </cell>
          <cell r="R58">
            <v>14000000000</v>
          </cell>
          <cell r="S58">
            <v>0</v>
          </cell>
          <cell r="T58" t="str">
            <v>411</v>
          </cell>
          <cell r="W58" t="str">
            <v>4111</v>
          </cell>
        </row>
        <row r="59">
          <cell r="A59" t="str">
            <v>4112</v>
          </cell>
          <cell r="C59">
            <v>0</v>
          </cell>
          <cell r="D59">
            <v>10815000</v>
          </cell>
          <cell r="G59">
            <v>0</v>
          </cell>
          <cell r="H59">
            <v>10815000</v>
          </cell>
          <cell r="I59">
            <v>0</v>
          </cell>
          <cell r="J59" t="str">
            <v>412</v>
          </cell>
          <cell r="Q59">
            <v>0</v>
          </cell>
          <cell r="R59">
            <v>10815000</v>
          </cell>
          <cell r="S59">
            <v>0</v>
          </cell>
          <cell r="T59" t="str">
            <v>412</v>
          </cell>
          <cell r="W59" t="str">
            <v>4112</v>
          </cell>
        </row>
        <row r="60">
          <cell r="A60" t="str">
            <v>4141</v>
          </cell>
          <cell r="C60">
            <v>0</v>
          </cell>
          <cell r="D60">
            <v>1399482830</v>
          </cell>
          <cell r="F60">
            <v>349390781</v>
          </cell>
          <cell r="G60">
            <v>0</v>
          </cell>
          <cell r="H60">
            <v>1748873611</v>
          </cell>
          <cell r="I60">
            <v>0</v>
          </cell>
          <cell r="J60" t="str">
            <v>417</v>
          </cell>
          <cell r="Q60">
            <v>0</v>
          </cell>
          <cell r="R60">
            <v>1748873611</v>
          </cell>
          <cell r="S60">
            <v>0</v>
          </cell>
          <cell r="T60" t="str">
            <v>417</v>
          </cell>
          <cell r="W60" t="str">
            <v>414</v>
          </cell>
        </row>
        <row r="61">
          <cell r="A61" t="str">
            <v>415</v>
          </cell>
          <cell r="C61">
            <v>0</v>
          </cell>
          <cell r="D61">
            <v>685836583</v>
          </cell>
          <cell r="F61">
            <v>174695390</v>
          </cell>
          <cell r="G61">
            <v>0</v>
          </cell>
          <cell r="H61">
            <v>860531973</v>
          </cell>
          <cell r="I61">
            <v>0</v>
          </cell>
          <cell r="J61" t="str">
            <v>418</v>
          </cell>
          <cell r="Q61">
            <v>0</v>
          </cell>
          <cell r="R61">
            <v>860531973</v>
          </cell>
          <cell r="S61">
            <v>0</v>
          </cell>
          <cell r="T61" t="str">
            <v>418</v>
          </cell>
          <cell r="W61" t="str">
            <v>415</v>
          </cell>
        </row>
        <row r="62">
          <cell r="A62" t="str">
            <v>4211</v>
          </cell>
          <cell r="C62">
            <v>0</v>
          </cell>
          <cell r="D62">
            <v>4276426699.625</v>
          </cell>
          <cell r="F62">
            <v>600000000</v>
          </cell>
          <cell r="G62">
            <v>0</v>
          </cell>
          <cell r="H62">
            <v>699059862.625</v>
          </cell>
          <cell r="I62">
            <v>0</v>
          </cell>
          <cell r="J62" t="str">
            <v>420</v>
          </cell>
          <cell r="Q62">
            <v>0</v>
          </cell>
          <cell r="R62">
            <v>699059862.625</v>
          </cell>
          <cell r="S62">
            <v>0</v>
          </cell>
          <cell r="T62" t="str">
            <v>420</v>
          </cell>
          <cell r="W62" t="str">
            <v>4211</v>
          </cell>
        </row>
        <row r="63">
          <cell r="A63" t="str">
            <v>5111</v>
          </cell>
          <cell r="C63">
            <v>0</v>
          </cell>
          <cell r="D63">
            <v>0</v>
          </cell>
          <cell r="F63">
            <v>108421652628</v>
          </cell>
          <cell r="G63">
            <v>0</v>
          </cell>
          <cell r="H63">
            <v>107853302262</v>
          </cell>
          <cell r="I63">
            <v>0</v>
          </cell>
          <cell r="J63" t="str">
            <v>01</v>
          </cell>
          <cell r="Q63">
            <v>0</v>
          </cell>
          <cell r="R63">
            <v>107746497717</v>
          </cell>
          <cell r="S63">
            <v>0</v>
          </cell>
          <cell r="T63" t="str">
            <v>01</v>
          </cell>
          <cell r="W63" t="str">
            <v>5111</v>
          </cell>
        </row>
        <row r="64">
          <cell r="A64" t="str">
            <v>5112</v>
          </cell>
          <cell r="C64">
            <v>0</v>
          </cell>
          <cell r="D64">
            <v>0</v>
          </cell>
          <cell r="F64">
            <v>1861776315</v>
          </cell>
          <cell r="G64">
            <v>0</v>
          </cell>
          <cell r="H64">
            <v>1861776315</v>
          </cell>
          <cell r="I64">
            <v>0</v>
          </cell>
          <cell r="J64" t="str">
            <v>01</v>
          </cell>
          <cell r="Q64">
            <v>0</v>
          </cell>
          <cell r="R64">
            <v>1861776315</v>
          </cell>
          <cell r="S64">
            <v>0</v>
          </cell>
          <cell r="T64" t="str">
            <v>01</v>
          </cell>
          <cell r="W64" t="str">
            <v>5112</v>
          </cell>
        </row>
        <row r="65">
          <cell r="A65" t="str">
            <v>5113</v>
          </cell>
          <cell r="C65">
            <v>0</v>
          </cell>
          <cell r="D65">
            <v>0</v>
          </cell>
          <cell r="F65">
            <v>3773999998</v>
          </cell>
          <cell r="G65">
            <v>0</v>
          </cell>
          <cell r="H65">
            <v>3773999998</v>
          </cell>
          <cell r="I65">
            <v>0</v>
          </cell>
          <cell r="J65" t="str">
            <v>01</v>
          </cell>
          <cell r="Q65">
            <v>0</v>
          </cell>
          <cell r="R65">
            <v>3869454543</v>
          </cell>
          <cell r="S65">
            <v>0</v>
          </cell>
          <cell r="T65" t="str">
            <v>01</v>
          </cell>
          <cell r="W65" t="str">
            <v>5113</v>
          </cell>
        </row>
        <row r="66">
          <cell r="A66" t="str">
            <v>515</v>
          </cell>
          <cell r="C66">
            <v>0</v>
          </cell>
          <cell r="D66">
            <v>0</v>
          </cell>
          <cell r="F66">
            <v>39979410</v>
          </cell>
          <cell r="G66">
            <v>0</v>
          </cell>
          <cell r="H66">
            <v>39979410</v>
          </cell>
          <cell r="I66">
            <v>0</v>
          </cell>
          <cell r="J66" t="str">
            <v>21</v>
          </cell>
          <cell r="Q66">
            <v>0</v>
          </cell>
          <cell r="R66">
            <v>40000780</v>
          </cell>
          <cell r="S66">
            <v>0</v>
          </cell>
          <cell r="T66" t="str">
            <v>21</v>
          </cell>
          <cell r="W66" t="str">
            <v>515</v>
          </cell>
        </row>
        <row r="67">
          <cell r="A67" t="str">
            <v>521</v>
          </cell>
          <cell r="C67">
            <v>0</v>
          </cell>
          <cell r="D67">
            <v>0</v>
          </cell>
          <cell r="F67">
            <v>175985528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W67" t="str">
            <v>521</v>
          </cell>
        </row>
        <row r="68">
          <cell r="A68" t="str">
            <v>5211</v>
          </cell>
          <cell r="C68">
            <v>0</v>
          </cell>
          <cell r="D68">
            <v>0</v>
          </cell>
          <cell r="F68">
            <v>291025352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W68" t="str">
            <v>521</v>
          </cell>
        </row>
        <row r="69">
          <cell r="A69" t="str">
            <v>531</v>
          </cell>
          <cell r="C69">
            <v>0</v>
          </cell>
          <cell r="D69">
            <v>0</v>
          </cell>
          <cell r="F69">
            <v>51283952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W69" t="str">
            <v>531</v>
          </cell>
        </row>
        <row r="70">
          <cell r="A70" t="str">
            <v>532</v>
          </cell>
          <cell r="C70">
            <v>0</v>
          </cell>
          <cell r="D70">
            <v>0</v>
          </cell>
          <cell r="F70">
            <v>51055534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W70" t="str">
            <v>532</v>
          </cell>
        </row>
        <row r="71">
          <cell r="A71" t="str">
            <v>621</v>
          </cell>
          <cell r="C71">
            <v>0</v>
          </cell>
          <cell r="D71">
            <v>0</v>
          </cell>
          <cell r="F71">
            <v>73500910204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W71" t="str">
            <v>621</v>
          </cell>
        </row>
        <row r="72">
          <cell r="A72" t="str">
            <v>622</v>
          </cell>
          <cell r="C72">
            <v>0</v>
          </cell>
          <cell r="D72">
            <v>0</v>
          </cell>
          <cell r="F72">
            <v>12928537338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W72" t="str">
            <v>622</v>
          </cell>
        </row>
        <row r="73">
          <cell r="A73" t="str">
            <v>6271</v>
          </cell>
          <cell r="C73">
            <v>0</v>
          </cell>
          <cell r="D73">
            <v>0</v>
          </cell>
          <cell r="F73">
            <v>5738845913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W73" t="str">
            <v>6271</v>
          </cell>
        </row>
        <row r="74">
          <cell r="A74" t="str">
            <v>6272</v>
          </cell>
          <cell r="C74">
            <v>0</v>
          </cell>
          <cell r="D74">
            <v>0</v>
          </cell>
          <cell r="F74">
            <v>1920223703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W74" t="str">
            <v>6272</v>
          </cell>
        </row>
        <row r="75">
          <cell r="A75" t="str">
            <v>6273</v>
          </cell>
          <cell r="C75">
            <v>0</v>
          </cell>
          <cell r="D75">
            <v>0</v>
          </cell>
          <cell r="F75">
            <v>1525932469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W75" t="str">
            <v>6273</v>
          </cell>
        </row>
        <row r="76">
          <cell r="A76" t="str">
            <v>6274</v>
          </cell>
          <cell r="C76">
            <v>0</v>
          </cell>
          <cell r="D76">
            <v>0</v>
          </cell>
          <cell r="F76">
            <v>1079206718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W76" t="str">
            <v>6274</v>
          </cell>
        </row>
        <row r="77">
          <cell r="A77" t="str">
            <v>6277</v>
          </cell>
          <cell r="C77">
            <v>0</v>
          </cell>
          <cell r="D77">
            <v>0</v>
          </cell>
          <cell r="F77">
            <v>1540518405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W77" t="str">
            <v>6277</v>
          </cell>
        </row>
        <row r="78">
          <cell r="A78" t="str">
            <v>6278</v>
          </cell>
          <cell r="C78">
            <v>0</v>
          </cell>
          <cell r="D78">
            <v>0</v>
          </cell>
          <cell r="F78">
            <v>409952816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W78" t="str">
            <v>6278</v>
          </cell>
        </row>
        <row r="79">
          <cell r="A79" t="str">
            <v>632</v>
          </cell>
          <cell r="C79">
            <v>0</v>
          </cell>
          <cell r="D79">
            <v>0</v>
          </cell>
          <cell r="F79">
            <v>107254914</v>
          </cell>
          <cell r="G79">
            <v>1606346624</v>
          </cell>
          <cell r="H79">
            <v>0</v>
          </cell>
          <cell r="I79" t="str">
            <v>11</v>
          </cell>
          <cell r="J79">
            <v>0</v>
          </cell>
          <cell r="Q79">
            <v>1606346624</v>
          </cell>
          <cell r="R79">
            <v>0</v>
          </cell>
          <cell r="S79" t="str">
            <v>11</v>
          </cell>
          <cell r="T79">
            <v>0</v>
          </cell>
          <cell r="W79" t="str">
            <v>632</v>
          </cell>
        </row>
        <row r="80">
          <cell r="A80" t="str">
            <v>6321</v>
          </cell>
          <cell r="C80">
            <v>0</v>
          </cell>
          <cell r="D80">
            <v>0</v>
          </cell>
          <cell r="F80">
            <v>41069282</v>
          </cell>
          <cell r="G80">
            <v>90467574105</v>
          </cell>
          <cell r="H80">
            <v>0</v>
          </cell>
          <cell r="I80" t="str">
            <v>11</v>
          </cell>
          <cell r="J80">
            <v>0</v>
          </cell>
          <cell r="Q80">
            <v>90467574105</v>
          </cell>
          <cell r="R80">
            <v>0</v>
          </cell>
          <cell r="S80" t="str">
            <v>11</v>
          </cell>
          <cell r="T80">
            <v>0</v>
          </cell>
          <cell r="W80" t="str">
            <v>632</v>
          </cell>
        </row>
        <row r="81">
          <cell r="A81" t="str">
            <v>6322</v>
          </cell>
          <cell r="C81">
            <v>0</v>
          </cell>
          <cell r="D81">
            <v>0</v>
          </cell>
          <cell r="G81">
            <v>16475128</v>
          </cell>
          <cell r="H81">
            <v>0</v>
          </cell>
          <cell r="I81" t="str">
            <v>11</v>
          </cell>
          <cell r="J81">
            <v>0</v>
          </cell>
          <cell r="Q81">
            <v>62519073.5</v>
          </cell>
          <cell r="R81">
            <v>0</v>
          </cell>
          <cell r="S81" t="str">
            <v>11</v>
          </cell>
          <cell r="T81">
            <v>0</v>
          </cell>
          <cell r="W81" t="str">
            <v>632</v>
          </cell>
        </row>
        <row r="82">
          <cell r="A82" t="str">
            <v>635</v>
          </cell>
          <cell r="C82">
            <v>0</v>
          </cell>
          <cell r="D82">
            <v>0</v>
          </cell>
          <cell r="F82">
            <v>64962821</v>
          </cell>
          <cell r="G82">
            <v>504310110</v>
          </cell>
          <cell r="H82">
            <v>0</v>
          </cell>
          <cell r="I82" t="str">
            <v>22</v>
          </cell>
          <cell r="J82">
            <v>0</v>
          </cell>
          <cell r="Q82">
            <v>511655209</v>
          </cell>
          <cell r="R82">
            <v>0</v>
          </cell>
          <cell r="S82" t="str">
            <v>22</v>
          </cell>
          <cell r="T82">
            <v>0</v>
          </cell>
          <cell r="W82" t="str">
            <v>635</v>
          </cell>
        </row>
        <row r="83">
          <cell r="A83" t="str">
            <v>6411</v>
          </cell>
          <cell r="C83">
            <v>0</v>
          </cell>
          <cell r="D83">
            <v>0</v>
          </cell>
          <cell r="G83">
            <v>2402929688</v>
          </cell>
          <cell r="H83">
            <v>0</v>
          </cell>
          <cell r="I83" t="str">
            <v>24</v>
          </cell>
          <cell r="J83">
            <v>0</v>
          </cell>
          <cell r="Q83">
            <v>2402929688</v>
          </cell>
          <cell r="R83">
            <v>0</v>
          </cell>
          <cell r="S83" t="str">
            <v>24</v>
          </cell>
          <cell r="T83">
            <v>0</v>
          </cell>
          <cell r="W83" t="str">
            <v>6411</v>
          </cell>
        </row>
        <row r="84">
          <cell r="A84" t="str">
            <v>6412</v>
          </cell>
          <cell r="C84">
            <v>0</v>
          </cell>
          <cell r="D84">
            <v>0</v>
          </cell>
          <cell r="G84">
            <v>67697476</v>
          </cell>
          <cell r="H84">
            <v>0</v>
          </cell>
          <cell r="I84" t="str">
            <v>24</v>
          </cell>
          <cell r="J84">
            <v>0</v>
          </cell>
          <cell r="Q84">
            <v>67697476</v>
          </cell>
          <cell r="R84">
            <v>0</v>
          </cell>
          <cell r="S84" t="str">
            <v>24</v>
          </cell>
          <cell r="T84">
            <v>0</v>
          </cell>
          <cell r="W84" t="str">
            <v>6412</v>
          </cell>
        </row>
        <row r="85">
          <cell r="A85" t="str">
            <v>6413</v>
          </cell>
          <cell r="C85">
            <v>0</v>
          </cell>
          <cell r="D85">
            <v>0</v>
          </cell>
          <cell r="G85">
            <v>261739852</v>
          </cell>
          <cell r="H85">
            <v>0</v>
          </cell>
          <cell r="I85" t="str">
            <v>24</v>
          </cell>
          <cell r="J85">
            <v>0</v>
          </cell>
          <cell r="Q85">
            <v>261739852</v>
          </cell>
          <cell r="R85">
            <v>0</v>
          </cell>
          <cell r="S85" t="str">
            <v>24</v>
          </cell>
          <cell r="T85">
            <v>0</v>
          </cell>
          <cell r="W85" t="str">
            <v>6413</v>
          </cell>
        </row>
        <row r="86">
          <cell r="A86" t="str">
            <v>6414</v>
          </cell>
          <cell r="C86">
            <v>0</v>
          </cell>
          <cell r="D86">
            <v>0</v>
          </cell>
          <cell r="F86">
            <v>26336723</v>
          </cell>
          <cell r="G86">
            <v>440048562</v>
          </cell>
          <cell r="H86">
            <v>0</v>
          </cell>
          <cell r="I86" t="str">
            <v>24</v>
          </cell>
          <cell r="J86">
            <v>0</v>
          </cell>
          <cell r="Q86">
            <v>440048562</v>
          </cell>
          <cell r="R86">
            <v>0</v>
          </cell>
          <cell r="S86" t="str">
            <v>24</v>
          </cell>
          <cell r="T86">
            <v>0</v>
          </cell>
          <cell r="W86" t="str">
            <v>6414</v>
          </cell>
        </row>
        <row r="87">
          <cell r="A87" t="str">
            <v>6416</v>
          </cell>
          <cell r="C87">
            <v>0</v>
          </cell>
          <cell r="D87">
            <v>0</v>
          </cell>
          <cell r="G87">
            <v>453615858</v>
          </cell>
          <cell r="H87">
            <v>0</v>
          </cell>
          <cell r="I87" t="str">
            <v>24</v>
          </cell>
          <cell r="J87">
            <v>0</v>
          </cell>
          <cell r="Q87">
            <v>453615858</v>
          </cell>
          <cell r="R87">
            <v>0</v>
          </cell>
          <cell r="S87" t="str">
            <v>24</v>
          </cell>
          <cell r="T87">
            <v>0</v>
          </cell>
          <cell r="W87" t="str">
            <v>6416</v>
          </cell>
        </row>
        <row r="88">
          <cell r="A88" t="str">
            <v>6417</v>
          </cell>
          <cell r="C88">
            <v>0</v>
          </cell>
          <cell r="D88">
            <v>0</v>
          </cell>
          <cell r="G88">
            <v>3103190245</v>
          </cell>
          <cell r="H88">
            <v>0</v>
          </cell>
          <cell r="I88" t="str">
            <v>24</v>
          </cell>
          <cell r="J88">
            <v>0</v>
          </cell>
          <cell r="Q88">
            <v>3089578270</v>
          </cell>
          <cell r="R88">
            <v>0</v>
          </cell>
          <cell r="S88" t="str">
            <v>24</v>
          </cell>
          <cell r="T88">
            <v>0</v>
          </cell>
          <cell r="W88" t="str">
            <v>6417</v>
          </cell>
        </row>
        <row r="89">
          <cell r="A89" t="str">
            <v>6418</v>
          </cell>
          <cell r="C89">
            <v>0</v>
          </cell>
          <cell r="D89">
            <v>0</v>
          </cell>
          <cell r="F89">
            <v>13640000</v>
          </cell>
          <cell r="G89">
            <v>3518794717</v>
          </cell>
          <cell r="H89">
            <v>0</v>
          </cell>
          <cell r="I89" t="str">
            <v>24</v>
          </cell>
          <cell r="J89">
            <v>0</v>
          </cell>
          <cell r="Q89">
            <v>3432658159</v>
          </cell>
          <cell r="R89">
            <v>0</v>
          </cell>
          <cell r="S89" t="str">
            <v>24</v>
          </cell>
          <cell r="T89">
            <v>0</v>
          </cell>
          <cell r="W89" t="str">
            <v>6418</v>
          </cell>
        </row>
        <row r="90">
          <cell r="A90" t="str">
            <v>6421</v>
          </cell>
          <cell r="C90">
            <v>0</v>
          </cell>
          <cell r="D90">
            <v>0</v>
          </cell>
          <cell r="G90">
            <v>2265498694</v>
          </cell>
          <cell r="H90">
            <v>0</v>
          </cell>
          <cell r="I90" t="str">
            <v>25</v>
          </cell>
          <cell r="J90">
            <v>0</v>
          </cell>
          <cell r="Q90">
            <v>2265498694</v>
          </cell>
          <cell r="R90">
            <v>0</v>
          </cell>
          <cell r="S90" t="str">
            <v>25</v>
          </cell>
          <cell r="T90">
            <v>0</v>
          </cell>
          <cell r="W90" t="str">
            <v>6421</v>
          </cell>
        </row>
        <row r="91">
          <cell r="A91" t="str">
            <v>6422</v>
          </cell>
          <cell r="C91">
            <v>0</v>
          </cell>
          <cell r="D91">
            <v>0</v>
          </cell>
          <cell r="G91">
            <v>20732180</v>
          </cell>
          <cell r="H91">
            <v>0</v>
          </cell>
          <cell r="I91" t="str">
            <v>25</v>
          </cell>
          <cell r="J91">
            <v>0</v>
          </cell>
          <cell r="Q91">
            <v>20732180</v>
          </cell>
          <cell r="R91">
            <v>0</v>
          </cell>
          <cell r="S91" t="str">
            <v>25</v>
          </cell>
          <cell r="T91">
            <v>0</v>
          </cell>
          <cell r="W91" t="str">
            <v>6422</v>
          </cell>
        </row>
        <row r="92">
          <cell r="A92" t="str">
            <v>6423</v>
          </cell>
          <cell r="C92">
            <v>0</v>
          </cell>
          <cell r="D92">
            <v>0</v>
          </cell>
          <cell r="G92">
            <v>523635900</v>
          </cell>
          <cell r="H92">
            <v>0</v>
          </cell>
          <cell r="I92" t="str">
            <v>25</v>
          </cell>
          <cell r="J92">
            <v>0</v>
          </cell>
          <cell r="Q92">
            <v>523635900</v>
          </cell>
          <cell r="R92">
            <v>0</v>
          </cell>
          <cell r="S92" t="str">
            <v>25</v>
          </cell>
          <cell r="T92">
            <v>0</v>
          </cell>
          <cell r="W92" t="str">
            <v>6423</v>
          </cell>
        </row>
        <row r="93">
          <cell r="A93" t="str">
            <v>6424</v>
          </cell>
          <cell r="C93">
            <v>0</v>
          </cell>
          <cell r="D93">
            <v>0</v>
          </cell>
          <cell r="F93">
            <v>805778</v>
          </cell>
          <cell r="G93">
            <v>211122834</v>
          </cell>
          <cell r="H93">
            <v>0</v>
          </cell>
          <cell r="I93" t="str">
            <v>25</v>
          </cell>
          <cell r="J93">
            <v>0</v>
          </cell>
          <cell r="Q93">
            <v>201027065</v>
          </cell>
          <cell r="R93">
            <v>0</v>
          </cell>
          <cell r="S93" t="str">
            <v>25</v>
          </cell>
          <cell r="T93">
            <v>0</v>
          </cell>
          <cell r="W93" t="str">
            <v>6424</v>
          </cell>
        </row>
        <row r="94">
          <cell r="A94" t="str">
            <v>6425</v>
          </cell>
          <cell r="C94">
            <v>0</v>
          </cell>
          <cell r="D94">
            <v>0</v>
          </cell>
          <cell r="G94">
            <v>1203519775</v>
          </cell>
          <cell r="H94">
            <v>0</v>
          </cell>
          <cell r="I94" t="str">
            <v>25</v>
          </cell>
          <cell r="J94">
            <v>0</v>
          </cell>
          <cell r="Q94">
            <v>1194590566</v>
          </cell>
          <cell r="R94">
            <v>0</v>
          </cell>
          <cell r="S94" t="str">
            <v>25</v>
          </cell>
          <cell r="T94">
            <v>0</v>
          </cell>
          <cell r="W94" t="str">
            <v>6425</v>
          </cell>
        </row>
        <row r="95">
          <cell r="A95" t="str">
            <v>6427</v>
          </cell>
          <cell r="C95">
            <v>0</v>
          </cell>
          <cell r="D95">
            <v>0</v>
          </cell>
          <cell r="G95">
            <v>107241247</v>
          </cell>
          <cell r="H95">
            <v>0</v>
          </cell>
          <cell r="I95" t="str">
            <v>25</v>
          </cell>
          <cell r="J95">
            <v>0</v>
          </cell>
          <cell r="Q95">
            <v>137296247</v>
          </cell>
          <cell r="R95">
            <v>0</v>
          </cell>
          <cell r="S95" t="str">
            <v>25</v>
          </cell>
          <cell r="T95">
            <v>0</v>
          </cell>
          <cell r="W95" t="str">
            <v>6427</v>
          </cell>
        </row>
        <row r="96">
          <cell r="A96" t="str">
            <v>6428</v>
          </cell>
          <cell r="C96">
            <v>0</v>
          </cell>
          <cell r="D96">
            <v>0</v>
          </cell>
          <cell r="G96">
            <v>247149218</v>
          </cell>
          <cell r="H96">
            <v>0</v>
          </cell>
          <cell r="I96" t="str">
            <v>25</v>
          </cell>
          <cell r="J96">
            <v>0</v>
          </cell>
          <cell r="Q96">
            <v>247149218</v>
          </cell>
          <cell r="R96">
            <v>0</v>
          </cell>
          <cell r="S96" t="str">
            <v>25</v>
          </cell>
          <cell r="T96">
            <v>0</v>
          </cell>
          <cell r="W96" t="str">
            <v>6428</v>
          </cell>
        </row>
        <row r="97">
          <cell r="A97" t="str">
            <v>711</v>
          </cell>
          <cell r="C97">
            <v>0</v>
          </cell>
          <cell r="D97">
            <v>0</v>
          </cell>
          <cell r="F97">
            <v>97706831</v>
          </cell>
          <cell r="G97">
            <v>0</v>
          </cell>
          <cell r="H97">
            <v>97706731</v>
          </cell>
          <cell r="I97">
            <v>0</v>
          </cell>
          <cell r="J97" t="str">
            <v>31</v>
          </cell>
          <cell r="Q97">
            <v>0</v>
          </cell>
          <cell r="R97">
            <v>102706731</v>
          </cell>
          <cell r="S97">
            <v>0</v>
          </cell>
          <cell r="T97" t="str">
            <v>31</v>
          </cell>
          <cell r="W97" t="str">
            <v>711</v>
          </cell>
        </row>
        <row r="98">
          <cell r="A98" t="str">
            <v>811</v>
          </cell>
          <cell r="C98">
            <v>0</v>
          </cell>
          <cell r="D98">
            <v>0</v>
          </cell>
          <cell r="F98">
            <v>113510</v>
          </cell>
          <cell r="G98">
            <v>132389968</v>
          </cell>
          <cell r="H98">
            <v>0</v>
          </cell>
          <cell r="I98" t="str">
            <v>32</v>
          </cell>
          <cell r="J98">
            <v>0</v>
          </cell>
          <cell r="Q98">
            <v>132389968</v>
          </cell>
          <cell r="R98">
            <v>0</v>
          </cell>
          <cell r="S98" t="str">
            <v>32</v>
          </cell>
          <cell r="T98">
            <v>0</v>
          </cell>
          <cell r="W98" t="str">
            <v>811</v>
          </cell>
        </row>
        <row r="99">
          <cell r="A99" t="str">
            <v>821</v>
          </cell>
          <cell r="C99">
            <v>0</v>
          </cell>
          <cell r="D99">
            <v>0</v>
          </cell>
          <cell r="G99">
            <v>1422707346</v>
          </cell>
          <cell r="H99">
            <v>0</v>
          </cell>
          <cell r="I99" t="str">
            <v>51</v>
          </cell>
          <cell r="J99">
            <v>0</v>
          </cell>
          <cell r="Q99">
            <v>1472728077</v>
          </cell>
          <cell r="R99">
            <v>0</v>
          </cell>
          <cell r="S99" t="str">
            <v>51</v>
          </cell>
          <cell r="T99">
            <v>0</v>
          </cell>
          <cell r="W99" t="str">
            <v>821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Cong ty"/>
      <sheetName val="CDKT"/>
      <sheetName val="NKC"/>
      <sheetName val="CDPS"/>
      <sheetName val="CTTK"/>
      <sheetName val="154"/>
      <sheetName val="155"/>
      <sheetName val="211"/>
      <sheetName val="2421"/>
      <sheetName val="2422"/>
      <sheetName val="112221-003"/>
      <sheetName val="112222-002"/>
      <sheetName val="112231-SH"/>
      <sheetName val="341CPI"/>
      <sheetName val="331CPI"/>
      <sheetName val="331ADV"/>
      <sheetName val="Sheet1"/>
    </sheetNames>
    <sheetDataSet>
      <sheetData sheetId="0">
        <row r="6">
          <cell r="B6" t="str">
            <v>Công ty TNHH CompositeGear Việt Nam</v>
          </cell>
        </row>
        <row r="7">
          <cell r="B7" t="str">
            <v>Lô D, Đường N5-N6, Cụm công nghiệp Phú Chánh, Xã Phú Chánh, Tx. Tân Uyên, Tỉnh Bình Dương</v>
          </cell>
        </row>
        <row r="8">
          <cell r="B8" t="str">
            <v>3702478882</v>
          </cell>
        </row>
      </sheetData>
      <sheetData sheetId="1">
        <row r="1">
          <cell r="A1" t="str">
            <v>CÔNG TY TNHH COMPOSITEGEAR VIỆT NAM</v>
          </cell>
        </row>
      </sheetData>
      <sheetData sheetId="2"/>
      <sheetData sheetId="3">
        <row r="22">
          <cell r="L22">
            <v>4582219315</v>
          </cell>
        </row>
      </sheetData>
      <sheetData sheetId="4"/>
      <sheetData sheetId="5"/>
      <sheetData sheetId="6">
        <row r="3">
          <cell r="C3">
            <v>35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2"/>
      <sheetName val="CDSPS"/>
      <sheetName val="NKC"/>
      <sheetName val="2421"/>
      <sheetName val="2411"/>
      <sheetName val="1531"/>
      <sheetName val="211"/>
      <sheetName val="CTTK"/>
      <sheetName val="341"/>
      <sheetName val="DT"/>
      <sheetName val="Z"/>
      <sheetName val="BCĐKT"/>
      <sheetName val="LAI"/>
      <sheetName val="2009"/>
      <sheetName val="TDCNO"/>
      <sheetName val="211,x"/>
      <sheetName val="NXT"/>
      <sheetName val="lai - 6 thang"/>
      <sheetName val="XL4Test5"/>
      <sheetName val="XK"/>
      <sheetName val="338TS"/>
      <sheetName val="Notes"/>
      <sheetName val="Z.Cach 1"/>
      <sheetName val="632"/>
      <sheetName val="note"/>
      <sheetName val="TRICH LUONG"/>
      <sheetName val="Lai lo 2015"/>
      <sheetName val="3411"/>
      <sheetName val="Sheet1"/>
      <sheetName val="241"/>
    </sheetNames>
    <sheetDataSet>
      <sheetData sheetId="0"/>
      <sheetData sheetId="1">
        <row r="9">
          <cell r="A9" t="str">
            <v>111</v>
          </cell>
        </row>
        <row r="10">
          <cell r="A10" t="str">
            <v>1111</v>
          </cell>
        </row>
        <row r="11">
          <cell r="A11" t="str">
            <v>112</v>
          </cell>
        </row>
        <row r="12">
          <cell r="A12" t="str">
            <v>112111</v>
          </cell>
        </row>
        <row r="13">
          <cell r="A13" t="str">
            <v>112112</v>
          </cell>
        </row>
        <row r="14">
          <cell r="A14" t="str">
            <v>112113</v>
          </cell>
        </row>
        <row r="15">
          <cell r="A15" t="str">
            <v>112114</v>
          </cell>
        </row>
        <row r="16">
          <cell r="A16" t="str">
            <v>112115</v>
          </cell>
        </row>
        <row r="17">
          <cell r="A17" t="str">
            <v>112116</v>
          </cell>
        </row>
        <row r="18">
          <cell r="A18" t="str">
            <v>112141</v>
          </cell>
        </row>
        <row r="19">
          <cell r="A19" t="str">
            <v>112221</v>
          </cell>
        </row>
        <row r="20">
          <cell r="A20" t="str">
            <v>112222</v>
          </cell>
        </row>
        <row r="21">
          <cell r="A21" t="str">
            <v>112121</v>
          </cell>
        </row>
        <row r="22">
          <cell r="A22" t="str">
            <v>112231</v>
          </cell>
        </row>
        <row r="23">
          <cell r="A23" t="str">
            <v>133</v>
          </cell>
        </row>
        <row r="24">
          <cell r="A24" t="str">
            <v>1331</v>
          </cell>
        </row>
        <row r="25">
          <cell r="A25" t="str">
            <v>1332</v>
          </cell>
        </row>
        <row r="26">
          <cell r="A26" t="str">
            <v>138</v>
          </cell>
        </row>
        <row r="27">
          <cell r="A27" t="str">
            <v>13881</v>
          </cell>
        </row>
        <row r="28">
          <cell r="A28" t="str">
            <v>13882</v>
          </cell>
        </row>
        <row r="29">
          <cell r="A29" t="str">
            <v>1521</v>
          </cell>
        </row>
        <row r="30">
          <cell r="A30" t="str">
            <v>1522</v>
          </cell>
        </row>
        <row r="31">
          <cell r="A31" t="str">
            <v>153</v>
          </cell>
        </row>
        <row r="32">
          <cell r="A32" t="str">
            <v>1531</v>
          </cell>
        </row>
        <row r="33">
          <cell r="A33" t="str">
            <v>154</v>
          </cell>
        </row>
        <row r="34">
          <cell r="A34" t="str">
            <v>155</v>
          </cell>
        </row>
        <row r="35">
          <cell r="A35" t="str">
            <v>156</v>
          </cell>
        </row>
        <row r="36">
          <cell r="A36" t="str">
            <v>211</v>
          </cell>
        </row>
        <row r="37">
          <cell r="A37">
            <v>2111</v>
          </cell>
        </row>
        <row r="38">
          <cell r="A38">
            <v>2112</v>
          </cell>
        </row>
        <row r="39">
          <cell r="A39">
            <v>2113</v>
          </cell>
        </row>
        <row r="40">
          <cell r="A40">
            <v>2114</v>
          </cell>
        </row>
        <row r="41">
          <cell r="A41">
            <v>2115</v>
          </cell>
        </row>
        <row r="42">
          <cell r="A42">
            <v>2118</v>
          </cell>
        </row>
        <row r="43">
          <cell r="A43" t="str">
            <v>2141</v>
          </cell>
        </row>
        <row r="44">
          <cell r="A44" t="str">
            <v>2142</v>
          </cell>
        </row>
        <row r="45">
          <cell r="A45" t="str">
            <v>241</v>
          </cell>
        </row>
        <row r="46">
          <cell r="A46" t="str">
            <v>2411</v>
          </cell>
        </row>
        <row r="47">
          <cell r="A47" t="str">
            <v>2412-DIEN</v>
          </cell>
        </row>
        <row r="48">
          <cell r="A48" t="str">
            <v>241KN</v>
          </cell>
        </row>
        <row r="49">
          <cell r="A49" t="str">
            <v>241PB</v>
          </cell>
        </row>
        <row r="50">
          <cell r="A50" t="str">
            <v>241VP</v>
          </cell>
        </row>
        <row r="51">
          <cell r="A51" t="str">
            <v>241HH</v>
          </cell>
        </row>
        <row r="52">
          <cell r="A52" t="str">
            <v>241ECO</v>
          </cell>
        </row>
        <row r="53">
          <cell r="A53" t="str">
            <v>241LHS</v>
          </cell>
        </row>
        <row r="54">
          <cell r="A54" t="str">
            <v>241HĐ</v>
          </cell>
        </row>
        <row r="55">
          <cell r="A55" t="str">
            <v>241ARCH</v>
          </cell>
        </row>
        <row r="56">
          <cell r="A56" t="str">
            <v>241MTT</v>
          </cell>
        </row>
        <row r="57">
          <cell r="A57" t="str">
            <v>241CHP</v>
          </cell>
        </row>
        <row r="58">
          <cell r="A58" t="str">
            <v>241APP</v>
          </cell>
        </row>
        <row r="59">
          <cell r="A59" t="str">
            <v>2421</v>
          </cell>
        </row>
        <row r="60">
          <cell r="A60" t="str">
            <v>2421-KỆ</v>
          </cell>
        </row>
        <row r="61">
          <cell r="A61" t="str">
            <v>2421-HRAO</v>
          </cell>
        </row>
        <row r="62">
          <cell r="A62" t="str">
            <v>2421-KỆBỒNNƯỚC</v>
          </cell>
        </row>
        <row r="63">
          <cell r="A63" t="str">
            <v>2422</v>
          </cell>
        </row>
        <row r="64">
          <cell r="A64" t="str">
            <v>331</v>
          </cell>
        </row>
        <row r="65">
          <cell r="A65" t="str">
            <v>331KN</v>
          </cell>
        </row>
        <row r="66">
          <cell r="A66" t="str">
            <v>331VP</v>
          </cell>
        </row>
        <row r="67">
          <cell r="A67" t="str">
            <v>331TTue</v>
          </cell>
        </row>
        <row r="68">
          <cell r="A68" t="str">
            <v>331PBien</v>
          </cell>
        </row>
        <row r="69">
          <cell r="A69" t="str">
            <v>331CCW</v>
          </cell>
        </row>
        <row r="70">
          <cell r="A70" t="str">
            <v>331TC</v>
          </cell>
        </row>
        <row r="71">
          <cell r="A71" t="str">
            <v>331CPA</v>
          </cell>
        </row>
        <row r="72">
          <cell r="A72" t="str">
            <v>331TT</v>
          </cell>
        </row>
        <row r="73">
          <cell r="A73" t="str">
            <v>331HH</v>
          </cell>
        </row>
        <row r="74">
          <cell r="A74" t="str">
            <v>331YT</v>
          </cell>
        </row>
        <row r="75">
          <cell r="A75" t="str">
            <v>331ECO</v>
          </cell>
        </row>
        <row r="76">
          <cell r="A76" t="str">
            <v>331VISTA</v>
          </cell>
        </row>
        <row r="77">
          <cell r="A77" t="str">
            <v>331LHS</v>
          </cell>
        </row>
        <row r="78">
          <cell r="A78" t="str">
            <v>331QN</v>
          </cell>
        </row>
        <row r="79">
          <cell r="A79" t="str">
            <v>331HĐ</v>
          </cell>
        </row>
        <row r="80">
          <cell r="A80" t="str">
            <v>331TRAVEL</v>
          </cell>
        </row>
        <row r="81">
          <cell r="A81" t="str">
            <v>331ARCH</v>
          </cell>
        </row>
        <row r="82">
          <cell r="A82" t="str">
            <v>331CLP</v>
          </cell>
        </row>
        <row r="83">
          <cell r="A83" t="str">
            <v>331QT</v>
          </cell>
        </row>
        <row r="84">
          <cell r="A84" t="str">
            <v>331VSL</v>
          </cell>
        </row>
        <row r="85">
          <cell r="A85" t="str">
            <v>331HT</v>
          </cell>
        </row>
        <row r="86">
          <cell r="A86" t="str">
            <v>331NL</v>
          </cell>
        </row>
        <row r="87">
          <cell r="A87" t="str">
            <v>331CN</v>
          </cell>
        </row>
        <row r="88">
          <cell r="A88" t="str">
            <v>331NKDK</v>
          </cell>
        </row>
        <row r="89">
          <cell r="A89" t="str">
            <v>331TBDL</v>
          </cell>
        </row>
        <row r="90">
          <cell r="A90" t="str">
            <v>331KB</v>
          </cell>
        </row>
        <row r="91">
          <cell r="A91" t="str">
            <v>331U&amp;I</v>
          </cell>
        </row>
        <row r="92">
          <cell r="A92" t="str">
            <v>331MTT</v>
          </cell>
        </row>
        <row r="93">
          <cell r="A93" t="str">
            <v>331CT</v>
          </cell>
        </row>
        <row r="94">
          <cell r="A94" t="str">
            <v>331CTR</v>
          </cell>
        </row>
        <row r="95">
          <cell r="A95" t="str">
            <v>331CHP</v>
          </cell>
        </row>
        <row r="96">
          <cell r="A96" t="str">
            <v>331NK</v>
          </cell>
        </row>
        <row r="97">
          <cell r="A97" t="str">
            <v>331YHSIN</v>
          </cell>
        </row>
        <row r="98">
          <cell r="A98" t="str">
            <v>331HTHAO</v>
          </cell>
        </row>
        <row r="99">
          <cell r="A99" t="str">
            <v>331TTR</v>
          </cell>
        </row>
        <row r="100">
          <cell r="A100" t="str">
            <v>331MIRA</v>
          </cell>
        </row>
        <row r="101">
          <cell r="A101" t="str">
            <v>331TK</v>
          </cell>
        </row>
        <row r="102">
          <cell r="A102" t="str">
            <v>331PHP</v>
          </cell>
        </row>
        <row r="103">
          <cell r="A103" t="str">
            <v>331AT</v>
          </cell>
        </row>
        <row r="104">
          <cell r="A104" t="str">
            <v>331XQ</v>
          </cell>
        </row>
        <row r="105">
          <cell r="A105" t="str">
            <v>331TKH</v>
          </cell>
        </row>
        <row r="106">
          <cell r="A106" t="str">
            <v>331DL</v>
          </cell>
        </row>
        <row r="107">
          <cell r="A107" t="str">
            <v>331UI</v>
          </cell>
        </row>
        <row r="108">
          <cell r="A108" t="str">
            <v>331TTAI</v>
          </cell>
        </row>
        <row r="109">
          <cell r="A109" t="str">
            <v>331PAT</v>
          </cell>
        </row>
        <row r="110">
          <cell r="A110" t="str">
            <v>331TTHINH</v>
          </cell>
        </row>
        <row r="111">
          <cell r="A111" t="str">
            <v>331GB</v>
          </cell>
        </row>
        <row r="112">
          <cell r="A112" t="str">
            <v>331PMC</v>
          </cell>
        </row>
        <row r="113">
          <cell r="A113" t="str">
            <v>331BVIET</v>
          </cell>
        </row>
        <row r="114">
          <cell r="A114" t="str">
            <v>331HX</v>
          </cell>
        </row>
        <row r="115">
          <cell r="A115" t="str">
            <v>331LH</v>
          </cell>
        </row>
        <row r="116">
          <cell r="A116" t="str">
            <v>331TTDK</v>
          </cell>
        </row>
        <row r="117">
          <cell r="A117" t="str">
            <v>331CPI</v>
          </cell>
        </row>
        <row r="118">
          <cell r="A118" t="str">
            <v>331ADV</v>
          </cell>
        </row>
        <row r="119">
          <cell r="A119" t="str">
            <v>331TG</v>
          </cell>
        </row>
        <row r="120">
          <cell r="A120" t="str">
            <v>331TM</v>
          </cell>
        </row>
        <row r="121">
          <cell r="A121" t="str">
            <v>331NUOC</v>
          </cell>
        </row>
        <row r="122">
          <cell r="A122" t="str">
            <v>331TV</v>
          </cell>
        </row>
        <row r="123">
          <cell r="A123" t="str">
            <v>331ADB</v>
          </cell>
        </row>
        <row r="124">
          <cell r="A124" t="str">
            <v>331INDUSTRIAL</v>
          </cell>
        </row>
        <row r="125">
          <cell r="A125" t="str">
            <v>331HHT</v>
          </cell>
        </row>
        <row r="126">
          <cell r="A126" t="str">
            <v>331LG</v>
          </cell>
        </row>
        <row r="127">
          <cell r="A127" t="str">
            <v>331DCL</v>
          </cell>
        </row>
        <row r="128">
          <cell r="A128" t="str">
            <v>331SGINN</v>
          </cell>
        </row>
        <row r="129">
          <cell r="A129" t="str">
            <v>331SY</v>
          </cell>
        </row>
        <row r="130">
          <cell r="A130" t="str">
            <v>331TIENTHINH</v>
          </cell>
        </row>
        <row r="131">
          <cell r="A131" t="str">
            <v>331TL</v>
          </cell>
        </row>
        <row r="132">
          <cell r="A132" t="str">
            <v>331SP</v>
          </cell>
        </row>
        <row r="133">
          <cell r="A133" t="str">
            <v>331KSBM</v>
          </cell>
        </row>
        <row r="134">
          <cell r="A134" t="str">
            <v>331APP</v>
          </cell>
        </row>
        <row r="135">
          <cell r="A135" t="str">
            <v>331VĐ</v>
          </cell>
        </row>
        <row r="136">
          <cell r="A136" t="str">
            <v>331TamLong</v>
          </cell>
        </row>
        <row r="137">
          <cell r="A137" t="str">
            <v>331VienĐong</v>
          </cell>
        </row>
        <row r="138">
          <cell r="A138" t="str">
            <v>331XNBM</v>
          </cell>
        </row>
        <row r="139">
          <cell r="A139" t="str">
            <v>333</v>
          </cell>
        </row>
        <row r="140">
          <cell r="A140" t="str">
            <v>331POLY</v>
          </cell>
        </row>
        <row r="141">
          <cell r="A141" t="str">
            <v>331STAR</v>
          </cell>
        </row>
        <row r="142">
          <cell r="A142" t="str">
            <v>331NTAM</v>
          </cell>
        </row>
        <row r="143">
          <cell r="A143" t="str">
            <v>331NTAN</v>
          </cell>
        </row>
        <row r="144">
          <cell r="A144" t="str">
            <v>331ND</v>
          </cell>
        </row>
        <row r="145">
          <cell r="A145" t="str">
            <v>331DP</v>
          </cell>
        </row>
        <row r="146">
          <cell r="A146" t="str">
            <v>331KH</v>
          </cell>
        </row>
        <row r="147">
          <cell r="A147" t="str">
            <v>331CP</v>
          </cell>
        </row>
        <row r="148">
          <cell r="A148" t="str">
            <v>331ME</v>
          </cell>
        </row>
        <row r="149">
          <cell r="A149" t="str">
            <v>331VD</v>
          </cell>
        </row>
        <row r="150">
          <cell r="A150" t="str">
            <v>331KV</v>
          </cell>
        </row>
        <row r="151">
          <cell r="A151" t="str">
            <v>331KT</v>
          </cell>
        </row>
        <row r="152">
          <cell r="A152" t="str">
            <v>331LPG</v>
          </cell>
        </row>
        <row r="153">
          <cell r="A153" t="str">
            <v>331PCA</v>
          </cell>
        </row>
        <row r="154">
          <cell r="A154" t="str">
            <v>331CNMT</v>
          </cell>
        </row>
        <row r="155">
          <cell r="A155" t="str">
            <v>331VNPT</v>
          </cell>
        </row>
        <row r="156">
          <cell r="A156" t="str">
            <v>331LM</v>
          </cell>
        </row>
        <row r="157">
          <cell r="A157" t="str">
            <v>331GH</v>
          </cell>
        </row>
        <row r="158">
          <cell r="A158" t="str">
            <v>331AP</v>
          </cell>
        </row>
        <row r="159">
          <cell r="A159" t="str">
            <v>331VM</v>
          </cell>
        </row>
        <row r="160">
          <cell r="A160" t="str">
            <v>331HV</v>
          </cell>
        </row>
        <row r="161">
          <cell r="A161" t="str">
            <v>331DVQN</v>
          </cell>
        </row>
        <row r="162">
          <cell r="A162" t="str">
            <v>331ANZ</v>
          </cell>
        </row>
        <row r="163">
          <cell r="A163" t="str">
            <v>331NLH</v>
          </cell>
        </row>
        <row r="164">
          <cell r="A164" t="str">
            <v>331GN</v>
          </cell>
        </row>
        <row r="165">
          <cell r="A165" t="str">
            <v>331TBDP</v>
          </cell>
        </row>
        <row r="166">
          <cell r="A166" t="str">
            <v>331VLXDHH</v>
          </cell>
        </row>
        <row r="167">
          <cell r="A167" t="str">
            <v>331VT</v>
          </cell>
        </row>
        <row r="168">
          <cell r="A168" t="str">
            <v>331PK</v>
          </cell>
        </row>
        <row r="169">
          <cell r="A169" t="str">
            <v>331LYTON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 t="str">
            <v>33311</v>
          </cell>
        </row>
        <row r="174">
          <cell r="A174" t="str">
            <v>33312</v>
          </cell>
        </row>
        <row r="175">
          <cell r="A175" t="str">
            <v>3333</v>
          </cell>
        </row>
        <row r="176">
          <cell r="A176" t="str">
            <v>3334</v>
          </cell>
        </row>
        <row r="177">
          <cell r="A177">
            <v>3335</v>
          </cell>
        </row>
        <row r="178">
          <cell r="A178" t="str">
            <v>3338</v>
          </cell>
        </row>
        <row r="179">
          <cell r="A179" t="str">
            <v>3341</v>
          </cell>
        </row>
        <row r="180">
          <cell r="A180" t="str">
            <v>3342</v>
          </cell>
        </row>
        <row r="181">
          <cell r="A181" t="str">
            <v>338</v>
          </cell>
        </row>
        <row r="182">
          <cell r="A182" t="str">
            <v>3383</v>
          </cell>
        </row>
        <row r="183">
          <cell r="A183" t="str">
            <v>3384</v>
          </cell>
        </row>
        <row r="184">
          <cell r="A184" t="str">
            <v>3386</v>
          </cell>
        </row>
        <row r="185">
          <cell r="A185" t="str">
            <v>3388</v>
          </cell>
        </row>
        <row r="186">
          <cell r="A186" t="str">
            <v>3388OD</v>
          </cell>
        </row>
        <row r="187">
          <cell r="A187" t="str">
            <v>341 HCY</v>
          </cell>
        </row>
        <row r="188">
          <cell r="A188" t="str">
            <v>341CPI</v>
          </cell>
        </row>
        <row r="189">
          <cell r="A189" t="str">
            <v>341_614</v>
          </cell>
        </row>
        <row r="190">
          <cell r="A190" t="str">
            <v>341_698</v>
          </cell>
        </row>
        <row r="191">
          <cell r="A191" t="str">
            <v>341_729</v>
          </cell>
        </row>
        <row r="192">
          <cell r="A192" t="str">
            <v>341_753DH</v>
          </cell>
        </row>
        <row r="193">
          <cell r="A193" t="str">
            <v>341_868DH</v>
          </cell>
        </row>
        <row r="194">
          <cell r="A194" t="str">
            <v>341_729DH</v>
          </cell>
        </row>
        <row r="195">
          <cell r="A195" t="str">
            <v>341_818DH</v>
          </cell>
        </row>
        <row r="196">
          <cell r="A196" t="str">
            <v>341_826DH</v>
          </cell>
        </row>
        <row r="197">
          <cell r="A197" t="str">
            <v>335</v>
          </cell>
        </row>
        <row r="198">
          <cell r="A198" t="str">
            <v>411</v>
          </cell>
        </row>
        <row r="199">
          <cell r="A199" t="str">
            <v>41111</v>
          </cell>
        </row>
        <row r="200">
          <cell r="A200" t="str">
            <v>413</v>
          </cell>
        </row>
        <row r="201">
          <cell r="A201" t="str">
            <v>421</v>
          </cell>
        </row>
        <row r="202">
          <cell r="A202" t="str">
            <v>4211</v>
          </cell>
        </row>
        <row r="203">
          <cell r="A203" t="str">
            <v>4212</v>
          </cell>
        </row>
        <row r="204">
          <cell r="A204" t="str">
            <v>515</v>
          </cell>
        </row>
        <row r="205">
          <cell r="A205" t="str">
            <v>5151</v>
          </cell>
        </row>
        <row r="206">
          <cell r="A206" t="str">
            <v>6211</v>
          </cell>
        </row>
        <row r="207">
          <cell r="A207" t="str">
            <v>6221</v>
          </cell>
        </row>
        <row r="208">
          <cell r="A208" t="str">
            <v>6271</v>
          </cell>
        </row>
        <row r="209">
          <cell r="A209" t="str">
            <v>6272</v>
          </cell>
        </row>
        <row r="210">
          <cell r="A210" t="str">
            <v>6273</v>
          </cell>
        </row>
        <row r="211">
          <cell r="A211" t="str">
            <v>6274</v>
          </cell>
        </row>
        <row r="212">
          <cell r="A212" t="str">
            <v>6277</v>
          </cell>
        </row>
        <row r="213">
          <cell r="A213" t="str">
            <v>6321</v>
          </cell>
        </row>
        <row r="214">
          <cell r="A214" t="str">
            <v>635</v>
          </cell>
        </row>
        <row r="215">
          <cell r="A215" t="str">
            <v>6351</v>
          </cell>
        </row>
        <row r="216">
          <cell r="A216" t="str">
            <v>642</v>
          </cell>
        </row>
        <row r="217">
          <cell r="A217" t="str">
            <v>6421</v>
          </cell>
        </row>
        <row r="218">
          <cell r="A218">
            <v>6423</v>
          </cell>
        </row>
        <row r="219">
          <cell r="A219" t="str">
            <v>6424</v>
          </cell>
        </row>
        <row r="220">
          <cell r="A220" t="str">
            <v>6425</v>
          </cell>
        </row>
        <row r="221">
          <cell r="A221" t="str">
            <v>6427</v>
          </cell>
        </row>
        <row r="222">
          <cell r="A222" t="str">
            <v>6428</v>
          </cell>
        </row>
        <row r="223">
          <cell r="A223" t="str">
            <v>6429</v>
          </cell>
        </row>
        <row r="224">
          <cell r="A224" t="str">
            <v>711</v>
          </cell>
        </row>
        <row r="225">
          <cell r="A225" t="str">
            <v>811</v>
          </cell>
        </row>
        <row r="226">
          <cell r="A226" t="str">
            <v>911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QHDKD"/>
      <sheetName val="BCDSPS"/>
      <sheetName val="CĐTK"/>
      <sheetName val="NK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貨號"/>
      <sheetName val="分析"/>
      <sheetName val="盤存"/>
      <sheetName val="原物料庫存"/>
      <sheetName val="Sheet1"/>
      <sheetName val="Sheet2"/>
      <sheetName val="Sheet3"/>
      <sheetName val="Sheet4"/>
      <sheetName val="CPYT"/>
      <sheetName val="155Q1"/>
      <sheetName val="HÀNG NHẬP TT"/>
      <sheetName val="155Q1 (2)"/>
      <sheetName val="Sheet7"/>
    </sheetNames>
    <sheetDataSet>
      <sheetData sheetId="0" refreshError="1">
        <row r="4">
          <cell r="A4" t="str">
            <v>Y001-001</v>
          </cell>
          <cell r="B4" t="str">
            <v>LCT001-173</v>
          </cell>
          <cell r="C4" t="str">
            <v>Y001</v>
          </cell>
          <cell r="D4" t="str">
            <v>#608</v>
          </cell>
          <cell r="E4" t="str">
            <v>K 床尾半圓飾條</v>
          </cell>
          <cell r="F4" t="str">
            <v>1100*10*5</v>
          </cell>
          <cell r="G4">
            <v>1100</v>
          </cell>
          <cell r="H4">
            <v>10</v>
          </cell>
          <cell r="I4">
            <v>5</v>
          </cell>
          <cell r="J4">
            <v>85</v>
          </cell>
          <cell r="K4">
            <v>0</v>
          </cell>
          <cell r="L4">
            <v>0.19</v>
          </cell>
          <cell r="M4">
            <v>0</v>
          </cell>
          <cell r="N4">
            <v>0</v>
          </cell>
          <cell r="O4" t="str">
            <v>V40</v>
          </cell>
          <cell r="P4" t="str">
            <v>1010</v>
          </cell>
          <cell r="Q4" t="str">
            <v>1010</v>
          </cell>
          <cell r="R4">
            <v>2.2352941176470589</v>
          </cell>
        </row>
        <row r="5">
          <cell r="A5" t="str">
            <v>Y001-002</v>
          </cell>
          <cell r="B5" t="str">
            <v>LCT001-896</v>
          </cell>
          <cell r="C5" t="str">
            <v>Y001</v>
          </cell>
          <cell r="D5" t="str">
            <v>W930-50H-60H</v>
          </cell>
          <cell r="E5" t="str">
            <v>园贴块</v>
          </cell>
          <cell r="F5" t="str">
            <v>44*44*10</v>
          </cell>
          <cell r="G5">
            <v>44</v>
          </cell>
          <cell r="H5">
            <v>44</v>
          </cell>
          <cell r="I5">
            <v>10</v>
          </cell>
          <cell r="J5">
            <v>38</v>
          </cell>
          <cell r="K5">
            <v>0</v>
          </cell>
          <cell r="L5">
            <v>0.1</v>
          </cell>
          <cell r="M5">
            <v>0</v>
          </cell>
          <cell r="N5">
            <v>0</v>
          </cell>
          <cell r="O5" t="str">
            <v>40V</v>
          </cell>
          <cell r="P5" t="str">
            <v>1010</v>
          </cell>
          <cell r="Q5" t="str">
            <v>1010</v>
          </cell>
          <cell r="R5">
            <v>2.6315789473684212</v>
          </cell>
        </row>
        <row r="6">
          <cell r="A6" t="str">
            <v>Y001-003</v>
          </cell>
          <cell r="B6" t="str">
            <v>LCT001-897</v>
          </cell>
          <cell r="C6" t="str">
            <v>Y001</v>
          </cell>
          <cell r="D6" t="str">
            <v>W930-50H</v>
          </cell>
          <cell r="E6" t="str">
            <v>床头饰条-1</v>
          </cell>
          <cell r="F6" t="str">
            <v>747*22*19</v>
          </cell>
          <cell r="G6">
            <v>747</v>
          </cell>
          <cell r="H6">
            <v>22</v>
          </cell>
          <cell r="I6">
            <v>19</v>
          </cell>
          <cell r="J6">
            <v>430</v>
          </cell>
          <cell r="K6">
            <v>0</v>
          </cell>
          <cell r="L6">
            <v>1.1200000000000001</v>
          </cell>
          <cell r="M6">
            <v>0</v>
          </cell>
          <cell r="N6">
            <v>0</v>
          </cell>
          <cell r="O6" t="str">
            <v>40V</v>
          </cell>
          <cell r="P6" t="str">
            <v>1010</v>
          </cell>
          <cell r="Q6" t="str">
            <v>1010</v>
          </cell>
          <cell r="R6">
            <v>2.6046511627906979</v>
          </cell>
        </row>
        <row r="7">
          <cell r="A7" t="str">
            <v>Y001-004</v>
          </cell>
          <cell r="B7" t="str">
            <v>LCT001-898</v>
          </cell>
          <cell r="C7" t="str">
            <v>Y001</v>
          </cell>
          <cell r="D7" t="str">
            <v>W930-50H</v>
          </cell>
          <cell r="E7" t="str">
            <v>床头饰条-2</v>
          </cell>
          <cell r="F7" t="str">
            <v>795*22*19</v>
          </cell>
          <cell r="G7">
            <v>795</v>
          </cell>
          <cell r="H7">
            <v>22</v>
          </cell>
          <cell r="I7">
            <v>19</v>
          </cell>
          <cell r="J7">
            <v>460</v>
          </cell>
          <cell r="K7">
            <v>0</v>
          </cell>
          <cell r="L7">
            <v>1.2</v>
          </cell>
          <cell r="M7">
            <v>0</v>
          </cell>
          <cell r="N7">
            <v>0</v>
          </cell>
          <cell r="O7" t="str">
            <v>40V</v>
          </cell>
          <cell r="P7" t="str">
            <v>1010</v>
          </cell>
          <cell r="Q7" t="str">
            <v>1010</v>
          </cell>
          <cell r="R7">
            <v>2.6086956521739126</v>
          </cell>
        </row>
        <row r="8">
          <cell r="A8" t="str">
            <v>Y001-005</v>
          </cell>
          <cell r="B8" t="str">
            <v>LCT001-899</v>
          </cell>
          <cell r="C8" t="str">
            <v>Y001</v>
          </cell>
          <cell r="D8" t="str">
            <v>W930-50H</v>
          </cell>
          <cell r="E8" t="str">
            <v>床头饰条</v>
          </cell>
          <cell r="F8" t="str">
            <v>710*22*19</v>
          </cell>
          <cell r="G8">
            <v>710</v>
          </cell>
          <cell r="H8">
            <v>22</v>
          </cell>
          <cell r="I8">
            <v>19</v>
          </cell>
          <cell r="J8">
            <v>400</v>
          </cell>
          <cell r="K8">
            <v>0</v>
          </cell>
          <cell r="L8">
            <v>1.07</v>
          </cell>
          <cell r="M8">
            <v>0</v>
          </cell>
          <cell r="N8">
            <v>0</v>
          </cell>
          <cell r="O8" t="str">
            <v>40V</v>
          </cell>
          <cell r="P8" t="str">
            <v>1010</v>
          </cell>
          <cell r="Q8" t="str">
            <v>1010</v>
          </cell>
          <cell r="R8">
            <v>2.6749999999999998</v>
          </cell>
        </row>
        <row r="9">
          <cell r="A9" t="str">
            <v>Y001-006</v>
          </cell>
          <cell r="B9" t="str">
            <v>LCT001-900</v>
          </cell>
          <cell r="C9" t="str">
            <v>Y001</v>
          </cell>
          <cell r="D9" t="str">
            <v>W930-60H</v>
          </cell>
          <cell r="E9" t="str">
            <v>床头饰条-1</v>
          </cell>
          <cell r="F9" t="str">
            <v>747*22*19</v>
          </cell>
          <cell r="G9">
            <v>747</v>
          </cell>
          <cell r="H9">
            <v>22</v>
          </cell>
          <cell r="I9">
            <v>19</v>
          </cell>
          <cell r="J9">
            <v>430</v>
          </cell>
          <cell r="K9">
            <v>0</v>
          </cell>
          <cell r="L9">
            <v>1.1200000000000001</v>
          </cell>
          <cell r="M9">
            <v>0</v>
          </cell>
          <cell r="N9">
            <v>0</v>
          </cell>
          <cell r="O9" t="str">
            <v>40V</v>
          </cell>
          <cell r="P9" t="str">
            <v>1010</v>
          </cell>
          <cell r="Q9" t="str">
            <v>1010</v>
          </cell>
          <cell r="R9">
            <v>2.6046511627906979</v>
          </cell>
        </row>
        <row r="10">
          <cell r="A10" t="str">
            <v>Y001-007</v>
          </cell>
          <cell r="B10" t="str">
            <v>LCT001-901</v>
          </cell>
          <cell r="C10" t="str">
            <v>Y001</v>
          </cell>
          <cell r="D10" t="str">
            <v>W930-60H</v>
          </cell>
          <cell r="E10" t="str">
            <v>床头饰条-2</v>
          </cell>
          <cell r="F10" t="str">
            <v>795*22*19</v>
          </cell>
          <cell r="G10">
            <v>795</v>
          </cell>
          <cell r="H10">
            <v>22</v>
          </cell>
          <cell r="I10">
            <v>19</v>
          </cell>
          <cell r="J10">
            <v>460</v>
          </cell>
          <cell r="K10">
            <v>0</v>
          </cell>
          <cell r="L10">
            <v>1.2</v>
          </cell>
          <cell r="M10">
            <v>0</v>
          </cell>
          <cell r="N10">
            <v>0</v>
          </cell>
          <cell r="O10" t="str">
            <v>40V</v>
          </cell>
          <cell r="P10" t="str">
            <v>1010</v>
          </cell>
          <cell r="Q10" t="str">
            <v>1010</v>
          </cell>
          <cell r="R10">
            <v>2.6086956521739126</v>
          </cell>
        </row>
        <row r="11">
          <cell r="A11" t="str">
            <v>Y001-008</v>
          </cell>
          <cell r="B11" t="str">
            <v>LCT001-902</v>
          </cell>
          <cell r="C11" t="str">
            <v>Y001</v>
          </cell>
          <cell r="D11" t="str">
            <v>W930-60H</v>
          </cell>
          <cell r="E11" t="str">
            <v>床头饰条</v>
          </cell>
          <cell r="F11" t="str">
            <v>914*22*19</v>
          </cell>
          <cell r="G11">
            <v>914</v>
          </cell>
          <cell r="H11">
            <v>22</v>
          </cell>
          <cell r="I11">
            <v>19</v>
          </cell>
          <cell r="J11">
            <v>420</v>
          </cell>
          <cell r="K11">
            <v>0</v>
          </cell>
          <cell r="L11">
            <v>1.35</v>
          </cell>
          <cell r="M11">
            <v>0</v>
          </cell>
          <cell r="N11">
            <v>0</v>
          </cell>
          <cell r="O11" t="str">
            <v>40V</v>
          </cell>
          <cell r="P11" t="str">
            <v>1010</v>
          </cell>
          <cell r="Q11" t="str">
            <v>1010</v>
          </cell>
          <cell r="R11">
            <v>3.2142857142857144</v>
          </cell>
        </row>
        <row r="12">
          <cell r="A12" t="str">
            <v>Y001-009</v>
          </cell>
          <cell r="B12" t="str">
            <v>LCT001-903</v>
          </cell>
          <cell r="C12" t="str">
            <v>Y001</v>
          </cell>
          <cell r="D12" t="str">
            <v>Y2194-47</v>
          </cell>
          <cell r="E12" t="str">
            <v>镜框上横饰条1-L</v>
          </cell>
          <cell r="F12" t="str">
            <v>320*13*8</v>
          </cell>
          <cell r="G12">
            <v>320</v>
          </cell>
          <cell r="H12">
            <v>13</v>
          </cell>
          <cell r="I12">
            <v>8</v>
          </cell>
          <cell r="J12">
            <v>47</v>
          </cell>
          <cell r="K12">
            <v>0</v>
          </cell>
          <cell r="L12">
            <v>0.15</v>
          </cell>
          <cell r="M12">
            <v>0</v>
          </cell>
          <cell r="N12">
            <v>0</v>
          </cell>
          <cell r="O12" t="str">
            <v>40V</v>
          </cell>
          <cell r="P12" t="str">
            <v>1010</v>
          </cell>
          <cell r="Q12" t="str">
            <v>1010</v>
          </cell>
          <cell r="R12">
            <v>3.1914893617021276</v>
          </cell>
        </row>
        <row r="13">
          <cell r="A13" t="str">
            <v>Y001-010</v>
          </cell>
          <cell r="B13" t="str">
            <v>LCT001-904</v>
          </cell>
          <cell r="C13" t="str">
            <v>Y001</v>
          </cell>
          <cell r="D13" t="str">
            <v>Y2194-47</v>
          </cell>
          <cell r="E13" t="str">
            <v>镜框上横饰条1-R</v>
          </cell>
          <cell r="F13" t="str">
            <v>320*13*8</v>
          </cell>
          <cell r="G13">
            <v>320</v>
          </cell>
          <cell r="H13">
            <v>13</v>
          </cell>
          <cell r="I13">
            <v>8</v>
          </cell>
          <cell r="J13">
            <v>47</v>
          </cell>
          <cell r="K13">
            <v>0</v>
          </cell>
          <cell r="L13">
            <v>0.15</v>
          </cell>
          <cell r="M13">
            <v>0</v>
          </cell>
          <cell r="N13">
            <v>0</v>
          </cell>
          <cell r="O13" t="str">
            <v>40V</v>
          </cell>
          <cell r="P13" t="str">
            <v>1010</v>
          </cell>
          <cell r="Q13" t="str">
            <v>1010</v>
          </cell>
          <cell r="R13">
            <v>3.1914893617021276</v>
          </cell>
        </row>
        <row r="14">
          <cell r="A14" t="str">
            <v>Y001-011</v>
          </cell>
          <cell r="B14" t="str">
            <v>LCT001-905</v>
          </cell>
          <cell r="C14" t="str">
            <v>Y001</v>
          </cell>
          <cell r="D14" t="str">
            <v>Y2194-47</v>
          </cell>
          <cell r="E14" t="str">
            <v>镜框上横饰条2</v>
          </cell>
          <cell r="F14" t="str">
            <v>610*13*8</v>
          </cell>
          <cell r="G14">
            <v>610</v>
          </cell>
          <cell r="H14">
            <v>13</v>
          </cell>
          <cell r="I14">
            <v>8</v>
          </cell>
          <cell r="J14">
            <v>80</v>
          </cell>
          <cell r="K14">
            <v>0</v>
          </cell>
          <cell r="L14">
            <v>0.27</v>
          </cell>
          <cell r="M14">
            <v>0</v>
          </cell>
          <cell r="N14">
            <v>0</v>
          </cell>
          <cell r="O14" t="str">
            <v>40V</v>
          </cell>
          <cell r="P14" t="str">
            <v>1010</v>
          </cell>
          <cell r="Q14" t="str">
            <v>1010</v>
          </cell>
          <cell r="R14">
            <v>3.375</v>
          </cell>
        </row>
        <row r="15">
          <cell r="A15" t="str">
            <v>Y001-012</v>
          </cell>
          <cell r="B15" t="str">
            <v>LCT001-906</v>
          </cell>
          <cell r="C15" t="str">
            <v>Y001</v>
          </cell>
          <cell r="D15" t="str">
            <v>Y2194-47</v>
          </cell>
          <cell r="E15" t="str">
            <v>镜框上横饰条3</v>
          </cell>
          <cell r="F15" t="str">
            <v>845*13*8</v>
          </cell>
          <cell r="G15">
            <v>845</v>
          </cell>
          <cell r="H15">
            <v>13</v>
          </cell>
          <cell r="I15">
            <v>8</v>
          </cell>
          <cell r="J15">
            <v>104</v>
          </cell>
          <cell r="K15">
            <v>0</v>
          </cell>
          <cell r="L15">
            <v>0.33</v>
          </cell>
          <cell r="M15">
            <v>0</v>
          </cell>
          <cell r="N15">
            <v>0</v>
          </cell>
          <cell r="O15" t="str">
            <v>40V</v>
          </cell>
          <cell r="P15" t="str">
            <v>1010</v>
          </cell>
          <cell r="Q15" t="str">
            <v>1010</v>
          </cell>
          <cell r="R15">
            <v>3.1730769230769234</v>
          </cell>
        </row>
        <row r="16">
          <cell r="A16" t="str">
            <v>Y001-013</v>
          </cell>
          <cell r="B16" t="str">
            <v>LCT001-907</v>
          </cell>
          <cell r="C16" t="str">
            <v>Y001</v>
          </cell>
          <cell r="D16" t="str">
            <v>Y2194-47</v>
          </cell>
          <cell r="E16" t="str">
            <v>镜框上横饰条3</v>
          </cell>
          <cell r="F16" t="str">
            <v>845*13*8</v>
          </cell>
          <cell r="G16">
            <v>845</v>
          </cell>
          <cell r="H16">
            <v>13</v>
          </cell>
          <cell r="I16">
            <v>8</v>
          </cell>
          <cell r="J16">
            <v>104</v>
          </cell>
          <cell r="K16">
            <v>0</v>
          </cell>
          <cell r="L16">
            <v>0.33</v>
          </cell>
          <cell r="M16">
            <v>0</v>
          </cell>
          <cell r="N16">
            <v>0</v>
          </cell>
          <cell r="O16" t="str">
            <v>40V</v>
          </cell>
          <cell r="P16" t="str">
            <v>1010</v>
          </cell>
          <cell r="Q16" t="str">
            <v>1010</v>
          </cell>
          <cell r="R16">
            <v>3.1730769230769234</v>
          </cell>
        </row>
        <row r="17">
          <cell r="A17" t="str">
            <v>Y001-014</v>
          </cell>
          <cell r="B17" t="str">
            <v>LCT001-908</v>
          </cell>
          <cell r="C17" t="str">
            <v>Y001</v>
          </cell>
          <cell r="D17" t="str">
            <v>Y2194-59/69B</v>
          </cell>
          <cell r="E17" t="str">
            <v>床道饰条1</v>
          </cell>
          <cell r="F17" t="str">
            <v>1530*370/21*18</v>
          </cell>
          <cell r="G17">
            <v>1530</v>
          </cell>
          <cell r="H17" t="str">
            <v>370/21</v>
          </cell>
          <cell r="I17">
            <v>18</v>
          </cell>
          <cell r="J17">
            <v>846</v>
          </cell>
          <cell r="K17">
            <v>0</v>
          </cell>
          <cell r="L17">
            <v>2.33</v>
          </cell>
          <cell r="M17">
            <v>0</v>
          </cell>
          <cell r="N17">
            <v>0</v>
          </cell>
          <cell r="O17" t="str">
            <v>40V</v>
          </cell>
          <cell r="P17" t="str">
            <v>1010</v>
          </cell>
          <cell r="Q17" t="str">
            <v>1010</v>
          </cell>
          <cell r="R17">
            <v>2.7541371158392436</v>
          </cell>
        </row>
        <row r="18">
          <cell r="A18" t="str">
            <v>Y001-015</v>
          </cell>
          <cell r="B18" t="str">
            <v>LCT001-909</v>
          </cell>
          <cell r="C18" t="str">
            <v>Y001</v>
          </cell>
          <cell r="D18" t="str">
            <v>Y2194-59/69B</v>
          </cell>
          <cell r="E18" t="str">
            <v>床道饰条1</v>
          </cell>
          <cell r="F18" t="str">
            <v>570*170/21*18</v>
          </cell>
          <cell r="G18">
            <v>570</v>
          </cell>
          <cell r="H18" t="str">
            <v>170/21</v>
          </cell>
          <cell r="I18">
            <v>18</v>
          </cell>
          <cell r="J18">
            <v>328</v>
          </cell>
          <cell r="K18">
            <v>0</v>
          </cell>
          <cell r="L18">
            <v>0.98</v>
          </cell>
          <cell r="M18">
            <v>0</v>
          </cell>
          <cell r="N18">
            <v>0</v>
          </cell>
          <cell r="O18" t="str">
            <v>40V</v>
          </cell>
          <cell r="P18" t="str">
            <v>1010</v>
          </cell>
          <cell r="Q18" t="str">
            <v>1010</v>
          </cell>
          <cell r="R18">
            <v>2.9878048780487805</v>
          </cell>
        </row>
        <row r="19">
          <cell r="A19" t="str">
            <v>Y001-016</v>
          </cell>
          <cell r="B19" t="str">
            <v>LCT001-910</v>
          </cell>
          <cell r="C19" t="str">
            <v>Y001</v>
          </cell>
          <cell r="D19" t="str">
            <v>Y2194-59/69B</v>
          </cell>
          <cell r="E19" t="str">
            <v>床道饰条1</v>
          </cell>
          <cell r="F19" t="str">
            <v>570*170/21*18</v>
          </cell>
          <cell r="G19">
            <v>570</v>
          </cell>
          <cell r="H19" t="str">
            <v>170/21</v>
          </cell>
          <cell r="I19">
            <v>18</v>
          </cell>
          <cell r="J19">
            <v>328</v>
          </cell>
          <cell r="K19">
            <v>0</v>
          </cell>
          <cell r="L19">
            <v>0.98</v>
          </cell>
          <cell r="M19">
            <v>0</v>
          </cell>
          <cell r="N19">
            <v>0</v>
          </cell>
          <cell r="O19" t="str">
            <v>40V</v>
          </cell>
          <cell r="P19" t="str">
            <v>1010</v>
          </cell>
          <cell r="Q19" t="str">
            <v>1010</v>
          </cell>
          <cell r="R19">
            <v>2.9878048780487805</v>
          </cell>
        </row>
        <row r="20">
          <cell r="A20" t="str">
            <v>Y001-017</v>
          </cell>
          <cell r="B20" t="str">
            <v>LCT001-911</v>
          </cell>
          <cell r="C20" t="str">
            <v>Y001</v>
          </cell>
          <cell r="D20" t="str">
            <v>Y2194-59/69B</v>
          </cell>
          <cell r="E20" t="str">
            <v>床道饰条2</v>
          </cell>
          <cell r="F20" t="str">
            <v>1504*325/10*5</v>
          </cell>
          <cell r="G20">
            <v>1504</v>
          </cell>
          <cell r="H20" t="str">
            <v>325/10</v>
          </cell>
          <cell r="I20">
            <v>5</v>
          </cell>
          <cell r="J20">
            <v>132</v>
          </cell>
          <cell r="K20">
            <v>0</v>
          </cell>
          <cell r="L20">
            <v>0.45</v>
          </cell>
          <cell r="M20">
            <v>0</v>
          </cell>
          <cell r="N20">
            <v>0</v>
          </cell>
          <cell r="O20" t="str">
            <v>40V</v>
          </cell>
          <cell r="P20" t="str">
            <v>1010</v>
          </cell>
          <cell r="Q20" t="str">
            <v>1010</v>
          </cell>
          <cell r="R20">
            <v>3.4090909090909092</v>
          </cell>
        </row>
        <row r="21">
          <cell r="A21" t="str">
            <v>Y001-018</v>
          </cell>
          <cell r="B21" t="str">
            <v>LCT001-912</v>
          </cell>
          <cell r="C21" t="str">
            <v>Y001</v>
          </cell>
          <cell r="D21" t="str">
            <v>Y2194-59/69B</v>
          </cell>
          <cell r="E21" t="str">
            <v>床道饰条2</v>
          </cell>
          <cell r="F21" t="str">
            <v>510*125/10*5</v>
          </cell>
          <cell r="G21">
            <v>510</v>
          </cell>
          <cell r="H21" t="str">
            <v>125/10</v>
          </cell>
          <cell r="I21">
            <v>5</v>
          </cell>
          <cell r="J21">
            <v>47</v>
          </cell>
          <cell r="K21">
            <v>0</v>
          </cell>
          <cell r="L21">
            <v>0.15</v>
          </cell>
          <cell r="M21">
            <v>0</v>
          </cell>
          <cell r="N21">
            <v>0</v>
          </cell>
          <cell r="O21" t="str">
            <v>40V</v>
          </cell>
          <cell r="P21" t="str">
            <v>1010</v>
          </cell>
          <cell r="Q21" t="str">
            <v>1010</v>
          </cell>
          <cell r="R21">
            <v>3.1914893617021276</v>
          </cell>
        </row>
        <row r="22">
          <cell r="A22" t="str">
            <v>Y001-019</v>
          </cell>
          <cell r="B22" t="str">
            <v>LCT001-913</v>
          </cell>
          <cell r="C22" t="str">
            <v>Y001</v>
          </cell>
          <cell r="D22" t="str">
            <v>Y2194-59/69B</v>
          </cell>
          <cell r="E22" t="str">
            <v>床道饰条2</v>
          </cell>
          <cell r="F22" t="str">
            <v>510*125/10*5</v>
          </cell>
          <cell r="G22">
            <v>510</v>
          </cell>
          <cell r="H22" t="str">
            <v>125/10</v>
          </cell>
          <cell r="I22">
            <v>5</v>
          </cell>
          <cell r="J22">
            <v>47</v>
          </cell>
          <cell r="K22">
            <v>0</v>
          </cell>
          <cell r="L22">
            <v>0.15</v>
          </cell>
          <cell r="M22">
            <v>0</v>
          </cell>
          <cell r="N22">
            <v>0</v>
          </cell>
          <cell r="O22" t="str">
            <v>40V</v>
          </cell>
          <cell r="P22" t="str">
            <v>1010</v>
          </cell>
          <cell r="Q22" t="str">
            <v>1010</v>
          </cell>
          <cell r="R22">
            <v>3.1914893617021276</v>
          </cell>
        </row>
        <row r="23">
          <cell r="A23" t="str">
            <v>Y001-020</v>
          </cell>
          <cell r="B23" t="str">
            <v>LCT001-914</v>
          </cell>
          <cell r="C23" t="str">
            <v>Y001</v>
          </cell>
          <cell r="D23" t="str">
            <v>I71-412/413</v>
          </cell>
          <cell r="E23" t="str">
            <v xml:space="preserve">床头顶球ñænh ñaàu giöôøng </v>
          </cell>
          <cell r="F23" t="str">
            <v>114*114*40</v>
          </cell>
          <cell r="G23">
            <v>114</v>
          </cell>
          <cell r="H23">
            <v>114</v>
          </cell>
          <cell r="I23">
            <v>40</v>
          </cell>
          <cell r="J23">
            <v>350</v>
          </cell>
          <cell r="K23">
            <v>0</v>
          </cell>
          <cell r="L23">
            <v>0.98</v>
          </cell>
          <cell r="M23">
            <v>0</v>
          </cell>
          <cell r="N23">
            <v>80</v>
          </cell>
          <cell r="O23">
            <v>0</v>
          </cell>
          <cell r="P23" t="str">
            <v>3710</v>
          </cell>
          <cell r="Q23" t="str">
            <v>3710</v>
          </cell>
          <cell r="R23">
            <v>2.8000000000000003</v>
          </cell>
        </row>
        <row r="24">
          <cell r="A24" t="str">
            <v>Y001-021</v>
          </cell>
          <cell r="B24" t="str">
            <v>LCT001-915</v>
          </cell>
          <cell r="C24" t="str">
            <v>Y001</v>
          </cell>
          <cell r="D24" t="str">
            <v>B2256-50H(330 SET)</v>
          </cell>
          <cell r="E24" t="str">
            <v>床头横饰条1 (左）</v>
          </cell>
          <cell r="F24" t="str">
            <v>396*26*20</v>
          </cell>
          <cell r="G24">
            <v>396</v>
          </cell>
          <cell r="H24">
            <v>26</v>
          </cell>
          <cell r="I24">
            <v>20</v>
          </cell>
          <cell r="J24">
            <v>200</v>
          </cell>
          <cell r="K24">
            <v>0</v>
          </cell>
          <cell r="L24">
            <v>0.52</v>
          </cell>
          <cell r="M24">
            <v>0</v>
          </cell>
          <cell r="N24">
            <v>0</v>
          </cell>
          <cell r="O24">
            <v>0</v>
          </cell>
          <cell r="P24" t="str">
            <v>1010</v>
          </cell>
          <cell r="Q24" t="str">
            <v>1010</v>
          </cell>
          <cell r="R24">
            <v>2.6</v>
          </cell>
        </row>
        <row r="25">
          <cell r="A25" t="str">
            <v>Y001-022</v>
          </cell>
          <cell r="B25" t="str">
            <v>LCT001-916</v>
          </cell>
          <cell r="C25" t="str">
            <v>Y001</v>
          </cell>
          <cell r="D25" t="str">
            <v>B2256-50H(330 SET)</v>
          </cell>
          <cell r="E25" t="str">
            <v>床头横饰条1 （右）</v>
          </cell>
          <cell r="F25" t="str">
            <v>396*26*20</v>
          </cell>
          <cell r="G25">
            <v>396</v>
          </cell>
          <cell r="H25">
            <v>26</v>
          </cell>
          <cell r="I25">
            <v>20</v>
          </cell>
          <cell r="J25">
            <v>200</v>
          </cell>
          <cell r="K25">
            <v>0</v>
          </cell>
          <cell r="L25">
            <v>0.52</v>
          </cell>
          <cell r="M25">
            <v>0</v>
          </cell>
          <cell r="N25">
            <v>0</v>
          </cell>
          <cell r="O25">
            <v>0</v>
          </cell>
          <cell r="P25" t="str">
            <v>1010</v>
          </cell>
          <cell r="Q25" t="str">
            <v>1010</v>
          </cell>
          <cell r="R25">
            <v>2.6</v>
          </cell>
        </row>
        <row r="26">
          <cell r="A26" t="str">
            <v>Y001-023</v>
          </cell>
          <cell r="B26" t="str">
            <v>LCT001-917</v>
          </cell>
          <cell r="C26" t="str">
            <v>Y001</v>
          </cell>
          <cell r="D26" t="str">
            <v>B2256-50H(331 SET)</v>
          </cell>
          <cell r="E26" t="str">
            <v>床头横饰条2</v>
          </cell>
          <cell r="F26" t="str">
            <v>800*26*20</v>
          </cell>
          <cell r="G26">
            <v>800</v>
          </cell>
          <cell r="H26">
            <v>26</v>
          </cell>
          <cell r="I26">
            <v>20</v>
          </cell>
          <cell r="J26">
            <v>400</v>
          </cell>
          <cell r="K26">
            <v>0</v>
          </cell>
          <cell r="L26">
            <v>1.06</v>
          </cell>
          <cell r="M26">
            <v>0</v>
          </cell>
          <cell r="N26">
            <v>0</v>
          </cell>
          <cell r="O26">
            <v>0</v>
          </cell>
          <cell r="P26" t="str">
            <v>1010</v>
          </cell>
          <cell r="Q26" t="str">
            <v>1010</v>
          </cell>
          <cell r="R26">
            <v>2.65</v>
          </cell>
        </row>
        <row r="27">
          <cell r="A27" t="str">
            <v>Y001-024</v>
          </cell>
          <cell r="B27" t="str">
            <v>LCT001-918</v>
          </cell>
          <cell r="C27" t="str">
            <v>Y001</v>
          </cell>
          <cell r="D27" t="str">
            <v>B2256-60H(151 SET)</v>
          </cell>
          <cell r="E27" t="str">
            <v>床头横饰条1 (左）</v>
          </cell>
          <cell r="F27" t="str">
            <v>455*26*20</v>
          </cell>
          <cell r="G27">
            <v>455</v>
          </cell>
          <cell r="H27">
            <v>26</v>
          </cell>
          <cell r="I27">
            <v>20</v>
          </cell>
          <cell r="J27">
            <v>230</v>
          </cell>
          <cell r="K27">
            <v>0</v>
          </cell>
          <cell r="L27">
            <v>0.6</v>
          </cell>
          <cell r="M27">
            <v>0</v>
          </cell>
          <cell r="N27">
            <v>0</v>
          </cell>
          <cell r="O27">
            <v>0</v>
          </cell>
          <cell r="P27" t="str">
            <v>1010</v>
          </cell>
          <cell r="Q27" t="str">
            <v>1010</v>
          </cell>
          <cell r="R27">
            <v>2.6086956521739126</v>
          </cell>
        </row>
        <row r="28">
          <cell r="A28" t="str">
            <v>Y001-025</v>
          </cell>
          <cell r="B28" t="str">
            <v>LCT001-919</v>
          </cell>
          <cell r="C28" t="str">
            <v>Y001</v>
          </cell>
          <cell r="D28" t="str">
            <v>B2256-60H(151 SET)</v>
          </cell>
          <cell r="E28" t="str">
            <v>床头横饰条1 （右）</v>
          </cell>
          <cell r="F28" t="str">
            <v>455*26*20</v>
          </cell>
          <cell r="G28">
            <v>455</v>
          </cell>
          <cell r="H28">
            <v>26</v>
          </cell>
          <cell r="I28">
            <v>20</v>
          </cell>
          <cell r="J28">
            <v>230</v>
          </cell>
          <cell r="K28">
            <v>0</v>
          </cell>
          <cell r="L28">
            <v>0.6</v>
          </cell>
          <cell r="M28">
            <v>0</v>
          </cell>
          <cell r="N28">
            <v>0</v>
          </cell>
          <cell r="O28">
            <v>0</v>
          </cell>
          <cell r="P28" t="str">
            <v>1010</v>
          </cell>
          <cell r="Q28" t="str">
            <v>1010</v>
          </cell>
          <cell r="R28">
            <v>2.6086956521739126</v>
          </cell>
        </row>
        <row r="29">
          <cell r="A29" t="str">
            <v>Y001-026</v>
          </cell>
          <cell r="B29" t="str">
            <v>LCT001-920</v>
          </cell>
          <cell r="C29" t="str">
            <v>Y001</v>
          </cell>
          <cell r="D29" t="str">
            <v>B2256-60H(151 SET)</v>
          </cell>
          <cell r="E29" t="str">
            <v>床头横饰条2</v>
          </cell>
          <cell r="F29" t="str">
            <v>1066*26*20</v>
          </cell>
          <cell r="G29">
            <v>1066</v>
          </cell>
          <cell r="H29">
            <v>26</v>
          </cell>
          <cell r="I29">
            <v>20</v>
          </cell>
          <cell r="J29">
            <v>500</v>
          </cell>
          <cell r="K29">
            <v>0</v>
          </cell>
          <cell r="L29">
            <v>1.4</v>
          </cell>
          <cell r="M29">
            <v>0</v>
          </cell>
          <cell r="N29">
            <v>0</v>
          </cell>
          <cell r="O29">
            <v>0</v>
          </cell>
          <cell r="P29" t="str">
            <v>1010</v>
          </cell>
          <cell r="Q29" t="str">
            <v>1010</v>
          </cell>
          <cell r="R29">
            <v>2.8</v>
          </cell>
        </row>
        <row r="30">
          <cell r="A30" t="str">
            <v>Y001-027</v>
          </cell>
          <cell r="B30" t="str">
            <v>LCT001-921</v>
          </cell>
          <cell r="C30" t="str">
            <v>Y001</v>
          </cell>
          <cell r="D30" t="str">
            <v>B2256-50H</v>
          </cell>
          <cell r="E30" t="str">
            <v>床头横饰条1 (左）</v>
          </cell>
          <cell r="F30" t="str">
            <v>396*26*20</v>
          </cell>
          <cell r="G30">
            <v>396</v>
          </cell>
          <cell r="H30">
            <v>26</v>
          </cell>
          <cell r="I30">
            <v>20</v>
          </cell>
          <cell r="J30">
            <v>200</v>
          </cell>
          <cell r="K30">
            <v>0</v>
          </cell>
          <cell r="L30">
            <v>0.52</v>
          </cell>
          <cell r="M30">
            <v>0</v>
          </cell>
          <cell r="N30">
            <v>0</v>
          </cell>
          <cell r="O30">
            <v>0</v>
          </cell>
          <cell r="P30" t="str">
            <v>1010</v>
          </cell>
          <cell r="Q30" t="str">
            <v>1010</v>
          </cell>
          <cell r="R30">
            <v>2.6</v>
          </cell>
        </row>
        <row r="31">
          <cell r="A31" t="str">
            <v>Y001-028</v>
          </cell>
          <cell r="B31" t="str">
            <v>LCT001-922</v>
          </cell>
          <cell r="C31" t="str">
            <v>Y001</v>
          </cell>
          <cell r="D31" t="str">
            <v>B2256-50H</v>
          </cell>
          <cell r="E31" t="str">
            <v>床头横饰条1 （右）</v>
          </cell>
          <cell r="F31" t="str">
            <v>396*26*20</v>
          </cell>
          <cell r="G31">
            <v>396</v>
          </cell>
          <cell r="H31">
            <v>26</v>
          </cell>
          <cell r="I31">
            <v>20</v>
          </cell>
          <cell r="J31">
            <v>200</v>
          </cell>
          <cell r="K31">
            <v>0</v>
          </cell>
          <cell r="L31">
            <v>0.52</v>
          </cell>
          <cell r="M31">
            <v>0</v>
          </cell>
          <cell r="N31">
            <v>0</v>
          </cell>
          <cell r="O31">
            <v>0</v>
          </cell>
          <cell r="P31" t="str">
            <v>1010</v>
          </cell>
          <cell r="Q31" t="str">
            <v>1010</v>
          </cell>
          <cell r="R31">
            <v>2.6</v>
          </cell>
        </row>
        <row r="32">
          <cell r="A32" t="str">
            <v>Y001-029</v>
          </cell>
          <cell r="B32" t="str">
            <v>LCT001-929</v>
          </cell>
          <cell r="C32" t="str">
            <v>Y001</v>
          </cell>
          <cell r="D32" t="str">
            <v>#T2538-07</v>
          </cell>
          <cell r="E32" t="str">
            <v>桌腳 Chân bàn</v>
          </cell>
          <cell r="F32" t="str">
            <v>447*127/57*64</v>
          </cell>
          <cell r="G32">
            <v>447</v>
          </cell>
          <cell r="H32" t="str">
            <v>127/57</v>
          </cell>
          <cell r="I32">
            <v>64</v>
          </cell>
          <cell r="J32">
            <v>1010</v>
          </cell>
          <cell r="K32">
            <v>2.4</v>
          </cell>
          <cell r="L32">
            <v>2.4</v>
          </cell>
          <cell r="M32">
            <v>0</v>
          </cell>
          <cell r="N32">
            <v>605</v>
          </cell>
          <cell r="O32" t="str">
            <v>40V</v>
          </cell>
          <cell r="P32" t="str">
            <v>9110</v>
          </cell>
          <cell r="Q32" t="str">
            <v>9110</v>
          </cell>
          <cell r="R32">
            <v>2.3762376237623761</v>
          </cell>
        </row>
        <row r="33">
          <cell r="A33" t="str">
            <v>Y001-030</v>
          </cell>
          <cell r="B33" t="str">
            <v>LCT001-930</v>
          </cell>
          <cell r="C33" t="str">
            <v>Y001</v>
          </cell>
          <cell r="D33" t="str">
            <v>#T2538-47</v>
          </cell>
          <cell r="E33" t="str">
            <v>桌腳 Chân bàn</v>
          </cell>
          <cell r="F33" t="str">
            <v>320*125/57*64</v>
          </cell>
          <cell r="G33">
            <v>320</v>
          </cell>
          <cell r="H33" t="str">
            <v>125/57</v>
          </cell>
          <cell r="I33">
            <v>64</v>
          </cell>
          <cell r="J33">
            <v>910</v>
          </cell>
          <cell r="K33">
            <v>2</v>
          </cell>
          <cell r="L33">
            <v>2</v>
          </cell>
          <cell r="M33">
            <v>0</v>
          </cell>
          <cell r="N33">
            <v>460</v>
          </cell>
          <cell r="O33" t="str">
            <v>40V</v>
          </cell>
          <cell r="P33" t="str">
            <v>9110</v>
          </cell>
          <cell r="Q33" t="str">
            <v>9110</v>
          </cell>
          <cell r="R33">
            <v>2.1978021978021975</v>
          </cell>
        </row>
        <row r="34">
          <cell r="A34" t="str">
            <v>Y001-031</v>
          </cell>
          <cell r="B34" t="str">
            <v>LCT001-931</v>
          </cell>
          <cell r="C34" t="str">
            <v>Y001</v>
          </cell>
          <cell r="D34" t="str">
            <v>#T2538-75</v>
          </cell>
          <cell r="E34" t="str">
            <v>桌腳 Chân bàn</v>
          </cell>
          <cell r="F34" t="str">
            <v>574*149/57*64</v>
          </cell>
          <cell r="G34">
            <v>574</v>
          </cell>
          <cell r="H34" t="str">
            <v>149/57</v>
          </cell>
          <cell r="I34">
            <v>64</v>
          </cell>
          <cell r="J34">
            <v>1286</v>
          </cell>
          <cell r="K34">
            <v>4.7</v>
          </cell>
          <cell r="L34">
            <v>4.7</v>
          </cell>
          <cell r="M34">
            <v>0</v>
          </cell>
          <cell r="N34">
            <v>800</v>
          </cell>
          <cell r="O34" t="str">
            <v>40V</v>
          </cell>
          <cell r="P34" t="str">
            <v>9110</v>
          </cell>
          <cell r="Q34" t="str">
            <v>9110</v>
          </cell>
          <cell r="R34">
            <v>3.6547433903576985</v>
          </cell>
        </row>
        <row r="35">
          <cell r="A35" t="str">
            <v>Y001-032</v>
          </cell>
          <cell r="B35" t="str">
            <v>LCT001-827</v>
          </cell>
          <cell r="C35" t="str">
            <v>Y001</v>
          </cell>
          <cell r="D35" t="str">
            <v>B1694-52/62/58H/F</v>
          </cell>
          <cell r="E35" t="str">
            <v>圓貼塊</v>
          </cell>
          <cell r="F35" t="str">
            <v>44*44*16</v>
          </cell>
          <cell r="G35">
            <v>44</v>
          </cell>
          <cell r="H35">
            <v>44</v>
          </cell>
          <cell r="I35">
            <v>16</v>
          </cell>
          <cell r="J35">
            <v>45</v>
          </cell>
          <cell r="K35">
            <v>0</v>
          </cell>
          <cell r="L35">
            <v>0.11799999999999999</v>
          </cell>
          <cell r="M35">
            <v>0</v>
          </cell>
          <cell r="N35">
            <v>0</v>
          </cell>
          <cell r="O35" t="str">
            <v>40V</v>
          </cell>
          <cell r="P35" t="str">
            <v>1010</v>
          </cell>
          <cell r="Q35" t="str">
            <v>1010</v>
          </cell>
          <cell r="R35">
            <v>2.6222222222222222</v>
          </cell>
        </row>
        <row r="36">
          <cell r="A36" t="str">
            <v>Y001-033</v>
          </cell>
          <cell r="B36" t="str">
            <v>LCT001-772</v>
          </cell>
          <cell r="C36" t="str">
            <v>Y001</v>
          </cell>
          <cell r="D36" t="str">
            <v>#719-52</v>
          </cell>
          <cell r="E36" t="str">
            <v>镜框顶飾企柱 tru ñænh khung göông</v>
          </cell>
          <cell r="F36" t="str">
            <v>59*39*39</v>
          </cell>
          <cell r="G36">
            <v>59</v>
          </cell>
          <cell r="H36">
            <v>39</v>
          </cell>
          <cell r="I36">
            <v>39</v>
          </cell>
          <cell r="J36">
            <v>75</v>
          </cell>
          <cell r="K36">
            <v>0</v>
          </cell>
          <cell r="L36">
            <v>0.315</v>
          </cell>
          <cell r="M36">
            <v>0</v>
          </cell>
          <cell r="N36">
            <v>5</v>
          </cell>
          <cell r="O36" t="str">
            <v>40V</v>
          </cell>
          <cell r="P36" t="str">
            <v>1010</v>
          </cell>
          <cell r="Q36" t="str">
            <v>1010</v>
          </cell>
          <cell r="R36">
            <v>4.2</v>
          </cell>
        </row>
        <row r="37">
          <cell r="A37" t="str">
            <v>Y001-034</v>
          </cell>
          <cell r="B37" t="str">
            <v>LCT001-547</v>
          </cell>
          <cell r="C37" t="str">
            <v>Y001</v>
          </cell>
          <cell r="D37" t="str">
            <v>#B1469-56/66H-F</v>
          </cell>
          <cell r="E37" t="str">
            <v>床头床尾床柱顶饰POLY</v>
          </cell>
          <cell r="F37" t="str">
            <v>121*76*76</v>
          </cell>
          <cell r="G37">
            <v>121</v>
          </cell>
          <cell r="H37">
            <v>76</v>
          </cell>
          <cell r="I37">
            <v>76</v>
          </cell>
          <cell r="J37">
            <v>350</v>
          </cell>
          <cell r="K37">
            <v>0</v>
          </cell>
          <cell r="L37">
            <v>0.7</v>
          </cell>
          <cell r="M37">
            <v>0</v>
          </cell>
          <cell r="N37">
            <v>40</v>
          </cell>
          <cell r="O37" t="str">
            <v>V40</v>
          </cell>
          <cell r="P37" t="str">
            <v>9110</v>
          </cell>
          <cell r="Q37" t="str">
            <v>9110</v>
          </cell>
          <cell r="R37">
            <v>2</v>
          </cell>
          <cell r="S37">
            <v>0</v>
          </cell>
        </row>
        <row r="38">
          <cell r="A38" t="str">
            <v>Y001-035</v>
          </cell>
          <cell r="B38" t="str">
            <v>LCT001-548</v>
          </cell>
          <cell r="C38" t="str">
            <v>Y001</v>
          </cell>
          <cell r="D38" t="str">
            <v>#B1469-56-F</v>
          </cell>
          <cell r="E38" t="str">
            <v>床尾下飾條POLY</v>
          </cell>
          <cell r="F38" t="str">
            <v>1534*38*19</v>
          </cell>
          <cell r="G38">
            <v>1534</v>
          </cell>
          <cell r="H38">
            <v>38</v>
          </cell>
          <cell r="I38">
            <v>19</v>
          </cell>
          <cell r="J38">
            <v>900</v>
          </cell>
          <cell r="K38">
            <v>0</v>
          </cell>
          <cell r="L38">
            <v>1.96</v>
          </cell>
          <cell r="M38">
            <v>0</v>
          </cell>
          <cell r="N38">
            <v>0</v>
          </cell>
          <cell r="O38" t="str">
            <v>V40</v>
          </cell>
          <cell r="P38" t="str">
            <v>1010</v>
          </cell>
          <cell r="Q38" t="str">
            <v>1010</v>
          </cell>
          <cell r="R38">
            <v>2.1777777777777776</v>
          </cell>
          <cell r="S38">
            <v>0</v>
          </cell>
        </row>
        <row r="39">
          <cell r="A39" t="str">
            <v>Y001-036</v>
          </cell>
          <cell r="B39" t="str">
            <v>LCT001-549</v>
          </cell>
          <cell r="C39" t="str">
            <v>Y001</v>
          </cell>
          <cell r="D39" t="str">
            <v>#B1469-66F</v>
          </cell>
          <cell r="E39" t="str">
            <v>床尾下飾條POLY</v>
          </cell>
          <cell r="F39" t="str">
            <v>1940*38*19</v>
          </cell>
          <cell r="G39">
            <v>1940</v>
          </cell>
          <cell r="H39">
            <v>38</v>
          </cell>
          <cell r="I39">
            <v>19</v>
          </cell>
          <cell r="J39">
            <v>1080</v>
          </cell>
          <cell r="K39">
            <v>0</v>
          </cell>
          <cell r="L39">
            <v>2.2999999999999998</v>
          </cell>
          <cell r="M39">
            <v>0</v>
          </cell>
          <cell r="N39">
            <v>0</v>
          </cell>
          <cell r="O39" t="str">
            <v>V40</v>
          </cell>
          <cell r="P39" t="str">
            <v>1010</v>
          </cell>
          <cell r="Q39" t="str">
            <v>1010</v>
          </cell>
          <cell r="R39">
            <v>2.1296296296296293</v>
          </cell>
          <cell r="S39">
            <v>0</v>
          </cell>
        </row>
        <row r="40">
          <cell r="A40" t="str">
            <v>Y001-037</v>
          </cell>
          <cell r="B40" t="str">
            <v>LCT001-744</v>
          </cell>
          <cell r="C40" t="str">
            <v>Y001</v>
          </cell>
          <cell r="D40" t="str">
            <v>B1694-52/62/58H-52/62/58F</v>
          </cell>
          <cell r="E40" t="str">
            <v>圓貼塊</v>
          </cell>
          <cell r="F40" t="str">
            <v>44*44*16</v>
          </cell>
          <cell r="G40">
            <v>44</v>
          </cell>
          <cell r="H40">
            <v>44</v>
          </cell>
          <cell r="I40">
            <v>16</v>
          </cell>
          <cell r="J40">
            <v>38</v>
          </cell>
          <cell r="K40">
            <v>0</v>
          </cell>
          <cell r="L40">
            <v>0.11799999999999999</v>
          </cell>
          <cell r="M40">
            <v>0</v>
          </cell>
          <cell r="N40">
            <v>0</v>
          </cell>
          <cell r="O40" t="str">
            <v>40V</v>
          </cell>
          <cell r="P40" t="str">
            <v>9110</v>
          </cell>
          <cell r="Q40" t="str">
            <v>9110</v>
          </cell>
          <cell r="R40">
            <v>3.1052631578947367</v>
          </cell>
        </row>
        <row r="41">
          <cell r="A41" t="str">
            <v>Y001-038</v>
          </cell>
          <cell r="B41" t="str">
            <v>LCT001-953</v>
          </cell>
          <cell r="C41" t="str">
            <v>Y001</v>
          </cell>
          <cell r="D41" t="str">
            <v>#176-303</v>
          </cell>
          <cell r="E41" t="str">
            <v>咖啡桌飾花</v>
          </cell>
          <cell r="F41" t="str">
            <v>872*872*12</v>
          </cell>
          <cell r="G41">
            <v>872</v>
          </cell>
          <cell r="H41">
            <v>872</v>
          </cell>
          <cell r="I41">
            <v>12</v>
          </cell>
          <cell r="J41">
            <v>6200</v>
          </cell>
          <cell r="K41">
            <v>0</v>
          </cell>
          <cell r="L41">
            <v>15.8</v>
          </cell>
          <cell r="M41">
            <v>0</v>
          </cell>
          <cell r="N41">
            <v>550</v>
          </cell>
          <cell r="O41" t="str">
            <v>V</v>
          </cell>
          <cell r="P41" t="str">
            <v>1910</v>
          </cell>
          <cell r="Q41" t="str">
            <v>1910</v>
          </cell>
          <cell r="R41">
            <v>2.5483870967741935</v>
          </cell>
        </row>
        <row r="42">
          <cell r="A42" t="str">
            <v>Y001-039</v>
          </cell>
          <cell r="B42" t="str">
            <v>LCT001-954</v>
          </cell>
          <cell r="C42" t="str">
            <v>Y001</v>
          </cell>
          <cell r="D42" t="str">
            <v>#176-303</v>
          </cell>
          <cell r="E42" t="str">
            <v>咖啡桌飾花</v>
          </cell>
          <cell r="F42" t="str">
            <v>543*543*12</v>
          </cell>
          <cell r="G42">
            <v>543</v>
          </cell>
          <cell r="H42">
            <v>543</v>
          </cell>
          <cell r="I42">
            <v>12</v>
          </cell>
          <cell r="J42">
            <v>2700</v>
          </cell>
          <cell r="K42">
            <v>0</v>
          </cell>
          <cell r="L42">
            <v>7.1</v>
          </cell>
          <cell r="M42">
            <v>0</v>
          </cell>
          <cell r="N42">
            <v>340</v>
          </cell>
          <cell r="O42" t="str">
            <v>V</v>
          </cell>
          <cell r="P42" t="str">
            <v>1910</v>
          </cell>
          <cell r="Q42" t="str">
            <v>1910</v>
          </cell>
          <cell r="R42">
            <v>2.6296296296296293</v>
          </cell>
        </row>
        <row r="43">
          <cell r="A43" t="str">
            <v>Y002-001</v>
          </cell>
          <cell r="B43" t="str">
            <v>LCT112-003</v>
          </cell>
          <cell r="C43" t="str">
            <v>Y002</v>
          </cell>
          <cell r="D43" t="str">
            <v>1394KHB</v>
          </cell>
          <cell r="E43" t="str">
            <v xml:space="preserve">poly 饰框 左 </v>
          </cell>
          <cell r="F43" t="str">
            <v>950*213*11</v>
          </cell>
          <cell r="G43">
            <v>950</v>
          </cell>
          <cell r="H43">
            <v>213</v>
          </cell>
          <cell r="I43">
            <v>11</v>
          </cell>
          <cell r="J43">
            <v>1100</v>
          </cell>
          <cell r="K43">
            <v>0</v>
          </cell>
          <cell r="L43">
            <v>2.8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2.545454545454545</v>
          </cell>
        </row>
        <row r="44">
          <cell r="A44" t="str">
            <v>Y002-002</v>
          </cell>
          <cell r="B44" t="str">
            <v>LCT112-004</v>
          </cell>
          <cell r="C44" t="str">
            <v>Y002</v>
          </cell>
          <cell r="D44" t="str">
            <v>1394KHB</v>
          </cell>
          <cell r="E44" t="str">
            <v>poly 饰框  右</v>
          </cell>
          <cell r="F44" t="str">
            <v>950*213*11</v>
          </cell>
          <cell r="G44">
            <v>950</v>
          </cell>
          <cell r="H44">
            <v>213</v>
          </cell>
          <cell r="I44">
            <v>11</v>
          </cell>
          <cell r="J44">
            <v>1100</v>
          </cell>
          <cell r="K44">
            <v>0</v>
          </cell>
          <cell r="L44">
            <v>2.8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2.545454545454545</v>
          </cell>
        </row>
        <row r="45">
          <cell r="A45" t="str">
            <v>Y002-003</v>
          </cell>
          <cell r="B45" t="str">
            <v>LCT112-009</v>
          </cell>
          <cell r="C45" t="str">
            <v>Y002</v>
          </cell>
          <cell r="D45" t="str">
            <v>1394QHB</v>
          </cell>
          <cell r="E45" t="str">
            <v xml:space="preserve">poly 饰框 左 </v>
          </cell>
          <cell r="F45" t="str">
            <v>950*213*11</v>
          </cell>
          <cell r="G45">
            <v>950</v>
          </cell>
          <cell r="H45">
            <v>213</v>
          </cell>
          <cell r="I45">
            <v>11</v>
          </cell>
          <cell r="J45">
            <v>1100</v>
          </cell>
          <cell r="K45">
            <v>0</v>
          </cell>
          <cell r="L45">
            <v>2.8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2.545454545454545</v>
          </cell>
        </row>
        <row r="46">
          <cell r="A46" t="str">
            <v>Y002-004</v>
          </cell>
          <cell r="B46" t="str">
            <v>LCT112-010</v>
          </cell>
          <cell r="C46" t="str">
            <v>Y002</v>
          </cell>
          <cell r="D46" t="str">
            <v>1394QHB</v>
          </cell>
          <cell r="E46" t="str">
            <v>poly 饰框  右</v>
          </cell>
          <cell r="F46" t="str">
            <v>950*213*11</v>
          </cell>
          <cell r="G46">
            <v>950</v>
          </cell>
          <cell r="H46">
            <v>213</v>
          </cell>
          <cell r="I46">
            <v>11</v>
          </cell>
          <cell r="J46">
            <v>1100</v>
          </cell>
          <cell r="K46">
            <v>0</v>
          </cell>
          <cell r="L46">
            <v>2.8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2.545454545454545</v>
          </cell>
        </row>
        <row r="47">
          <cell r="A47" t="str">
            <v>Y002-005</v>
          </cell>
          <cell r="B47" t="str">
            <v>LCT112-011</v>
          </cell>
          <cell r="C47" t="str">
            <v>Y002</v>
          </cell>
          <cell r="D47" t="str">
            <v>1394NS床头柜</v>
          </cell>
          <cell r="E47" t="str">
            <v>上poly 饰条-(弧100度)</v>
          </cell>
          <cell r="F47" t="str">
            <v>592*148*14</v>
          </cell>
          <cell r="G47">
            <v>592</v>
          </cell>
          <cell r="H47">
            <v>148</v>
          </cell>
          <cell r="I47">
            <v>14</v>
          </cell>
          <cell r="J47">
            <v>270</v>
          </cell>
          <cell r="K47">
            <v>0</v>
          </cell>
          <cell r="L47">
            <v>0.66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2.4444444444444442</v>
          </cell>
        </row>
        <row r="48">
          <cell r="A48" t="str">
            <v>Y002-006</v>
          </cell>
          <cell r="B48" t="str">
            <v>LCT112-012</v>
          </cell>
          <cell r="C48" t="str">
            <v>Y002</v>
          </cell>
          <cell r="D48" t="str">
            <v>1394NS床头柜</v>
          </cell>
          <cell r="E48" t="str">
            <v>下poly 饰条-(弧100度)</v>
          </cell>
          <cell r="F48" t="str">
            <v>592*198*14</v>
          </cell>
          <cell r="G48">
            <v>592</v>
          </cell>
          <cell r="H48">
            <v>198</v>
          </cell>
          <cell r="I48">
            <v>14</v>
          </cell>
          <cell r="J48">
            <v>280</v>
          </cell>
          <cell r="K48">
            <v>0</v>
          </cell>
          <cell r="L48">
            <v>0.69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2.464285714285714</v>
          </cell>
        </row>
        <row r="49">
          <cell r="A49" t="str">
            <v>Y002-007</v>
          </cell>
          <cell r="B49" t="str">
            <v>LCT112-013</v>
          </cell>
          <cell r="C49" t="str">
            <v>Y002</v>
          </cell>
          <cell r="D49" t="str">
            <v>1394CH 五斗</v>
          </cell>
          <cell r="E49" t="str">
            <v>上poly 饰条-(弧100度)</v>
          </cell>
          <cell r="F49" t="str">
            <v>868*212*14</v>
          </cell>
          <cell r="G49">
            <v>868</v>
          </cell>
          <cell r="H49">
            <v>212</v>
          </cell>
          <cell r="I49">
            <v>14</v>
          </cell>
          <cell r="J49">
            <v>390</v>
          </cell>
          <cell r="K49">
            <v>0</v>
          </cell>
          <cell r="L49">
            <v>0.96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2.4615384615384612</v>
          </cell>
        </row>
        <row r="50">
          <cell r="A50" t="str">
            <v>Y002-008</v>
          </cell>
          <cell r="B50" t="str">
            <v>LCT112-014</v>
          </cell>
          <cell r="C50" t="str">
            <v>Y002</v>
          </cell>
          <cell r="D50" t="str">
            <v>1394CH 五斗</v>
          </cell>
          <cell r="E50" t="str">
            <v>下poly 饰条-(弧100度)</v>
          </cell>
          <cell r="F50" t="str">
            <v>868*224*14</v>
          </cell>
          <cell r="G50">
            <v>868</v>
          </cell>
          <cell r="H50">
            <v>224</v>
          </cell>
          <cell r="I50">
            <v>14</v>
          </cell>
          <cell r="J50">
            <v>390</v>
          </cell>
          <cell r="K50">
            <v>0</v>
          </cell>
          <cell r="L50">
            <v>0.98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2.5128205128205128</v>
          </cell>
        </row>
        <row r="51">
          <cell r="A51" t="str">
            <v>Y002-009</v>
          </cell>
          <cell r="B51" t="str">
            <v>LCT112-015</v>
          </cell>
          <cell r="C51" t="str">
            <v>Y002</v>
          </cell>
          <cell r="D51" t="str">
            <v>1394DR 化妆柜</v>
          </cell>
          <cell r="E51" t="str">
            <v>上poly 饰条左-(弧70度)</v>
          </cell>
          <cell r="F51" t="str">
            <v>452*160*14</v>
          </cell>
          <cell r="G51">
            <v>452</v>
          </cell>
          <cell r="H51">
            <v>160</v>
          </cell>
          <cell r="I51">
            <v>14</v>
          </cell>
          <cell r="J51">
            <v>230</v>
          </cell>
          <cell r="K51">
            <v>0</v>
          </cell>
          <cell r="L51">
            <v>0.57999999999999996</v>
          </cell>
          <cell r="M51">
            <v>0</v>
          </cell>
          <cell r="N51">
            <v>0</v>
          </cell>
          <cell r="O51">
            <v>0</v>
          </cell>
          <cell r="P51" t="str">
            <v>1010</v>
          </cell>
          <cell r="Q51" t="str">
            <v>1010</v>
          </cell>
          <cell r="R51">
            <v>2.5217391304347823</v>
          </cell>
        </row>
        <row r="52">
          <cell r="A52" t="str">
            <v>Y002-010</v>
          </cell>
          <cell r="B52" t="str">
            <v>LCT112-016</v>
          </cell>
          <cell r="C52" t="str">
            <v>Y002</v>
          </cell>
          <cell r="D52" t="str">
            <v>1394DR 化妆柜</v>
          </cell>
          <cell r="E52" t="str">
            <v>下poly 饰条右-(弧100度)</v>
          </cell>
          <cell r="F52" t="str">
            <v>452*160*14</v>
          </cell>
          <cell r="G52">
            <v>452</v>
          </cell>
          <cell r="H52">
            <v>160</v>
          </cell>
          <cell r="I52">
            <v>14</v>
          </cell>
          <cell r="J52">
            <v>230</v>
          </cell>
          <cell r="K52">
            <v>0</v>
          </cell>
          <cell r="L52">
            <v>0.56999999999999995</v>
          </cell>
          <cell r="M52">
            <v>0</v>
          </cell>
          <cell r="N52">
            <v>0</v>
          </cell>
          <cell r="O52">
            <v>0</v>
          </cell>
          <cell r="P52" t="str">
            <v>1010</v>
          </cell>
          <cell r="Q52" t="str">
            <v>1010</v>
          </cell>
          <cell r="R52">
            <v>2.4782608695652169</v>
          </cell>
        </row>
        <row r="53">
          <cell r="A53" t="str">
            <v>Y002-011</v>
          </cell>
          <cell r="B53" t="str">
            <v>LCT112-017</v>
          </cell>
          <cell r="C53" t="str">
            <v>Y002</v>
          </cell>
          <cell r="D53" t="str">
            <v>1394DR 化妆柜</v>
          </cell>
          <cell r="E53" t="str">
            <v>上poly 饰条左-(弧70度)</v>
          </cell>
          <cell r="F53" t="str">
            <v>452*222*14</v>
          </cell>
          <cell r="G53">
            <v>452</v>
          </cell>
          <cell r="H53">
            <v>222</v>
          </cell>
          <cell r="I53">
            <v>14</v>
          </cell>
          <cell r="J53">
            <v>260</v>
          </cell>
          <cell r="K53">
            <v>0</v>
          </cell>
          <cell r="L53">
            <v>0.65</v>
          </cell>
          <cell r="M53">
            <v>0</v>
          </cell>
          <cell r="N53">
            <v>0</v>
          </cell>
          <cell r="O53">
            <v>0</v>
          </cell>
          <cell r="P53" t="str">
            <v>1010</v>
          </cell>
          <cell r="Q53" t="str">
            <v>1010</v>
          </cell>
          <cell r="R53">
            <v>2.5</v>
          </cell>
        </row>
        <row r="54">
          <cell r="A54" t="str">
            <v>Y002-012</v>
          </cell>
          <cell r="B54" t="str">
            <v>LCT112-018</v>
          </cell>
          <cell r="C54" t="str">
            <v>Y002</v>
          </cell>
          <cell r="D54" t="str">
            <v>1394DR 化妆柜</v>
          </cell>
          <cell r="E54" t="str">
            <v>下poly 饰条右-(弧100度)</v>
          </cell>
          <cell r="F54" t="str">
            <v>452*222*14</v>
          </cell>
          <cell r="G54">
            <v>452</v>
          </cell>
          <cell r="H54">
            <v>222</v>
          </cell>
          <cell r="I54">
            <v>14</v>
          </cell>
          <cell r="J54">
            <v>260</v>
          </cell>
          <cell r="K54">
            <v>0</v>
          </cell>
          <cell r="L54">
            <v>0.63</v>
          </cell>
          <cell r="M54">
            <v>0</v>
          </cell>
          <cell r="N54">
            <v>0</v>
          </cell>
          <cell r="O54" t="str">
            <v>T100</v>
          </cell>
          <cell r="P54" t="str">
            <v>1010</v>
          </cell>
          <cell r="Q54" t="str">
            <v>1010</v>
          </cell>
          <cell r="R54">
            <v>2.4230769230769229</v>
          </cell>
        </row>
        <row r="55">
          <cell r="A55" t="str">
            <v>Y002-013</v>
          </cell>
          <cell r="B55" t="str">
            <v>LCT112-019</v>
          </cell>
          <cell r="C55" t="str">
            <v>Y002</v>
          </cell>
          <cell r="D55" t="str">
            <v>1394DR 化妆柜</v>
          </cell>
          <cell r="E55" t="str">
            <v>中上poly板-(弧100度)</v>
          </cell>
          <cell r="F55" t="str">
            <v>630*160*14</v>
          </cell>
          <cell r="G55">
            <v>630</v>
          </cell>
          <cell r="H55">
            <v>160</v>
          </cell>
          <cell r="I55">
            <v>14</v>
          </cell>
          <cell r="J55">
            <v>290</v>
          </cell>
          <cell r="K55">
            <v>0</v>
          </cell>
          <cell r="L55">
            <v>0.71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2.4482758620689657</v>
          </cell>
        </row>
        <row r="56">
          <cell r="A56" t="str">
            <v>Y002-014</v>
          </cell>
          <cell r="B56" t="str">
            <v>LCT112-020</v>
          </cell>
          <cell r="C56" t="str">
            <v>Y002</v>
          </cell>
          <cell r="D56" t="str">
            <v>1394DR 化妆柜</v>
          </cell>
          <cell r="E56" t="str">
            <v>中下poly板-(弧100度)</v>
          </cell>
          <cell r="F56" t="str">
            <v>630*222*14</v>
          </cell>
          <cell r="G56">
            <v>630</v>
          </cell>
          <cell r="H56">
            <v>222</v>
          </cell>
          <cell r="I56">
            <v>14</v>
          </cell>
          <cell r="J56">
            <v>325</v>
          </cell>
          <cell r="K56">
            <v>0</v>
          </cell>
          <cell r="L56">
            <v>0.81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2.4923076923076923</v>
          </cell>
        </row>
        <row r="57">
          <cell r="A57" t="str">
            <v>Y002-015</v>
          </cell>
          <cell r="B57" t="str">
            <v>LCT112-021</v>
          </cell>
          <cell r="C57" t="str">
            <v>Y002</v>
          </cell>
          <cell r="D57" t="str">
            <v>1394MC 媒体柜</v>
          </cell>
          <cell r="E57" t="str">
            <v>左 poly 饰条-(弧100度)</v>
          </cell>
          <cell r="F57" t="str">
            <v>520*213*14</v>
          </cell>
          <cell r="G57">
            <v>520</v>
          </cell>
          <cell r="H57">
            <v>213</v>
          </cell>
          <cell r="I57">
            <v>14</v>
          </cell>
          <cell r="J57">
            <v>280</v>
          </cell>
          <cell r="K57">
            <v>0</v>
          </cell>
          <cell r="L57">
            <v>0.69</v>
          </cell>
          <cell r="M57">
            <v>0</v>
          </cell>
          <cell r="N57">
            <v>0</v>
          </cell>
          <cell r="O57">
            <v>0</v>
          </cell>
          <cell r="P57" t="str">
            <v>1010</v>
          </cell>
          <cell r="Q57" t="str">
            <v>1010</v>
          </cell>
          <cell r="R57">
            <v>2.464285714285714</v>
          </cell>
        </row>
        <row r="58">
          <cell r="A58" t="str">
            <v>Y002-016</v>
          </cell>
          <cell r="B58" t="str">
            <v>LCT112-022</v>
          </cell>
          <cell r="C58" t="str">
            <v>Y002</v>
          </cell>
          <cell r="D58" t="str">
            <v>1394MC 媒体柜</v>
          </cell>
          <cell r="E58" t="str">
            <v>右 poly 饰条-(弧100度)</v>
          </cell>
          <cell r="F58" t="str">
            <v>520*213*14</v>
          </cell>
          <cell r="G58">
            <v>520</v>
          </cell>
          <cell r="H58">
            <v>213</v>
          </cell>
          <cell r="I58">
            <v>14</v>
          </cell>
          <cell r="J58">
            <v>280</v>
          </cell>
          <cell r="K58">
            <v>0</v>
          </cell>
          <cell r="L58">
            <v>0.7</v>
          </cell>
          <cell r="M58">
            <v>0</v>
          </cell>
          <cell r="N58">
            <v>0</v>
          </cell>
          <cell r="O58">
            <v>0</v>
          </cell>
          <cell r="P58" t="str">
            <v>1010</v>
          </cell>
          <cell r="Q58" t="str">
            <v>1010</v>
          </cell>
          <cell r="R58">
            <v>2.4999999999999996</v>
          </cell>
        </row>
        <row r="59">
          <cell r="A59" t="str">
            <v>Y002-017</v>
          </cell>
          <cell r="B59" t="str">
            <v>LCT112-023</v>
          </cell>
          <cell r="C59" t="str">
            <v>Y002</v>
          </cell>
          <cell r="D59" t="str">
            <v>1394QFB 小床尾</v>
          </cell>
          <cell r="E59" t="str">
            <v>侧 poly 饰条-(弧90度)</v>
          </cell>
          <cell r="F59" t="str">
            <v>423*188*14</v>
          </cell>
          <cell r="G59">
            <v>423</v>
          </cell>
          <cell r="H59">
            <v>188</v>
          </cell>
          <cell r="I59">
            <v>14</v>
          </cell>
          <cell r="J59">
            <v>230</v>
          </cell>
          <cell r="K59">
            <v>0</v>
          </cell>
          <cell r="L59">
            <v>0.56999999999999995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2.4782608695652169</v>
          </cell>
        </row>
        <row r="60">
          <cell r="A60" t="str">
            <v>Y002-018</v>
          </cell>
          <cell r="B60" t="str">
            <v>LCT112-024</v>
          </cell>
          <cell r="C60" t="str">
            <v>Y002</v>
          </cell>
          <cell r="D60" t="str">
            <v>1394QFB 小床尾</v>
          </cell>
          <cell r="E60" t="str">
            <v>中 poly 饰条-(弧90度)</v>
          </cell>
          <cell r="F60" t="str">
            <v>491*188*14</v>
          </cell>
          <cell r="G60">
            <v>491</v>
          </cell>
          <cell r="H60">
            <v>188</v>
          </cell>
          <cell r="I60">
            <v>14</v>
          </cell>
          <cell r="J60">
            <v>270</v>
          </cell>
          <cell r="K60">
            <v>0</v>
          </cell>
          <cell r="L60">
            <v>0.67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2.4814814814814814</v>
          </cell>
        </row>
        <row r="61">
          <cell r="A61" t="str">
            <v>Y002-019</v>
          </cell>
          <cell r="B61" t="str">
            <v>LCT112-025</v>
          </cell>
          <cell r="C61" t="str">
            <v>Y002</v>
          </cell>
          <cell r="D61" t="str">
            <v>1394KFB小床头</v>
          </cell>
          <cell r="E61" t="str">
            <v>侧 poly 饰条-(弧90度)</v>
          </cell>
          <cell r="F61" t="str">
            <v>489*188*14</v>
          </cell>
          <cell r="G61">
            <v>489</v>
          </cell>
          <cell r="H61">
            <v>188</v>
          </cell>
          <cell r="I61">
            <v>14</v>
          </cell>
          <cell r="J61">
            <v>260</v>
          </cell>
          <cell r="K61">
            <v>0</v>
          </cell>
          <cell r="L61">
            <v>0.65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2.5</v>
          </cell>
        </row>
        <row r="62">
          <cell r="A62" t="str">
            <v>Y002-020</v>
          </cell>
          <cell r="B62" t="str">
            <v>LCT112-026</v>
          </cell>
          <cell r="C62" t="str">
            <v>Y002</v>
          </cell>
          <cell r="D62" t="str">
            <v>1394KFB小床头</v>
          </cell>
          <cell r="E62" t="str">
            <v>中 poly 饰条-(弧90度)</v>
          </cell>
          <cell r="F62" t="str">
            <v>790*188*14</v>
          </cell>
          <cell r="G62">
            <v>790</v>
          </cell>
          <cell r="H62">
            <v>188</v>
          </cell>
          <cell r="I62">
            <v>14</v>
          </cell>
          <cell r="J62">
            <v>390</v>
          </cell>
          <cell r="K62">
            <v>0</v>
          </cell>
          <cell r="L62">
            <v>0.96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2.4615384615384612</v>
          </cell>
        </row>
        <row r="63">
          <cell r="A63" t="str">
            <v>Y002-021</v>
          </cell>
          <cell r="B63" t="str">
            <v>LCT112-027</v>
          </cell>
          <cell r="C63" t="str">
            <v>Y002</v>
          </cell>
          <cell r="D63" t="str">
            <v>1394NS/CH/DK/MC/QFB/KFB</v>
          </cell>
          <cell r="E63" t="str">
            <v>企住上下poly饰条(1開15)</v>
          </cell>
          <cell r="F63" t="str">
            <v>1000*20*12</v>
          </cell>
          <cell r="G63">
            <v>1000</v>
          </cell>
          <cell r="H63">
            <v>20</v>
          </cell>
          <cell r="I63">
            <v>12</v>
          </cell>
          <cell r="J63">
            <v>350</v>
          </cell>
          <cell r="K63">
            <v>0</v>
          </cell>
          <cell r="L63">
            <v>0.95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2.7142857142857144</v>
          </cell>
        </row>
        <row r="64">
          <cell r="A64" t="str">
            <v>Y002-022</v>
          </cell>
          <cell r="B64" t="str">
            <v>LCT112-028</v>
          </cell>
          <cell r="C64" t="str">
            <v>Y002</v>
          </cell>
          <cell r="D64" t="str">
            <v>1394NS/CH/DK/MC</v>
          </cell>
          <cell r="E64" t="str">
            <v>企住中poly饰条</v>
          </cell>
          <cell r="F64" t="str">
            <v>1000*59*12</v>
          </cell>
          <cell r="G64">
            <v>1000</v>
          </cell>
          <cell r="H64">
            <v>59</v>
          </cell>
          <cell r="I64">
            <v>12</v>
          </cell>
          <cell r="J64">
            <v>520</v>
          </cell>
          <cell r="K64">
            <v>0</v>
          </cell>
          <cell r="L64">
            <v>2.64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5.0769230769230766</v>
          </cell>
        </row>
        <row r="65">
          <cell r="A65" t="str">
            <v>Y002-023</v>
          </cell>
          <cell r="B65" t="str">
            <v>LCT112-029</v>
          </cell>
          <cell r="C65" t="str">
            <v>Y002</v>
          </cell>
          <cell r="D65" t="str">
            <v>1394NS/CH/DK/MC</v>
          </cell>
          <cell r="E65" t="str">
            <v>企住小poly饰条</v>
          </cell>
          <cell r="F65" t="str">
            <v>1290*19*14</v>
          </cell>
          <cell r="G65">
            <v>1290</v>
          </cell>
          <cell r="H65">
            <v>19</v>
          </cell>
          <cell r="I65">
            <v>14</v>
          </cell>
          <cell r="J65">
            <v>0</v>
          </cell>
          <cell r="K65">
            <v>0</v>
          </cell>
          <cell r="L65">
            <v>0.93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#DIV/0!</v>
          </cell>
        </row>
        <row r="66">
          <cell r="A66" t="str">
            <v>Y002-024</v>
          </cell>
          <cell r="B66" t="str">
            <v>LCT112-056</v>
          </cell>
          <cell r="C66" t="str">
            <v>Y002</v>
          </cell>
          <cell r="D66" t="str">
            <v>635-33F/34F</v>
          </cell>
          <cell r="E66" t="str">
            <v>小床尾侧饰片（有木紋）</v>
          </cell>
          <cell r="F66" t="str">
            <v>440*60*9</v>
          </cell>
          <cell r="G66">
            <v>440</v>
          </cell>
          <cell r="H66">
            <v>60</v>
          </cell>
          <cell r="I66">
            <v>9</v>
          </cell>
          <cell r="J66">
            <v>420</v>
          </cell>
          <cell r="K66">
            <v>0</v>
          </cell>
          <cell r="L66">
            <v>1.0900000000000001</v>
          </cell>
          <cell r="M66">
            <v>0</v>
          </cell>
          <cell r="N66">
            <v>0</v>
          </cell>
          <cell r="O66">
            <v>0</v>
          </cell>
          <cell r="P66">
            <v>1010</v>
          </cell>
          <cell r="Q66" t="str">
            <v>1010</v>
          </cell>
          <cell r="R66">
            <v>2.5952380952380953</v>
          </cell>
        </row>
        <row r="67">
          <cell r="A67" t="str">
            <v>Y002-025</v>
          </cell>
          <cell r="B67" t="str">
            <v>LCT112-057</v>
          </cell>
          <cell r="C67" t="str">
            <v>Y002</v>
          </cell>
          <cell r="D67" t="str">
            <v>635-33F/34F</v>
          </cell>
          <cell r="E67" t="str">
            <v>小床尾中饰片（有木紋）</v>
          </cell>
          <cell r="F67" t="str">
            <v>420*63*9</v>
          </cell>
          <cell r="G67">
            <v>420</v>
          </cell>
          <cell r="H67">
            <v>63</v>
          </cell>
          <cell r="I67">
            <v>9</v>
          </cell>
          <cell r="J67">
            <v>400</v>
          </cell>
          <cell r="K67">
            <v>0</v>
          </cell>
          <cell r="L67">
            <v>1.04</v>
          </cell>
          <cell r="M67">
            <v>0</v>
          </cell>
          <cell r="N67">
            <v>0</v>
          </cell>
          <cell r="O67">
            <v>0</v>
          </cell>
          <cell r="P67">
            <v>1010</v>
          </cell>
          <cell r="Q67" t="str">
            <v>1010</v>
          </cell>
          <cell r="R67">
            <v>2.6</v>
          </cell>
        </row>
        <row r="68">
          <cell r="A68" t="str">
            <v>Y002-026</v>
          </cell>
          <cell r="B68" t="str">
            <v>LCT112-058</v>
          </cell>
          <cell r="C68" t="str">
            <v>Y002</v>
          </cell>
          <cell r="D68" t="str">
            <v>635-33H/34H</v>
          </cell>
          <cell r="E68" t="str">
            <v>小床头侧饰片（有木紋）</v>
          </cell>
          <cell r="F68" t="str">
            <v>595*60*9</v>
          </cell>
          <cell r="G68">
            <v>595</v>
          </cell>
          <cell r="H68">
            <v>60</v>
          </cell>
          <cell r="I68">
            <v>9</v>
          </cell>
          <cell r="J68">
            <v>460</v>
          </cell>
          <cell r="K68">
            <v>0</v>
          </cell>
          <cell r="L68">
            <v>1.46</v>
          </cell>
          <cell r="M68">
            <v>0</v>
          </cell>
          <cell r="N68">
            <v>0</v>
          </cell>
          <cell r="O68">
            <v>0</v>
          </cell>
          <cell r="P68">
            <v>1010</v>
          </cell>
          <cell r="Q68" t="str">
            <v>1010</v>
          </cell>
          <cell r="R68">
            <v>3.1739130434782608</v>
          </cell>
        </row>
        <row r="69">
          <cell r="A69" t="str">
            <v>Y002-027</v>
          </cell>
          <cell r="B69" t="str">
            <v>LCT112-059</v>
          </cell>
          <cell r="C69" t="str">
            <v>Y002</v>
          </cell>
          <cell r="D69" t="str">
            <v>635-33H/34H</v>
          </cell>
          <cell r="E69" t="str">
            <v>小床头中饰片（有木紋）</v>
          </cell>
          <cell r="F69" t="str">
            <v>615*63*9</v>
          </cell>
          <cell r="G69">
            <v>615</v>
          </cell>
          <cell r="H69">
            <v>63</v>
          </cell>
          <cell r="I69">
            <v>9</v>
          </cell>
          <cell r="J69">
            <v>600</v>
          </cell>
          <cell r="K69">
            <v>0</v>
          </cell>
          <cell r="L69">
            <v>1.56</v>
          </cell>
          <cell r="M69">
            <v>0</v>
          </cell>
          <cell r="N69">
            <v>0</v>
          </cell>
          <cell r="O69">
            <v>0</v>
          </cell>
          <cell r="P69">
            <v>1010</v>
          </cell>
          <cell r="Q69" t="str">
            <v>1010</v>
          </cell>
          <cell r="R69">
            <v>2.6</v>
          </cell>
        </row>
        <row r="70">
          <cell r="A70" t="str">
            <v>Y002-028</v>
          </cell>
          <cell r="B70" t="str">
            <v>LCT112-081</v>
          </cell>
          <cell r="C70" t="str">
            <v>Y002</v>
          </cell>
          <cell r="D70" t="str">
            <v>1394NS/CH/DK/MC</v>
          </cell>
          <cell r="E70" t="str">
            <v>企柱中poly饰条(1開15)</v>
          </cell>
          <cell r="F70" t="str">
            <v>1000*29*12</v>
          </cell>
          <cell r="G70">
            <v>1000</v>
          </cell>
          <cell r="H70">
            <v>29</v>
          </cell>
          <cell r="I70">
            <v>12</v>
          </cell>
          <cell r="J70">
            <v>520</v>
          </cell>
          <cell r="K70">
            <v>0</v>
          </cell>
          <cell r="L70">
            <v>0.95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1.8269230769230769</v>
          </cell>
        </row>
        <row r="71">
          <cell r="A71" t="str">
            <v>Y002-029</v>
          </cell>
          <cell r="B71" t="str">
            <v>LCT112-106</v>
          </cell>
          <cell r="C71" t="str">
            <v>Y002</v>
          </cell>
          <cell r="D71" t="str">
            <v>1394NS/CH/DRMC</v>
          </cell>
          <cell r="E71" t="str">
            <v>企柱小poly饰块（1开2）</v>
          </cell>
          <cell r="F71" t="str">
            <v>245*19*14</v>
          </cell>
          <cell r="G71">
            <v>245</v>
          </cell>
          <cell r="H71">
            <v>19</v>
          </cell>
          <cell r="I71">
            <v>14</v>
          </cell>
          <cell r="J71">
            <v>80</v>
          </cell>
          <cell r="K71">
            <v>0</v>
          </cell>
          <cell r="L71">
            <v>0.2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2.5</v>
          </cell>
        </row>
        <row r="72">
          <cell r="A72" t="str">
            <v>Y002-030</v>
          </cell>
          <cell r="B72" t="str">
            <v>LCT112-117</v>
          </cell>
          <cell r="C72" t="str">
            <v>Y002</v>
          </cell>
          <cell r="D72" t="str">
            <v>341-2MYG</v>
          </cell>
          <cell r="E72" t="str">
            <v>門上飾條</v>
          </cell>
          <cell r="F72" t="str">
            <v>495*21*15</v>
          </cell>
          <cell r="G72">
            <v>495</v>
          </cell>
          <cell r="H72">
            <v>21</v>
          </cell>
          <cell r="I72">
            <v>15</v>
          </cell>
          <cell r="J72">
            <v>120</v>
          </cell>
          <cell r="K72">
            <v>0</v>
          </cell>
          <cell r="L72">
            <v>0.3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2.5</v>
          </cell>
        </row>
        <row r="73">
          <cell r="A73" t="str">
            <v>Y002-031</v>
          </cell>
          <cell r="B73" t="str">
            <v>LCT112-152</v>
          </cell>
          <cell r="C73" t="str">
            <v>Y002</v>
          </cell>
          <cell r="D73" t="str">
            <v>853-07/15/46/09/15</v>
          </cell>
          <cell r="E73" t="str">
            <v>企柱貼塊-左</v>
          </cell>
          <cell r="F73" t="str">
            <v>92*86*102</v>
          </cell>
          <cell r="G73">
            <v>92</v>
          </cell>
          <cell r="H73">
            <v>86</v>
          </cell>
          <cell r="I73">
            <v>102</v>
          </cell>
          <cell r="J73">
            <v>286</v>
          </cell>
          <cell r="K73">
            <v>0</v>
          </cell>
          <cell r="L73">
            <v>0.84</v>
          </cell>
          <cell r="M73">
            <v>0</v>
          </cell>
          <cell r="N73">
            <v>40</v>
          </cell>
          <cell r="O73" t="str">
            <v>40V</v>
          </cell>
          <cell r="P73" t="str">
            <v>1010</v>
          </cell>
          <cell r="Q73" t="str">
            <v>1010</v>
          </cell>
          <cell r="R73">
            <v>2.9370629370629371</v>
          </cell>
        </row>
        <row r="74">
          <cell r="A74" t="str">
            <v>Y002-032</v>
          </cell>
          <cell r="B74" t="str">
            <v>LCT112-153</v>
          </cell>
          <cell r="C74" t="str">
            <v>Y002</v>
          </cell>
          <cell r="D74" t="str">
            <v>853-07/15/46/09/15</v>
          </cell>
          <cell r="E74" t="str">
            <v>企柱貼塊-右</v>
          </cell>
          <cell r="F74" t="str">
            <v>92*86*102</v>
          </cell>
          <cell r="G74">
            <v>92</v>
          </cell>
          <cell r="H74">
            <v>86</v>
          </cell>
          <cell r="I74">
            <v>102</v>
          </cell>
          <cell r="J74">
            <v>286</v>
          </cell>
          <cell r="K74">
            <v>0</v>
          </cell>
          <cell r="L74">
            <v>0.84</v>
          </cell>
          <cell r="M74">
            <v>0</v>
          </cell>
          <cell r="N74">
            <v>40</v>
          </cell>
          <cell r="O74" t="str">
            <v>40V</v>
          </cell>
          <cell r="P74" t="str">
            <v>1010</v>
          </cell>
          <cell r="Q74" t="str">
            <v>1010</v>
          </cell>
          <cell r="R74">
            <v>2.9370629370629371</v>
          </cell>
        </row>
        <row r="75">
          <cell r="A75" t="str">
            <v>Y002-033</v>
          </cell>
          <cell r="B75" t="str">
            <v>LCT112-154</v>
          </cell>
          <cell r="C75" t="str">
            <v>Y002</v>
          </cell>
          <cell r="D75" t="str">
            <v>853-07/15</v>
          </cell>
          <cell r="E75" t="str">
            <v>抽面飾條</v>
          </cell>
          <cell r="F75" t="str">
            <v>577*8*6</v>
          </cell>
          <cell r="G75">
            <v>577</v>
          </cell>
          <cell r="H75">
            <v>8</v>
          </cell>
          <cell r="I75">
            <v>6</v>
          </cell>
          <cell r="J75">
            <v>53</v>
          </cell>
          <cell r="K75">
            <v>0</v>
          </cell>
          <cell r="L75">
            <v>0.17</v>
          </cell>
          <cell r="M75">
            <v>0</v>
          </cell>
          <cell r="N75">
            <v>0</v>
          </cell>
          <cell r="O75" t="str">
            <v>40V</v>
          </cell>
          <cell r="P75" t="str">
            <v>1010</v>
          </cell>
          <cell r="Q75" t="str">
            <v>1010</v>
          </cell>
          <cell r="R75">
            <v>3.2075471698113209</v>
          </cell>
        </row>
        <row r="76">
          <cell r="A76" t="str">
            <v>Y002-034</v>
          </cell>
          <cell r="B76" t="str">
            <v>LCT112-155</v>
          </cell>
          <cell r="C76" t="str">
            <v>Y002</v>
          </cell>
          <cell r="D76" t="str">
            <v>853-46</v>
          </cell>
          <cell r="E76" t="str">
            <v>抽面飾條</v>
          </cell>
          <cell r="F76" t="str">
            <v>460*8*6</v>
          </cell>
          <cell r="G76">
            <v>460</v>
          </cell>
          <cell r="H76">
            <v>8</v>
          </cell>
          <cell r="I76">
            <v>6</v>
          </cell>
          <cell r="J76">
            <v>46</v>
          </cell>
          <cell r="K76">
            <v>0</v>
          </cell>
          <cell r="L76">
            <v>0.14000000000000001</v>
          </cell>
          <cell r="M76">
            <v>0</v>
          </cell>
          <cell r="N76">
            <v>0</v>
          </cell>
          <cell r="O76" t="str">
            <v>40V</v>
          </cell>
          <cell r="P76" t="str">
            <v>1010</v>
          </cell>
          <cell r="Q76" t="str">
            <v>1010</v>
          </cell>
          <cell r="R76">
            <v>3.0434782608695654</v>
          </cell>
        </row>
        <row r="77">
          <cell r="A77" t="str">
            <v>Y002-035</v>
          </cell>
          <cell r="B77" t="str">
            <v>LCT112-156</v>
          </cell>
          <cell r="C77" t="str">
            <v>Y002</v>
          </cell>
          <cell r="D77" t="str">
            <v>853-09</v>
          </cell>
          <cell r="E77" t="str">
            <v>抽面飾條</v>
          </cell>
          <cell r="F77" t="str">
            <v>714*8*6</v>
          </cell>
          <cell r="G77">
            <v>714</v>
          </cell>
          <cell r="H77">
            <v>8</v>
          </cell>
          <cell r="I77">
            <v>6</v>
          </cell>
          <cell r="J77">
            <v>60</v>
          </cell>
          <cell r="K77">
            <v>0</v>
          </cell>
          <cell r="L77">
            <v>0.21</v>
          </cell>
          <cell r="M77">
            <v>0</v>
          </cell>
          <cell r="N77">
            <v>0</v>
          </cell>
          <cell r="O77" t="str">
            <v>40V</v>
          </cell>
          <cell r="P77" t="str">
            <v>1010</v>
          </cell>
          <cell r="Q77" t="str">
            <v>1010</v>
          </cell>
          <cell r="R77">
            <v>3.5</v>
          </cell>
        </row>
        <row r="78">
          <cell r="A78" t="str">
            <v>Y002-036</v>
          </cell>
          <cell r="B78" t="str">
            <v>LCT112-157</v>
          </cell>
          <cell r="C78" t="str">
            <v>Y002</v>
          </cell>
          <cell r="D78" t="str">
            <v>853-05</v>
          </cell>
          <cell r="E78" t="str">
            <v>抽面飾條</v>
          </cell>
          <cell r="F78" t="str">
            <v>830*8*6</v>
          </cell>
          <cell r="G78">
            <v>830</v>
          </cell>
          <cell r="H78">
            <v>8</v>
          </cell>
          <cell r="I78">
            <v>6</v>
          </cell>
          <cell r="J78">
            <v>65</v>
          </cell>
          <cell r="K78">
            <v>0</v>
          </cell>
          <cell r="L78">
            <v>0.25</v>
          </cell>
          <cell r="M78">
            <v>0</v>
          </cell>
          <cell r="N78">
            <v>0</v>
          </cell>
          <cell r="O78" t="str">
            <v>40V</v>
          </cell>
          <cell r="P78" t="str">
            <v>1010</v>
          </cell>
          <cell r="Q78" t="str">
            <v>1010</v>
          </cell>
          <cell r="R78">
            <v>3.8461538461538458</v>
          </cell>
        </row>
        <row r="79">
          <cell r="A79" t="str">
            <v>Y002-037</v>
          </cell>
          <cell r="B79" t="str">
            <v>LCT112-158</v>
          </cell>
          <cell r="C79" t="str">
            <v>Y002</v>
          </cell>
          <cell r="D79" t="str">
            <v>853-07/15</v>
          </cell>
          <cell r="E79" t="str">
            <v>抽面短飾條1開2</v>
          </cell>
          <cell r="F79" t="str">
            <v>428*8*6</v>
          </cell>
          <cell r="G79">
            <v>428</v>
          </cell>
          <cell r="H79">
            <v>8</v>
          </cell>
          <cell r="I79">
            <v>6</v>
          </cell>
          <cell r="J79">
            <v>39</v>
          </cell>
          <cell r="K79">
            <v>0</v>
          </cell>
          <cell r="L79">
            <v>0.13</v>
          </cell>
          <cell r="M79">
            <v>0</v>
          </cell>
          <cell r="N79">
            <v>0</v>
          </cell>
          <cell r="O79" t="str">
            <v>40V</v>
          </cell>
          <cell r="P79" t="str">
            <v>1010</v>
          </cell>
          <cell r="Q79" t="str">
            <v>1010</v>
          </cell>
          <cell r="R79">
            <v>3.3333333333333335</v>
          </cell>
        </row>
        <row r="80">
          <cell r="A80" t="str">
            <v>Y002-038</v>
          </cell>
          <cell r="B80" t="str">
            <v>LCT112-159</v>
          </cell>
          <cell r="C80" t="str">
            <v>Y002</v>
          </cell>
          <cell r="D80" t="str">
            <v>853-46</v>
          </cell>
          <cell r="E80" t="str">
            <v>抽面短飾條1開2</v>
          </cell>
          <cell r="F80" t="str">
            <v>484*8*6</v>
          </cell>
          <cell r="G80">
            <v>484</v>
          </cell>
          <cell r="H80">
            <v>8</v>
          </cell>
          <cell r="I80">
            <v>6</v>
          </cell>
          <cell r="J80">
            <v>43</v>
          </cell>
          <cell r="K80">
            <v>0</v>
          </cell>
          <cell r="L80">
            <v>0.15</v>
          </cell>
          <cell r="M80">
            <v>0</v>
          </cell>
          <cell r="N80">
            <v>0</v>
          </cell>
          <cell r="O80" t="str">
            <v>40V</v>
          </cell>
          <cell r="P80" t="str">
            <v>1010</v>
          </cell>
          <cell r="Q80" t="str">
            <v>1010</v>
          </cell>
          <cell r="R80">
            <v>3.4883720930232558</v>
          </cell>
        </row>
        <row r="81">
          <cell r="A81" t="str">
            <v>Y002-039</v>
          </cell>
          <cell r="B81" t="str">
            <v>LCT112-160</v>
          </cell>
          <cell r="C81" t="str">
            <v>Y002</v>
          </cell>
          <cell r="D81" t="str">
            <v>853-09</v>
          </cell>
          <cell r="E81" t="str">
            <v>抽面短飾條1開2</v>
          </cell>
          <cell r="F81" t="str">
            <v>452*8*6</v>
          </cell>
          <cell r="G81">
            <v>452</v>
          </cell>
          <cell r="H81">
            <v>8</v>
          </cell>
          <cell r="I81">
            <v>6</v>
          </cell>
          <cell r="J81">
            <v>41</v>
          </cell>
          <cell r="K81">
            <v>0</v>
          </cell>
          <cell r="L81">
            <v>0.14000000000000001</v>
          </cell>
          <cell r="M81">
            <v>0</v>
          </cell>
          <cell r="N81">
            <v>0</v>
          </cell>
          <cell r="O81" t="str">
            <v>40V</v>
          </cell>
          <cell r="P81" t="str">
            <v>1010</v>
          </cell>
          <cell r="Q81" t="str">
            <v>1010</v>
          </cell>
          <cell r="R81">
            <v>3.4146341463414638</v>
          </cell>
        </row>
        <row r="82">
          <cell r="A82" t="str">
            <v>Y002-040</v>
          </cell>
          <cell r="B82" t="str">
            <v>LCT112-161</v>
          </cell>
          <cell r="C82" t="str">
            <v>Y002</v>
          </cell>
          <cell r="D82" t="str">
            <v>853-05</v>
          </cell>
          <cell r="E82" t="str">
            <v>抽面短飾條1開2</v>
          </cell>
          <cell r="F82" t="str">
            <v>396*8*6</v>
          </cell>
          <cell r="G82">
            <v>396</v>
          </cell>
          <cell r="H82">
            <v>8</v>
          </cell>
          <cell r="I82">
            <v>6</v>
          </cell>
          <cell r="J82">
            <v>36</v>
          </cell>
          <cell r="K82">
            <v>0</v>
          </cell>
          <cell r="L82">
            <v>0.12</v>
          </cell>
          <cell r="M82">
            <v>0</v>
          </cell>
          <cell r="N82">
            <v>0</v>
          </cell>
          <cell r="O82" t="str">
            <v>40V</v>
          </cell>
          <cell r="P82" t="str">
            <v>1010</v>
          </cell>
          <cell r="Q82" t="str">
            <v>1010</v>
          </cell>
          <cell r="R82">
            <v>3.3333333333333335</v>
          </cell>
        </row>
        <row r="83">
          <cell r="A83" t="str">
            <v>Y002-041</v>
          </cell>
          <cell r="B83" t="str">
            <v>LCT112-207</v>
          </cell>
          <cell r="C83" t="str">
            <v>Y002</v>
          </cell>
          <cell r="D83" t="str">
            <v>NJ230-44118TB</v>
          </cell>
          <cell r="E83" t="str">
            <v>餐桌脚左贴花</v>
          </cell>
          <cell r="F83" t="str">
            <v>585*205</v>
          </cell>
          <cell r="G83">
            <v>585</v>
          </cell>
          <cell r="H83">
            <v>205</v>
          </cell>
          <cell r="I83">
            <v>12</v>
          </cell>
          <cell r="J83">
            <v>440</v>
          </cell>
          <cell r="K83">
            <v>0</v>
          </cell>
          <cell r="L83">
            <v>1.25</v>
          </cell>
          <cell r="M83">
            <v>0</v>
          </cell>
          <cell r="N83">
            <v>0</v>
          </cell>
          <cell r="O83" t="str">
            <v>40V</v>
          </cell>
          <cell r="P83" t="str">
            <v>1010</v>
          </cell>
          <cell r="Q83" t="str">
            <v>1010</v>
          </cell>
          <cell r="R83">
            <v>2.8409090909090908</v>
          </cell>
        </row>
        <row r="84">
          <cell r="A84" t="str">
            <v>Y002-042</v>
          </cell>
          <cell r="B84" t="str">
            <v>LCT112-208</v>
          </cell>
          <cell r="C84" t="str">
            <v>Y002</v>
          </cell>
          <cell r="D84" t="str">
            <v>NJ230-44118TB</v>
          </cell>
          <cell r="E84" t="str">
            <v>餐桌脚右贴花</v>
          </cell>
          <cell r="F84" t="str">
            <v>585*205</v>
          </cell>
          <cell r="G84">
            <v>585</v>
          </cell>
          <cell r="H84">
            <v>205</v>
          </cell>
          <cell r="I84">
            <v>12</v>
          </cell>
          <cell r="J84">
            <v>440</v>
          </cell>
          <cell r="K84">
            <v>0</v>
          </cell>
          <cell r="L84">
            <v>1.25</v>
          </cell>
          <cell r="M84">
            <v>0</v>
          </cell>
          <cell r="N84">
            <v>0</v>
          </cell>
          <cell r="O84" t="str">
            <v>40V</v>
          </cell>
          <cell r="P84" t="str">
            <v>1010</v>
          </cell>
          <cell r="Q84" t="str">
            <v>1010</v>
          </cell>
          <cell r="R84">
            <v>2.8409090909090908</v>
          </cell>
        </row>
        <row r="85">
          <cell r="A85" t="str">
            <v>Y002-043</v>
          </cell>
          <cell r="B85" t="str">
            <v>LCT112-209</v>
          </cell>
          <cell r="C85" t="str">
            <v>Y002</v>
          </cell>
          <cell r="D85" t="str">
            <v>NJ230-44118TB</v>
          </cell>
          <cell r="E85" t="str">
            <v>餐桌脚上贴花</v>
          </cell>
          <cell r="F85" t="str">
            <v>80*65*6</v>
          </cell>
          <cell r="G85">
            <v>80</v>
          </cell>
          <cell r="H85">
            <v>65</v>
          </cell>
          <cell r="I85">
            <v>6</v>
          </cell>
          <cell r="J85">
            <v>40</v>
          </cell>
          <cell r="K85">
            <v>0</v>
          </cell>
          <cell r="L85">
            <v>0.12</v>
          </cell>
          <cell r="M85">
            <v>0</v>
          </cell>
          <cell r="N85">
            <v>0</v>
          </cell>
          <cell r="O85" t="str">
            <v>40V</v>
          </cell>
          <cell r="P85" t="str">
            <v>1010</v>
          </cell>
          <cell r="Q85" t="str">
            <v>1010</v>
          </cell>
          <cell r="R85">
            <v>3</v>
          </cell>
        </row>
        <row r="86">
          <cell r="A86" t="str">
            <v>Y002-044</v>
          </cell>
          <cell r="B86" t="str">
            <v>LCT112-210</v>
          </cell>
          <cell r="C86" t="str">
            <v>Y002</v>
          </cell>
          <cell r="D86" t="str">
            <v>NJ230-44118TB</v>
          </cell>
          <cell r="E86" t="str">
            <v>餐桌脚下贴花</v>
          </cell>
          <cell r="F86" t="str">
            <v>130*75*12</v>
          </cell>
          <cell r="G86">
            <v>130</v>
          </cell>
          <cell r="H86">
            <v>75</v>
          </cell>
          <cell r="I86">
            <v>12</v>
          </cell>
          <cell r="J86">
            <v>100</v>
          </cell>
          <cell r="K86">
            <v>0</v>
          </cell>
          <cell r="L86">
            <v>0.3</v>
          </cell>
          <cell r="M86">
            <v>0</v>
          </cell>
          <cell r="N86">
            <v>0</v>
          </cell>
          <cell r="O86" t="str">
            <v>40V</v>
          </cell>
          <cell r="P86" t="str">
            <v>1010</v>
          </cell>
          <cell r="Q86" t="str">
            <v>1010</v>
          </cell>
          <cell r="R86">
            <v>2.9999999999999996</v>
          </cell>
        </row>
        <row r="87">
          <cell r="A87" t="str">
            <v>Y002-045</v>
          </cell>
          <cell r="B87" t="str">
            <v>LCT112-260</v>
          </cell>
          <cell r="C87" t="str">
            <v>Y002</v>
          </cell>
          <cell r="D87" t="str">
            <v>NJ230-132/125/101/120</v>
          </cell>
          <cell r="E87" t="str">
            <v>转角飾片</v>
          </cell>
          <cell r="F87" t="str">
            <v>117*35*8</v>
          </cell>
          <cell r="G87">
            <v>117</v>
          </cell>
          <cell r="H87">
            <v>35</v>
          </cell>
          <cell r="I87">
            <v>8</v>
          </cell>
          <cell r="J87">
            <v>30</v>
          </cell>
          <cell r="K87">
            <v>0</v>
          </cell>
          <cell r="L87">
            <v>0.1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3.3333333333333335</v>
          </cell>
        </row>
        <row r="88">
          <cell r="A88" t="str">
            <v>Y002-046</v>
          </cell>
          <cell r="B88" t="str">
            <v>LCT112-261</v>
          </cell>
          <cell r="C88" t="str">
            <v>Y002</v>
          </cell>
          <cell r="D88" t="str">
            <v>NJ230-132/125</v>
          </cell>
          <cell r="E88" t="str">
            <v>側飾片</v>
          </cell>
          <cell r="F88" t="str">
            <v>349*35*8</v>
          </cell>
          <cell r="G88">
            <v>349</v>
          </cell>
          <cell r="H88">
            <v>35</v>
          </cell>
          <cell r="I88">
            <v>8</v>
          </cell>
          <cell r="J88">
            <v>110</v>
          </cell>
          <cell r="K88">
            <v>0</v>
          </cell>
          <cell r="L88">
            <v>0.3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2.7272727272727271</v>
          </cell>
        </row>
        <row r="89">
          <cell r="A89" t="str">
            <v>Y002-047</v>
          </cell>
          <cell r="B89" t="str">
            <v>LCT112-262</v>
          </cell>
          <cell r="C89" t="str">
            <v>Y002</v>
          </cell>
          <cell r="D89" t="str">
            <v>NJ230-101</v>
          </cell>
          <cell r="E89" t="str">
            <v>側飾片</v>
          </cell>
          <cell r="F89" t="str">
            <v>311*35*8</v>
          </cell>
          <cell r="G89">
            <v>311</v>
          </cell>
          <cell r="H89">
            <v>35</v>
          </cell>
          <cell r="I89">
            <v>8</v>
          </cell>
          <cell r="J89">
            <v>105</v>
          </cell>
          <cell r="K89">
            <v>0</v>
          </cell>
          <cell r="L89">
            <v>0.25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2.3809523809523809</v>
          </cell>
        </row>
        <row r="90">
          <cell r="A90" t="str">
            <v>Y002-048</v>
          </cell>
          <cell r="B90" t="str">
            <v>LCT112-263</v>
          </cell>
          <cell r="C90" t="str">
            <v>Y002</v>
          </cell>
          <cell r="D90" t="str">
            <v>NJ230-121</v>
          </cell>
          <cell r="E90" t="str">
            <v>側飾片</v>
          </cell>
          <cell r="F90" t="str">
            <v>458*35*8</v>
          </cell>
          <cell r="G90">
            <v>458</v>
          </cell>
          <cell r="H90">
            <v>35</v>
          </cell>
          <cell r="I90">
            <v>8</v>
          </cell>
          <cell r="J90">
            <v>140</v>
          </cell>
          <cell r="K90">
            <v>0</v>
          </cell>
          <cell r="L90">
            <v>0.38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2.714285714285714</v>
          </cell>
        </row>
        <row r="91">
          <cell r="A91" t="str">
            <v>Y002-049</v>
          </cell>
          <cell r="B91" t="str">
            <v>LCT112-264</v>
          </cell>
          <cell r="C91" t="str">
            <v>Y002</v>
          </cell>
          <cell r="D91" t="str">
            <v>NJ230-120</v>
          </cell>
          <cell r="E91" t="str">
            <v>側飾片</v>
          </cell>
          <cell r="F91" t="str">
            <v>372*35*8</v>
          </cell>
          <cell r="G91">
            <v>372</v>
          </cell>
          <cell r="H91">
            <v>35</v>
          </cell>
          <cell r="I91">
            <v>8</v>
          </cell>
          <cell r="J91">
            <v>0</v>
          </cell>
          <cell r="K91">
            <v>0</v>
          </cell>
          <cell r="L91">
            <v>0.3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#DIV/0!</v>
          </cell>
        </row>
        <row r="92">
          <cell r="A92" t="str">
            <v>Y002-050</v>
          </cell>
          <cell r="B92" t="str">
            <v>LCT112-265</v>
          </cell>
          <cell r="C92" t="str">
            <v>Y002</v>
          </cell>
          <cell r="D92" t="str">
            <v>NJ230-132</v>
          </cell>
          <cell r="E92" t="str">
            <v>前飾片</v>
          </cell>
          <cell r="F92" t="str">
            <v>557*35*8</v>
          </cell>
          <cell r="G92">
            <v>557</v>
          </cell>
          <cell r="H92">
            <v>35</v>
          </cell>
          <cell r="I92">
            <v>8</v>
          </cell>
          <cell r="J92">
            <v>0</v>
          </cell>
          <cell r="K92">
            <v>0</v>
          </cell>
          <cell r="L92">
            <v>0.45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#DIV/0!</v>
          </cell>
        </row>
        <row r="93">
          <cell r="A93" t="str">
            <v>Y002-051</v>
          </cell>
          <cell r="B93" t="str">
            <v>LCT112-266</v>
          </cell>
          <cell r="C93" t="str">
            <v>Y002</v>
          </cell>
          <cell r="D93" t="str">
            <v>NJ230-125</v>
          </cell>
          <cell r="E93" t="str">
            <v>前飾片</v>
          </cell>
          <cell r="F93" t="str">
            <v>810*35*8</v>
          </cell>
          <cell r="G93">
            <v>810</v>
          </cell>
          <cell r="H93">
            <v>35</v>
          </cell>
          <cell r="I93">
            <v>8</v>
          </cell>
          <cell r="J93">
            <v>0</v>
          </cell>
          <cell r="K93">
            <v>0</v>
          </cell>
          <cell r="L93">
            <v>0.65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#DIV/0!</v>
          </cell>
        </row>
        <row r="94">
          <cell r="A94" t="str">
            <v>Y002-052</v>
          </cell>
          <cell r="B94" t="str">
            <v>LCT112-267</v>
          </cell>
          <cell r="C94" t="str">
            <v>Y002</v>
          </cell>
          <cell r="D94" t="str">
            <v>NJ230-101</v>
          </cell>
          <cell r="E94" t="str">
            <v>前飾片</v>
          </cell>
          <cell r="F94" t="str">
            <v>1687*35*8</v>
          </cell>
          <cell r="G94">
            <v>1687</v>
          </cell>
          <cell r="H94">
            <v>35</v>
          </cell>
          <cell r="I94">
            <v>8</v>
          </cell>
          <cell r="J94">
            <v>480</v>
          </cell>
          <cell r="K94">
            <v>0</v>
          </cell>
          <cell r="L94">
            <v>1.3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2.7083333333333335</v>
          </cell>
        </row>
        <row r="95">
          <cell r="A95" t="str">
            <v>Y002-053</v>
          </cell>
          <cell r="B95" t="str">
            <v>LCT112-268</v>
          </cell>
          <cell r="C95" t="str">
            <v>Y002</v>
          </cell>
          <cell r="D95" t="str">
            <v>NJ230-121</v>
          </cell>
          <cell r="E95" t="str">
            <v>前飾片</v>
          </cell>
          <cell r="F95" t="str">
            <v>812*35*8</v>
          </cell>
          <cell r="G95">
            <v>812</v>
          </cell>
          <cell r="H95">
            <v>35</v>
          </cell>
          <cell r="I95">
            <v>8</v>
          </cell>
          <cell r="J95">
            <v>0</v>
          </cell>
          <cell r="K95">
            <v>0</v>
          </cell>
          <cell r="L95">
            <v>0.65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#DIV/0!</v>
          </cell>
        </row>
        <row r="96">
          <cell r="A96" t="str">
            <v>Y002-054</v>
          </cell>
          <cell r="B96" t="str">
            <v>LCT112-269</v>
          </cell>
          <cell r="C96" t="str">
            <v>Y002</v>
          </cell>
          <cell r="D96" t="str">
            <v>NJ230-120</v>
          </cell>
          <cell r="E96" t="str">
            <v>前飾片</v>
          </cell>
          <cell r="F96" t="str">
            <v>1215*35*8</v>
          </cell>
          <cell r="G96">
            <v>1215</v>
          </cell>
          <cell r="H96">
            <v>35</v>
          </cell>
          <cell r="I96">
            <v>8</v>
          </cell>
          <cell r="J96">
            <v>0</v>
          </cell>
          <cell r="K96">
            <v>0</v>
          </cell>
          <cell r="L96">
            <v>0.75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#DIV/0!</v>
          </cell>
        </row>
        <row r="97">
          <cell r="A97" t="str">
            <v>Y002-055</v>
          </cell>
          <cell r="B97" t="str">
            <v>LCT112-270</v>
          </cell>
          <cell r="C97" t="str">
            <v>Y002</v>
          </cell>
          <cell r="D97" t="str">
            <v>NJ230-156QFS</v>
          </cell>
          <cell r="E97" t="str">
            <v>下飾條</v>
          </cell>
          <cell r="F97" t="str">
            <v>1498*35*8</v>
          </cell>
          <cell r="G97">
            <v>1498</v>
          </cell>
          <cell r="H97">
            <v>35</v>
          </cell>
          <cell r="I97">
            <v>8</v>
          </cell>
          <cell r="J97">
            <v>430</v>
          </cell>
          <cell r="K97">
            <v>0</v>
          </cell>
          <cell r="L97">
            <v>1.1499999999999999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2.6744186046511627</v>
          </cell>
        </row>
        <row r="98">
          <cell r="A98" t="str">
            <v>Y002-056</v>
          </cell>
          <cell r="B98" t="str">
            <v>LCT112-271</v>
          </cell>
          <cell r="C98" t="str">
            <v>Y002</v>
          </cell>
          <cell r="D98" t="str">
            <v>NJ230-156KFS</v>
          </cell>
          <cell r="E98" t="str">
            <v>下飾條</v>
          </cell>
          <cell r="F98" t="str">
            <v>1904*35*8</v>
          </cell>
          <cell r="G98">
            <v>1904</v>
          </cell>
          <cell r="H98">
            <v>35</v>
          </cell>
          <cell r="I98">
            <v>8</v>
          </cell>
          <cell r="J98">
            <v>500</v>
          </cell>
          <cell r="K98">
            <v>0</v>
          </cell>
          <cell r="L98">
            <v>1.4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2.8</v>
          </cell>
        </row>
        <row r="99">
          <cell r="A99" t="str">
            <v>Y002-057</v>
          </cell>
          <cell r="B99" t="str">
            <v>LCT112-272</v>
          </cell>
          <cell r="C99" t="str">
            <v>Y002</v>
          </cell>
          <cell r="D99" t="str">
            <v>NJ230-132</v>
          </cell>
          <cell r="E99" t="str">
            <v>8字形貼瑰</v>
          </cell>
          <cell r="F99" t="str">
            <v>467*63*63</v>
          </cell>
          <cell r="G99">
            <v>467</v>
          </cell>
          <cell r="H99">
            <v>63</v>
          </cell>
          <cell r="I99">
            <v>63</v>
          </cell>
          <cell r="J99">
            <v>280</v>
          </cell>
          <cell r="K99">
            <v>0</v>
          </cell>
          <cell r="L99">
            <v>0.7</v>
          </cell>
          <cell r="M99">
            <v>0</v>
          </cell>
          <cell r="N99">
            <v>0</v>
          </cell>
          <cell r="O99" t="str">
            <v>40V</v>
          </cell>
          <cell r="P99" t="str">
            <v>1010</v>
          </cell>
          <cell r="Q99" t="str">
            <v>1010</v>
          </cell>
          <cell r="R99">
            <v>2.4999999999999996</v>
          </cell>
        </row>
        <row r="100">
          <cell r="A100" t="str">
            <v>Y002-058</v>
          </cell>
          <cell r="B100" t="str">
            <v>LCT112-273</v>
          </cell>
          <cell r="C100" t="str">
            <v>Y002</v>
          </cell>
          <cell r="D100" t="str">
            <v>NJ230-125</v>
          </cell>
          <cell r="E100" t="str">
            <v>8字形貼瑰</v>
          </cell>
          <cell r="F100" t="str">
            <v>1163*63*63</v>
          </cell>
          <cell r="G100">
            <v>1163</v>
          </cell>
          <cell r="H100">
            <v>63</v>
          </cell>
          <cell r="I100">
            <v>63</v>
          </cell>
          <cell r="J100">
            <v>600</v>
          </cell>
          <cell r="K100">
            <v>0</v>
          </cell>
          <cell r="L100">
            <v>1.5</v>
          </cell>
          <cell r="M100">
            <v>0</v>
          </cell>
          <cell r="N100">
            <v>0</v>
          </cell>
          <cell r="O100" t="str">
            <v>40V</v>
          </cell>
          <cell r="P100" t="str">
            <v>1010</v>
          </cell>
          <cell r="Q100">
            <v>0</v>
          </cell>
          <cell r="R100">
            <v>2.5</v>
          </cell>
        </row>
        <row r="101">
          <cell r="A101" t="str">
            <v>Y002-059</v>
          </cell>
          <cell r="B101" t="str">
            <v>LCT112-274</v>
          </cell>
          <cell r="C101" t="str">
            <v>Y002</v>
          </cell>
          <cell r="D101" t="str">
            <v>NJ230-101</v>
          </cell>
          <cell r="E101" t="str">
            <v>8字形貼瑰</v>
          </cell>
          <cell r="F101" t="str">
            <v>738*63*63</v>
          </cell>
          <cell r="G101">
            <v>738</v>
          </cell>
          <cell r="H101">
            <v>63</v>
          </cell>
          <cell r="I101">
            <v>63</v>
          </cell>
          <cell r="J101">
            <v>400</v>
          </cell>
          <cell r="K101">
            <v>0</v>
          </cell>
          <cell r="L101">
            <v>1</v>
          </cell>
          <cell r="M101">
            <v>0</v>
          </cell>
          <cell r="N101">
            <v>0</v>
          </cell>
          <cell r="O101" t="str">
            <v>40V</v>
          </cell>
          <cell r="P101" t="str">
            <v>1010</v>
          </cell>
          <cell r="Q101">
            <v>0</v>
          </cell>
          <cell r="R101">
            <v>2.5</v>
          </cell>
        </row>
        <row r="102">
          <cell r="A102" t="str">
            <v>Y002-060</v>
          </cell>
          <cell r="B102" t="str">
            <v>LCT112-275</v>
          </cell>
          <cell r="C102" t="str">
            <v>Y002</v>
          </cell>
          <cell r="D102" t="str">
            <v>NJ230-120</v>
          </cell>
          <cell r="E102" t="str">
            <v>8字形貼瑰</v>
          </cell>
          <cell r="F102" t="str">
            <v>735*63*63</v>
          </cell>
          <cell r="G102">
            <v>735</v>
          </cell>
          <cell r="H102">
            <v>63</v>
          </cell>
          <cell r="I102">
            <v>63</v>
          </cell>
          <cell r="J102">
            <v>0</v>
          </cell>
          <cell r="K102">
            <v>0</v>
          </cell>
          <cell r="L102">
            <v>1.05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#DIV/0!</v>
          </cell>
        </row>
        <row r="103">
          <cell r="A103" t="str">
            <v>Y002-061</v>
          </cell>
          <cell r="B103" t="str">
            <v>LCT112-276</v>
          </cell>
          <cell r="C103" t="str">
            <v>Y002</v>
          </cell>
          <cell r="D103" t="str">
            <v>NJ230-156QFS/KFS</v>
          </cell>
          <cell r="E103" t="str">
            <v>8字形貼瑰</v>
          </cell>
          <cell r="F103" t="str">
            <v>343*114*8</v>
          </cell>
          <cell r="G103">
            <v>343</v>
          </cell>
          <cell r="H103">
            <v>114</v>
          </cell>
          <cell r="I103">
            <v>8</v>
          </cell>
          <cell r="J103">
            <v>0</v>
          </cell>
          <cell r="K103">
            <v>0</v>
          </cell>
          <cell r="L103">
            <v>0.3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#DIV/0!</v>
          </cell>
        </row>
        <row r="104">
          <cell r="A104" t="str">
            <v>Y002-062</v>
          </cell>
          <cell r="B104" t="str">
            <v>LCT112-277</v>
          </cell>
          <cell r="C104" t="str">
            <v>Y002</v>
          </cell>
          <cell r="D104" t="str">
            <v>NJ230-156KH</v>
          </cell>
          <cell r="E104" t="str">
            <v>8字形貼瑰</v>
          </cell>
          <cell r="F104" t="str">
            <v>734*114*8</v>
          </cell>
          <cell r="G104">
            <v>734</v>
          </cell>
          <cell r="H104">
            <v>114</v>
          </cell>
          <cell r="I104">
            <v>8</v>
          </cell>
          <cell r="J104">
            <v>0</v>
          </cell>
          <cell r="K104">
            <v>0</v>
          </cell>
          <cell r="L104">
            <v>0.7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#DIV/0!</v>
          </cell>
        </row>
        <row r="105">
          <cell r="A105" t="str">
            <v>Y002-063</v>
          </cell>
          <cell r="B105" t="str">
            <v>LCT112-278</v>
          </cell>
          <cell r="C105" t="str">
            <v>Y002</v>
          </cell>
          <cell r="D105" t="str">
            <v>NJ230-132</v>
          </cell>
          <cell r="E105" t="str">
            <v>飾框</v>
          </cell>
          <cell r="F105" t="str">
            <v>477*165*12</v>
          </cell>
          <cell r="G105">
            <v>477</v>
          </cell>
          <cell r="H105">
            <v>165</v>
          </cell>
          <cell r="I105">
            <v>12</v>
          </cell>
          <cell r="J105">
            <v>280</v>
          </cell>
          <cell r="K105">
            <v>0</v>
          </cell>
          <cell r="L105">
            <v>0.8</v>
          </cell>
          <cell r="M105">
            <v>0</v>
          </cell>
          <cell r="N105">
            <v>0</v>
          </cell>
          <cell r="O105" t="str">
            <v>40V</v>
          </cell>
          <cell r="P105" t="str">
            <v>1010</v>
          </cell>
          <cell r="Q105" t="str">
            <v>1010</v>
          </cell>
          <cell r="R105">
            <v>2.8571428571428572</v>
          </cell>
        </row>
        <row r="106">
          <cell r="A106" t="str">
            <v>Y002-064</v>
          </cell>
          <cell r="B106" t="str">
            <v>LCT112-279</v>
          </cell>
          <cell r="C106" t="str">
            <v>Y002</v>
          </cell>
          <cell r="D106" t="str">
            <v>NJ230-125</v>
          </cell>
          <cell r="E106" t="str">
            <v>飾框</v>
          </cell>
          <cell r="F106" t="str">
            <v>733*165*12</v>
          </cell>
          <cell r="G106">
            <v>733</v>
          </cell>
          <cell r="H106">
            <v>165</v>
          </cell>
          <cell r="I106">
            <v>12</v>
          </cell>
          <cell r="J106">
            <v>365</v>
          </cell>
          <cell r="K106">
            <v>0</v>
          </cell>
          <cell r="L106">
            <v>1</v>
          </cell>
          <cell r="M106">
            <v>0</v>
          </cell>
          <cell r="N106">
            <v>0</v>
          </cell>
          <cell r="O106" t="str">
            <v>40V</v>
          </cell>
          <cell r="P106" t="str">
            <v>1010</v>
          </cell>
          <cell r="Q106" t="str">
            <v>1010</v>
          </cell>
          <cell r="R106">
            <v>2.7397260273972601</v>
          </cell>
        </row>
        <row r="107">
          <cell r="A107" t="str">
            <v>Y002-065</v>
          </cell>
          <cell r="B107" t="str">
            <v>LCT112-280</v>
          </cell>
          <cell r="C107" t="str">
            <v>Y002</v>
          </cell>
          <cell r="D107" t="str">
            <v>NJ230-101</v>
          </cell>
          <cell r="E107" t="str">
            <v>飾框</v>
          </cell>
          <cell r="F107" t="str">
            <v>315*178*12</v>
          </cell>
          <cell r="G107">
            <v>315</v>
          </cell>
          <cell r="H107">
            <v>178</v>
          </cell>
          <cell r="I107">
            <v>12</v>
          </cell>
          <cell r="J107">
            <v>220</v>
          </cell>
          <cell r="K107">
            <v>0</v>
          </cell>
          <cell r="L107">
            <v>0.6</v>
          </cell>
          <cell r="M107">
            <v>0</v>
          </cell>
          <cell r="N107">
            <v>0</v>
          </cell>
          <cell r="O107" t="str">
            <v>40V</v>
          </cell>
          <cell r="P107" t="str">
            <v>1010</v>
          </cell>
          <cell r="Q107" t="str">
            <v>1010</v>
          </cell>
          <cell r="R107">
            <v>2.7272727272727271</v>
          </cell>
        </row>
        <row r="108">
          <cell r="A108" t="str">
            <v>Y002-066</v>
          </cell>
          <cell r="B108" t="str">
            <v>LCT112-281</v>
          </cell>
          <cell r="C108" t="str">
            <v>Y002</v>
          </cell>
          <cell r="D108" t="str">
            <v>NJ230-120</v>
          </cell>
          <cell r="E108" t="str">
            <v>側上飾框</v>
          </cell>
          <cell r="F108" t="str">
            <v>281*175*12</v>
          </cell>
          <cell r="G108">
            <v>281</v>
          </cell>
          <cell r="H108">
            <v>175</v>
          </cell>
          <cell r="I108">
            <v>12</v>
          </cell>
          <cell r="J108">
            <v>0</v>
          </cell>
          <cell r="K108">
            <v>0</v>
          </cell>
          <cell r="L108">
            <v>0.5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#DIV/0!</v>
          </cell>
        </row>
        <row r="109">
          <cell r="A109" t="str">
            <v>Y002-067</v>
          </cell>
          <cell r="B109" t="str">
            <v>LCT112-282</v>
          </cell>
          <cell r="C109" t="str">
            <v>Y002</v>
          </cell>
          <cell r="D109" t="str">
            <v>NJ230-120</v>
          </cell>
          <cell r="E109" t="str">
            <v>中上飾框</v>
          </cell>
          <cell r="F109" t="str">
            <v>442*174*12</v>
          </cell>
          <cell r="G109">
            <v>442</v>
          </cell>
          <cell r="H109">
            <v>174</v>
          </cell>
          <cell r="I109">
            <v>12</v>
          </cell>
          <cell r="J109">
            <v>0</v>
          </cell>
          <cell r="K109">
            <v>0</v>
          </cell>
          <cell r="L109">
            <v>0.7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#DIV/0!</v>
          </cell>
        </row>
        <row r="110">
          <cell r="A110" t="str">
            <v>Y002-068</v>
          </cell>
          <cell r="B110" t="str">
            <v>LCT112-283</v>
          </cell>
          <cell r="C110" t="str">
            <v>Y002</v>
          </cell>
          <cell r="D110" t="str">
            <v>NJ230-120</v>
          </cell>
          <cell r="E110" t="str">
            <v>側下飾框</v>
          </cell>
          <cell r="F110" t="str">
            <v>538*178*12</v>
          </cell>
          <cell r="G110">
            <v>538</v>
          </cell>
          <cell r="H110">
            <v>178</v>
          </cell>
          <cell r="I110">
            <v>12</v>
          </cell>
          <cell r="J110">
            <v>0</v>
          </cell>
          <cell r="K110">
            <v>0</v>
          </cell>
          <cell r="L110">
            <v>0.7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#DIV/0!</v>
          </cell>
        </row>
        <row r="111">
          <cell r="A111" t="str">
            <v>Y002-069</v>
          </cell>
          <cell r="B111" t="str">
            <v>LCT112-284</v>
          </cell>
          <cell r="C111" t="str">
            <v>Y002</v>
          </cell>
          <cell r="D111" t="str">
            <v>NJ230-156QFS</v>
          </cell>
          <cell r="E111" t="str">
            <v>左飾框</v>
          </cell>
          <cell r="F111" t="str">
            <v>693*333*12</v>
          </cell>
          <cell r="G111">
            <v>693</v>
          </cell>
          <cell r="H111">
            <v>333</v>
          </cell>
          <cell r="I111">
            <v>12</v>
          </cell>
          <cell r="J111">
            <v>620</v>
          </cell>
          <cell r="K111">
            <v>0</v>
          </cell>
          <cell r="L111">
            <v>1.7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2.7419354838709675</v>
          </cell>
        </row>
        <row r="112">
          <cell r="A112" t="str">
            <v>Y002-070</v>
          </cell>
          <cell r="B112" t="str">
            <v>LCT112-285</v>
          </cell>
          <cell r="C112" t="str">
            <v>Y002</v>
          </cell>
          <cell r="D112" t="str">
            <v>NJ230-156QFS</v>
          </cell>
          <cell r="E112" t="str">
            <v>右飾框</v>
          </cell>
          <cell r="F112" t="str">
            <v>693*333*12</v>
          </cell>
          <cell r="G112">
            <v>693</v>
          </cell>
          <cell r="H112">
            <v>333</v>
          </cell>
          <cell r="I112">
            <v>12</v>
          </cell>
          <cell r="J112">
            <v>620</v>
          </cell>
          <cell r="K112">
            <v>0</v>
          </cell>
          <cell r="L112">
            <v>1.7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2.7419354838709675</v>
          </cell>
        </row>
        <row r="113">
          <cell r="A113" t="str">
            <v>Y002-071</v>
          </cell>
          <cell r="B113" t="str">
            <v>LCT112-286</v>
          </cell>
          <cell r="C113" t="str">
            <v>Y002</v>
          </cell>
          <cell r="D113" t="str">
            <v>NJ230-156KFS</v>
          </cell>
          <cell r="E113" t="str">
            <v>左飾框</v>
          </cell>
          <cell r="F113" t="str">
            <v>885*428*12</v>
          </cell>
          <cell r="G113">
            <v>885</v>
          </cell>
          <cell r="H113">
            <v>428</v>
          </cell>
          <cell r="I113">
            <v>12</v>
          </cell>
          <cell r="J113">
            <v>430</v>
          </cell>
          <cell r="K113">
            <v>0</v>
          </cell>
          <cell r="L113">
            <v>1.2</v>
          </cell>
          <cell r="M113">
            <v>0</v>
          </cell>
          <cell r="N113">
            <v>0</v>
          </cell>
          <cell r="O113" t="str">
            <v>40V</v>
          </cell>
          <cell r="P113" t="str">
            <v>1010</v>
          </cell>
          <cell r="Q113" t="str">
            <v>1010</v>
          </cell>
          <cell r="R113">
            <v>2.7906976744186047</v>
          </cell>
        </row>
        <row r="114">
          <cell r="A114" t="str">
            <v>Y002-072</v>
          </cell>
          <cell r="B114" t="str">
            <v>LCT112-287</v>
          </cell>
          <cell r="C114" t="str">
            <v>Y002</v>
          </cell>
          <cell r="D114" t="str">
            <v>NJ230-156KFS</v>
          </cell>
          <cell r="E114" t="str">
            <v>右飾框</v>
          </cell>
          <cell r="F114" t="str">
            <v>885*428*12</v>
          </cell>
          <cell r="G114">
            <v>885</v>
          </cell>
          <cell r="H114">
            <v>428</v>
          </cell>
          <cell r="I114">
            <v>12</v>
          </cell>
          <cell r="J114">
            <v>430</v>
          </cell>
          <cell r="K114">
            <v>0</v>
          </cell>
          <cell r="L114">
            <v>1.2</v>
          </cell>
          <cell r="M114">
            <v>0</v>
          </cell>
          <cell r="N114">
            <v>0</v>
          </cell>
          <cell r="O114" t="str">
            <v>40V</v>
          </cell>
          <cell r="P114" t="str">
            <v>1010</v>
          </cell>
          <cell r="Q114" t="str">
            <v>1010</v>
          </cell>
          <cell r="R114">
            <v>2.7906976744186047</v>
          </cell>
        </row>
        <row r="115">
          <cell r="A115" t="str">
            <v>Y002-073</v>
          </cell>
          <cell r="B115" t="str">
            <v>LCT112-288</v>
          </cell>
          <cell r="C115" t="str">
            <v>Y002</v>
          </cell>
          <cell r="D115" t="str">
            <v>NJ230-101</v>
          </cell>
          <cell r="E115" t="str">
            <v>門上飾條</v>
          </cell>
          <cell r="F115" t="str">
            <v>277*62*12</v>
          </cell>
          <cell r="G115">
            <v>277</v>
          </cell>
          <cell r="H115">
            <v>62</v>
          </cell>
          <cell r="I115">
            <v>12</v>
          </cell>
          <cell r="J115">
            <v>100</v>
          </cell>
          <cell r="K115">
            <v>0</v>
          </cell>
          <cell r="L115">
            <v>0.3</v>
          </cell>
          <cell r="M115">
            <v>0</v>
          </cell>
          <cell r="N115">
            <v>0</v>
          </cell>
          <cell r="O115" t="str">
            <v>40V</v>
          </cell>
          <cell r="P115" t="str">
            <v>1010</v>
          </cell>
          <cell r="Q115" t="str">
            <v>1010</v>
          </cell>
          <cell r="R115">
            <v>2.9999999999999996</v>
          </cell>
        </row>
        <row r="116">
          <cell r="A116" t="str">
            <v>Y002-074</v>
          </cell>
          <cell r="B116" t="str">
            <v>LCT112-289</v>
          </cell>
          <cell r="C116" t="str">
            <v>Y002</v>
          </cell>
          <cell r="D116" t="str">
            <v>NJ230-101</v>
          </cell>
          <cell r="E116" t="str">
            <v>門下飾條</v>
          </cell>
          <cell r="F116" t="str">
            <v>277*62*12</v>
          </cell>
          <cell r="G116">
            <v>277</v>
          </cell>
          <cell r="H116">
            <v>62</v>
          </cell>
          <cell r="I116">
            <v>12</v>
          </cell>
          <cell r="J116">
            <v>100</v>
          </cell>
          <cell r="K116">
            <v>0</v>
          </cell>
          <cell r="L116">
            <v>0.3</v>
          </cell>
          <cell r="M116">
            <v>0</v>
          </cell>
          <cell r="N116">
            <v>0</v>
          </cell>
          <cell r="O116" t="str">
            <v>40V</v>
          </cell>
          <cell r="P116" t="str">
            <v>1010</v>
          </cell>
          <cell r="Q116" t="str">
            <v>1010</v>
          </cell>
          <cell r="R116">
            <v>2.9999999999999996</v>
          </cell>
        </row>
        <row r="117">
          <cell r="A117" t="str">
            <v>Y002-075</v>
          </cell>
          <cell r="B117" t="str">
            <v>LCT112-290</v>
          </cell>
          <cell r="C117" t="str">
            <v>Y002</v>
          </cell>
          <cell r="D117" t="str">
            <v>NJ230-101</v>
          </cell>
          <cell r="E117" t="str">
            <v>門側飾條</v>
          </cell>
          <cell r="F117" t="str">
            <v>579*91*12</v>
          </cell>
          <cell r="G117">
            <v>579</v>
          </cell>
          <cell r="H117">
            <v>91</v>
          </cell>
          <cell r="I117">
            <v>12</v>
          </cell>
          <cell r="J117">
            <v>190</v>
          </cell>
          <cell r="K117">
            <v>0</v>
          </cell>
          <cell r="L117">
            <v>0.5</v>
          </cell>
          <cell r="M117">
            <v>0</v>
          </cell>
          <cell r="N117">
            <v>0</v>
          </cell>
          <cell r="O117" t="str">
            <v>40V</v>
          </cell>
          <cell r="P117" t="str">
            <v>1010</v>
          </cell>
          <cell r="Q117" t="str">
            <v>1010</v>
          </cell>
          <cell r="R117">
            <v>2.6315789473684212</v>
          </cell>
        </row>
        <row r="118">
          <cell r="A118" t="str">
            <v>Y002-076</v>
          </cell>
          <cell r="B118" t="str">
            <v>LCT112-291</v>
          </cell>
          <cell r="C118" t="str">
            <v>Y002</v>
          </cell>
          <cell r="D118" t="str">
            <v>NJ230-121</v>
          </cell>
          <cell r="E118" t="str">
            <v>門左飾條</v>
          </cell>
          <cell r="F118" t="str">
            <v>210*42*12</v>
          </cell>
          <cell r="G118">
            <v>210</v>
          </cell>
          <cell r="H118">
            <v>42</v>
          </cell>
          <cell r="I118">
            <v>12</v>
          </cell>
          <cell r="J118">
            <v>100</v>
          </cell>
          <cell r="K118">
            <v>0</v>
          </cell>
          <cell r="L118">
            <v>0.3</v>
          </cell>
          <cell r="M118">
            <v>0</v>
          </cell>
          <cell r="N118">
            <v>0</v>
          </cell>
          <cell r="O118" t="str">
            <v>40V</v>
          </cell>
          <cell r="P118" t="str">
            <v>1010</v>
          </cell>
          <cell r="Q118" t="str">
            <v>1010</v>
          </cell>
          <cell r="R118">
            <v>2.9999999999999996</v>
          </cell>
        </row>
        <row r="119">
          <cell r="A119" t="str">
            <v>Y002-077</v>
          </cell>
          <cell r="B119" t="str">
            <v>LCT112-292</v>
          </cell>
          <cell r="C119" t="str">
            <v>Y002</v>
          </cell>
          <cell r="D119" t="str">
            <v>NJ230-121</v>
          </cell>
          <cell r="E119" t="str">
            <v>門右飾條</v>
          </cell>
          <cell r="F119" t="str">
            <v>210*42*12</v>
          </cell>
          <cell r="G119">
            <v>210</v>
          </cell>
          <cell r="H119">
            <v>42</v>
          </cell>
          <cell r="I119">
            <v>12</v>
          </cell>
          <cell r="J119">
            <v>100</v>
          </cell>
          <cell r="K119">
            <v>0</v>
          </cell>
          <cell r="L119">
            <v>0.3</v>
          </cell>
          <cell r="M119">
            <v>0</v>
          </cell>
          <cell r="N119">
            <v>0</v>
          </cell>
          <cell r="O119" t="str">
            <v>40V</v>
          </cell>
          <cell r="P119" t="str">
            <v>1010</v>
          </cell>
          <cell r="Q119" t="str">
            <v>1010</v>
          </cell>
          <cell r="R119">
            <v>2.9999999999999996</v>
          </cell>
        </row>
        <row r="120">
          <cell r="A120" t="str">
            <v>Y002-078</v>
          </cell>
          <cell r="B120" t="str">
            <v>LCT112-293</v>
          </cell>
          <cell r="C120" t="str">
            <v>Y002</v>
          </cell>
          <cell r="D120" t="str">
            <v>NJ230-121</v>
          </cell>
          <cell r="E120" t="str">
            <v>左側飾條</v>
          </cell>
          <cell r="F120" t="str">
            <v>615*65*12</v>
          </cell>
          <cell r="G120">
            <v>615</v>
          </cell>
          <cell r="H120">
            <v>65</v>
          </cell>
          <cell r="I120">
            <v>12</v>
          </cell>
          <cell r="J120">
            <v>270</v>
          </cell>
          <cell r="K120">
            <v>0</v>
          </cell>
          <cell r="L120">
            <v>0.75</v>
          </cell>
          <cell r="M120">
            <v>0</v>
          </cell>
          <cell r="N120">
            <v>0</v>
          </cell>
          <cell r="O120" t="str">
            <v>40V</v>
          </cell>
          <cell r="P120" t="str">
            <v>1010</v>
          </cell>
          <cell r="Q120" t="str">
            <v>1010</v>
          </cell>
          <cell r="R120">
            <v>2.7777777777777777</v>
          </cell>
        </row>
        <row r="121">
          <cell r="A121" t="str">
            <v>Y002-079</v>
          </cell>
          <cell r="B121" t="str">
            <v>LCT112-294</v>
          </cell>
          <cell r="C121" t="str">
            <v>Y002</v>
          </cell>
          <cell r="D121" t="str">
            <v>NJ230-121</v>
          </cell>
          <cell r="E121" t="str">
            <v>右側飾條</v>
          </cell>
          <cell r="F121" t="str">
            <v>615*65*12</v>
          </cell>
          <cell r="G121">
            <v>615</v>
          </cell>
          <cell r="H121">
            <v>65</v>
          </cell>
          <cell r="I121">
            <v>12</v>
          </cell>
          <cell r="J121">
            <v>270</v>
          </cell>
          <cell r="K121">
            <v>0</v>
          </cell>
          <cell r="L121">
            <v>0.75</v>
          </cell>
          <cell r="M121">
            <v>0</v>
          </cell>
          <cell r="N121">
            <v>0</v>
          </cell>
          <cell r="O121" t="str">
            <v>40V</v>
          </cell>
          <cell r="P121" t="str">
            <v>1010</v>
          </cell>
          <cell r="Q121" t="str">
            <v>1010</v>
          </cell>
          <cell r="R121">
            <v>2.7777777777777777</v>
          </cell>
        </row>
        <row r="122">
          <cell r="A122" t="str">
            <v>Y002-080</v>
          </cell>
          <cell r="B122" t="str">
            <v>LCT112-295</v>
          </cell>
          <cell r="C122" t="str">
            <v>Y002</v>
          </cell>
          <cell r="D122" t="str">
            <v>NJ230-121</v>
          </cell>
          <cell r="E122" t="str">
            <v>側中飾條</v>
          </cell>
          <cell r="F122" t="str">
            <v>288*72*12</v>
          </cell>
          <cell r="G122">
            <v>288</v>
          </cell>
          <cell r="H122">
            <v>72</v>
          </cell>
          <cell r="I122">
            <v>12</v>
          </cell>
          <cell r="J122">
            <v>0</v>
          </cell>
          <cell r="K122">
            <v>0</v>
          </cell>
          <cell r="L122">
            <v>0.35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#DIV/0!</v>
          </cell>
        </row>
        <row r="123">
          <cell r="A123" t="str">
            <v>Y002-081</v>
          </cell>
          <cell r="B123" t="str">
            <v>LCT112-304</v>
          </cell>
          <cell r="C123" t="str">
            <v>Y002</v>
          </cell>
          <cell r="D123" t="str">
            <v>NJ230-156QH</v>
          </cell>
          <cell r="E123" t="str">
            <v>8字形貼瑰</v>
          </cell>
          <cell r="F123" t="str">
            <v>785*63*63</v>
          </cell>
          <cell r="G123">
            <v>785</v>
          </cell>
          <cell r="H123">
            <v>63</v>
          </cell>
          <cell r="I123">
            <v>63</v>
          </cell>
          <cell r="J123">
            <v>410</v>
          </cell>
          <cell r="K123">
            <v>0</v>
          </cell>
          <cell r="L123">
            <v>1.1499999999999999</v>
          </cell>
          <cell r="M123">
            <v>0</v>
          </cell>
          <cell r="N123">
            <v>0</v>
          </cell>
          <cell r="O123" t="str">
            <v>40V</v>
          </cell>
          <cell r="P123" t="str">
            <v>1010</v>
          </cell>
          <cell r="Q123" t="str">
            <v>1010</v>
          </cell>
          <cell r="R123">
            <v>2.8048780487804876</v>
          </cell>
        </row>
        <row r="124">
          <cell r="A124" t="str">
            <v>Y002-082</v>
          </cell>
          <cell r="B124" t="str">
            <v>LCT112-305</v>
          </cell>
          <cell r="C124" t="str">
            <v>Y002</v>
          </cell>
          <cell r="D124" t="str">
            <v>NJ230-156QFS/KFS</v>
          </cell>
          <cell r="E124" t="str">
            <v>8字形貼瑰</v>
          </cell>
          <cell r="F124" t="str">
            <v>343*63*63</v>
          </cell>
          <cell r="G124">
            <v>343</v>
          </cell>
          <cell r="H124">
            <v>63</v>
          </cell>
          <cell r="I124">
            <v>63</v>
          </cell>
          <cell r="J124">
            <v>0</v>
          </cell>
          <cell r="K124">
            <v>0</v>
          </cell>
          <cell r="L124">
            <v>0.6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#DIV/0!</v>
          </cell>
        </row>
        <row r="125">
          <cell r="A125" t="str">
            <v>Y002-083</v>
          </cell>
          <cell r="B125" t="str">
            <v>LCT112-311</v>
          </cell>
          <cell r="C125" t="str">
            <v>Y002</v>
          </cell>
          <cell r="D125" t="str">
            <v>NJ230-CUT</v>
          </cell>
          <cell r="E125" t="str">
            <v>上柜左挡光条弯形</v>
          </cell>
          <cell r="F125" t="str">
            <v>346*17*17</v>
          </cell>
          <cell r="G125">
            <v>346</v>
          </cell>
          <cell r="H125">
            <v>17</v>
          </cell>
          <cell r="I125">
            <v>17</v>
          </cell>
          <cell r="J125">
            <v>165</v>
          </cell>
          <cell r="K125">
            <v>0</v>
          </cell>
          <cell r="L125">
            <v>0.46</v>
          </cell>
          <cell r="M125">
            <v>0</v>
          </cell>
          <cell r="N125">
            <v>0</v>
          </cell>
          <cell r="O125" t="str">
            <v>40V</v>
          </cell>
          <cell r="P125" t="str">
            <v>1010</v>
          </cell>
          <cell r="Q125" t="str">
            <v>1010</v>
          </cell>
          <cell r="R125">
            <v>2.7878787878787881</v>
          </cell>
        </row>
        <row r="126">
          <cell r="A126" t="str">
            <v>Y002-084</v>
          </cell>
          <cell r="B126" t="str">
            <v>LCT112-312</v>
          </cell>
          <cell r="C126" t="str">
            <v>Y002</v>
          </cell>
          <cell r="D126" t="str">
            <v>NJ230-CUT</v>
          </cell>
          <cell r="E126" t="str">
            <v>上柜右挡光条弯形</v>
          </cell>
          <cell r="F126" t="str">
            <v>346*17*17</v>
          </cell>
          <cell r="G126">
            <v>346</v>
          </cell>
          <cell r="H126">
            <v>17</v>
          </cell>
          <cell r="I126">
            <v>17</v>
          </cell>
          <cell r="J126">
            <v>165</v>
          </cell>
          <cell r="K126">
            <v>0</v>
          </cell>
          <cell r="L126">
            <v>0.46</v>
          </cell>
          <cell r="M126">
            <v>0</v>
          </cell>
          <cell r="N126">
            <v>0</v>
          </cell>
          <cell r="O126" t="str">
            <v>40V</v>
          </cell>
          <cell r="P126" t="str">
            <v>1010</v>
          </cell>
          <cell r="Q126" t="str">
            <v>1010</v>
          </cell>
          <cell r="R126">
            <v>2.7878787878787881</v>
          </cell>
        </row>
        <row r="127">
          <cell r="A127" t="str">
            <v>Y002-085</v>
          </cell>
          <cell r="B127" t="str">
            <v>LCT112-313</v>
          </cell>
          <cell r="C127" t="str">
            <v>Y002</v>
          </cell>
          <cell r="D127" t="str">
            <v>NJ230-CUT</v>
          </cell>
          <cell r="E127" t="str">
            <v>门框左饰条弯形</v>
          </cell>
          <cell r="F127" t="str">
            <v>391*15*9.5</v>
          </cell>
          <cell r="G127">
            <v>391</v>
          </cell>
          <cell r="H127">
            <v>15</v>
          </cell>
          <cell r="I127">
            <v>9.5</v>
          </cell>
          <cell r="J127">
            <v>98</v>
          </cell>
          <cell r="K127">
            <v>0</v>
          </cell>
          <cell r="L127">
            <v>0.31</v>
          </cell>
          <cell r="M127">
            <v>0</v>
          </cell>
          <cell r="N127">
            <v>0</v>
          </cell>
          <cell r="O127" t="str">
            <v>40V</v>
          </cell>
          <cell r="P127" t="str">
            <v>1010</v>
          </cell>
          <cell r="Q127" t="str">
            <v>1010</v>
          </cell>
          <cell r="R127">
            <v>3.1632653061224487</v>
          </cell>
        </row>
        <row r="128">
          <cell r="A128" t="str">
            <v>Y002-086</v>
          </cell>
          <cell r="B128" t="str">
            <v>LCT112-314</v>
          </cell>
          <cell r="C128" t="str">
            <v>Y002</v>
          </cell>
          <cell r="D128" t="str">
            <v>NJ230-CUT</v>
          </cell>
          <cell r="E128" t="str">
            <v>门框右饰条弯形</v>
          </cell>
          <cell r="F128" t="str">
            <v>391*15*9.5</v>
          </cell>
          <cell r="G128">
            <v>391</v>
          </cell>
          <cell r="H128">
            <v>15</v>
          </cell>
          <cell r="I128">
            <v>9.5</v>
          </cell>
          <cell r="J128">
            <v>98</v>
          </cell>
          <cell r="K128">
            <v>0</v>
          </cell>
          <cell r="L128">
            <v>0.31</v>
          </cell>
          <cell r="M128">
            <v>0</v>
          </cell>
          <cell r="N128">
            <v>0</v>
          </cell>
          <cell r="O128" t="str">
            <v>40V</v>
          </cell>
          <cell r="P128" t="str">
            <v>1010</v>
          </cell>
          <cell r="Q128" t="str">
            <v>1010</v>
          </cell>
          <cell r="R128">
            <v>3.1632653061224487</v>
          </cell>
        </row>
        <row r="129">
          <cell r="A129" t="str">
            <v>Y002-087</v>
          </cell>
          <cell r="B129" t="str">
            <v>LCT112-315</v>
          </cell>
          <cell r="C129" t="str">
            <v>Y002</v>
          </cell>
          <cell r="D129" t="str">
            <v>NJ230-CUB</v>
          </cell>
          <cell r="E129" t="str">
            <v>面下框侧饰片</v>
          </cell>
          <cell r="F129" t="str">
            <v>438*35*8</v>
          </cell>
          <cell r="G129">
            <v>438</v>
          </cell>
          <cell r="H129">
            <v>35</v>
          </cell>
          <cell r="I129">
            <v>8</v>
          </cell>
          <cell r="J129">
            <v>113</v>
          </cell>
          <cell r="K129">
            <v>0</v>
          </cell>
          <cell r="L129">
            <v>0.36</v>
          </cell>
          <cell r="M129">
            <v>0</v>
          </cell>
          <cell r="N129">
            <v>0</v>
          </cell>
          <cell r="O129" t="str">
            <v>40V</v>
          </cell>
          <cell r="P129" t="str">
            <v>1010</v>
          </cell>
          <cell r="Q129" t="str">
            <v>1010</v>
          </cell>
          <cell r="R129">
            <v>3.1858407079646014</v>
          </cell>
        </row>
        <row r="130">
          <cell r="A130" t="str">
            <v>Y002-088</v>
          </cell>
          <cell r="B130" t="str">
            <v>LCT112-316</v>
          </cell>
          <cell r="C130" t="str">
            <v>Y002</v>
          </cell>
          <cell r="D130" t="str">
            <v>NJ230-CUB</v>
          </cell>
          <cell r="E130" t="str">
            <v>面下框前饰片</v>
          </cell>
          <cell r="F130" t="str">
            <v>1025*35*8</v>
          </cell>
          <cell r="G130">
            <v>1025</v>
          </cell>
          <cell r="H130">
            <v>35</v>
          </cell>
          <cell r="I130">
            <v>8</v>
          </cell>
          <cell r="J130">
            <v>258</v>
          </cell>
          <cell r="K130">
            <v>0</v>
          </cell>
          <cell r="L130">
            <v>0.78</v>
          </cell>
          <cell r="M130">
            <v>0</v>
          </cell>
          <cell r="N130">
            <v>0</v>
          </cell>
          <cell r="O130" t="str">
            <v>40V</v>
          </cell>
          <cell r="P130" t="str">
            <v>1010</v>
          </cell>
          <cell r="Q130" t="str">
            <v>1010</v>
          </cell>
          <cell r="R130">
            <v>3.0232558139534884</v>
          </cell>
        </row>
        <row r="131">
          <cell r="A131" t="str">
            <v>Y002-089</v>
          </cell>
          <cell r="B131" t="str">
            <v>LCT112-317</v>
          </cell>
          <cell r="C131" t="str">
            <v>Y002</v>
          </cell>
          <cell r="D131" t="str">
            <v>NJ230-44118TT</v>
          </cell>
          <cell r="E131" t="str">
            <v>边板立水饰片</v>
          </cell>
          <cell r="F131" t="str">
            <v>850*35*8</v>
          </cell>
          <cell r="G131">
            <v>850</v>
          </cell>
          <cell r="H131">
            <v>35</v>
          </cell>
          <cell r="I131">
            <v>8</v>
          </cell>
          <cell r="J131">
            <v>245</v>
          </cell>
          <cell r="K131">
            <v>0</v>
          </cell>
          <cell r="L131">
            <v>0.67</v>
          </cell>
          <cell r="M131">
            <v>0</v>
          </cell>
          <cell r="N131">
            <v>0</v>
          </cell>
          <cell r="O131" t="str">
            <v>40V</v>
          </cell>
          <cell r="P131" t="str">
            <v>1010</v>
          </cell>
          <cell r="Q131" t="str">
            <v>1010</v>
          </cell>
          <cell r="R131">
            <v>2.7346938775510208</v>
          </cell>
        </row>
        <row r="132">
          <cell r="A132" t="str">
            <v>Y002-090</v>
          </cell>
          <cell r="B132" t="str">
            <v>LCT112-318</v>
          </cell>
          <cell r="C132" t="str">
            <v>Y002</v>
          </cell>
          <cell r="D132" t="str">
            <v>NJ230-44118TT</v>
          </cell>
          <cell r="E132" t="str">
            <v>面板角立水饰片</v>
          </cell>
          <cell r="F132" t="str">
            <v>182*35*8</v>
          </cell>
          <cell r="G132">
            <v>182</v>
          </cell>
          <cell r="H132">
            <v>35</v>
          </cell>
          <cell r="I132">
            <v>8</v>
          </cell>
          <cell r="J132">
            <v>50</v>
          </cell>
          <cell r="K132">
            <v>0</v>
          </cell>
          <cell r="L132">
            <v>0.18</v>
          </cell>
          <cell r="M132">
            <v>0</v>
          </cell>
          <cell r="N132">
            <v>0</v>
          </cell>
          <cell r="O132" t="str">
            <v>40V</v>
          </cell>
          <cell r="P132" t="str">
            <v>1010</v>
          </cell>
          <cell r="Q132" t="str">
            <v>1010</v>
          </cell>
          <cell r="R132">
            <v>3.5999999999999996</v>
          </cell>
        </row>
        <row r="133">
          <cell r="A133" t="str">
            <v>Y002-091</v>
          </cell>
          <cell r="B133" t="str">
            <v>LCT112-319</v>
          </cell>
          <cell r="C133" t="str">
            <v>Y002</v>
          </cell>
          <cell r="D133" t="str">
            <v>NJ230-44118TT</v>
          </cell>
          <cell r="E133" t="str">
            <v>中面板立水饰片</v>
          </cell>
          <cell r="F133" t="str">
            <v>436*35*8</v>
          </cell>
          <cell r="G133">
            <v>436</v>
          </cell>
          <cell r="H133">
            <v>35</v>
          </cell>
          <cell r="I133">
            <v>8</v>
          </cell>
          <cell r="J133">
            <v>113</v>
          </cell>
          <cell r="K133">
            <v>0</v>
          </cell>
          <cell r="L133">
            <v>0.36</v>
          </cell>
          <cell r="M133">
            <v>0</v>
          </cell>
          <cell r="N133">
            <v>0</v>
          </cell>
          <cell r="O133" t="str">
            <v>40V</v>
          </cell>
          <cell r="P133" t="str">
            <v>1010</v>
          </cell>
          <cell r="Q133" t="str">
            <v>1010</v>
          </cell>
          <cell r="R133">
            <v>3.1858407079646014</v>
          </cell>
        </row>
        <row r="134">
          <cell r="A134" t="str">
            <v>Y002-092</v>
          </cell>
          <cell r="B134" t="str">
            <v>LCT112-320</v>
          </cell>
          <cell r="C134" t="str">
            <v>Y002</v>
          </cell>
          <cell r="D134" t="str">
            <v>NJ230-CUB</v>
          </cell>
          <cell r="E134" t="str">
            <v>门上饰条</v>
          </cell>
          <cell r="F134" t="str">
            <v>319*62*12</v>
          </cell>
          <cell r="G134">
            <v>319</v>
          </cell>
          <cell r="H134">
            <v>62</v>
          </cell>
          <cell r="I134">
            <v>12</v>
          </cell>
          <cell r="J134">
            <v>140</v>
          </cell>
          <cell r="K134">
            <v>0</v>
          </cell>
          <cell r="L134">
            <v>0.34</v>
          </cell>
          <cell r="M134">
            <v>0</v>
          </cell>
          <cell r="N134">
            <v>0</v>
          </cell>
          <cell r="O134" t="str">
            <v>40V</v>
          </cell>
          <cell r="P134" t="str">
            <v>1010</v>
          </cell>
          <cell r="Q134" t="str">
            <v>1010</v>
          </cell>
          <cell r="R134">
            <v>2.4285714285714284</v>
          </cell>
        </row>
        <row r="135">
          <cell r="A135" t="str">
            <v>Y002-093</v>
          </cell>
          <cell r="B135" t="str">
            <v>LCT112-321</v>
          </cell>
          <cell r="C135" t="str">
            <v>Y002</v>
          </cell>
          <cell r="D135" t="str">
            <v>NJ230-CUB</v>
          </cell>
          <cell r="E135" t="str">
            <v>门下饰条</v>
          </cell>
          <cell r="F135" t="str">
            <v>319*62*12</v>
          </cell>
          <cell r="G135">
            <v>319</v>
          </cell>
          <cell r="H135">
            <v>62</v>
          </cell>
          <cell r="I135">
            <v>12</v>
          </cell>
          <cell r="J135">
            <v>140</v>
          </cell>
          <cell r="K135">
            <v>0</v>
          </cell>
          <cell r="L135">
            <v>0.34</v>
          </cell>
          <cell r="M135">
            <v>0</v>
          </cell>
          <cell r="N135">
            <v>0</v>
          </cell>
          <cell r="O135" t="str">
            <v>40V</v>
          </cell>
          <cell r="P135" t="str">
            <v>1010</v>
          </cell>
          <cell r="Q135" t="str">
            <v>1010</v>
          </cell>
          <cell r="R135">
            <v>2.4285714285714284</v>
          </cell>
        </row>
        <row r="136">
          <cell r="A136" t="str">
            <v>Y002-094</v>
          </cell>
          <cell r="B136" t="str">
            <v>LCT112-322</v>
          </cell>
          <cell r="C136" t="str">
            <v>Y002</v>
          </cell>
          <cell r="D136" t="str">
            <v>NJ230-CUB</v>
          </cell>
          <cell r="E136" t="str">
            <v>门侧饰条</v>
          </cell>
          <cell r="F136" t="str">
            <v>480*99*12</v>
          </cell>
          <cell r="G136">
            <v>480</v>
          </cell>
          <cell r="H136">
            <v>99</v>
          </cell>
          <cell r="I136">
            <v>12</v>
          </cell>
          <cell r="J136">
            <v>200</v>
          </cell>
          <cell r="K136">
            <v>0</v>
          </cell>
          <cell r="L136">
            <v>0.45</v>
          </cell>
          <cell r="M136">
            <v>0</v>
          </cell>
          <cell r="N136">
            <v>0</v>
          </cell>
          <cell r="O136" t="str">
            <v>40V</v>
          </cell>
          <cell r="P136" t="str">
            <v>1010</v>
          </cell>
          <cell r="Q136" t="str">
            <v>1010</v>
          </cell>
          <cell r="R136">
            <v>2.25</v>
          </cell>
        </row>
        <row r="137">
          <cell r="A137" t="str">
            <v>Y002-095</v>
          </cell>
          <cell r="B137" t="str">
            <v>LCT112-323</v>
          </cell>
          <cell r="C137" t="str">
            <v>Y002</v>
          </cell>
          <cell r="D137" t="str">
            <v>200-02M</v>
          </cell>
          <cell r="E137" t="str">
            <v>外上飾條</v>
          </cell>
          <cell r="F137" t="str">
            <v>1126*19*10</v>
          </cell>
          <cell r="G137">
            <v>1126</v>
          </cell>
          <cell r="H137">
            <v>19</v>
          </cell>
          <cell r="I137">
            <v>10</v>
          </cell>
          <cell r="J137">
            <v>350</v>
          </cell>
          <cell r="K137">
            <v>0</v>
          </cell>
          <cell r="L137">
            <v>0.98</v>
          </cell>
          <cell r="M137">
            <v>0</v>
          </cell>
          <cell r="N137">
            <v>0</v>
          </cell>
          <cell r="O137" t="str">
            <v>40V</v>
          </cell>
          <cell r="P137" t="str">
            <v>1010</v>
          </cell>
          <cell r="Q137" t="str">
            <v>1010</v>
          </cell>
          <cell r="R137">
            <v>2.8000000000000003</v>
          </cell>
        </row>
        <row r="138">
          <cell r="A138" t="str">
            <v>Y002-096</v>
          </cell>
          <cell r="B138" t="str">
            <v>LCT112-324</v>
          </cell>
          <cell r="C138" t="str">
            <v>Y002</v>
          </cell>
          <cell r="D138" t="str">
            <v>200-33H</v>
          </cell>
          <cell r="E138" t="str">
            <v>內上飾條</v>
          </cell>
          <cell r="F138" t="str">
            <v>1378*13*6</v>
          </cell>
          <cell r="G138">
            <v>1378</v>
          </cell>
          <cell r="H138">
            <v>13</v>
          </cell>
          <cell r="I138">
            <v>6</v>
          </cell>
          <cell r="J138">
            <v>230</v>
          </cell>
          <cell r="K138">
            <v>0</v>
          </cell>
          <cell r="L138">
            <v>0.65</v>
          </cell>
          <cell r="M138">
            <v>0</v>
          </cell>
          <cell r="N138">
            <v>0</v>
          </cell>
          <cell r="O138" t="str">
            <v>40V</v>
          </cell>
          <cell r="P138" t="str">
            <v>1010</v>
          </cell>
          <cell r="Q138" t="str">
            <v>1010</v>
          </cell>
          <cell r="R138">
            <v>2.8260869565217392</v>
          </cell>
        </row>
        <row r="139">
          <cell r="A139" t="str">
            <v>Y002-097</v>
          </cell>
          <cell r="B139" t="str">
            <v>LCT112-325</v>
          </cell>
          <cell r="C139" t="str">
            <v>Y002</v>
          </cell>
          <cell r="D139" t="str">
            <v>200-34H</v>
          </cell>
          <cell r="E139" t="str">
            <v>內上飾條</v>
          </cell>
          <cell r="F139" t="str">
            <v>1768*13*6</v>
          </cell>
          <cell r="G139">
            <v>1768</v>
          </cell>
          <cell r="H139">
            <v>13</v>
          </cell>
          <cell r="I139">
            <v>6</v>
          </cell>
          <cell r="J139">
            <v>300</v>
          </cell>
          <cell r="K139">
            <v>0</v>
          </cell>
          <cell r="L139">
            <v>0.78</v>
          </cell>
          <cell r="M139">
            <v>0</v>
          </cell>
          <cell r="N139">
            <v>0</v>
          </cell>
          <cell r="O139" t="str">
            <v>40V</v>
          </cell>
          <cell r="P139" t="str">
            <v>1010</v>
          </cell>
          <cell r="Q139" t="str">
            <v>1010</v>
          </cell>
          <cell r="R139">
            <v>2.6</v>
          </cell>
        </row>
        <row r="140">
          <cell r="A140" t="str">
            <v>Y002-098</v>
          </cell>
          <cell r="B140" t="str">
            <v>LCT112-145</v>
          </cell>
          <cell r="C140" t="str">
            <v>Y002</v>
          </cell>
          <cell r="D140" t="str">
            <v>853-01-11-21</v>
          </cell>
          <cell r="E140" t="str">
            <v>床頭柱圓飾片</v>
          </cell>
          <cell r="F140" t="str">
            <v>60*60*13</v>
          </cell>
          <cell r="G140">
            <v>60</v>
          </cell>
          <cell r="H140">
            <v>60</v>
          </cell>
          <cell r="I140">
            <v>13</v>
          </cell>
          <cell r="J140">
            <v>30</v>
          </cell>
          <cell r="K140">
            <v>0</v>
          </cell>
          <cell r="L140">
            <v>0.12</v>
          </cell>
          <cell r="M140">
            <v>0</v>
          </cell>
          <cell r="N140">
            <v>0</v>
          </cell>
          <cell r="O140" t="str">
            <v>40V</v>
          </cell>
          <cell r="P140" t="str">
            <v>1010</v>
          </cell>
          <cell r="Q140" t="str">
            <v>1010</v>
          </cell>
          <cell r="R140">
            <v>4</v>
          </cell>
        </row>
        <row r="141">
          <cell r="A141" t="str">
            <v>Y002-099</v>
          </cell>
          <cell r="B141" t="str">
            <v>LCT112-167</v>
          </cell>
          <cell r="C141" t="str">
            <v>Y002</v>
          </cell>
          <cell r="D141" t="str">
            <v>832-11</v>
          </cell>
          <cell r="E141" t="str">
            <v>上飾條</v>
          </cell>
          <cell r="F141" t="str">
            <v>940*16*8</v>
          </cell>
          <cell r="G141">
            <v>940</v>
          </cell>
          <cell r="H141">
            <v>16</v>
          </cell>
          <cell r="I141">
            <v>8</v>
          </cell>
          <cell r="J141">
            <v>180</v>
          </cell>
          <cell r="K141">
            <v>0</v>
          </cell>
          <cell r="L141">
            <v>0.55000000000000004</v>
          </cell>
          <cell r="M141">
            <v>0</v>
          </cell>
          <cell r="N141">
            <v>0</v>
          </cell>
          <cell r="O141" t="str">
            <v>40V</v>
          </cell>
          <cell r="P141" t="str">
            <v>1010</v>
          </cell>
          <cell r="Q141" t="str">
            <v>1010</v>
          </cell>
          <cell r="R141">
            <v>3.0555555555555558</v>
          </cell>
        </row>
        <row r="142">
          <cell r="A142" t="str">
            <v>Y002-100</v>
          </cell>
          <cell r="B142" t="str">
            <v>LCT112-168</v>
          </cell>
          <cell r="C142" t="str">
            <v>Y002</v>
          </cell>
          <cell r="D142" t="str">
            <v>832-21</v>
          </cell>
          <cell r="E142" t="str">
            <v>上飾條</v>
          </cell>
          <cell r="F142" t="str">
            <v>903*16*8</v>
          </cell>
          <cell r="G142">
            <v>903</v>
          </cell>
          <cell r="H142">
            <v>16</v>
          </cell>
          <cell r="I142">
            <v>8</v>
          </cell>
          <cell r="J142">
            <v>174</v>
          </cell>
          <cell r="K142">
            <v>0</v>
          </cell>
          <cell r="L142">
            <v>0.5</v>
          </cell>
          <cell r="M142">
            <v>0</v>
          </cell>
          <cell r="N142">
            <v>0</v>
          </cell>
          <cell r="O142" t="str">
            <v>40V</v>
          </cell>
          <cell r="P142" t="str">
            <v>1010</v>
          </cell>
          <cell r="Q142" t="str">
            <v>1010</v>
          </cell>
          <cell r="R142">
            <v>2.8735632183908049</v>
          </cell>
        </row>
        <row r="143">
          <cell r="A143" t="str">
            <v>Y002-101</v>
          </cell>
          <cell r="B143" t="str">
            <v>LCT112-169</v>
          </cell>
          <cell r="C143" t="str">
            <v>Y002</v>
          </cell>
          <cell r="D143" t="str">
            <v>832-01</v>
          </cell>
          <cell r="E143" t="str">
            <v>上飾條</v>
          </cell>
          <cell r="F143" t="str">
            <v>718*16*8</v>
          </cell>
          <cell r="G143">
            <v>718</v>
          </cell>
          <cell r="H143">
            <v>16</v>
          </cell>
          <cell r="I143">
            <v>8</v>
          </cell>
          <cell r="J143">
            <v>145</v>
          </cell>
          <cell r="K143">
            <v>0</v>
          </cell>
          <cell r="L143">
            <v>0.4</v>
          </cell>
          <cell r="M143">
            <v>0</v>
          </cell>
          <cell r="N143">
            <v>0</v>
          </cell>
          <cell r="O143" t="str">
            <v>40V</v>
          </cell>
          <cell r="P143" t="str">
            <v>1010</v>
          </cell>
          <cell r="Q143" t="str">
            <v>1010</v>
          </cell>
          <cell r="R143">
            <v>2.7586206896551726</v>
          </cell>
        </row>
        <row r="144">
          <cell r="A144" t="str">
            <v>Y002-102</v>
          </cell>
          <cell r="B144" t="str">
            <v>LCT112-328</v>
          </cell>
          <cell r="C144" t="str">
            <v>Y002</v>
          </cell>
          <cell r="D144" t="str">
            <v>NJ230-CUT</v>
          </cell>
          <cell r="E144" t="str">
            <v>門框下飾條直線形</v>
          </cell>
          <cell r="F144" t="str">
            <v>410*15*9.5</v>
          </cell>
          <cell r="G144">
            <v>410</v>
          </cell>
          <cell r="H144">
            <v>15</v>
          </cell>
          <cell r="I144">
            <v>9.5</v>
          </cell>
          <cell r="J144">
            <v>94</v>
          </cell>
          <cell r="K144">
            <v>0</v>
          </cell>
          <cell r="L144">
            <v>0.34</v>
          </cell>
          <cell r="M144">
            <v>0</v>
          </cell>
          <cell r="N144">
            <v>0</v>
          </cell>
          <cell r="O144" t="str">
            <v>40V</v>
          </cell>
          <cell r="P144" t="str">
            <v>1010</v>
          </cell>
          <cell r="Q144" t="str">
            <v>1010</v>
          </cell>
          <cell r="R144">
            <v>3.6170212765957448</v>
          </cell>
          <cell r="S144">
            <v>0</v>
          </cell>
        </row>
        <row r="145">
          <cell r="A145" t="str">
            <v>Y002-103</v>
          </cell>
          <cell r="B145" t="str">
            <v>LCT112-052</v>
          </cell>
          <cell r="C145" t="str">
            <v>Y002</v>
          </cell>
          <cell r="D145" t="str">
            <v>625-33F/34F</v>
          </cell>
          <cell r="E145" t="str">
            <v>小床尾侧饰片(沒木紋)</v>
          </cell>
          <cell r="F145" t="str">
            <v>440*60*9</v>
          </cell>
          <cell r="G145">
            <v>440</v>
          </cell>
          <cell r="H145">
            <v>60</v>
          </cell>
          <cell r="I145">
            <v>9</v>
          </cell>
          <cell r="J145">
            <v>420</v>
          </cell>
          <cell r="K145">
            <v>0</v>
          </cell>
          <cell r="L145">
            <v>1.0900000000000001</v>
          </cell>
          <cell r="M145">
            <v>0</v>
          </cell>
          <cell r="N145">
            <v>0</v>
          </cell>
          <cell r="O145" t="str">
            <v>100D</v>
          </cell>
          <cell r="P145">
            <v>1010</v>
          </cell>
          <cell r="Q145" t="str">
            <v>1010</v>
          </cell>
          <cell r="R145">
            <v>2.5952380952380953</v>
          </cell>
          <cell r="S145">
            <v>0</v>
          </cell>
        </row>
        <row r="146">
          <cell r="A146" t="str">
            <v>Y002-104</v>
          </cell>
          <cell r="B146" t="str">
            <v>LCT112-053</v>
          </cell>
          <cell r="C146" t="str">
            <v>Y002</v>
          </cell>
          <cell r="D146" t="str">
            <v>625-33F/34F</v>
          </cell>
          <cell r="E146" t="str">
            <v>小床尾中饰片(沒木紋)</v>
          </cell>
          <cell r="F146" t="str">
            <v>420*63*9</v>
          </cell>
          <cell r="G146">
            <v>420</v>
          </cell>
          <cell r="H146">
            <v>63</v>
          </cell>
          <cell r="I146">
            <v>9</v>
          </cell>
          <cell r="J146">
            <v>400</v>
          </cell>
          <cell r="K146">
            <v>0</v>
          </cell>
          <cell r="L146">
            <v>1.04</v>
          </cell>
          <cell r="M146">
            <v>0</v>
          </cell>
          <cell r="N146">
            <v>0</v>
          </cell>
          <cell r="O146" t="str">
            <v>100D</v>
          </cell>
          <cell r="P146">
            <v>1010</v>
          </cell>
          <cell r="Q146" t="str">
            <v>1010</v>
          </cell>
          <cell r="R146">
            <v>2.6</v>
          </cell>
          <cell r="S146">
            <v>0</v>
          </cell>
        </row>
        <row r="147">
          <cell r="A147" t="str">
            <v>Y002-105</v>
          </cell>
          <cell r="B147" t="str">
            <v>LCT112-054</v>
          </cell>
          <cell r="C147" t="str">
            <v>Y002</v>
          </cell>
          <cell r="D147" t="str">
            <v>625-33H/34H</v>
          </cell>
          <cell r="E147" t="str">
            <v>小床头侧饰片(沒木紋)</v>
          </cell>
          <cell r="F147" t="str">
            <v>595*60*9</v>
          </cell>
          <cell r="G147">
            <v>595</v>
          </cell>
          <cell r="H147">
            <v>60</v>
          </cell>
          <cell r="I147">
            <v>9</v>
          </cell>
          <cell r="J147">
            <v>460</v>
          </cell>
          <cell r="K147">
            <v>0</v>
          </cell>
          <cell r="L147">
            <v>1.46</v>
          </cell>
          <cell r="M147">
            <v>0</v>
          </cell>
          <cell r="N147">
            <v>0</v>
          </cell>
          <cell r="O147" t="str">
            <v>100D</v>
          </cell>
          <cell r="P147">
            <v>1010</v>
          </cell>
          <cell r="Q147" t="str">
            <v>1010</v>
          </cell>
          <cell r="R147">
            <v>3.1739130434782608</v>
          </cell>
          <cell r="S147">
            <v>0</v>
          </cell>
        </row>
        <row r="148">
          <cell r="A148" t="str">
            <v>Y002-106</v>
          </cell>
          <cell r="B148" t="str">
            <v>LCT112-055</v>
          </cell>
          <cell r="C148" t="str">
            <v>Y002</v>
          </cell>
          <cell r="D148" t="str">
            <v>625-33H/34H</v>
          </cell>
          <cell r="E148" t="str">
            <v>小床头中饰片(沒木紋)</v>
          </cell>
          <cell r="F148" t="str">
            <v>615*63*9</v>
          </cell>
          <cell r="G148">
            <v>615</v>
          </cell>
          <cell r="H148">
            <v>63</v>
          </cell>
          <cell r="I148">
            <v>9</v>
          </cell>
          <cell r="J148">
            <v>600</v>
          </cell>
          <cell r="K148">
            <v>0</v>
          </cell>
          <cell r="L148">
            <v>1.56</v>
          </cell>
          <cell r="M148">
            <v>0</v>
          </cell>
          <cell r="N148">
            <v>0</v>
          </cell>
          <cell r="O148" t="str">
            <v>100D</v>
          </cell>
          <cell r="P148">
            <v>1010</v>
          </cell>
          <cell r="Q148" t="str">
            <v>1010</v>
          </cell>
          <cell r="R148">
            <v>2.6</v>
          </cell>
          <cell r="S148">
            <v>0</v>
          </cell>
        </row>
        <row r="149">
          <cell r="A149" t="str">
            <v>Y002-107</v>
          </cell>
          <cell r="B149" t="str">
            <v>LCT112-329</v>
          </cell>
          <cell r="C149" t="str">
            <v>Y002</v>
          </cell>
          <cell r="D149" t="str">
            <v>848/853</v>
          </cell>
          <cell r="E149" t="str">
            <v>床頭柱圓飾片</v>
          </cell>
          <cell r="F149" t="str">
            <v>60*60*13</v>
          </cell>
          <cell r="G149">
            <v>60</v>
          </cell>
          <cell r="H149">
            <v>60</v>
          </cell>
          <cell r="I149">
            <v>13</v>
          </cell>
          <cell r="J149">
            <v>30</v>
          </cell>
          <cell r="K149">
            <v>0</v>
          </cell>
          <cell r="L149">
            <v>0.12</v>
          </cell>
          <cell r="M149">
            <v>0</v>
          </cell>
          <cell r="N149">
            <v>0</v>
          </cell>
          <cell r="O149" t="str">
            <v>40V</v>
          </cell>
          <cell r="P149" t="str">
            <v>9110</v>
          </cell>
          <cell r="Q149" t="str">
            <v>9110</v>
          </cell>
          <cell r="R149">
            <v>4</v>
          </cell>
          <cell r="S149">
            <v>0</v>
          </cell>
        </row>
        <row r="150">
          <cell r="A150" t="str">
            <v>Y002-108</v>
          </cell>
          <cell r="B150" t="str">
            <v>LCT112-330</v>
          </cell>
          <cell r="C150" t="str">
            <v>Y002</v>
          </cell>
          <cell r="D150" t="str">
            <v>848-07/15/46/09/15</v>
          </cell>
          <cell r="E150" t="str">
            <v>企柱左貼塊-L</v>
          </cell>
          <cell r="F150" t="str">
            <v>102*81*76</v>
          </cell>
          <cell r="G150">
            <v>102</v>
          </cell>
          <cell r="H150">
            <v>81</v>
          </cell>
          <cell r="I150">
            <v>76</v>
          </cell>
          <cell r="J150">
            <v>275</v>
          </cell>
          <cell r="K150">
            <v>0</v>
          </cell>
          <cell r="L150">
            <v>0.73</v>
          </cell>
          <cell r="M150">
            <v>0</v>
          </cell>
          <cell r="N150">
            <v>40</v>
          </cell>
          <cell r="O150" t="str">
            <v>40V</v>
          </cell>
          <cell r="P150" t="str">
            <v>9110</v>
          </cell>
          <cell r="Q150" t="str">
            <v>9110</v>
          </cell>
          <cell r="R150">
            <v>2.6545454545454543</v>
          </cell>
          <cell r="S150">
            <v>0</v>
          </cell>
        </row>
        <row r="151">
          <cell r="A151" t="str">
            <v>Y002-109</v>
          </cell>
          <cell r="B151" t="str">
            <v>LCT112-331</v>
          </cell>
          <cell r="C151" t="str">
            <v>Y002</v>
          </cell>
          <cell r="D151" t="str">
            <v>848-07/15/46/09/15</v>
          </cell>
          <cell r="E151" t="str">
            <v>企柱右貼塊-R</v>
          </cell>
          <cell r="F151" t="str">
            <v>102*81*76</v>
          </cell>
          <cell r="G151">
            <v>102</v>
          </cell>
          <cell r="H151">
            <v>81</v>
          </cell>
          <cell r="I151">
            <v>76</v>
          </cell>
          <cell r="J151">
            <v>275</v>
          </cell>
          <cell r="K151">
            <v>0</v>
          </cell>
          <cell r="L151">
            <v>0.73</v>
          </cell>
          <cell r="M151">
            <v>0</v>
          </cell>
          <cell r="N151">
            <v>40</v>
          </cell>
          <cell r="O151" t="str">
            <v>40V</v>
          </cell>
          <cell r="P151" t="str">
            <v>9110</v>
          </cell>
          <cell r="Q151" t="str">
            <v>9110</v>
          </cell>
          <cell r="R151">
            <v>2.6545454545454543</v>
          </cell>
          <cell r="S151">
            <v>0</v>
          </cell>
        </row>
        <row r="152">
          <cell r="A152" t="str">
            <v>Y002-110</v>
          </cell>
          <cell r="B152" t="str">
            <v>LCT112-336</v>
          </cell>
          <cell r="C152" t="str">
            <v>Y002</v>
          </cell>
          <cell r="D152" t="str">
            <v>159-88</v>
          </cell>
          <cell r="E152" t="str">
            <v>企柱上貼塊</v>
          </cell>
          <cell r="F152" t="str">
            <v>175*96*47</v>
          </cell>
          <cell r="G152">
            <v>175</v>
          </cell>
          <cell r="H152">
            <v>96</v>
          </cell>
          <cell r="I152">
            <v>47</v>
          </cell>
          <cell r="J152">
            <v>550</v>
          </cell>
          <cell r="K152">
            <v>0</v>
          </cell>
          <cell r="L152">
            <v>1.5</v>
          </cell>
          <cell r="M152">
            <v>0</v>
          </cell>
          <cell r="N152">
            <v>130</v>
          </cell>
          <cell r="O152" t="str">
            <v>40V</v>
          </cell>
          <cell r="P152" t="str">
            <v>9110</v>
          </cell>
          <cell r="Q152" t="str">
            <v>9110</v>
          </cell>
          <cell r="R152">
            <v>2.7272727272727271</v>
          </cell>
          <cell r="S152">
            <v>0</v>
          </cell>
        </row>
        <row r="153">
          <cell r="A153" t="str">
            <v>Y002-111</v>
          </cell>
          <cell r="B153" t="str">
            <v>LCT112-163</v>
          </cell>
          <cell r="C153" t="str">
            <v>Y002</v>
          </cell>
          <cell r="D153" t="str">
            <v>39PT-301E</v>
          </cell>
          <cell r="E153" t="str">
            <v>床尾柱A段</v>
          </cell>
          <cell r="F153" t="str">
            <v>128*76*76</v>
          </cell>
          <cell r="G153">
            <v>128</v>
          </cell>
          <cell r="H153">
            <v>76</v>
          </cell>
          <cell r="I153">
            <v>76</v>
          </cell>
          <cell r="J153">
            <v>0</v>
          </cell>
          <cell r="K153">
            <v>0</v>
          </cell>
          <cell r="L153">
            <v>0.73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#DIV/0!</v>
          </cell>
          <cell r="S153">
            <v>0</v>
          </cell>
        </row>
        <row r="154">
          <cell r="A154" t="str">
            <v>Y002-112</v>
          </cell>
          <cell r="B154" t="str">
            <v>LCT112-337</v>
          </cell>
          <cell r="C154" t="str">
            <v>Y002</v>
          </cell>
          <cell r="D154" t="str">
            <v>848-19</v>
          </cell>
          <cell r="E154" t="str">
            <v>門板轉角</v>
          </cell>
          <cell r="F154" t="str">
            <v>1170*8*4</v>
          </cell>
          <cell r="G154">
            <v>1170</v>
          </cell>
          <cell r="H154">
            <v>8</v>
          </cell>
          <cell r="I154">
            <v>4</v>
          </cell>
          <cell r="J154">
            <v>0</v>
          </cell>
          <cell r="K154">
            <v>0</v>
          </cell>
          <cell r="L154">
            <v>0.22</v>
          </cell>
          <cell r="M154">
            <v>0</v>
          </cell>
          <cell r="N154">
            <v>0</v>
          </cell>
          <cell r="O154" t="str">
            <v>40V</v>
          </cell>
          <cell r="P154" t="str">
            <v>1010</v>
          </cell>
          <cell r="Q154" t="str">
            <v>1010</v>
          </cell>
          <cell r="R154" t="e">
            <v>#DIV/0!</v>
          </cell>
          <cell r="S154">
            <v>0</v>
          </cell>
        </row>
        <row r="155">
          <cell r="A155" t="str">
            <v>Y002-113</v>
          </cell>
          <cell r="B155" t="str">
            <v>LCT112-338</v>
          </cell>
          <cell r="C155" t="str">
            <v>Y002</v>
          </cell>
          <cell r="D155">
            <v>327</v>
          </cell>
          <cell r="E155" t="str">
            <v>抽屉poly饰块</v>
          </cell>
          <cell r="F155" t="str">
            <v>117*67*13</v>
          </cell>
          <cell r="G155">
            <v>117</v>
          </cell>
          <cell r="H155">
            <v>67</v>
          </cell>
          <cell r="I155">
            <v>13</v>
          </cell>
          <cell r="J155">
            <v>50</v>
          </cell>
          <cell r="K155">
            <v>0</v>
          </cell>
          <cell r="L155">
            <v>0.21</v>
          </cell>
          <cell r="M155">
            <v>0</v>
          </cell>
          <cell r="N155">
            <v>0</v>
          </cell>
          <cell r="O155" t="str">
            <v>40V</v>
          </cell>
          <cell r="P155" t="str">
            <v>1010</v>
          </cell>
          <cell r="Q155" t="str">
            <v>1010</v>
          </cell>
          <cell r="R155">
            <v>4.1999999999999993</v>
          </cell>
          <cell r="S155">
            <v>0</v>
          </cell>
        </row>
        <row r="156">
          <cell r="A156" t="str">
            <v>Y002-114</v>
          </cell>
          <cell r="B156" t="str">
            <v>LCT112-339</v>
          </cell>
          <cell r="C156" t="str">
            <v>Y002</v>
          </cell>
          <cell r="D156" t="str">
            <v>327-33H/34H</v>
          </cell>
          <cell r="E156" t="str">
            <v>左飾花</v>
          </cell>
          <cell r="F156" t="str">
            <v>572*186*13</v>
          </cell>
          <cell r="G156">
            <v>572</v>
          </cell>
          <cell r="H156">
            <v>186</v>
          </cell>
          <cell r="I156">
            <v>13</v>
          </cell>
          <cell r="J156">
            <v>260</v>
          </cell>
          <cell r="K156">
            <v>0</v>
          </cell>
          <cell r="L156">
            <v>0.71</v>
          </cell>
          <cell r="M156">
            <v>0</v>
          </cell>
          <cell r="N156">
            <v>0</v>
          </cell>
          <cell r="O156" t="str">
            <v>40V</v>
          </cell>
          <cell r="P156" t="str">
            <v>1010</v>
          </cell>
          <cell r="Q156" t="str">
            <v>1010</v>
          </cell>
          <cell r="R156">
            <v>2.7307692307692304</v>
          </cell>
          <cell r="S156">
            <v>0</v>
          </cell>
        </row>
        <row r="157">
          <cell r="A157" t="str">
            <v>Y002-115</v>
          </cell>
          <cell r="B157" t="str">
            <v>LCT112-340</v>
          </cell>
          <cell r="C157" t="str">
            <v>Y002</v>
          </cell>
          <cell r="D157" t="str">
            <v>327-33H/34H</v>
          </cell>
          <cell r="E157" t="str">
            <v>右飾花</v>
          </cell>
          <cell r="F157" t="str">
            <v>572*186*13</v>
          </cell>
          <cell r="G157">
            <v>572</v>
          </cell>
          <cell r="H157">
            <v>186</v>
          </cell>
          <cell r="I157">
            <v>13</v>
          </cell>
          <cell r="J157">
            <v>260</v>
          </cell>
          <cell r="K157">
            <v>0</v>
          </cell>
          <cell r="L157">
            <v>0.71</v>
          </cell>
          <cell r="M157">
            <v>0</v>
          </cell>
          <cell r="N157">
            <v>0</v>
          </cell>
          <cell r="O157" t="str">
            <v>40V</v>
          </cell>
          <cell r="P157" t="str">
            <v>1010</v>
          </cell>
          <cell r="Q157" t="str">
            <v>1010</v>
          </cell>
          <cell r="R157">
            <v>2.7307692307692304</v>
          </cell>
          <cell r="S157">
            <v>0</v>
          </cell>
        </row>
        <row r="158">
          <cell r="A158" t="str">
            <v>Y002-116</v>
          </cell>
          <cell r="B158" t="str">
            <v>LCT112-341</v>
          </cell>
          <cell r="C158" t="str">
            <v>Y002</v>
          </cell>
          <cell r="D158" t="str">
            <v>327-34H</v>
          </cell>
          <cell r="E158" t="str">
            <v>中飾花</v>
          </cell>
          <cell r="F158" t="str">
            <v>645*398*13</v>
          </cell>
          <cell r="G158">
            <v>645</v>
          </cell>
          <cell r="H158">
            <v>398</v>
          </cell>
          <cell r="I158">
            <v>13</v>
          </cell>
          <cell r="J158">
            <v>850</v>
          </cell>
          <cell r="K158">
            <v>0</v>
          </cell>
          <cell r="L158">
            <v>2.31</v>
          </cell>
          <cell r="M158">
            <v>0</v>
          </cell>
          <cell r="N158">
            <v>0</v>
          </cell>
          <cell r="O158" t="str">
            <v>40V</v>
          </cell>
          <cell r="P158" t="str">
            <v>1010</v>
          </cell>
          <cell r="Q158" t="str">
            <v>1010</v>
          </cell>
          <cell r="R158">
            <v>2.7176470588235295</v>
          </cell>
          <cell r="S158">
            <v>0</v>
          </cell>
        </row>
        <row r="159">
          <cell r="A159" t="str">
            <v>Y002-117</v>
          </cell>
          <cell r="B159" t="str">
            <v>LCT112-342</v>
          </cell>
          <cell r="C159" t="str">
            <v>Y002</v>
          </cell>
          <cell r="D159" t="str">
            <v>327-34R</v>
          </cell>
          <cell r="E159" t="str">
            <v>床道饰板</v>
          </cell>
          <cell r="F159" t="str">
            <v>1690*149*13</v>
          </cell>
          <cell r="G159">
            <v>1690</v>
          </cell>
          <cell r="H159">
            <v>149</v>
          </cell>
          <cell r="I159">
            <v>13</v>
          </cell>
          <cell r="J159">
            <v>710</v>
          </cell>
          <cell r="K159">
            <v>0</v>
          </cell>
          <cell r="L159">
            <v>2.0499999999999998</v>
          </cell>
          <cell r="M159">
            <v>0</v>
          </cell>
          <cell r="N159">
            <v>0</v>
          </cell>
          <cell r="O159" t="str">
            <v>40V</v>
          </cell>
          <cell r="P159" t="str">
            <v>1010</v>
          </cell>
          <cell r="Q159" t="str">
            <v>1010</v>
          </cell>
          <cell r="R159">
            <v>2.8873239436619715</v>
          </cell>
          <cell r="S159">
            <v>0</v>
          </cell>
        </row>
        <row r="160">
          <cell r="A160" t="str">
            <v>Y002-118</v>
          </cell>
          <cell r="B160" t="str">
            <v>LCT112-343</v>
          </cell>
          <cell r="C160" t="str">
            <v>Y002</v>
          </cell>
          <cell r="D160" t="str">
            <v>327-03</v>
          </cell>
          <cell r="E160" t="str">
            <v>門板poly</v>
          </cell>
          <cell r="F160" t="str">
            <v>1200*10*10</v>
          </cell>
          <cell r="G160">
            <v>1200</v>
          </cell>
          <cell r="H160">
            <v>10</v>
          </cell>
          <cell r="I160">
            <v>10</v>
          </cell>
          <cell r="J160">
            <v>200</v>
          </cell>
          <cell r="K160">
            <v>0</v>
          </cell>
          <cell r="L160">
            <v>0.6</v>
          </cell>
          <cell r="M160">
            <v>0</v>
          </cell>
          <cell r="N160">
            <v>0</v>
          </cell>
          <cell r="O160" t="str">
            <v>40V</v>
          </cell>
          <cell r="P160" t="str">
            <v>1010</v>
          </cell>
          <cell r="Q160" t="str">
            <v>1010</v>
          </cell>
          <cell r="R160">
            <v>2.9999999999999996</v>
          </cell>
          <cell r="S160">
            <v>0</v>
          </cell>
        </row>
        <row r="161">
          <cell r="A161" t="str">
            <v>Y002-119</v>
          </cell>
          <cell r="B161" t="str">
            <v>LCT112-344</v>
          </cell>
          <cell r="C161" t="str">
            <v>Y002</v>
          </cell>
          <cell r="D161" t="str">
            <v>327-33F/34F</v>
          </cell>
          <cell r="E161" t="str">
            <v>側poly</v>
          </cell>
          <cell r="F161" t="str">
            <v>510*7*5</v>
          </cell>
          <cell r="G161">
            <v>510</v>
          </cell>
          <cell r="H161">
            <v>7</v>
          </cell>
          <cell r="I161">
            <v>5</v>
          </cell>
          <cell r="J161">
            <v>40</v>
          </cell>
          <cell r="K161">
            <v>0</v>
          </cell>
          <cell r="L161">
            <v>0.2</v>
          </cell>
          <cell r="M161">
            <v>0</v>
          </cell>
          <cell r="N161">
            <v>0</v>
          </cell>
          <cell r="O161" t="str">
            <v>40V</v>
          </cell>
          <cell r="P161" t="str">
            <v>1010</v>
          </cell>
          <cell r="Q161" t="str">
            <v>1010</v>
          </cell>
          <cell r="R161">
            <v>5</v>
          </cell>
          <cell r="S161">
            <v>0</v>
          </cell>
        </row>
        <row r="162">
          <cell r="A162" t="str">
            <v>Y002-120</v>
          </cell>
          <cell r="B162" t="str">
            <v>LCT112-345</v>
          </cell>
          <cell r="C162" t="str">
            <v>Y002</v>
          </cell>
          <cell r="D162" t="str">
            <v>327-24</v>
          </cell>
          <cell r="E162" t="str">
            <v xml:space="preserve">左 poly </v>
          </cell>
          <cell r="F162" t="str">
            <v>342*154*13</v>
          </cell>
          <cell r="G162">
            <v>342</v>
          </cell>
          <cell r="H162">
            <v>154</v>
          </cell>
          <cell r="I162">
            <v>13</v>
          </cell>
          <cell r="J162">
            <v>200</v>
          </cell>
          <cell r="K162">
            <v>0</v>
          </cell>
          <cell r="L162">
            <v>0.57999999999999996</v>
          </cell>
          <cell r="M162">
            <v>0</v>
          </cell>
          <cell r="N162">
            <v>0</v>
          </cell>
          <cell r="O162" t="str">
            <v>40V</v>
          </cell>
          <cell r="P162" t="str">
            <v>1010</v>
          </cell>
          <cell r="Q162" t="str">
            <v>1010</v>
          </cell>
          <cell r="R162">
            <v>2.8999999999999995</v>
          </cell>
          <cell r="S162">
            <v>0</v>
          </cell>
        </row>
        <row r="163">
          <cell r="A163" t="str">
            <v>Y002-121</v>
          </cell>
          <cell r="B163" t="str">
            <v>LCT112-346</v>
          </cell>
          <cell r="C163" t="str">
            <v>Y002</v>
          </cell>
          <cell r="D163" t="str">
            <v>327-24</v>
          </cell>
          <cell r="E163" t="str">
            <v xml:space="preserve">右 poly </v>
          </cell>
          <cell r="F163" t="str">
            <v>342*154*13</v>
          </cell>
          <cell r="G163">
            <v>342</v>
          </cell>
          <cell r="H163">
            <v>154</v>
          </cell>
          <cell r="I163">
            <v>13</v>
          </cell>
          <cell r="J163">
            <v>200</v>
          </cell>
          <cell r="K163">
            <v>0</v>
          </cell>
          <cell r="L163">
            <v>0.57999999999999996</v>
          </cell>
          <cell r="M163">
            <v>0</v>
          </cell>
          <cell r="N163">
            <v>0</v>
          </cell>
          <cell r="O163" t="str">
            <v>40V</v>
          </cell>
          <cell r="P163" t="str">
            <v>1010</v>
          </cell>
          <cell r="Q163" t="str">
            <v>1010</v>
          </cell>
          <cell r="R163">
            <v>2.8999999999999995</v>
          </cell>
          <cell r="S163">
            <v>0</v>
          </cell>
        </row>
        <row r="164">
          <cell r="A164" t="str">
            <v>Y002-122</v>
          </cell>
          <cell r="B164" t="str">
            <v>LCT112-347</v>
          </cell>
          <cell r="C164" t="str">
            <v>Y002</v>
          </cell>
          <cell r="D164" t="str">
            <v>327-03</v>
          </cell>
          <cell r="E164" t="str">
            <v>門板poly</v>
          </cell>
          <cell r="F164" t="str">
            <v>385*238*13</v>
          </cell>
          <cell r="G164">
            <v>385</v>
          </cell>
          <cell r="H164">
            <v>238</v>
          </cell>
          <cell r="I164">
            <v>13</v>
          </cell>
          <cell r="J164">
            <v>400</v>
          </cell>
          <cell r="K164">
            <v>0</v>
          </cell>
          <cell r="L164">
            <v>1.1200000000000001</v>
          </cell>
          <cell r="M164">
            <v>0</v>
          </cell>
          <cell r="N164">
            <v>0</v>
          </cell>
          <cell r="O164" t="str">
            <v>40V</v>
          </cell>
          <cell r="P164" t="str">
            <v>1010</v>
          </cell>
          <cell r="Q164" t="str">
            <v>1010</v>
          </cell>
          <cell r="R164">
            <v>2.8000000000000003</v>
          </cell>
          <cell r="S164">
            <v>0</v>
          </cell>
        </row>
        <row r="165">
          <cell r="A165" t="str">
            <v>Y002-123</v>
          </cell>
          <cell r="B165" t="str">
            <v>LCT112-348</v>
          </cell>
          <cell r="C165" t="str">
            <v>Y002</v>
          </cell>
          <cell r="D165" t="str">
            <v>327-08</v>
          </cell>
          <cell r="E165" t="str">
            <v>側飾片</v>
          </cell>
          <cell r="F165" t="str">
            <v>269*36*4</v>
          </cell>
          <cell r="G165">
            <v>269</v>
          </cell>
          <cell r="H165">
            <v>36</v>
          </cell>
          <cell r="I165">
            <v>4</v>
          </cell>
          <cell r="J165">
            <v>90</v>
          </cell>
          <cell r="K165">
            <v>0</v>
          </cell>
          <cell r="L165">
            <v>0.25</v>
          </cell>
          <cell r="M165">
            <v>0</v>
          </cell>
          <cell r="N165">
            <v>0</v>
          </cell>
          <cell r="O165" t="str">
            <v>40V</v>
          </cell>
          <cell r="P165" t="str">
            <v>1010</v>
          </cell>
          <cell r="Q165" t="str">
            <v>1010</v>
          </cell>
          <cell r="R165">
            <v>2.7777777777777777</v>
          </cell>
          <cell r="S165">
            <v>0</v>
          </cell>
        </row>
        <row r="166">
          <cell r="A166" t="str">
            <v>Y002-124</v>
          </cell>
          <cell r="B166" t="str">
            <v>LCT112-349</v>
          </cell>
          <cell r="C166" t="str">
            <v>Y002</v>
          </cell>
          <cell r="D166" t="str">
            <v>327-03</v>
          </cell>
          <cell r="E166" t="str">
            <v>側poly</v>
          </cell>
          <cell r="F166" t="str">
            <v>312*36*4</v>
          </cell>
          <cell r="G166">
            <v>312</v>
          </cell>
          <cell r="H166">
            <v>36</v>
          </cell>
          <cell r="I166">
            <v>4</v>
          </cell>
          <cell r="J166">
            <v>110</v>
          </cell>
          <cell r="K166">
            <v>0</v>
          </cell>
          <cell r="L166">
            <v>0.28000000000000003</v>
          </cell>
          <cell r="M166">
            <v>0</v>
          </cell>
          <cell r="N166">
            <v>0</v>
          </cell>
          <cell r="O166" t="str">
            <v>40V</v>
          </cell>
          <cell r="P166" t="str">
            <v>1010</v>
          </cell>
          <cell r="Q166" t="str">
            <v>1010</v>
          </cell>
          <cell r="R166">
            <v>2.5454545454545459</v>
          </cell>
          <cell r="S166">
            <v>0</v>
          </cell>
        </row>
        <row r="167">
          <cell r="A167" t="str">
            <v>Y002-125</v>
          </cell>
          <cell r="B167" t="str">
            <v>LCT112-350</v>
          </cell>
          <cell r="C167" t="str">
            <v>Y002</v>
          </cell>
          <cell r="D167" t="str">
            <v>327-04B</v>
          </cell>
          <cell r="E167" t="str">
            <v>側poly</v>
          </cell>
          <cell r="F167" t="str">
            <v>312*36*4</v>
          </cell>
          <cell r="G167">
            <v>312</v>
          </cell>
          <cell r="H167">
            <v>36</v>
          </cell>
          <cell r="I167">
            <v>4</v>
          </cell>
          <cell r="J167">
            <v>110</v>
          </cell>
          <cell r="K167">
            <v>0</v>
          </cell>
          <cell r="L167">
            <v>0.28000000000000003</v>
          </cell>
          <cell r="M167">
            <v>0</v>
          </cell>
          <cell r="N167">
            <v>0</v>
          </cell>
          <cell r="O167" t="str">
            <v>40V</v>
          </cell>
          <cell r="P167" t="str">
            <v>1010</v>
          </cell>
          <cell r="Q167" t="str">
            <v>1010</v>
          </cell>
          <cell r="R167">
            <v>2.5454545454545459</v>
          </cell>
          <cell r="S167">
            <v>0</v>
          </cell>
        </row>
        <row r="168">
          <cell r="A168" t="str">
            <v>Y002-126</v>
          </cell>
          <cell r="B168" t="str">
            <v>LCT112-351</v>
          </cell>
          <cell r="C168" t="str">
            <v>Y002</v>
          </cell>
          <cell r="D168" t="str">
            <v>327-05</v>
          </cell>
          <cell r="E168" t="str">
            <v>側飾片</v>
          </cell>
          <cell r="F168" t="str">
            <v>312*36*4</v>
          </cell>
          <cell r="G168">
            <v>312</v>
          </cell>
          <cell r="H168">
            <v>36</v>
          </cell>
          <cell r="I168">
            <v>4</v>
          </cell>
          <cell r="J168">
            <v>110</v>
          </cell>
          <cell r="K168">
            <v>0</v>
          </cell>
          <cell r="L168">
            <v>0.28000000000000003</v>
          </cell>
          <cell r="M168">
            <v>0</v>
          </cell>
          <cell r="N168">
            <v>0</v>
          </cell>
          <cell r="O168" t="str">
            <v>40V</v>
          </cell>
          <cell r="P168" t="str">
            <v>1010</v>
          </cell>
          <cell r="Q168" t="str">
            <v>1010</v>
          </cell>
          <cell r="R168">
            <v>2.5454545454545459</v>
          </cell>
          <cell r="S168">
            <v>0</v>
          </cell>
        </row>
        <row r="169">
          <cell r="A169" t="str">
            <v>Y002-127</v>
          </cell>
          <cell r="B169" t="str">
            <v>LCT112-352</v>
          </cell>
          <cell r="C169" t="str">
            <v>Y002</v>
          </cell>
          <cell r="D169" t="str">
            <v>327-06</v>
          </cell>
          <cell r="E169" t="str">
            <v>側poly</v>
          </cell>
          <cell r="F169" t="str">
            <v>312*36*4</v>
          </cell>
          <cell r="G169">
            <v>312</v>
          </cell>
          <cell r="H169">
            <v>36</v>
          </cell>
          <cell r="I169">
            <v>4</v>
          </cell>
          <cell r="J169">
            <v>110</v>
          </cell>
          <cell r="K169">
            <v>0</v>
          </cell>
          <cell r="L169">
            <v>0.28000000000000003</v>
          </cell>
          <cell r="M169">
            <v>0</v>
          </cell>
          <cell r="N169">
            <v>0</v>
          </cell>
          <cell r="O169" t="str">
            <v>40V</v>
          </cell>
          <cell r="P169" t="str">
            <v>1010</v>
          </cell>
          <cell r="Q169" t="str">
            <v>1010</v>
          </cell>
          <cell r="R169">
            <v>2.5454545454545459</v>
          </cell>
          <cell r="S169">
            <v>0</v>
          </cell>
        </row>
        <row r="170">
          <cell r="A170" t="str">
            <v>Y002-128</v>
          </cell>
          <cell r="B170" t="str">
            <v>LCT112-353</v>
          </cell>
          <cell r="C170" t="str">
            <v>Y002</v>
          </cell>
          <cell r="D170" t="str">
            <v>327-08</v>
          </cell>
          <cell r="E170" t="str">
            <v>前飾片</v>
          </cell>
          <cell r="F170" t="str">
            <v>584*36*4</v>
          </cell>
          <cell r="G170">
            <v>584</v>
          </cell>
          <cell r="H170">
            <v>36</v>
          </cell>
          <cell r="I170">
            <v>4</v>
          </cell>
          <cell r="J170">
            <v>145</v>
          </cell>
          <cell r="K170">
            <v>0</v>
          </cell>
          <cell r="L170">
            <v>0.46</v>
          </cell>
          <cell r="M170">
            <v>0</v>
          </cell>
          <cell r="N170">
            <v>0</v>
          </cell>
          <cell r="O170" t="str">
            <v>40V</v>
          </cell>
          <cell r="P170" t="str">
            <v>1010</v>
          </cell>
          <cell r="Q170" t="str">
            <v>1010</v>
          </cell>
          <cell r="R170">
            <v>3.1724137931034488</v>
          </cell>
          <cell r="S170">
            <v>0</v>
          </cell>
        </row>
        <row r="171">
          <cell r="A171" t="str">
            <v>Y002-129</v>
          </cell>
          <cell r="B171" t="str">
            <v>LCT112-354</v>
          </cell>
          <cell r="C171" t="str">
            <v>Y002</v>
          </cell>
          <cell r="D171" t="str">
            <v>327-05</v>
          </cell>
          <cell r="E171" t="str">
            <v>前飾片</v>
          </cell>
          <cell r="F171" t="str">
            <v>838*36*4</v>
          </cell>
          <cell r="G171">
            <v>838</v>
          </cell>
          <cell r="H171">
            <v>36</v>
          </cell>
          <cell r="I171">
            <v>4</v>
          </cell>
          <cell r="J171">
            <v>190</v>
          </cell>
          <cell r="K171">
            <v>0</v>
          </cell>
          <cell r="L171">
            <v>0.66</v>
          </cell>
          <cell r="M171">
            <v>0</v>
          </cell>
          <cell r="N171">
            <v>0</v>
          </cell>
          <cell r="O171" t="str">
            <v>40V</v>
          </cell>
          <cell r="P171" t="str">
            <v>1010</v>
          </cell>
          <cell r="Q171" t="str">
            <v>1010</v>
          </cell>
          <cell r="R171">
            <v>3.4736842105263159</v>
          </cell>
          <cell r="S171">
            <v>0</v>
          </cell>
        </row>
        <row r="172">
          <cell r="A172" t="str">
            <v>Y002-130</v>
          </cell>
          <cell r="B172" t="str">
            <v>LCT112-355</v>
          </cell>
          <cell r="C172" t="str">
            <v>Y002</v>
          </cell>
          <cell r="D172" t="str">
            <v>327-06</v>
          </cell>
          <cell r="E172" t="str">
            <v>前poly</v>
          </cell>
          <cell r="F172" t="str">
            <v>940*36*4</v>
          </cell>
          <cell r="G172">
            <v>940</v>
          </cell>
          <cell r="H172">
            <v>36</v>
          </cell>
          <cell r="I172">
            <v>4</v>
          </cell>
          <cell r="J172">
            <v>210</v>
          </cell>
          <cell r="K172">
            <v>0</v>
          </cell>
          <cell r="L172">
            <v>0.74</v>
          </cell>
          <cell r="M172">
            <v>0</v>
          </cell>
          <cell r="N172">
            <v>0</v>
          </cell>
          <cell r="O172" t="str">
            <v>40V</v>
          </cell>
          <cell r="P172" t="str">
            <v>1010</v>
          </cell>
          <cell r="Q172" t="str">
            <v>1010</v>
          </cell>
          <cell r="R172">
            <v>3.5238095238095237</v>
          </cell>
          <cell r="S172">
            <v>0</v>
          </cell>
        </row>
        <row r="173">
          <cell r="A173" t="str">
            <v>Y002-131</v>
          </cell>
          <cell r="B173" t="str">
            <v>LCT112-356</v>
          </cell>
          <cell r="C173" t="str">
            <v>Y002</v>
          </cell>
          <cell r="D173" t="str">
            <v>327-03</v>
          </cell>
          <cell r="E173" t="str">
            <v>前poly</v>
          </cell>
          <cell r="F173" t="str">
            <v>1448*36*4</v>
          </cell>
          <cell r="G173">
            <v>1448</v>
          </cell>
          <cell r="H173">
            <v>36</v>
          </cell>
          <cell r="I173">
            <v>4</v>
          </cell>
          <cell r="J173">
            <v>310</v>
          </cell>
          <cell r="K173">
            <v>0</v>
          </cell>
          <cell r="L173">
            <v>1.1399999999999999</v>
          </cell>
          <cell r="M173">
            <v>0</v>
          </cell>
          <cell r="N173">
            <v>0</v>
          </cell>
          <cell r="O173" t="str">
            <v>40V</v>
          </cell>
          <cell r="P173" t="str">
            <v>1010</v>
          </cell>
          <cell r="Q173" t="str">
            <v>1010</v>
          </cell>
          <cell r="R173">
            <v>3.6774193548387095</v>
          </cell>
          <cell r="S173">
            <v>0</v>
          </cell>
        </row>
        <row r="174">
          <cell r="A174" t="str">
            <v>Y002-132</v>
          </cell>
          <cell r="B174" t="str">
            <v>LCT112-357</v>
          </cell>
          <cell r="C174" t="str">
            <v>Y002</v>
          </cell>
          <cell r="D174" t="str">
            <v>327-33F</v>
          </cell>
          <cell r="E174" t="str">
            <v>下飾片</v>
          </cell>
          <cell r="F174" t="str">
            <v>1538*36*4</v>
          </cell>
          <cell r="G174">
            <v>1538</v>
          </cell>
          <cell r="H174">
            <v>36</v>
          </cell>
          <cell r="I174">
            <v>4</v>
          </cell>
          <cell r="J174">
            <v>320</v>
          </cell>
          <cell r="K174">
            <v>0</v>
          </cell>
          <cell r="L174">
            <v>1.21</v>
          </cell>
          <cell r="M174">
            <v>0</v>
          </cell>
          <cell r="N174">
            <v>0</v>
          </cell>
          <cell r="O174" t="str">
            <v>40V</v>
          </cell>
          <cell r="P174" t="str">
            <v>1010</v>
          </cell>
          <cell r="Q174" t="str">
            <v>1010</v>
          </cell>
          <cell r="R174">
            <v>3.78125</v>
          </cell>
          <cell r="S174">
            <v>0</v>
          </cell>
        </row>
        <row r="175">
          <cell r="A175" t="str">
            <v>Y002-133</v>
          </cell>
          <cell r="B175" t="str">
            <v>LCT112-358</v>
          </cell>
          <cell r="C175" t="str">
            <v>Y002</v>
          </cell>
          <cell r="D175" t="str">
            <v>327-34F</v>
          </cell>
          <cell r="E175" t="str">
            <v>下飾片</v>
          </cell>
          <cell r="F175" t="str">
            <v>1956*36*4</v>
          </cell>
          <cell r="G175">
            <v>1956</v>
          </cell>
          <cell r="H175">
            <v>36</v>
          </cell>
          <cell r="I175">
            <v>4</v>
          </cell>
          <cell r="J175">
            <v>35</v>
          </cell>
          <cell r="K175">
            <v>0</v>
          </cell>
          <cell r="L175">
            <v>1.53</v>
          </cell>
          <cell r="M175">
            <v>0</v>
          </cell>
          <cell r="N175">
            <v>0</v>
          </cell>
          <cell r="O175" t="str">
            <v>40V</v>
          </cell>
          <cell r="P175" t="str">
            <v>1010</v>
          </cell>
          <cell r="Q175" t="str">
            <v>1010</v>
          </cell>
          <cell r="R175">
            <v>43.714285714285708</v>
          </cell>
          <cell r="S175">
            <v>0</v>
          </cell>
        </row>
        <row r="176">
          <cell r="A176" t="str">
            <v>Y002-134</v>
          </cell>
          <cell r="B176" t="str">
            <v>LCT112-359</v>
          </cell>
          <cell r="C176" t="str">
            <v>Y002</v>
          </cell>
          <cell r="D176" t="str">
            <v>327-06</v>
          </cell>
          <cell r="E176" t="str">
            <v>中飾片</v>
          </cell>
          <cell r="F176" t="str">
            <v>159*154*13</v>
          </cell>
          <cell r="G176">
            <v>159</v>
          </cell>
          <cell r="H176">
            <v>154</v>
          </cell>
          <cell r="I176">
            <v>13</v>
          </cell>
          <cell r="J176">
            <v>180</v>
          </cell>
          <cell r="K176">
            <v>0</v>
          </cell>
          <cell r="L176">
            <v>0.6</v>
          </cell>
          <cell r="M176">
            <v>0</v>
          </cell>
          <cell r="N176">
            <v>0</v>
          </cell>
          <cell r="O176" t="str">
            <v>40V</v>
          </cell>
          <cell r="P176" t="str">
            <v>1010</v>
          </cell>
          <cell r="Q176" t="str">
            <v>1010</v>
          </cell>
          <cell r="R176">
            <v>3.3333333333333335</v>
          </cell>
          <cell r="S176">
            <v>0</v>
          </cell>
        </row>
        <row r="177">
          <cell r="A177" t="str">
            <v>Y002-135</v>
          </cell>
          <cell r="B177" t="str">
            <v>LCT112-360</v>
          </cell>
          <cell r="C177" t="str">
            <v>Y002</v>
          </cell>
          <cell r="D177" t="str">
            <v>327-33H</v>
          </cell>
          <cell r="E177" t="str">
            <v>左側飾花</v>
          </cell>
          <cell r="F177" t="str">
            <v>193*119*13</v>
          </cell>
          <cell r="G177">
            <v>193</v>
          </cell>
          <cell r="H177">
            <v>119</v>
          </cell>
          <cell r="I177">
            <v>13</v>
          </cell>
          <cell r="J177">
            <v>100</v>
          </cell>
          <cell r="K177">
            <v>0</v>
          </cell>
          <cell r="L177">
            <v>0.28000000000000003</v>
          </cell>
          <cell r="M177">
            <v>0</v>
          </cell>
          <cell r="N177">
            <v>0</v>
          </cell>
          <cell r="O177" t="str">
            <v>40V</v>
          </cell>
          <cell r="P177" t="str">
            <v>1010</v>
          </cell>
          <cell r="Q177" t="str">
            <v>1010</v>
          </cell>
          <cell r="R177">
            <v>2.8000000000000003</v>
          </cell>
          <cell r="S177">
            <v>0</v>
          </cell>
        </row>
        <row r="178">
          <cell r="A178" t="str">
            <v>Y002-136</v>
          </cell>
          <cell r="B178" t="str">
            <v>LCT112-361</v>
          </cell>
          <cell r="C178" t="str">
            <v>Y002</v>
          </cell>
          <cell r="D178" t="str">
            <v>327-33H</v>
          </cell>
          <cell r="E178" t="str">
            <v>右側飾花</v>
          </cell>
          <cell r="F178" t="str">
            <v>193*119*13</v>
          </cell>
          <cell r="G178">
            <v>193</v>
          </cell>
          <cell r="H178">
            <v>119</v>
          </cell>
          <cell r="I178">
            <v>13</v>
          </cell>
          <cell r="J178">
            <v>100</v>
          </cell>
          <cell r="K178">
            <v>0</v>
          </cell>
          <cell r="L178">
            <v>0.28000000000000003</v>
          </cell>
          <cell r="M178">
            <v>0</v>
          </cell>
          <cell r="N178">
            <v>0</v>
          </cell>
          <cell r="O178" t="str">
            <v>40V</v>
          </cell>
          <cell r="P178" t="str">
            <v>1010</v>
          </cell>
          <cell r="Q178" t="str">
            <v>1010</v>
          </cell>
          <cell r="R178">
            <v>2.8000000000000003</v>
          </cell>
          <cell r="S178">
            <v>0</v>
          </cell>
        </row>
        <row r="179">
          <cell r="A179" t="str">
            <v>Y002-137</v>
          </cell>
          <cell r="B179" t="str">
            <v>LCT112-362</v>
          </cell>
          <cell r="C179" t="str">
            <v>Y002</v>
          </cell>
          <cell r="D179" t="str">
            <v>327-06</v>
          </cell>
          <cell r="E179" t="str">
            <v>左側飾花</v>
          </cell>
          <cell r="F179" t="str">
            <v>218*82*13</v>
          </cell>
          <cell r="G179">
            <v>218</v>
          </cell>
          <cell r="H179">
            <v>82</v>
          </cell>
          <cell r="I179">
            <v>13</v>
          </cell>
          <cell r="J179">
            <v>100</v>
          </cell>
          <cell r="K179">
            <v>0</v>
          </cell>
          <cell r="L179">
            <v>0.28000000000000003</v>
          </cell>
          <cell r="M179">
            <v>0</v>
          </cell>
          <cell r="N179">
            <v>0</v>
          </cell>
          <cell r="O179" t="str">
            <v>40V</v>
          </cell>
          <cell r="P179" t="str">
            <v>1010</v>
          </cell>
          <cell r="Q179" t="str">
            <v>1010</v>
          </cell>
          <cell r="R179">
            <v>2.8000000000000003</v>
          </cell>
          <cell r="S179">
            <v>0</v>
          </cell>
        </row>
        <row r="180">
          <cell r="A180" t="str">
            <v>Y002-138</v>
          </cell>
          <cell r="B180" t="str">
            <v>LCT112-363</v>
          </cell>
          <cell r="C180" t="str">
            <v>Y002</v>
          </cell>
          <cell r="D180" t="str">
            <v>327-06</v>
          </cell>
          <cell r="E180" t="str">
            <v>右側飾花</v>
          </cell>
          <cell r="F180" t="str">
            <v>218*82*13</v>
          </cell>
          <cell r="G180">
            <v>218</v>
          </cell>
          <cell r="H180">
            <v>82</v>
          </cell>
          <cell r="I180">
            <v>13</v>
          </cell>
          <cell r="J180">
            <v>100</v>
          </cell>
          <cell r="K180">
            <v>0</v>
          </cell>
          <cell r="L180">
            <v>0.28000000000000003</v>
          </cell>
          <cell r="M180">
            <v>0</v>
          </cell>
          <cell r="N180">
            <v>0</v>
          </cell>
          <cell r="O180" t="str">
            <v>40V</v>
          </cell>
          <cell r="P180" t="str">
            <v>1010</v>
          </cell>
          <cell r="Q180" t="str">
            <v>1010</v>
          </cell>
          <cell r="R180">
            <v>2.8000000000000003</v>
          </cell>
          <cell r="S180">
            <v>0</v>
          </cell>
        </row>
        <row r="181">
          <cell r="A181" t="str">
            <v>Y002-139</v>
          </cell>
          <cell r="B181" t="str">
            <v>LCT112-364</v>
          </cell>
          <cell r="C181" t="str">
            <v>Y002</v>
          </cell>
          <cell r="D181" t="str">
            <v>327-34H</v>
          </cell>
          <cell r="E181" t="str">
            <v>左側飾花</v>
          </cell>
          <cell r="F181" t="str">
            <v>269*167*13</v>
          </cell>
          <cell r="G181">
            <v>269</v>
          </cell>
          <cell r="H181">
            <v>167</v>
          </cell>
          <cell r="I181">
            <v>13</v>
          </cell>
          <cell r="J181">
            <v>150</v>
          </cell>
          <cell r="K181">
            <v>0</v>
          </cell>
          <cell r="L181">
            <v>0.45</v>
          </cell>
          <cell r="M181">
            <v>0</v>
          </cell>
          <cell r="N181">
            <v>0</v>
          </cell>
          <cell r="O181" t="str">
            <v>40V</v>
          </cell>
          <cell r="P181" t="str">
            <v>1010</v>
          </cell>
          <cell r="Q181" t="str">
            <v>1010</v>
          </cell>
          <cell r="R181">
            <v>3</v>
          </cell>
          <cell r="S181">
            <v>0</v>
          </cell>
        </row>
        <row r="182">
          <cell r="A182" t="str">
            <v>Y002-140</v>
          </cell>
          <cell r="B182" t="str">
            <v>LCT112-365</v>
          </cell>
          <cell r="C182" t="str">
            <v>Y002</v>
          </cell>
          <cell r="D182" t="str">
            <v>327-34H</v>
          </cell>
          <cell r="E182" t="str">
            <v>右側飾花</v>
          </cell>
          <cell r="F182" t="str">
            <v>269*167*13</v>
          </cell>
          <cell r="G182">
            <v>269</v>
          </cell>
          <cell r="H182">
            <v>167</v>
          </cell>
          <cell r="I182">
            <v>13</v>
          </cell>
          <cell r="J182">
            <v>150</v>
          </cell>
          <cell r="K182">
            <v>0</v>
          </cell>
          <cell r="L182">
            <v>0.45</v>
          </cell>
          <cell r="M182">
            <v>0</v>
          </cell>
          <cell r="N182">
            <v>0</v>
          </cell>
          <cell r="O182" t="str">
            <v>40V</v>
          </cell>
          <cell r="P182" t="str">
            <v>1010</v>
          </cell>
          <cell r="Q182" t="str">
            <v>1010</v>
          </cell>
          <cell r="R182">
            <v>3</v>
          </cell>
          <cell r="S182">
            <v>0</v>
          </cell>
        </row>
        <row r="183">
          <cell r="A183" t="str">
            <v>Y002-141</v>
          </cell>
          <cell r="B183" t="str">
            <v>LCT112-366</v>
          </cell>
          <cell r="C183" t="str">
            <v>Y002</v>
          </cell>
          <cell r="D183" t="str">
            <v>327-33F/34F</v>
          </cell>
          <cell r="E183" t="str">
            <v>左飾花</v>
          </cell>
          <cell r="F183" t="str">
            <v>552*136*13</v>
          </cell>
          <cell r="G183">
            <v>552</v>
          </cell>
          <cell r="H183">
            <v>136</v>
          </cell>
          <cell r="I183">
            <v>13</v>
          </cell>
          <cell r="J183">
            <v>240</v>
          </cell>
          <cell r="K183">
            <v>0</v>
          </cell>
          <cell r="L183">
            <v>0.63</v>
          </cell>
          <cell r="M183">
            <v>0</v>
          </cell>
          <cell r="N183">
            <v>0</v>
          </cell>
          <cell r="O183" t="str">
            <v>40V</v>
          </cell>
          <cell r="P183" t="str">
            <v>1010</v>
          </cell>
          <cell r="Q183" t="str">
            <v>1010</v>
          </cell>
          <cell r="R183">
            <v>2.625</v>
          </cell>
          <cell r="S183">
            <v>0</v>
          </cell>
        </row>
        <row r="184">
          <cell r="A184" t="str">
            <v>Y002-142</v>
          </cell>
          <cell r="B184" t="str">
            <v>LCT112-367</v>
          </cell>
          <cell r="C184" t="str">
            <v>Y002</v>
          </cell>
          <cell r="D184" t="str">
            <v>327-33F/34F</v>
          </cell>
          <cell r="E184" t="str">
            <v>右飾花</v>
          </cell>
          <cell r="F184" t="str">
            <v>552*136*13</v>
          </cell>
          <cell r="G184">
            <v>552</v>
          </cell>
          <cell r="H184">
            <v>136</v>
          </cell>
          <cell r="I184">
            <v>13</v>
          </cell>
          <cell r="J184">
            <v>240</v>
          </cell>
          <cell r="K184">
            <v>0</v>
          </cell>
          <cell r="L184">
            <v>0.63</v>
          </cell>
          <cell r="M184">
            <v>0</v>
          </cell>
          <cell r="N184">
            <v>0</v>
          </cell>
          <cell r="O184" t="str">
            <v>40V</v>
          </cell>
          <cell r="P184" t="str">
            <v>1010</v>
          </cell>
          <cell r="Q184" t="str">
            <v>1010</v>
          </cell>
          <cell r="R184">
            <v>2.625</v>
          </cell>
          <cell r="S184">
            <v>0</v>
          </cell>
        </row>
        <row r="185">
          <cell r="A185" t="str">
            <v>Y002-143</v>
          </cell>
          <cell r="B185" t="str">
            <v>LCT112-368</v>
          </cell>
          <cell r="C185" t="str">
            <v>Y002</v>
          </cell>
          <cell r="D185" t="str">
            <v>327-03</v>
          </cell>
          <cell r="E185" t="str">
            <v>前框上poly</v>
          </cell>
          <cell r="F185" t="str">
            <v>95*44*5</v>
          </cell>
          <cell r="G185">
            <v>95</v>
          </cell>
          <cell r="H185">
            <v>44</v>
          </cell>
          <cell r="I185">
            <v>5</v>
          </cell>
          <cell r="J185">
            <v>35</v>
          </cell>
          <cell r="K185">
            <v>0</v>
          </cell>
          <cell r="L185">
            <v>0.14000000000000001</v>
          </cell>
          <cell r="M185">
            <v>0</v>
          </cell>
          <cell r="N185">
            <v>0</v>
          </cell>
          <cell r="O185" t="str">
            <v>40V</v>
          </cell>
          <cell r="P185" t="str">
            <v>1010</v>
          </cell>
          <cell r="Q185" t="str">
            <v>1010</v>
          </cell>
          <cell r="R185">
            <v>4</v>
          </cell>
          <cell r="S185">
            <v>0</v>
          </cell>
        </row>
        <row r="186">
          <cell r="A186" t="str">
            <v>Y002-144</v>
          </cell>
          <cell r="B186" t="str">
            <v>LCT112-369</v>
          </cell>
          <cell r="C186" t="str">
            <v>Y002</v>
          </cell>
          <cell r="D186" t="str">
            <v>327-04B</v>
          </cell>
          <cell r="E186" t="str">
            <v>前框上poly</v>
          </cell>
          <cell r="F186" t="str">
            <v>95*44*5</v>
          </cell>
          <cell r="G186">
            <v>95</v>
          </cell>
          <cell r="H186">
            <v>44</v>
          </cell>
          <cell r="I186">
            <v>5</v>
          </cell>
          <cell r="J186">
            <v>35</v>
          </cell>
          <cell r="K186">
            <v>0</v>
          </cell>
          <cell r="L186">
            <v>0.14000000000000001</v>
          </cell>
          <cell r="M186">
            <v>0</v>
          </cell>
          <cell r="N186">
            <v>0</v>
          </cell>
          <cell r="O186" t="str">
            <v>40V</v>
          </cell>
          <cell r="P186" t="str">
            <v>1010</v>
          </cell>
          <cell r="Q186" t="str">
            <v>1010</v>
          </cell>
          <cell r="R186">
            <v>4</v>
          </cell>
          <cell r="S186">
            <v>0</v>
          </cell>
        </row>
        <row r="187">
          <cell r="A187" t="str">
            <v>Y002-145</v>
          </cell>
          <cell r="B187" t="str">
            <v>LCT112-370</v>
          </cell>
          <cell r="C187" t="str">
            <v>Y002</v>
          </cell>
          <cell r="D187" t="str">
            <v>327-04P</v>
          </cell>
          <cell r="E187" t="str">
            <v>前框上飾块</v>
          </cell>
          <cell r="F187" t="str">
            <v>95*44*5</v>
          </cell>
          <cell r="G187">
            <v>95</v>
          </cell>
          <cell r="H187">
            <v>44</v>
          </cell>
          <cell r="I187">
            <v>5</v>
          </cell>
          <cell r="J187">
            <v>35</v>
          </cell>
          <cell r="K187">
            <v>0</v>
          </cell>
          <cell r="L187">
            <v>0.14000000000000001</v>
          </cell>
          <cell r="M187">
            <v>0</v>
          </cell>
          <cell r="N187">
            <v>0</v>
          </cell>
          <cell r="O187" t="str">
            <v>40V</v>
          </cell>
          <cell r="P187" t="str">
            <v>1010</v>
          </cell>
          <cell r="Q187" t="str">
            <v>1010</v>
          </cell>
          <cell r="R187">
            <v>4</v>
          </cell>
          <cell r="S187">
            <v>0</v>
          </cell>
        </row>
        <row r="188">
          <cell r="A188" t="str">
            <v>Y002-146</v>
          </cell>
          <cell r="B188" t="str">
            <v>LCT112-371</v>
          </cell>
          <cell r="C188" t="str">
            <v>Y002</v>
          </cell>
          <cell r="D188" t="str">
            <v>327-05</v>
          </cell>
          <cell r="E188" t="str">
            <v>前框上飾块</v>
          </cell>
          <cell r="F188" t="str">
            <v>95*44*5</v>
          </cell>
          <cell r="G188">
            <v>95</v>
          </cell>
          <cell r="H188">
            <v>44</v>
          </cell>
          <cell r="I188">
            <v>5</v>
          </cell>
          <cell r="J188">
            <v>35</v>
          </cell>
          <cell r="K188">
            <v>0</v>
          </cell>
          <cell r="L188">
            <v>0.14000000000000001</v>
          </cell>
          <cell r="M188">
            <v>0</v>
          </cell>
          <cell r="N188">
            <v>0</v>
          </cell>
          <cell r="O188" t="str">
            <v>40V</v>
          </cell>
          <cell r="P188" t="str">
            <v>1010</v>
          </cell>
          <cell r="Q188" t="str">
            <v>1010</v>
          </cell>
          <cell r="R188">
            <v>4</v>
          </cell>
          <cell r="S188">
            <v>0</v>
          </cell>
        </row>
        <row r="189">
          <cell r="A189" t="str">
            <v>Y002-147</v>
          </cell>
          <cell r="B189" t="str">
            <v>LCT112-372</v>
          </cell>
          <cell r="C189" t="str">
            <v>Y002</v>
          </cell>
          <cell r="D189" t="str">
            <v>327-06</v>
          </cell>
          <cell r="E189" t="str">
            <v>前框上poly</v>
          </cell>
          <cell r="F189" t="str">
            <v>95*44*5</v>
          </cell>
          <cell r="G189">
            <v>95</v>
          </cell>
          <cell r="H189">
            <v>44</v>
          </cell>
          <cell r="I189">
            <v>5</v>
          </cell>
          <cell r="J189">
            <v>35</v>
          </cell>
          <cell r="K189">
            <v>0</v>
          </cell>
          <cell r="L189">
            <v>0.14000000000000001</v>
          </cell>
          <cell r="M189">
            <v>0</v>
          </cell>
          <cell r="N189">
            <v>0</v>
          </cell>
          <cell r="O189" t="str">
            <v>40V</v>
          </cell>
          <cell r="P189" t="str">
            <v>1010</v>
          </cell>
          <cell r="Q189" t="str">
            <v>1010</v>
          </cell>
          <cell r="R189">
            <v>4</v>
          </cell>
          <cell r="S189">
            <v>0</v>
          </cell>
        </row>
        <row r="190">
          <cell r="A190" t="str">
            <v>Y002-148</v>
          </cell>
          <cell r="B190" t="str">
            <v>LCT112-373</v>
          </cell>
          <cell r="C190" t="str">
            <v>Y002</v>
          </cell>
          <cell r="D190" t="str">
            <v>327-08</v>
          </cell>
          <cell r="E190" t="str">
            <v>前框上飾块</v>
          </cell>
          <cell r="F190" t="str">
            <v>95*44*5</v>
          </cell>
          <cell r="G190">
            <v>95</v>
          </cell>
          <cell r="H190">
            <v>44</v>
          </cell>
          <cell r="I190">
            <v>5</v>
          </cell>
          <cell r="J190">
            <v>35</v>
          </cell>
          <cell r="K190">
            <v>0</v>
          </cell>
          <cell r="L190">
            <v>0.14000000000000001</v>
          </cell>
          <cell r="M190">
            <v>0</v>
          </cell>
          <cell r="N190">
            <v>0</v>
          </cell>
          <cell r="O190" t="str">
            <v>40V</v>
          </cell>
          <cell r="P190" t="str">
            <v>1010</v>
          </cell>
          <cell r="Q190" t="str">
            <v>1010</v>
          </cell>
          <cell r="R190">
            <v>4</v>
          </cell>
          <cell r="S190">
            <v>0</v>
          </cell>
        </row>
        <row r="191">
          <cell r="A191" t="str">
            <v>Y002-149</v>
          </cell>
          <cell r="B191" t="str">
            <v>LCT112-374</v>
          </cell>
          <cell r="C191" t="str">
            <v>Y002</v>
          </cell>
          <cell r="D191" t="str">
            <v>327-13</v>
          </cell>
          <cell r="E191" t="str">
            <v>前框上poly</v>
          </cell>
          <cell r="F191" t="str">
            <v>95*44*5</v>
          </cell>
          <cell r="G191">
            <v>95</v>
          </cell>
          <cell r="H191">
            <v>44</v>
          </cell>
          <cell r="I191">
            <v>5</v>
          </cell>
          <cell r="J191">
            <v>35</v>
          </cell>
          <cell r="K191">
            <v>0</v>
          </cell>
          <cell r="L191">
            <v>0.14000000000000001</v>
          </cell>
          <cell r="M191">
            <v>0</v>
          </cell>
          <cell r="N191">
            <v>0</v>
          </cell>
          <cell r="O191" t="str">
            <v>40V</v>
          </cell>
          <cell r="P191" t="str">
            <v>1010</v>
          </cell>
          <cell r="Q191" t="str">
            <v>1010</v>
          </cell>
          <cell r="R191">
            <v>4</v>
          </cell>
          <cell r="S191">
            <v>0</v>
          </cell>
        </row>
        <row r="192">
          <cell r="A192" t="str">
            <v>Y002-150</v>
          </cell>
          <cell r="B192" t="str">
            <v>LCT112-375</v>
          </cell>
          <cell r="C192" t="str">
            <v>Y002</v>
          </cell>
          <cell r="D192" t="str">
            <v>327-25F</v>
          </cell>
          <cell r="E192" t="str">
            <v>床柱飾块</v>
          </cell>
          <cell r="F192" t="str">
            <v>95*44*5</v>
          </cell>
          <cell r="G192">
            <v>95</v>
          </cell>
          <cell r="H192">
            <v>44</v>
          </cell>
          <cell r="I192">
            <v>5</v>
          </cell>
          <cell r="J192">
            <v>35</v>
          </cell>
          <cell r="K192">
            <v>0</v>
          </cell>
          <cell r="L192">
            <v>0.14000000000000001</v>
          </cell>
          <cell r="M192">
            <v>0</v>
          </cell>
          <cell r="N192">
            <v>0</v>
          </cell>
          <cell r="O192" t="str">
            <v>40V</v>
          </cell>
          <cell r="P192" t="str">
            <v>1010</v>
          </cell>
          <cell r="Q192" t="str">
            <v>1010</v>
          </cell>
          <cell r="R192">
            <v>4</v>
          </cell>
          <cell r="S192">
            <v>0</v>
          </cell>
        </row>
        <row r="193">
          <cell r="A193" t="str">
            <v>Y002-151</v>
          </cell>
          <cell r="B193" t="str">
            <v>LCT112-376</v>
          </cell>
          <cell r="C193" t="str">
            <v>Y002</v>
          </cell>
          <cell r="D193" t="str">
            <v>327-25H</v>
          </cell>
          <cell r="E193" t="str">
            <v>床柱飾块</v>
          </cell>
          <cell r="F193" t="str">
            <v>95*44*5</v>
          </cell>
          <cell r="G193">
            <v>95</v>
          </cell>
          <cell r="H193">
            <v>44</v>
          </cell>
          <cell r="I193">
            <v>5</v>
          </cell>
          <cell r="J193">
            <v>35</v>
          </cell>
          <cell r="K193">
            <v>0</v>
          </cell>
          <cell r="L193">
            <v>0.14000000000000001</v>
          </cell>
          <cell r="M193">
            <v>0</v>
          </cell>
          <cell r="N193">
            <v>0</v>
          </cell>
          <cell r="O193" t="str">
            <v>40V</v>
          </cell>
          <cell r="P193" t="str">
            <v>1010</v>
          </cell>
          <cell r="Q193" t="str">
            <v>1010</v>
          </cell>
          <cell r="R193">
            <v>4</v>
          </cell>
          <cell r="S193">
            <v>0</v>
          </cell>
        </row>
        <row r="194">
          <cell r="A194" t="str">
            <v>Y002-152</v>
          </cell>
          <cell r="B194" t="str">
            <v>LCT112-377</v>
          </cell>
          <cell r="C194" t="str">
            <v>Y002</v>
          </cell>
          <cell r="D194" t="str">
            <v>327-26F</v>
          </cell>
          <cell r="E194" t="str">
            <v>床柱飾片</v>
          </cell>
          <cell r="F194" t="str">
            <v>95*44*5</v>
          </cell>
          <cell r="G194">
            <v>95</v>
          </cell>
          <cell r="H194">
            <v>44</v>
          </cell>
          <cell r="I194">
            <v>5</v>
          </cell>
          <cell r="J194">
            <v>35</v>
          </cell>
          <cell r="K194">
            <v>0</v>
          </cell>
          <cell r="L194">
            <v>0.14000000000000001</v>
          </cell>
          <cell r="M194">
            <v>0</v>
          </cell>
          <cell r="N194">
            <v>0</v>
          </cell>
          <cell r="O194" t="str">
            <v>40V</v>
          </cell>
          <cell r="P194" t="str">
            <v>1010</v>
          </cell>
          <cell r="Q194" t="str">
            <v>1010</v>
          </cell>
          <cell r="R194">
            <v>4</v>
          </cell>
          <cell r="S194">
            <v>0</v>
          </cell>
        </row>
        <row r="195">
          <cell r="A195" t="str">
            <v>Y002-153</v>
          </cell>
          <cell r="B195" t="str">
            <v>LCT112-378</v>
          </cell>
          <cell r="C195" t="str">
            <v>Y002</v>
          </cell>
          <cell r="D195" t="str">
            <v>327-26H</v>
          </cell>
          <cell r="E195" t="str">
            <v>床柱飾块</v>
          </cell>
          <cell r="F195" t="str">
            <v>95*44*5</v>
          </cell>
          <cell r="G195">
            <v>95</v>
          </cell>
          <cell r="H195">
            <v>44</v>
          </cell>
          <cell r="I195">
            <v>5</v>
          </cell>
          <cell r="J195">
            <v>35</v>
          </cell>
          <cell r="K195">
            <v>0</v>
          </cell>
          <cell r="L195">
            <v>0.14000000000000001</v>
          </cell>
          <cell r="M195">
            <v>0</v>
          </cell>
          <cell r="N195">
            <v>0</v>
          </cell>
          <cell r="O195" t="str">
            <v>40V</v>
          </cell>
          <cell r="P195" t="str">
            <v>1010</v>
          </cell>
          <cell r="Q195" t="str">
            <v>1010</v>
          </cell>
          <cell r="R195">
            <v>4</v>
          </cell>
          <cell r="S195">
            <v>0</v>
          </cell>
        </row>
        <row r="196">
          <cell r="A196" t="str">
            <v>Y002-154</v>
          </cell>
          <cell r="B196" t="str">
            <v>LCT112-379</v>
          </cell>
          <cell r="C196" t="str">
            <v>Y002</v>
          </cell>
          <cell r="D196" t="str">
            <v>958-09</v>
          </cell>
          <cell r="E196" t="str">
            <v>抽面飾框</v>
          </cell>
          <cell r="F196" t="str">
            <v>723*239*10</v>
          </cell>
          <cell r="G196">
            <v>723</v>
          </cell>
          <cell r="H196">
            <v>239</v>
          </cell>
          <cell r="I196">
            <v>10</v>
          </cell>
          <cell r="J196">
            <v>501</v>
          </cell>
          <cell r="K196">
            <v>0</v>
          </cell>
          <cell r="L196">
            <v>1.7</v>
          </cell>
          <cell r="M196">
            <v>0</v>
          </cell>
          <cell r="N196">
            <v>180</v>
          </cell>
          <cell r="O196" t="str">
            <v>40V</v>
          </cell>
          <cell r="P196" t="str">
            <v>1010</v>
          </cell>
          <cell r="Q196" t="str">
            <v>1010</v>
          </cell>
          <cell r="R196">
            <v>3.3932135728542914</v>
          </cell>
          <cell r="S196">
            <v>0</v>
          </cell>
        </row>
        <row r="197">
          <cell r="A197" t="str">
            <v>Y002-155</v>
          </cell>
          <cell r="B197" t="str">
            <v>LCT112-380</v>
          </cell>
          <cell r="C197" t="str">
            <v>Y002</v>
          </cell>
          <cell r="D197" t="str">
            <v>958-07</v>
          </cell>
          <cell r="E197" t="str">
            <v>抽面飾框</v>
          </cell>
          <cell r="F197" t="str">
            <v>586*227*10</v>
          </cell>
          <cell r="G197">
            <v>586</v>
          </cell>
          <cell r="H197">
            <v>227</v>
          </cell>
          <cell r="I197">
            <v>10</v>
          </cell>
          <cell r="J197">
            <v>400</v>
          </cell>
          <cell r="K197">
            <v>0</v>
          </cell>
          <cell r="L197">
            <v>1.5</v>
          </cell>
          <cell r="M197">
            <v>0</v>
          </cell>
          <cell r="N197">
            <v>140</v>
          </cell>
          <cell r="O197" t="str">
            <v>40V</v>
          </cell>
          <cell r="P197" t="str">
            <v>1010</v>
          </cell>
          <cell r="Q197" t="str">
            <v>1010</v>
          </cell>
          <cell r="R197">
            <v>3.75</v>
          </cell>
          <cell r="S197">
            <v>0</v>
          </cell>
        </row>
        <row r="198">
          <cell r="A198" t="str">
            <v>Y002-156</v>
          </cell>
          <cell r="B198" t="str">
            <v>LCT112-381</v>
          </cell>
          <cell r="C198" t="str">
            <v>Y002</v>
          </cell>
          <cell r="D198" t="str">
            <v>958-05</v>
          </cell>
          <cell r="E198" t="str">
            <v>抽面飾框</v>
          </cell>
          <cell r="F198" t="str">
            <v>788*223*10</v>
          </cell>
          <cell r="G198">
            <v>788</v>
          </cell>
          <cell r="H198">
            <v>223</v>
          </cell>
          <cell r="I198">
            <v>10</v>
          </cell>
          <cell r="J198">
            <v>830</v>
          </cell>
          <cell r="K198">
            <v>0</v>
          </cell>
          <cell r="L198">
            <v>1.9</v>
          </cell>
          <cell r="M198">
            <v>0</v>
          </cell>
          <cell r="N198">
            <v>200</v>
          </cell>
          <cell r="O198" t="str">
            <v>40V</v>
          </cell>
          <cell r="P198" t="str">
            <v>1010</v>
          </cell>
          <cell r="Q198" t="str">
            <v>1010</v>
          </cell>
          <cell r="R198">
            <v>2.2891566265060241</v>
          </cell>
          <cell r="S198">
            <v>0</v>
          </cell>
        </row>
        <row r="199">
          <cell r="A199" t="str">
            <v>Y002-157</v>
          </cell>
          <cell r="B199" t="str">
            <v>LCT112-382</v>
          </cell>
          <cell r="C199" t="str">
            <v>Y002</v>
          </cell>
          <cell r="D199" t="str">
            <v>958-49</v>
          </cell>
          <cell r="E199" t="str">
            <v>抽面飾框</v>
          </cell>
          <cell r="F199" t="str">
            <v>764*222*10</v>
          </cell>
          <cell r="G199">
            <v>764</v>
          </cell>
          <cell r="H199">
            <v>222</v>
          </cell>
          <cell r="I199">
            <v>10</v>
          </cell>
          <cell r="J199">
            <v>750</v>
          </cell>
          <cell r="K199">
            <v>0</v>
          </cell>
          <cell r="L199">
            <v>1.65</v>
          </cell>
          <cell r="M199">
            <v>0</v>
          </cell>
          <cell r="N199">
            <v>200</v>
          </cell>
          <cell r="O199" t="str">
            <v>40V</v>
          </cell>
          <cell r="P199" t="str">
            <v>1010</v>
          </cell>
          <cell r="Q199" t="str">
            <v>1010</v>
          </cell>
          <cell r="R199">
            <v>2.1999999999999997</v>
          </cell>
          <cell r="S199">
            <v>0</v>
          </cell>
        </row>
        <row r="200">
          <cell r="A200" t="str">
            <v>Y002-158</v>
          </cell>
          <cell r="B200" t="str">
            <v>LCT112-383</v>
          </cell>
          <cell r="C200" t="str">
            <v>Y002</v>
          </cell>
          <cell r="D200" t="str">
            <v>NJ230-CYT</v>
          </cell>
          <cell r="E200" t="str">
            <v>前框上POLY飾花</v>
          </cell>
          <cell r="F200" t="str">
            <v>1090*229*34</v>
          </cell>
          <cell r="G200">
            <v>1090</v>
          </cell>
          <cell r="H200">
            <v>229</v>
          </cell>
          <cell r="I200">
            <v>34</v>
          </cell>
          <cell r="J200">
            <v>0</v>
          </cell>
          <cell r="K200">
            <v>0</v>
          </cell>
          <cell r="L200">
            <v>6.3</v>
          </cell>
          <cell r="M200">
            <v>0</v>
          </cell>
          <cell r="N200">
            <v>0</v>
          </cell>
          <cell r="O200" t="str">
            <v>40V</v>
          </cell>
          <cell r="P200" t="str">
            <v>1010</v>
          </cell>
          <cell r="Q200" t="str">
            <v>1010</v>
          </cell>
          <cell r="R200" t="e">
            <v>#DIV/0!</v>
          </cell>
          <cell r="S200">
            <v>0</v>
          </cell>
        </row>
        <row r="201">
          <cell r="A201" t="str">
            <v>Y002-159</v>
          </cell>
          <cell r="B201">
            <v>0</v>
          </cell>
          <cell r="C201" t="str">
            <v>Y002</v>
          </cell>
          <cell r="D201" t="str">
            <v>874-01/11</v>
          </cell>
          <cell r="E201" t="str">
            <v>床頭柱圓飾片</v>
          </cell>
          <cell r="F201" t="str">
            <v>60*60*17</v>
          </cell>
          <cell r="G201">
            <v>60</v>
          </cell>
          <cell r="H201">
            <v>60</v>
          </cell>
          <cell r="I201">
            <v>17</v>
          </cell>
          <cell r="J201">
            <v>40</v>
          </cell>
          <cell r="K201">
            <v>0</v>
          </cell>
          <cell r="L201">
            <v>0.18</v>
          </cell>
          <cell r="M201">
            <v>0</v>
          </cell>
          <cell r="N201">
            <v>0</v>
          </cell>
          <cell r="O201" t="str">
            <v>40V</v>
          </cell>
          <cell r="P201" t="str">
            <v>1010</v>
          </cell>
          <cell r="Q201" t="str">
            <v>1010</v>
          </cell>
          <cell r="R201">
            <v>4.5</v>
          </cell>
          <cell r="S201">
            <v>0</v>
          </cell>
        </row>
        <row r="202">
          <cell r="A202" t="str">
            <v>Y002-160</v>
          </cell>
          <cell r="B202">
            <v>0</v>
          </cell>
          <cell r="C202" t="str">
            <v>Y002</v>
          </cell>
          <cell r="D202">
            <v>15542</v>
          </cell>
          <cell r="E202" t="str">
            <v>上下飾條</v>
          </cell>
          <cell r="F202" t="str">
            <v>316*32*13</v>
          </cell>
          <cell r="G202">
            <v>316</v>
          </cell>
          <cell r="H202">
            <v>32</v>
          </cell>
          <cell r="I202">
            <v>13</v>
          </cell>
          <cell r="J202">
            <v>220</v>
          </cell>
          <cell r="K202">
            <v>0</v>
          </cell>
          <cell r="L202">
            <v>0.55000000000000004</v>
          </cell>
          <cell r="M202">
            <v>0</v>
          </cell>
          <cell r="N202">
            <v>0</v>
          </cell>
          <cell r="O202" t="str">
            <v>40V</v>
          </cell>
          <cell r="P202" t="str">
            <v>1010</v>
          </cell>
          <cell r="Q202" t="str">
            <v>1010</v>
          </cell>
          <cell r="R202">
            <v>2.5</v>
          </cell>
        </row>
        <row r="203">
          <cell r="A203" t="str">
            <v>Y002-161</v>
          </cell>
          <cell r="B203">
            <v>0</v>
          </cell>
          <cell r="C203" t="str">
            <v>Y002</v>
          </cell>
          <cell r="D203">
            <v>15542</v>
          </cell>
          <cell r="E203" t="str">
            <v>上下飾條</v>
          </cell>
          <cell r="F203" t="str">
            <v>1380*17*10</v>
          </cell>
          <cell r="G203">
            <v>1380</v>
          </cell>
          <cell r="H203">
            <v>17</v>
          </cell>
          <cell r="I203">
            <v>10</v>
          </cell>
          <cell r="J203">
            <v>300</v>
          </cell>
          <cell r="K203">
            <v>0</v>
          </cell>
          <cell r="L203">
            <v>0.75</v>
          </cell>
          <cell r="M203">
            <v>0</v>
          </cell>
          <cell r="N203">
            <v>0</v>
          </cell>
          <cell r="O203" t="str">
            <v>40V</v>
          </cell>
          <cell r="P203" t="str">
            <v>1010</v>
          </cell>
          <cell r="Q203" t="str">
            <v>1010</v>
          </cell>
          <cell r="R203">
            <v>2.5</v>
          </cell>
        </row>
        <row r="204">
          <cell r="A204" t="str">
            <v>Y002-162</v>
          </cell>
          <cell r="B204">
            <v>0</v>
          </cell>
          <cell r="C204" t="str">
            <v>Y002</v>
          </cell>
          <cell r="D204">
            <v>15542</v>
          </cell>
          <cell r="E204" t="str">
            <v>L型POLY飾條-73度</v>
          </cell>
          <cell r="F204" t="str">
            <v>632*155*13</v>
          </cell>
          <cell r="G204">
            <v>632</v>
          </cell>
          <cell r="H204">
            <v>155</v>
          </cell>
          <cell r="I204">
            <v>13</v>
          </cell>
          <cell r="J204">
            <v>500</v>
          </cell>
          <cell r="K204">
            <v>0</v>
          </cell>
          <cell r="L204">
            <v>1.25</v>
          </cell>
          <cell r="M204">
            <v>0</v>
          </cell>
          <cell r="N204">
            <v>0</v>
          </cell>
          <cell r="O204" t="str">
            <v>40V</v>
          </cell>
          <cell r="P204" t="str">
            <v>1010</v>
          </cell>
          <cell r="Q204" t="str">
            <v>1010</v>
          </cell>
          <cell r="R204">
            <v>2.5</v>
          </cell>
        </row>
        <row r="205">
          <cell r="A205" t="str">
            <v>Y002-163</v>
          </cell>
          <cell r="B205">
            <v>0</v>
          </cell>
          <cell r="C205" t="str">
            <v>Y002</v>
          </cell>
          <cell r="D205">
            <v>15542</v>
          </cell>
          <cell r="E205" t="str">
            <v>L型POLY飾條-107度</v>
          </cell>
          <cell r="F205" t="str">
            <v>321*155*13</v>
          </cell>
          <cell r="G205">
            <v>321</v>
          </cell>
          <cell r="H205">
            <v>155</v>
          </cell>
          <cell r="I205">
            <v>13</v>
          </cell>
          <cell r="J205">
            <v>300</v>
          </cell>
          <cell r="K205">
            <v>0</v>
          </cell>
          <cell r="L205">
            <v>0.75</v>
          </cell>
          <cell r="M205">
            <v>0</v>
          </cell>
          <cell r="N205">
            <v>0</v>
          </cell>
          <cell r="O205" t="str">
            <v>40V</v>
          </cell>
          <cell r="P205" t="str">
            <v>1010</v>
          </cell>
          <cell r="Q205" t="str">
            <v>1010</v>
          </cell>
          <cell r="R205">
            <v>2.5</v>
          </cell>
        </row>
        <row r="206">
          <cell r="A206" t="str">
            <v>Y002-164</v>
          </cell>
          <cell r="B206">
            <v>0</v>
          </cell>
          <cell r="C206" t="str">
            <v>Y002</v>
          </cell>
          <cell r="D206">
            <v>15542</v>
          </cell>
          <cell r="E206" t="str">
            <v>彎飾條(彎形)</v>
          </cell>
          <cell r="F206" t="str">
            <v>72*59*25</v>
          </cell>
          <cell r="G206">
            <v>72</v>
          </cell>
          <cell r="H206">
            <v>59</v>
          </cell>
          <cell r="I206">
            <v>25</v>
          </cell>
          <cell r="J206">
            <v>100</v>
          </cell>
          <cell r="K206">
            <v>0</v>
          </cell>
          <cell r="L206">
            <v>0.25</v>
          </cell>
          <cell r="M206">
            <v>0</v>
          </cell>
          <cell r="N206">
            <v>0</v>
          </cell>
          <cell r="O206" t="str">
            <v>40V</v>
          </cell>
          <cell r="P206" t="str">
            <v>1010</v>
          </cell>
          <cell r="Q206" t="str">
            <v>1010</v>
          </cell>
          <cell r="R206">
            <v>2.5</v>
          </cell>
        </row>
        <row r="207">
          <cell r="A207" t="str">
            <v>Y002-165</v>
          </cell>
          <cell r="B207">
            <v>0</v>
          </cell>
          <cell r="C207" t="str">
            <v>Y002</v>
          </cell>
          <cell r="D207">
            <v>90831</v>
          </cell>
          <cell r="E207" t="str">
            <v>上POLY彎形</v>
          </cell>
          <cell r="F207" t="str">
            <v>2088*70*8</v>
          </cell>
          <cell r="G207">
            <v>2088</v>
          </cell>
          <cell r="H207">
            <v>70</v>
          </cell>
          <cell r="I207">
            <v>8</v>
          </cell>
          <cell r="J207">
            <v>1696</v>
          </cell>
          <cell r="K207">
            <v>0</v>
          </cell>
          <cell r="L207">
            <v>4.4000000000000004</v>
          </cell>
          <cell r="M207">
            <v>0</v>
          </cell>
          <cell r="N207">
            <v>0</v>
          </cell>
          <cell r="O207" t="str">
            <v>40V</v>
          </cell>
          <cell r="P207" t="str">
            <v>1010</v>
          </cell>
          <cell r="Q207" t="str">
            <v>1010</v>
          </cell>
          <cell r="R207">
            <v>2.5943396226415096</v>
          </cell>
          <cell r="S207">
            <v>0</v>
          </cell>
        </row>
        <row r="208">
          <cell r="A208" t="str">
            <v>Y002-166</v>
          </cell>
          <cell r="B208">
            <v>0</v>
          </cell>
          <cell r="C208" t="str">
            <v>Y002</v>
          </cell>
          <cell r="D208">
            <v>90833</v>
          </cell>
          <cell r="E208" t="str">
            <v>上POLY彎形</v>
          </cell>
          <cell r="F208" t="str">
            <v>2050*70*8</v>
          </cell>
          <cell r="G208">
            <v>2050</v>
          </cell>
          <cell r="H208">
            <v>70</v>
          </cell>
          <cell r="I208">
            <v>8</v>
          </cell>
          <cell r="J208">
            <v>1650</v>
          </cell>
          <cell r="K208">
            <v>0</v>
          </cell>
          <cell r="L208">
            <v>4</v>
          </cell>
          <cell r="M208">
            <v>0</v>
          </cell>
          <cell r="N208">
            <v>0</v>
          </cell>
          <cell r="O208" t="str">
            <v>40V</v>
          </cell>
          <cell r="P208" t="str">
            <v>1010</v>
          </cell>
          <cell r="Q208" t="str">
            <v>1010</v>
          </cell>
          <cell r="R208">
            <v>2.4242424242424243</v>
          </cell>
          <cell r="S208">
            <v>0</v>
          </cell>
        </row>
        <row r="209">
          <cell r="A209" t="str">
            <v>Y002-167</v>
          </cell>
          <cell r="B209">
            <v>0</v>
          </cell>
          <cell r="C209" t="str">
            <v>Y002</v>
          </cell>
          <cell r="D209">
            <v>90841</v>
          </cell>
          <cell r="E209" t="str">
            <v>上POLY彎形</v>
          </cell>
          <cell r="F209" t="str">
            <v>2017*70*8</v>
          </cell>
          <cell r="G209">
            <v>2017</v>
          </cell>
          <cell r="H209">
            <v>70</v>
          </cell>
          <cell r="I209">
            <v>8</v>
          </cell>
          <cell r="J209">
            <v>1573</v>
          </cell>
          <cell r="K209">
            <v>0</v>
          </cell>
          <cell r="L209">
            <v>4</v>
          </cell>
          <cell r="M209">
            <v>0</v>
          </cell>
          <cell r="N209">
            <v>0</v>
          </cell>
          <cell r="O209" t="str">
            <v>40V</v>
          </cell>
          <cell r="P209" t="str">
            <v>1010</v>
          </cell>
          <cell r="Q209" t="str">
            <v>1010</v>
          </cell>
          <cell r="R209">
            <v>2.5429116338207249</v>
          </cell>
          <cell r="S209">
            <v>0</v>
          </cell>
        </row>
        <row r="210">
          <cell r="A210" t="str">
            <v>Y002-168</v>
          </cell>
          <cell r="B210">
            <v>0</v>
          </cell>
          <cell r="C210" t="str">
            <v>Y002</v>
          </cell>
          <cell r="D210">
            <v>90843</v>
          </cell>
          <cell r="E210" t="str">
            <v>上POLY彎形</v>
          </cell>
          <cell r="F210" t="str">
            <v>1976*70*8</v>
          </cell>
          <cell r="G210">
            <v>1976</v>
          </cell>
          <cell r="H210">
            <v>70</v>
          </cell>
          <cell r="I210">
            <v>8</v>
          </cell>
          <cell r="J210">
            <v>1640</v>
          </cell>
          <cell r="K210">
            <v>0</v>
          </cell>
          <cell r="L210">
            <v>3.9</v>
          </cell>
          <cell r="M210">
            <v>0</v>
          </cell>
          <cell r="N210">
            <v>0</v>
          </cell>
          <cell r="O210" t="str">
            <v>40V</v>
          </cell>
          <cell r="P210" t="str">
            <v>1010</v>
          </cell>
          <cell r="Q210" t="str">
            <v>1010</v>
          </cell>
          <cell r="R210">
            <v>2.3780487804878048</v>
          </cell>
          <cell r="S210">
            <v>0</v>
          </cell>
        </row>
        <row r="211">
          <cell r="A211" t="str">
            <v>Y002-169</v>
          </cell>
          <cell r="B211">
            <v>0</v>
          </cell>
          <cell r="C211" t="str">
            <v>Y002</v>
          </cell>
          <cell r="D211">
            <v>90821</v>
          </cell>
          <cell r="E211" t="str">
            <v>上POLY彎形</v>
          </cell>
          <cell r="F211" t="str">
            <v>1683*70*8</v>
          </cell>
          <cell r="G211">
            <v>1683</v>
          </cell>
          <cell r="H211">
            <v>70</v>
          </cell>
          <cell r="I211">
            <v>8</v>
          </cell>
          <cell r="J211">
            <v>1308</v>
          </cell>
          <cell r="K211">
            <v>0</v>
          </cell>
          <cell r="L211">
            <v>3.9</v>
          </cell>
          <cell r="M211">
            <v>0</v>
          </cell>
          <cell r="N211">
            <v>0</v>
          </cell>
          <cell r="O211" t="str">
            <v>40V</v>
          </cell>
          <cell r="P211" t="str">
            <v>1010</v>
          </cell>
          <cell r="Q211" t="str">
            <v>1010</v>
          </cell>
          <cell r="R211">
            <v>2.9816513761467887</v>
          </cell>
          <cell r="S211">
            <v>0</v>
          </cell>
        </row>
        <row r="212">
          <cell r="A212" t="str">
            <v>Y002-170</v>
          </cell>
          <cell r="B212">
            <v>0</v>
          </cell>
          <cell r="C212" t="str">
            <v>Y002</v>
          </cell>
          <cell r="D212">
            <v>90823</v>
          </cell>
          <cell r="E212" t="str">
            <v>上POLY彎形</v>
          </cell>
          <cell r="F212" t="str">
            <v>1638*70*8</v>
          </cell>
          <cell r="G212">
            <v>1638</v>
          </cell>
          <cell r="H212">
            <v>70</v>
          </cell>
          <cell r="I212">
            <v>8</v>
          </cell>
          <cell r="J212">
            <v>1263</v>
          </cell>
          <cell r="K212">
            <v>0</v>
          </cell>
          <cell r="L212">
            <v>3.5</v>
          </cell>
          <cell r="M212">
            <v>0</v>
          </cell>
          <cell r="N212">
            <v>0</v>
          </cell>
          <cell r="O212" t="str">
            <v>40V</v>
          </cell>
          <cell r="P212" t="str">
            <v>1010</v>
          </cell>
          <cell r="Q212" t="str">
            <v>1010</v>
          </cell>
          <cell r="R212">
            <v>2.7711797307996835</v>
          </cell>
          <cell r="S212">
            <v>0</v>
          </cell>
        </row>
        <row r="213">
          <cell r="A213" t="str">
            <v>Y002-171</v>
          </cell>
          <cell r="B213">
            <v>0</v>
          </cell>
          <cell r="C213" t="str">
            <v>Y002</v>
          </cell>
          <cell r="D213">
            <v>90851</v>
          </cell>
          <cell r="E213" t="str">
            <v>上POLY值線形</v>
          </cell>
          <cell r="F213" t="str">
            <v>1564*30*16</v>
          </cell>
          <cell r="G213">
            <v>1564</v>
          </cell>
          <cell r="H213">
            <v>30</v>
          </cell>
          <cell r="I213">
            <v>16</v>
          </cell>
          <cell r="J213">
            <v>754</v>
          </cell>
          <cell r="K213">
            <v>0</v>
          </cell>
          <cell r="L213">
            <v>1.9</v>
          </cell>
          <cell r="M213">
            <v>0</v>
          </cell>
          <cell r="N213">
            <v>0</v>
          </cell>
          <cell r="O213" t="str">
            <v>40V</v>
          </cell>
          <cell r="P213" t="str">
            <v>1010</v>
          </cell>
          <cell r="Q213" t="str">
            <v>1010</v>
          </cell>
          <cell r="R213">
            <v>2.5198938992042441</v>
          </cell>
          <cell r="S213">
            <v>0</v>
          </cell>
        </row>
        <row r="214">
          <cell r="A214" t="str">
            <v>Y002-172</v>
          </cell>
          <cell r="B214">
            <v>0</v>
          </cell>
          <cell r="C214" t="str">
            <v>Y002</v>
          </cell>
          <cell r="D214">
            <v>90853</v>
          </cell>
          <cell r="E214" t="str">
            <v>上POLY值線形</v>
          </cell>
          <cell r="F214" t="str">
            <v>1366*30*16</v>
          </cell>
          <cell r="G214">
            <v>1366</v>
          </cell>
          <cell r="H214">
            <v>30</v>
          </cell>
          <cell r="I214">
            <v>16</v>
          </cell>
          <cell r="J214">
            <v>660</v>
          </cell>
          <cell r="K214">
            <v>0</v>
          </cell>
          <cell r="L214">
            <v>1.7</v>
          </cell>
          <cell r="M214">
            <v>0</v>
          </cell>
          <cell r="N214">
            <v>0</v>
          </cell>
          <cell r="O214" t="str">
            <v>40V</v>
          </cell>
          <cell r="P214" t="str">
            <v>1010</v>
          </cell>
          <cell r="Q214" t="str">
            <v>1010</v>
          </cell>
          <cell r="R214">
            <v>2.5757575757575757</v>
          </cell>
          <cell r="S214">
            <v>0</v>
          </cell>
        </row>
        <row r="215">
          <cell r="A215" t="str">
            <v>Y002-173</v>
          </cell>
          <cell r="B215">
            <v>0</v>
          </cell>
          <cell r="C215" t="str">
            <v>Y002</v>
          </cell>
          <cell r="D215">
            <v>90861</v>
          </cell>
          <cell r="E215" t="str">
            <v>上POLY值線形</v>
          </cell>
          <cell r="F215" t="str">
            <v>1938*30*16</v>
          </cell>
          <cell r="G215">
            <v>1938</v>
          </cell>
          <cell r="H215">
            <v>30</v>
          </cell>
          <cell r="I215">
            <v>16</v>
          </cell>
          <cell r="J215">
            <v>915</v>
          </cell>
          <cell r="K215">
            <v>0</v>
          </cell>
          <cell r="L215">
            <v>2.2999999999999998</v>
          </cell>
          <cell r="M215">
            <v>0</v>
          </cell>
          <cell r="N215">
            <v>0</v>
          </cell>
          <cell r="O215" t="str">
            <v>40V</v>
          </cell>
          <cell r="P215" t="str">
            <v>1010</v>
          </cell>
          <cell r="Q215" t="str">
            <v>1010</v>
          </cell>
          <cell r="R215">
            <v>2.513661202185792</v>
          </cell>
          <cell r="S215">
            <v>0</v>
          </cell>
        </row>
        <row r="216">
          <cell r="A216" t="str">
            <v>Y002-174</v>
          </cell>
          <cell r="B216">
            <v>0</v>
          </cell>
          <cell r="C216" t="str">
            <v>Y002</v>
          </cell>
          <cell r="D216">
            <v>90863</v>
          </cell>
          <cell r="E216" t="str">
            <v>上POLY值線形</v>
          </cell>
          <cell r="F216" t="str">
            <v>1770*30*16</v>
          </cell>
          <cell r="G216">
            <v>1770</v>
          </cell>
          <cell r="H216">
            <v>30</v>
          </cell>
          <cell r="I216">
            <v>16</v>
          </cell>
          <cell r="J216">
            <v>839</v>
          </cell>
          <cell r="K216">
            <v>0</v>
          </cell>
          <cell r="L216">
            <v>2.1</v>
          </cell>
          <cell r="M216">
            <v>0</v>
          </cell>
          <cell r="N216">
            <v>0</v>
          </cell>
          <cell r="O216" t="str">
            <v>40V</v>
          </cell>
          <cell r="P216" t="str">
            <v>1010</v>
          </cell>
          <cell r="Q216" t="str">
            <v>1010</v>
          </cell>
          <cell r="R216">
            <v>2.5029797377830754</v>
          </cell>
          <cell r="S216">
            <v>0</v>
          </cell>
        </row>
        <row r="217">
          <cell r="A217" t="str">
            <v>Y002-175</v>
          </cell>
          <cell r="B217" t="str">
            <v>黑色</v>
          </cell>
          <cell r="C217" t="str">
            <v>Y002</v>
          </cell>
          <cell r="D217">
            <v>86301</v>
          </cell>
          <cell r="E217" t="str">
            <v>床頭上POLY飾條01</v>
          </cell>
          <cell r="F217" t="str">
            <v>1336*27*8</v>
          </cell>
          <cell r="G217">
            <v>1336</v>
          </cell>
          <cell r="H217">
            <v>27</v>
          </cell>
          <cell r="I217">
            <v>8</v>
          </cell>
          <cell r="J217">
            <v>387</v>
          </cell>
          <cell r="K217">
            <v>0</v>
          </cell>
          <cell r="L217">
            <v>1.1000000000000001</v>
          </cell>
          <cell r="M217">
            <v>0</v>
          </cell>
          <cell r="N217">
            <v>0</v>
          </cell>
          <cell r="O217">
            <v>0</v>
          </cell>
          <cell r="P217" t="str">
            <v>1010</v>
          </cell>
          <cell r="Q217" t="str">
            <v>1010</v>
          </cell>
          <cell r="R217">
            <v>2.8423772609819125</v>
          </cell>
          <cell r="S217">
            <v>0</v>
          </cell>
        </row>
        <row r="218">
          <cell r="A218" t="str">
            <v>Y002-176</v>
          </cell>
          <cell r="B218" t="str">
            <v>黑色</v>
          </cell>
          <cell r="C218" t="str">
            <v>Y002</v>
          </cell>
          <cell r="D218" t="str">
            <v>86301/11</v>
          </cell>
          <cell r="E218" t="str">
            <v>床頭上POLY飾條03</v>
          </cell>
          <cell r="F218" t="str">
            <v>190*27*8</v>
          </cell>
          <cell r="G218">
            <v>190</v>
          </cell>
          <cell r="H218">
            <v>27</v>
          </cell>
          <cell r="I218">
            <v>8</v>
          </cell>
          <cell r="J218">
            <v>62</v>
          </cell>
          <cell r="K218">
            <v>0</v>
          </cell>
          <cell r="L218">
            <v>0.22</v>
          </cell>
          <cell r="M218">
            <v>0</v>
          </cell>
          <cell r="N218">
            <v>0</v>
          </cell>
          <cell r="O218">
            <v>0</v>
          </cell>
          <cell r="P218" t="str">
            <v>1010</v>
          </cell>
          <cell r="Q218" t="str">
            <v>1010</v>
          </cell>
          <cell r="R218">
            <v>3.5483870967741935</v>
          </cell>
          <cell r="S218">
            <v>0</v>
          </cell>
        </row>
        <row r="219">
          <cell r="A219" t="str">
            <v>Y002-177</v>
          </cell>
          <cell r="B219" t="str">
            <v>黑色</v>
          </cell>
          <cell r="C219" t="str">
            <v>Y002</v>
          </cell>
          <cell r="D219" t="str">
            <v>86301/11</v>
          </cell>
          <cell r="E219" t="str">
            <v>床頭上POLY飾條04</v>
          </cell>
          <cell r="F219" t="str">
            <v>120*27*8</v>
          </cell>
          <cell r="G219">
            <v>120</v>
          </cell>
          <cell r="H219">
            <v>27</v>
          </cell>
          <cell r="I219">
            <v>8</v>
          </cell>
          <cell r="J219">
            <v>45</v>
          </cell>
          <cell r="K219">
            <v>0</v>
          </cell>
          <cell r="L219">
            <v>0.17</v>
          </cell>
          <cell r="M219">
            <v>0</v>
          </cell>
          <cell r="N219">
            <v>0</v>
          </cell>
          <cell r="O219">
            <v>0</v>
          </cell>
          <cell r="P219" t="str">
            <v>1010</v>
          </cell>
          <cell r="Q219" t="str">
            <v>1010</v>
          </cell>
          <cell r="R219">
            <v>3.7777777777777781</v>
          </cell>
          <cell r="S219">
            <v>0</v>
          </cell>
        </row>
        <row r="220">
          <cell r="A220" t="str">
            <v>Y002-178</v>
          </cell>
          <cell r="B220" t="str">
            <v>黑色</v>
          </cell>
          <cell r="C220" t="str">
            <v>Y002</v>
          </cell>
          <cell r="D220">
            <v>86311</v>
          </cell>
          <cell r="E220" t="str">
            <v>床頭上POLY飾條01</v>
          </cell>
          <cell r="F220" t="str">
            <v>1762*27*8</v>
          </cell>
          <cell r="G220">
            <v>1762</v>
          </cell>
          <cell r="H220">
            <v>27</v>
          </cell>
          <cell r="I220">
            <v>8</v>
          </cell>
          <cell r="J220">
            <v>507</v>
          </cell>
          <cell r="K220">
            <v>0</v>
          </cell>
          <cell r="L220">
            <v>1.4</v>
          </cell>
          <cell r="M220">
            <v>0</v>
          </cell>
          <cell r="N220">
            <v>0</v>
          </cell>
          <cell r="O220">
            <v>0</v>
          </cell>
          <cell r="P220" t="str">
            <v>1010</v>
          </cell>
          <cell r="Q220" t="str">
            <v>1010</v>
          </cell>
          <cell r="R220">
            <v>2.7613412228796843</v>
          </cell>
          <cell r="S220">
            <v>0</v>
          </cell>
        </row>
        <row r="221">
          <cell r="A221" t="str">
            <v>Y002-179</v>
          </cell>
          <cell r="B221" t="str">
            <v>黃色</v>
          </cell>
          <cell r="C221" t="str">
            <v>Y002</v>
          </cell>
          <cell r="D221">
            <v>96001</v>
          </cell>
          <cell r="E221" t="str">
            <v>床頭上POLY飾條01</v>
          </cell>
          <cell r="F221" t="str">
            <v>1336*27*8</v>
          </cell>
          <cell r="G221">
            <v>1336</v>
          </cell>
          <cell r="H221">
            <v>27</v>
          </cell>
          <cell r="I221">
            <v>8</v>
          </cell>
          <cell r="J221">
            <v>387</v>
          </cell>
          <cell r="K221">
            <v>0</v>
          </cell>
          <cell r="L221">
            <v>1.1000000000000001</v>
          </cell>
          <cell r="M221">
            <v>0</v>
          </cell>
          <cell r="N221">
            <v>0</v>
          </cell>
          <cell r="O221">
            <v>0</v>
          </cell>
          <cell r="P221" t="str">
            <v>1010</v>
          </cell>
          <cell r="Q221" t="str">
            <v>1010</v>
          </cell>
          <cell r="R221">
            <v>2.8423772609819125</v>
          </cell>
          <cell r="S221">
            <v>0</v>
          </cell>
        </row>
        <row r="222">
          <cell r="A222" t="str">
            <v>Y002-180</v>
          </cell>
          <cell r="B222" t="str">
            <v>黃色</v>
          </cell>
          <cell r="C222" t="str">
            <v>Y002</v>
          </cell>
          <cell r="D222" t="str">
            <v>96001/11</v>
          </cell>
          <cell r="E222" t="str">
            <v>床頭上POLY飾條03</v>
          </cell>
          <cell r="F222" t="str">
            <v>190*27*8</v>
          </cell>
          <cell r="G222">
            <v>190</v>
          </cell>
          <cell r="H222">
            <v>27</v>
          </cell>
          <cell r="I222">
            <v>8</v>
          </cell>
          <cell r="J222">
            <v>62</v>
          </cell>
          <cell r="K222">
            <v>0</v>
          </cell>
          <cell r="L222">
            <v>0.22</v>
          </cell>
          <cell r="M222">
            <v>0</v>
          </cell>
          <cell r="N222">
            <v>0</v>
          </cell>
          <cell r="O222">
            <v>0</v>
          </cell>
          <cell r="P222" t="str">
            <v>1010</v>
          </cell>
          <cell r="Q222" t="str">
            <v>1010</v>
          </cell>
          <cell r="R222">
            <v>3.5483870967741935</v>
          </cell>
          <cell r="S222">
            <v>0</v>
          </cell>
        </row>
        <row r="223">
          <cell r="A223" t="str">
            <v>Y002-181</v>
          </cell>
          <cell r="B223" t="str">
            <v>黃色</v>
          </cell>
          <cell r="C223" t="str">
            <v>Y002</v>
          </cell>
          <cell r="D223" t="str">
            <v>96001/11</v>
          </cell>
          <cell r="E223" t="str">
            <v>床頭上POLY飾條04</v>
          </cell>
          <cell r="F223" t="str">
            <v>120*27*8</v>
          </cell>
          <cell r="G223">
            <v>120</v>
          </cell>
          <cell r="H223">
            <v>27</v>
          </cell>
          <cell r="I223">
            <v>8</v>
          </cell>
          <cell r="J223">
            <v>45</v>
          </cell>
          <cell r="K223">
            <v>0</v>
          </cell>
          <cell r="L223">
            <v>0.17</v>
          </cell>
          <cell r="M223">
            <v>0</v>
          </cell>
          <cell r="N223">
            <v>0</v>
          </cell>
          <cell r="O223">
            <v>0</v>
          </cell>
          <cell r="P223" t="str">
            <v>1010</v>
          </cell>
          <cell r="Q223" t="str">
            <v>1010</v>
          </cell>
          <cell r="R223">
            <v>3.7777777777777781</v>
          </cell>
          <cell r="S223">
            <v>0</v>
          </cell>
        </row>
        <row r="224">
          <cell r="A224" t="str">
            <v>Y002-182</v>
          </cell>
          <cell r="B224" t="str">
            <v>黃色</v>
          </cell>
          <cell r="C224" t="str">
            <v>Y002</v>
          </cell>
          <cell r="D224">
            <v>96011</v>
          </cell>
          <cell r="E224" t="str">
            <v>床頭上POLY飾條01</v>
          </cell>
          <cell r="F224" t="str">
            <v>1762*27*8</v>
          </cell>
          <cell r="G224">
            <v>1762</v>
          </cell>
          <cell r="H224">
            <v>27</v>
          </cell>
          <cell r="I224">
            <v>8</v>
          </cell>
          <cell r="J224">
            <v>507</v>
          </cell>
          <cell r="K224">
            <v>0</v>
          </cell>
          <cell r="L224">
            <v>1.4</v>
          </cell>
          <cell r="M224">
            <v>0</v>
          </cell>
          <cell r="N224">
            <v>0</v>
          </cell>
          <cell r="O224">
            <v>0</v>
          </cell>
          <cell r="P224" t="str">
            <v>1010</v>
          </cell>
          <cell r="Q224" t="str">
            <v>1010</v>
          </cell>
          <cell r="R224">
            <v>2.7613412228796843</v>
          </cell>
          <cell r="S224">
            <v>0</v>
          </cell>
        </row>
        <row r="225">
          <cell r="A225" t="str">
            <v>Y002-183</v>
          </cell>
          <cell r="B225">
            <v>0</v>
          </cell>
          <cell r="C225" t="str">
            <v>Y002</v>
          </cell>
          <cell r="D225" t="str">
            <v>832-07/15/46/09/15</v>
          </cell>
          <cell r="E225" t="str">
            <v>企柱貼塊-左</v>
          </cell>
          <cell r="F225" t="str">
            <v>92*86*102</v>
          </cell>
          <cell r="G225">
            <v>92</v>
          </cell>
          <cell r="H225">
            <v>86</v>
          </cell>
          <cell r="I225">
            <v>102</v>
          </cell>
          <cell r="J225">
            <v>286</v>
          </cell>
          <cell r="K225">
            <v>0</v>
          </cell>
          <cell r="L225">
            <v>0.84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 t="str">
            <v>Y002-184</v>
          </cell>
          <cell r="B226">
            <v>0</v>
          </cell>
          <cell r="C226" t="str">
            <v>Y002</v>
          </cell>
          <cell r="D226" t="str">
            <v>832-07/15/46/09/15</v>
          </cell>
          <cell r="E226" t="str">
            <v>企柱貼塊-右</v>
          </cell>
          <cell r="F226" t="str">
            <v>92*86*102</v>
          </cell>
          <cell r="G226">
            <v>92</v>
          </cell>
          <cell r="H226">
            <v>86</v>
          </cell>
          <cell r="I226">
            <v>102</v>
          </cell>
          <cell r="J226">
            <v>286</v>
          </cell>
          <cell r="K226">
            <v>0</v>
          </cell>
          <cell r="L226">
            <v>0.84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 t="str">
            <v>Y002-185</v>
          </cell>
          <cell r="B227">
            <v>0</v>
          </cell>
          <cell r="C227" t="str">
            <v>Y002</v>
          </cell>
          <cell r="D227" t="str">
            <v>832-07/15</v>
          </cell>
          <cell r="E227" t="str">
            <v>抽面飾條</v>
          </cell>
          <cell r="F227" t="str">
            <v>577*8*6</v>
          </cell>
          <cell r="G227">
            <v>577</v>
          </cell>
          <cell r="H227">
            <v>8</v>
          </cell>
          <cell r="I227">
            <v>6</v>
          </cell>
          <cell r="J227">
            <v>47</v>
          </cell>
          <cell r="K227">
            <v>0</v>
          </cell>
          <cell r="L227">
            <v>0.17</v>
          </cell>
          <cell r="M227">
            <v>0</v>
          </cell>
          <cell r="N227">
            <v>0</v>
          </cell>
          <cell r="O227" t="str">
            <v>40V</v>
          </cell>
          <cell r="P227" t="str">
            <v>1010</v>
          </cell>
          <cell r="Q227" t="str">
            <v>1010</v>
          </cell>
          <cell r="R227">
            <v>3.6170212765957448</v>
          </cell>
          <cell r="S227">
            <v>0</v>
          </cell>
        </row>
        <row r="228">
          <cell r="A228" t="str">
            <v>Y002-186</v>
          </cell>
          <cell r="B228">
            <v>0</v>
          </cell>
          <cell r="C228" t="str">
            <v>Y002</v>
          </cell>
          <cell r="D228">
            <v>0</v>
          </cell>
          <cell r="E228" t="str">
            <v>抽面飾條</v>
          </cell>
          <cell r="F228" t="str">
            <v>460*8*6</v>
          </cell>
          <cell r="G228">
            <v>460</v>
          </cell>
          <cell r="H228">
            <v>8</v>
          </cell>
          <cell r="I228">
            <v>6</v>
          </cell>
          <cell r="J228">
            <v>39</v>
          </cell>
          <cell r="K228">
            <v>0</v>
          </cell>
          <cell r="L228">
            <v>0.14000000000000001</v>
          </cell>
          <cell r="M228">
            <v>0</v>
          </cell>
          <cell r="N228">
            <v>0</v>
          </cell>
          <cell r="O228" t="str">
            <v>40V</v>
          </cell>
          <cell r="P228" t="str">
            <v>1010</v>
          </cell>
          <cell r="Q228" t="str">
            <v>1010</v>
          </cell>
          <cell r="R228">
            <v>3.5897435897435899</v>
          </cell>
          <cell r="S228">
            <v>0</v>
          </cell>
        </row>
        <row r="229">
          <cell r="A229" t="str">
            <v>Y002-187</v>
          </cell>
          <cell r="B229">
            <v>0</v>
          </cell>
          <cell r="C229" t="str">
            <v>Y002</v>
          </cell>
          <cell r="D229" t="str">
            <v>832-09</v>
          </cell>
          <cell r="E229" t="str">
            <v>抽面飾條</v>
          </cell>
          <cell r="F229" t="str">
            <v>714*8*6</v>
          </cell>
          <cell r="G229">
            <v>714</v>
          </cell>
          <cell r="H229">
            <v>8</v>
          </cell>
          <cell r="I229">
            <v>6</v>
          </cell>
          <cell r="J229">
            <v>61</v>
          </cell>
          <cell r="K229">
            <v>0</v>
          </cell>
          <cell r="L229">
            <v>0.21</v>
          </cell>
          <cell r="M229">
            <v>0</v>
          </cell>
          <cell r="N229">
            <v>0</v>
          </cell>
          <cell r="O229" t="str">
            <v>40V</v>
          </cell>
          <cell r="P229" t="str">
            <v>1010</v>
          </cell>
          <cell r="Q229" t="str">
            <v>1010</v>
          </cell>
          <cell r="R229">
            <v>3.442622950819672</v>
          </cell>
          <cell r="S229">
            <v>0</v>
          </cell>
        </row>
        <row r="230">
          <cell r="A230" t="str">
            <v>Y002-188</v>
          </cell>
          <cell r="B230">
            <v>0</v>
          </cell>
          <cell r="C230" t="str">
            <v>Y002</v>
          </cell>
          <cell r="D230" t="str">
            <v>832-05</v>
          </cell>
          <cell r="E230" t="str">
            <v>抽面飾條</v>
          </cell>
          <cell r="F230" t="str">
            <v>830*8*6</v>
          </cell>
          <cell r="G230">
            <v>830</v>
          </cell>
          <cell r="H230">
            <v>8</v>
          </cell>
          <cell r="I230">
            <v>6</v>
          </cell>
          <cell r="J230">
            <v>67</v>
          </cell>
          <cell r="K230">
            <v>0</v>
          </cell>
          <cell r="L230">
            <v>0.25</v>
          </cell>
          <cell r="M230">
            <v>0</v>
          </cell>
          <cell r="N230">
            <v>0</v>
          </cell>
          <cell r="O230" t="str">
            <v>40V</v>
          </cell>
          <cell r="P230" t="str">
            <v>1010</v>
          </cell>
          <cell r="Q230" t="str">
            <v>1010</v>
          </cell>
          <cell r="R230">
            <v>3.7313432835820892</v>
          </cell>
          <cell r="S230">
            <v>0</v>
          </cell>
        </row>
        <row r="231">
          <cell r="A231" t="str">
            <v>Y002-189</v>
          </cell>
          <cell r="B231">
            <v>0</v>
          </cell>
          <cell r="C231" t="str">
            <v>Y002</v>
          </cell>
          <cell r="D231" t="str">
            <v>832-07/15</v>
          </cell>
          <cell r="E231" t="str">
            <v>抽面短飾條1開2</v>
          </cell>
          <cell r="F231" t="str">
            <v>428*8*6</v>
          </cell>
          <cell r="G231">
            <v>428</v>
          </cell>
          <cell r="H231">
            <v>8</v>
          </cell>
          <cell r="I231">
            <v>6</v>
          </cell>
          <cell r="J231">
            <v>35</v>
          </cell>
          <cell r="K231">
            <v>0</v>
          </cell>
          <cell r="L231">
            <v>0.13</v>
          </cell>
          <cell r="M231">
            <v>0</v>
          </cell>
          <cell r="N231">
            <v>0</v>
          </cell>
          <cell r="O231" t="str">
            <v>40V</v>
          </cell>
          <cell r="P231" t="str">
            <v>1010</v>
          </cell>
          <cell r="Q231" t="str">
            <v>1010</v>
          </cell>
          <cell r="R231">
            <v>3.714285714285714</v>
          </cell>
          <cell r="S231">
            <v>0</v>
          </cell>
        </row>
        <row r="232">
          <cell r="A232" t="str">
            <v>Y002-190</v>
          </cell>
          <cell r="B232">
            <v>0</v>
          </cell>
          <cell r="C232" t="str">
            <v>Y002</v>
          </cell>
          <cell r="D232">
            <v>0</v>
          </cell>
          <cell r="E232" t="str">
            <v>抽面短飾條1開2</v>
          </cell>
          <cell r="F232" t="str">
            <v>484*8*6</v>
          </cell>
          <cell r="G232">
            <v>484</v>
          </cell>
          <cell r="H232">
            <v>8</v>
          </cell>
          <cell r="I232">
            <v>6</v>
          </cell>
          <cell r="J232">
            <v>42</v>
          </cell>
          <cell r="K232">
            <v>0</v>
          </cell>
          <cell r="L232">
            <v>0.15</v>
          </cell>
          <cell r="M232">
            <v>0</v>
          </cell>
          <cell r="N232">
            <v>0</v>
          </cell>
          <cell r="O232" t="str">
            <v>40V</v>
          </cell>
          <cell r="P232" t="str">
            <v>1010</v>
          </cell>
          <cell r="Q232" t="str">
            <v>1010</v>
          </cell>
          <cell r="R232">
            <v>3.5714285714285712</v>
          </cell>
          <cell r="S232">
            <v>0</v>
          </cell>
        </row>
        <row r="233">
          <cell r="A233" t="str">
            <v>Y002-191</v>
          </cell>
          <cell r="B233">
            <v>0</v>
          </cell>
          <cell r="C233" t="str">
            <v>Y002</v>
          </cell>
          <cell r="D233" t="str">
            <v>832-09</v>
          </cell>
          <cell r="E233" t="str">
            <v>抽面短飾條1開2</v>
          </cell>
          <cell r="F233" t="str">
            <v>452*8*6</v>
          </cell>
          <cell r="G233">
            <v>452</v>
          </cell>
          <cell r="H233">
            <v>8</v>
          </cell>
          <cell r="I233">
            <v>6</v>
          </cell>
          <cell r="J233">
            <v>37</v>
          </cell>
          <cell r="K233">
            <v>0</v>
          </cell>
          <cell r="L233">
            <v>0.14000000000000001</v>
          </cell>
          <cell r="M233">
            <v>0</v>
          </cell>
          <cell r="N233">
            <v>0</v>
          </cell>
          <cell r="O233" t="str">
            <v>40V</v>
          </cell>
          <cell r="P233" t="str">
            <v>1010</v>
          </cell>
          <cell r="Q233" t="str">
            <v>1010</v>
          </cell>
          <cell r="R233">
            <v>3.7837837837837842</v>
          </cell>
          <cell r="S233">
            <v>0</v>
          </cell>
        </row>
        <row r="234">
          <cell r="A234" t="str">
            <v>Y002-192</v>
          </cell>
          <cell r="B234">
            <v>0</v>
          </cell>
          <cell r="C234" t="str">
            <v>Y002</v>
          </cell>
          <cell r="D234" t="str">
            <v>832-05</v>
          </cell>
          <cell r="E234" t="str">
            <v>抽面短飾條1開2</v>
          </cell>
          <cell r="F234" t="str">
            <v>396*8*6</v>
          </cell>
          <cell r="G234">
            <v>396</v>
          </cell>
          <cell r="H234">
            <v>8</v>
          </cell>
          <cell r="I234">
            <v>6</v>
          </cell>
          <cell r="J234">
            <v>31</v>
          </cell>
          <cell r="K234">
            <v>0</v>
          </cell>
          <cell r="L234">
            <v>0.12</v>
          </cell>
          <cell r="M234">
            <v>0</v>
          </cell>
          <cell r="N234">
            <v>0</v>
          </cell>
          <cell r="O234" t="str">
            <v>40V</v>
          </cell>
          <cell r="P234" t="str">
            <v>1010</v>
          </cell>
          <cell r="Q234" t="str">
            <v>1010</v>
          </cell>
          <cell r="R234">
            <v>3.8709677419354835</v>
          </cell>
          <cell r="S234">
            <v>0</v>
          </cell>
        </row>
        <row r="235">
          <cell r="A235" t="str">
            <v>Y002-193</v>
          </cell>
          <cell r="B235">
            <v>0</v>
          </cell>
          <cell r="C235" t="str">
            <v>Y002</v>
          </cell>
          <cell r="D235" t="str">
            <v>832-01-11-21</v>
          </cell>
          <cell r="E235" t="str">
            <v>床頭柱圓飾片</v>
          </cell>
          <cell r="F235" t="str">
            <v>60*60*13</v>
          </cell>
          <cell r="G235">
            <v>60</v>
          </cell>
          <cell r="H235">
            <v>60</v>
          </cell>
          <cell r="I235">
            <v>13</v>
          </cell>
          <cell r="J235">
            <v>30</v>
          </cell>
          <cell r="K235">
            <v>0</v>
          </cell>
          <cell r="L235">
            <v>0.12</v>
          </cell>
          <cell r="M235">
            <v>0</v>
          </cell>
          <cell r="N235">
            <v>0</v>
          </cell>
          <cell r="O235">
            <v>0</v>
          </cell>
          <cell r="P235" t="str">
            <v>1010</v>
          </cell>
          <cell r="Q235" t="str">
            <v>1010</v>
          </cell>
          <cell r="R235">
            <v>4</v>
          </cell>
          <cell r="S235">
            <v>0</v>
          </cell>
        </row>
        <row r="236">
          <cell r="A236" t="str">
            <v>Y002-194</v>
          </cell>
          <cell r="B236">
            <v>0</v>
          </cell>
          <cell r="C236" t="str">
            <v>Y002</v>
          </cell>
          <cell r="D236">
            <v>96008</v>
          </cell>
          <cell r="E236" t="str">
            <v>镜框前poly饰条</v>
          </cell>
          <cell r="F236" t="str">
            <v>1177*27*8</v>
          </cell>
          <cell r="G236">
            <v>1177</v>
          </cell>
          <cell r="H236">
            <v>27</v>
          </cell>
          <cell r="I236">
            <v>8</v>
          </cell>
          <cell r="J236">
            <v>350</v>
          </cell>
          <cell r="K236">
            <v>0</v>
          </cell>
          <cell r="L236">
            <v>0.95</v>
          </cell>
          <cell r="M236">
            <v>0</v>
          </cell>
          <cell r="N236">
            <v>0</v>
          </cell>
          <cell r="O236">
            <v>0</v>
          </cell>
          <cell r="P236" t="str">
            <v>1010</v>
          </cell>
          <cell r="Q236" t="str">
            <v>1010</v>
          </cell>
          <cell r="R236">
            <v>2.7142857142857144</v>
          </cell>
          <cell r="S236">
            <v>0</v>
          </cell>
        </row>
        <row r="237">
          <cell r="A237" t="str">
            <v>Y002-195</v>
          </cell>
          <cell r="B237">
            <v>0</v>
          </cell>
          <cell r="C237" t="str">
            <v>Y002</v>
          </cell>
          <cell r="D237">
            <v>96008</v>
          </cell>
          <cell r="E237" t="str">
            <v>镜框側poly饰条</v>
          </cell>
          <cell r="F237" t="str">
            <v>59*27*8</v>
          </cell>
          <cell r="G237">
            <v>59</v>
          </cell>
          <cell r="H237">
            <v>27</v>
          </cell>
          <cell r="I237">
            <v>8</v>
          </cell>
          <cell r="J237">
            <v>22</v>
          </cell>
          <cell r="K237">
            <v>0</v>
          </cell>
          <cell r="L237">
            <v>0.08</v>
          </cell>
          <cell r="M237">
            <v>0</v>
          </cell>
          <cell r="N237">
            <v>0</v>
          </cell>
          <cell r="O237">
            <v>0</v>
          </cell>
          <cell r="P237" t="str">
            <v>1010</v>
          </cell>
          <cell r="Q237" t="str">
            <v>1010</v>
          </cell>
          <cell r="R237">
            <v>3.6363636363636367</v>
          </cell>
          <cell r="S237">
            <v>0</v>
          </cell>
        </row>
        <row r="238">
          <cell r="A238" t="str">
            <v>Y002-196</v>
          </cell>
          <cell r="B238">
            <v>0</v>
          </cell>
          <cell r="C238" t="str">
            <v>Y002</v>
          </cell>
          <cell r="D238">
            <v>86308</v>
          </cell>
          <cell r="E238" t="str">
            <v>镜框前poly饰条</v>
          </cell>
          <cell r="F238" t="str">
            <v>1177*27*8</v>
          </cell>
          <cell r="G238">
            <v>1177</v>
          </cell>
          <cell r="H238">
            <v>27</v>
          </cell>
          <cell r="I238">
            <v>8</v>
          </cell>
          <cell r="J238">
            <v>350</v>
          </cell>
          <cell r="K238">
            <v>0</v>
          </cell>
          <cell r="L238">
            <v>0.95</v>
          </cell>
          <cell r="M238">
            <v>0</v>
          </cell>
          <cell r="N238">
            <v>0</v>
          </cell>
          <cell r="O238">
            <v>0</v>
          </cell>
          <cell r="P238" t="str">
            <v>1010</v>
          </cell>
          <cell r="Q238" t="str">
            <v>1010</v>
          </cell>
          <cell r="R238">
            <v>2.7142857142857144</v>
          </cell>
          <cell r="S238">
            <v>0</v>
          </cell>
        </row>
        <row r="239">
          <cell r="A239" t="str">
            <v>Y002-197</v>
          </cell>
          <cell r="B239">
            <v>0</v>
          </cell>
          <cell r="C239" t="str">
            <v>Y002</v>
          </cell>
          <cell r="D239">
            <v>86308</v>
          </cell>
          <cell r="E239" t="str">
            <v>镜框側poly饰条</v>
          </cell>
          <cell r="F239" t="str">
            <v>59*27*8</v>
          </cell>
          <cell r="G239">
            <v>59</v>
          </cell>
          <cell r="H239">
            <v>27</v>
          </cell>
          <cell r="I239">
            <v>8</v>
          </cell>
          <cell r="J239">
            <v>22</v>
          </cell>
          <cell r="K239">
            <v>0</v>
          </cell>
          <cell r="L239">
            <v>0.08</v>
          </cell>
          <cell r="M239">
            <v>0</v>
          </cell>
          <cell r="N239">
            <v>0</v>
          </cell>
          <cell r="O239">
            <v>0</v>
          </cell>
          <cell r="P239" t="str">
            <v>1010</v>
          </cell>
          <cell r="Q239" t="str">
            <v>1010</v>
          </cell>
          <cell r="R239">
            <v>3.6363636363636367</v>
          </cell>
          <cell r="S239">
            <v>0</v>
          </cell>
        </row>
        <row r="240">
          <cell r="A240" t="str">
            <v>Y002-198</v>
          </cell>
          <cell r="B240" t="str">
            <v>珠珠飾條</v>
          </cell>
          <cell r="C240" t="str">
            <v>Y002</v>
          </cell>
          <cell r="D240" t="str">
            <v>3010503Y</v>
          </cell>
          <cell r="E240" t="str">
            <v>立水饰条1</v>
          </cell>
          <cell r="F240" t="str">
            <v>810*10*5</v>
          </cell>
          <cell r="G240">
            <v>810</v>
          </cell>
          <cell r="H240">
            <v>10</v>
          </cell>
          <cell r="I240">
            <v>5</v>
          </cell>
          <cell r="J240">
            <v>67</v>
          </cell>
          <cell r="K240">
            <v>0</v>
          </cell>
          <cell r="L240">
            <v>0.24</v>
          </cell>
          <cell r="M240">
            <v>0</v>
          </cell>
          <cell r="N240">
            <v>0</v>
          </cell>
          <cell r="O240">
            <v>0</v>
          </cell>
          <cell r="P240" t="str">
            <v>1010</v>
          </cell>
          <cell r="Q240" t="str">
            <v>1010</v>
          </cell>
          <cell r="R240">
            <v>3.5820895522388057</v>
          </cell>
          <cell r="S240">
            <v>0</v>
          </cell>
          <cell r="T240">
            <v>0</v>
          </cell>
        </row>
        <row r="241">
          <cell r="A241" t="str">
            <v>Y002-199</v>
          </cell>
          <cell r="B241" t="str">
            <v>珠珠飾條</v>
          </cell>
          <cell r="C241" t="str">
            <v>Y002</v>
          </cell>
          <cell r="D241" t="str">
            <v>3010503Y</v>
          </cell>
          <cell r="E241" t="str">
            <v>立水饰条2</v>
          </cell>
          <cell r="F241" t="str">
            <v>342*10*5</v>
          </cell>
          <cell r="G241">
            <v>342</v>
          </cell>
          <cell r="H241">
            <v>10</v>
          </cell>
          <cell r="I241">
            <v>5</v>
          </cell>
          <cell r="J241">
            <v>30</v>
          </cell>
          <cell r="K241">
            <v>0</v>
          </cell>
          <cell r="L241">
            <v>0.11</v>
          </cell>
          <cell r="M241">
            <v>0</v>
          </cell>
          <cell r="N241">
            <v>0</v>
          </cell>
          <cell r="O241">
            <v>0</v>
          </cell>
          <cell r="P241" t="str">
            <v>1010</v>
          </cell>
          <cell r="Q241" t="str">
            <v>1010</v>
          </cell>
          <cell r="R241">
            <v>3.666666666666667</v>
          </cell>
          <cell r="S241">
            <v>0</v>
          </cell>
          <cell r="T241">
            <v>0</v>
          </cell>
        </row>
        <row r="242">
          <cell r="A242" t="str">
            <v>Y002-200</v>
          </cell>
          <cell r="B242" t="str">
            <v>木格飾片</v>
          </cell>
          <cell r="C242" t="str">
            <v>Y002</v>
          </cell>
          <cell r="D242" t="str">
            <v>HG100C</v>
          </cell>
          <cell r="E242" t="str">
            <v>饰片</v>
          </cell>
          <cell r="F242" t="str">
            <v>844*96*5</v>
          </cell>
          <cell r="G242">
            <v>844</v>
          </cell>
          <cell r="H242">
            <v>96</v>
          </cell>
          <cell r="I242">
            <v>5</v>
          </cell>
          <cell r="J242">
            <v>316</v>
          </cell>
          <cell r="K242">
            <v>0</v>
          </cell>
          <cell r="L242">
            <v>0.84</v>
          </cell>
          <cell r="M242">
            <v>0</v>
          </cell>
          <cell r="N242">
            <v>0</v>
          </cell>
          <cell r="O242" t="str">
            <v>C</v>
          </cell>
          <cell r="P242" t="str">
            <v>1010</v>
          </cell>
          <cell r="Q242" t="str">
            <v>1010</v>
          </cell>
          <cell r="R242">
            <v>2.6582278481012658</v>
          </cell>
          <cell r="S242">
            <v>0</v>
          </cell>
          <cell r="T242">
            <v>0</v>
          </cell>
        </row>
        <row r="243">
          <cell r="A243" t="str">
            <v>Y002-201</v>
          </cell>
          <cell r="B243" t="str">
            <v>木格飾片</v>
          </cell>
          <cell r="C243" t="str">
            <v>Y002</v>
          </cell>
          <cell r="D243" t="str">
            <v>HG100C</v>
          </cell>
          <cell r="E243" t="str">
            <v>饰片</v>
          </cell>
          <cell r="F243" t="str">
            <v>444*96*5</v>
          </cell>
          <cell r="G243">
            <v>444</v>
          </cell>
          <cell r="H243">
            <v>96</v>
          </cell>
          <cell r="I243">
            <v>5</v>
          </cell>
          <cell r="J243">
            <v>175</v>
          </cell>
          <cell r="K243">
            <v>0</v>
          </cell>
          <cell r="L243">
            <v>0.46</v>
          </cell>
          <cell r="M243">
            <v>0</v>
          </cell>
          <cell r="N243">
            <v>0</v>
          </cell>
          <cell r="O243" t="str">
            <v>C</v>
          </cell>
          <cell r="P243" t="str">
            <v>1010</v>
          </cell>
          <cell r="Q243" t="str">
            <v>1010</v>
          </cell>
          <cell r="R243">
            <v>2.628571428571429</v>
          </cell>
          <cell r="S243">
            <v>0</v>
          </cell>
          <cell r="T243">
            <v>0</v>
          </cell>
        </row>
        <row r="244">
          <cell r="A244" t="str">
            <v>Y002-202</v>
          </cell>
          <cell r="B244" t="str">
            <v>木格飾片</v>
          </cell>
          <cell r="C244" t="str">
            <v>Y002</v>
          </cell>
          <cell r="D244" t="str">
            <v>HG100E</v>
          </cell>
          <cell r="E244" t="str">
            <v>饰片</v>
          </cell>
          <cell r="F244" t="str">
            <v>394*96*5</v>
          </cell>
          <cell r="G244">
            <v>394</v>
          </cell>
          <cell r="H244">
            <v>96</v>
          </cell>
          <cell r="I244">
            <v>5</v>
          </cell>
          <cell r="J244">
            <v>139</v>
          </cell>
          <cell r="K244">
            <v>0</v>
          </cell>
          <cell r="L244">
            <v>0.36</v>
          </cell>
          <cell r="M244">
            <v>0</v>
          </cell>
          <cell r="N244">
            <v>0</v>
          </cell>
          <cell r="O244" t="str">
            <v>C</v>
          </cell>
          <cell r="P244" t="str">
            <v>1010</v>
          </cell>
          <cell r="Q244" t="str">
            <v>1010</v>
          </cell>
          <cell r="R244">
            <v>2.5899280575539567</v>
          </cell>
          <cell r="S244">
            <v>0</v>
          </cell>
          <cell r="T244">
            <v>0</v>
          </cell>
        </row>
        <row r="245">
          <cell r="A245" t="str">
            <v>Y002-203</v>
          </cell>
          <cell r="B245" t="str">
            <v>木格飾片</v>
          </cell>
          <cell r="C245" t="str">
            <v>Y002</v>
          </cell>
          <cell r="D245" t="str">
            <v>HG100E</v>
          </cell>
          <cell r="E245" t="str">
            <v>饰片</v>
          </cell>
          <cell r="F245" t="str">
            <v>346*96*5</v>
          </cell>
          <cell r="G245">
            <v>346</v>
          </cell>
          <cell r="H245">
            <v>96</v>
          </cell>
          <cell r="I245">
            <v>5</v>
          </cell>
          <cell r="J245">
            <v>118</v>
          </cell>
          <cell r="K245">
            <v>0</v>
          </cell>
          <cell r="L245">
            <v>0.31</v>
          </cell>
          <cell r="M245">
            <v>0</v>
          </cell>
          <cell r="N245">
            <v>0</v>
          </cell>
          <cell r="O245" t="str">
            <v>C</v>
          </cell>
          <cell r="P245" t="str">
            <v>1010</v>
          </cell>
          <cell r="Q245" t="str">
            <v>1010</v>
          </cell>
          <cell r="R245">
            <v>2.6271186440677967</v>
          </cell>
          <cell r="S245">
            <v>0</v>
          </cell>
          <cell r="T245">
            <v>0</v>
          </cell>
        </row>
        <row r="246">
          <cell r="A246" t="str">
            <v>Y002-204</v>
          </cell>
          <cell r="B246">
            <v>0</v>
          </cell>
          <cell r="C246" t="str">
            <v>Y002</v>
          </cell>
          <cell r="D246" t="str">
            <v>926-21-31</v>
          </cell>
          <cell r="E246" t="str">
            <v>大小床头饰条</v>
          </cell>
          <cell r="F246" t="str">
            <v>1000*20*10</v>
          </cell>
          <cell r="G246">
            <v>1000</v>
          </cell>
          <cell r="H246">
            <v>20</v>
          </cell>
          <cell r="I246">
            <v>10</v>
          </cell>
          <cell r="J246">
            <v>232</v>
          </cell>
          <cell r="K246">
            <v>0</v>
          </cell>
          <cell r="L246">
            <v>0.65</v>
          </cell>
          <cell r="M246">
            <v>0</v>
          </cell>
          <cell r="N246">
            <v>0</v>
          </cell>
          <cell r="O246">
            <v>0</v>
          </cell>
          <cell r="P246" t="str">
            <v>1010</v>
          </cell>
          <cell r="Q246" t="str">
            <v>1010</v>
          </cell>
          <cell r="R246">
            <v>2.8017241379310343</v>
          </cell>
          <cell r="S246">
            <v>0</v>
          </cell>
          <cell r="T246">
            <v>0</v>
          </cell>
        </row>
        <row r="247">
          <cell r="A247" t="str">
            <v>Y002-205</v>
          </cell>
          <cell r="B247">
            <v>0</v>
          </cell>
          <cell r="C247" t="str">
            <v>Y002</v>
          </cell>
          <cell r="D247">
            <v>3011611</v>
          </cell>
          <cell r="E247" t="str">
            <v>POLY 前立水</v>
          </cell>
          <cell r="F247" t="str">
            <v>461*76*15</v>
          </cell>
          <cell r="G247">
            <v>461</v>
          </cell>
          <cell r="H247">
            <v>76</v>
          </cell>
          <cell r="I247">
            <v>15</v>
          </cell>
          <cell r="J247">
            <v>0</v>
          </cell>
          <cell r="K247">
            <v>0</v>
          </cell>
          <cell r="L247">
            <v>1.3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Y002-206</v>
          </cell>
          <cell r="B248">
            <v>0</v>
          </cell>
          <cell r="C248" t="str">
            <v>Y002</v>
          </cell>
          <cell r="D248">
            <v>3011611</v>
          </cell>
          <cell r="E248" t="str">
            <v>POLY 前立水</v>
          </cell>
          <cell r="F248" t="str">
            <v>439*76*15</v>
          </cell>
          <cell r="G248">
            <v>439</v>
          </cell>
          <cell r="H248">
            <v>76</v>
          </cell>
          <cell r="I248">
            <v>15</v>
          </cell>
          <cell r="J248">
            <v>0</v>
          </cell>
          <cell r="K248">
            <v>0</v>
          </cell>
          <cell r="L248">
            <v>1.1299999999999999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Y002-207</v>
          </cell>
          <cell r="B249">
            <v>0</v>
          </cell>
          <cell r="C249" t="str">
            <v>Y002</v>
          </cell>
          <cell r="D249">
            <v>3011611</v>
          </cell>
          <cell r="E249" t="str">
            <v>POLY 前立水</v>
          </cell>
          <cell r="F249" t="str">
            <v>1986*76*15</v>
          </cell>
          <cell r="G249">
            <v>1986</v>
          </cell>
          <cell r="H249">
            <v>76</v>
          </cell>
          <cell r="I249">
            <v>15</v>
          </cell>
          <cell r="J249">
            <v>0</v>
          </cell>
          <cell r="K249">
            <v>0</v>
          </cell>
          <cell r="L249">
            <v>5.5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Y002-208</v>
          </cell>
          <cell r="B250">
            <v>0</v>
          </cell>
          <cell r="C250" t="str">
            <v>Y002</v>
          </cell>
          <cell r="D250">
            <v>3011611</v>
          </cell>
          <cell r="E250" t="str">
            <v>POLY 前立水</v>
          </cell>
          <cell r="F250" t="str">
            <v>900*76*15</v>
          </cell>
          <cell r="G250">
            <v>900</v>
          </cell>
          <cell r="H250">
            <v>76</v>
          </cell>
          <cell r="I250">
            <v>15</v>
          </cell>
          <cell r="J250">
            <v>0</v>
          </cell>
          <cell r="K250">
            <v>0</v>
          </cell>
          <cell r="L250">
            <v>2.35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Y002-209</v>
          </cell>
          <cell r="B251">
            <v>0</v>
          </cell>
          <cell r="C251" t="str">
            <v>Y002</v>
          </cell>
          <cell r="D251" t="str">
            <v>ZSPT-7101/7102/7104/7105</v>
          </cell>
          <cell r="E251" t="str">
            <v>床頭+床尾 POLY 飾條</v>
          </cell>
          <cell r="F251" t="str">
            <v>1050*7*4</v>
          </cell>
          <cell r="G251">
            <v>1050</v>
          </cell>
          <cell r="H251">
            <v>7</v>
          </cell>
          <cell r="I251">
            <v>4</v>
          </cell>
          <cell r="J251">
            <v>0</v>
          </cell>
          <cell r="K251">
            <v>0</v>
          </cell>
          <cell r="L251">
            <v>0.15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Y002-210</v>
          </cell>
          <cell r="B252">
            <v>0</v>
          </cell>
          <cell r="C252" t="str">
            <v>Y002</v>
          </cell>
          <cell r="D252">
            <v>3895272</v>
          </cell>
          <cell r="E252" t="str">
            <v>poly饰條依圗 - 有木紋 （có sớ gỗ)</v>
          </cell>
          <cell r="F252" t="str">
            <v>1526*30*19</v>
          </cell>
          <cell r="G252">
            <v>1526</v>
          </cell>
          <cell r="H252">
            <v>30</v>
          </cell>
          <cell r="I252">
            <v>19</v>
          </cell>
          <cell r="J252">
            <v>0</v>
          </cell>
          <cell r="K252">
            <v>0</v>
          </cell>
          <cell r="L252">
            <v>2.67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A253" t="str">
            <v>Y002-211</v>
          </cell>
          <cell r="B253">
            <v>0</v>
          </cell>
          <cell r="C253" t="str">
            <v>Y002</v>
          </cell>
          <cell r="D253">
            <v>3895272</v>
          </cell>
          <cell r="E253" t="str">
            <v>poly饰條依圗-左 - 有木紋 （có sớ gỗ)</v>
          </cell>
          <cell r="F253" t="str">
            <v>471*30*19</v>
          </cell>
          <cell r="G253">
            <v>471</v>
          </cell>
          <cell r="H253">
            <v>30</v>
          </cell>
          <cell r="I253">
            <v>19</v>
          </cell>
          <cell r="J253">
            <v>0</v>
          </cell>
          <cell r="K253">
            <v>0</v>
          </cell>
          <cell r="L253">
            <v>0.81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A254" t="str">
            <v>Y002-212</v>
          </cell>
          <cell r="B254">
            <v>0</v>
          </cell>
          <cell r="C254" t="str">
            <v>Y002</v>
          </cell>
          <cell r="D254">
            <v>3895272</v>
          </cell>
          <cell r="E254" t="str">
            <v>poly饰條依圗-右 - 有木紋 （có sớ gỗ)</v>
          </cell>
          <cell r="F254" t="str">
            <v>471*30*19</v>
          </cell>
          <cell r="G254">
            <v>471</v>
          </cell>
          <cell r="H254">
            <v>30</v>
          </cell>
          <cell r="I254">
            <v>19</v>
          </cell>
          <cell r="J254">
            <v>0</v>
          </cell>
          <cell r="K254">
            <v>0</v>
          </cell>
          <cell r="L254">
            <v>0.8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Y002-213</v>
          </cell>
          <cell r="B255">
            <v>0</v>
          </cell>
          <cell r="C255" t="str">
            <v>Y002</v>
          </cell>
          <cell r="D255">
            <v>3895272</v>
          </cell>
          <cell r="E255" t="str">
            <v>poly饰條依圗 - 无拉丝  （không sớ gỗ)</v>
          </cell>
          <cell r="F255" t="str">
            <v>1526*30*19</v>
          </cell>
          <cell r="G255">
            <v>1526</v>
          </cell>
          <cell r="H255">
            <v>30</v>
          </cell>
          <cell r="I255">
            <v>19</v>
          </cell>
          <cell r="J255">
            <v>0</v>
          </cell>
          <cell r="K255">
            <v>0</v>
          </cell>
          <cell r="L255">
            <v>2.6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Y002-214</v>
          </cell>
          <cell r="B256">
            <v>0</v>
          </cell>
          <cell r="C256" t="str">
            <v>Y002</v>
          </cell>
          <cell r="D256">
            <v>3895272</v>
          </cell>
          <cell r="E256" t="str">
            <v>poly饰條依圗-左 - 无拉丝  （không sớ gỗ)</v>
          </cell>
          <cell r="F256" t="str">
            <v>471*30*19</v>
          </cell>
          <cell r="G256">
            <v>471</v>
          </cell>
          <cell r="H256">
            <v>30</v>
          </cell>
          <cell r="I256">
            <v>19</v>
          </cell>
          <cell r="J256">
            <v>0</v>
          </cell>
          <cell r="K256">
            <v>0</v>
          </cell>
          <cell r="L256">
            <v>0.8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A257" t="str">
            <v>Y002-215</v>
          </cell>
          <cell r="B257">
            <v>0</v>
          </cell>
          <cell r="C257" t="str">
            <v>Y002</v>
          </cell>
          <cell r="D257">
            <v>3895272</v>
          </cell>
          <cell r="E257" t="str">
            <v>poly饰條依圗-右 - 无拉丝  （không sớ gỗ)</v>
          </cell>
          <cell r="F257" t="str">
            <v>471*30*19</v>
          </cell>
          <cell r="G257">
            <v>471</v>
          </cell>
          <cell r="H257">
            <v>30</v>
          </cell>
          <cell r="I257">
            <v>19</v>
          </cell>
          <cell r="J257">
            <v>0</v>
          </cell>
          <cell r="K257">
            <v>0</v>
          </cell>
          <cell r="L257">
            <v>0.8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A258" t="str">
            <v>Y002-216</v>
          </cell>
          <cell r="B258">
            <v>0</v>
          </cell>
          <cell r="C258" t="str">
            <v>Y002</v>
          </cell>
          <cell r="D258">
            <v>3362170</v>
          </cell>
          <cell r="E258" t="str">
            <v xml:space="preserve">大 長椅腳 -有木紋 （có sớ gỗ) </v>
          </cell>
          <cell r="F258" t="str">
            <v>327*164*164</v>
          </cell>
          <cell r="G258">
            <v>327</v>
          </cell>
          <cell r="H258">
            <v>164</v>
          </cell>
          <cell r="I258">
            <v>164</v>
          </cell>
          <cell r="J258">
            <v>0</v>
          </cell>
          <cell r="K258">
            <v>0</v>
          </cell>
          <cell r="L258">
            <v>5.8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43553</v>
          </cell>
          <cell r="T258" t="str">
            <v>啊才</v>
          </cell>
        </row>
        <row r="259">
          <cell r="A259" t="str">
            <v>Y002-217</v>
          </cell>
          <cell r="B259">
            <v>0</v>
          </cell>
          <cell r="C259" t="str">
            <v>Y002</v>
          </cell>
          <cell r="D259">
            <v>3362113</v>
          </cell>
          <cell r="E259" t="str">
            <v>小 長椅腳 - 无拉丝  （không sớ gỗ)</v>
          </cell>
          <cell r="F259" t="str">
            <v>327*152*152</v>
          </cell>
          <cell r="G259">
            <v>327</v>
          </cell>
          <cell r="H259">
            <v>152</v>
          </cell>
          <cell r="I259">
            <v>152</v>
          </cell>
          <cell r="J259">
            <v>0</v>
          </cell>
          <cell r="K259">
            <v>0</v>
          </cell>
          <cell r="L259">
            <v>5.2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43553</v>
          </cell>
          <cell r="T259" t="str">
            <v>啊才</v>
          </cell>
        </row>
        <row r="260">
          <cell r="A260" t="str">
            <v>Y002-218</v>
          </cell>
          <cell r="B260">
            <v>0</v>
          </cell>
          <cell r="C260" t="str">
            <v>Y002</v>
          </cell>
          <cell r="D260">
            <v>3362139</v>
          </cell>
          <cell r="E260" t="str">
            <v xml:space="preserve">小 長椅腳 -有木紋 （có sớ gỗ) </v>
          </cell>
          <cell r="F260" t="str">
            <v>327*152*152</v>
          </cell>
          <cell r="G260">
            <v>327</v>
          </cell>
          <cell r="H260">
            <v>152</v>
          </cell>
          <cell r="I260">
            <v>152</v>
          </cell>
          <cell r="J260">
            <v>0</v>
          </cell>
          <cell r="K260">
            <v>0</v>
          </cell>
          <cell r="L260">
            <v>5.2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43553</v>
          </cell>
          <cell r="T260" t="str">
            <v>啊才</v>
          </cell>
        </row>
        <row r="261">
          <cell r="A261" t="str">
            <v>Y003-001</v>
          </cell>
          <cell r="B261" t="str">
            <v>LCT107-062</v>
          </cell>
          <cell r="C261" t="str">
            <v>Y003</v>
          </cell>
          <cell r="D261" t="str">
            <v>H00887</v>
          </cell>
          <cell r="E261" t="str">
            <v>94200 POLY  L</v>
          </cell>
          <cell r="F261" t="str">
            <v>209*43*6</v>
          </cell>
          <cell r="G261">
            <v>209</v>
          </cell>
          <cell r="H261">
            <v>43</v>
          </cell>
          <cell r="I261">
            <v>6</v>
          </cell>
          <cell r="J261">
            <v>42</v>
          </cell>
          <cell r="K261">
            <v>0.12</v>
          </cell>
          <cell r="L261">
            <v>0</v>
          </cell>
          <cell r="M261">
            <v>2700</v>
          </cell>
          <cell r="N261">
            <v>0</v>
          </cell>
          <cell r="O261" t="str">
            <v>40V</v>
          </cell>
          <cell r="P261" t="str">
            <v>1010</v>
          </cell>
          <cell r="Q261" t="str">
            <v>1010</v>
          </cell>
          <cell r="R261">
            <v>0</v>
          </cell>
        </row>
        <row r="262">
          <cell r="A262" t="str">
            <v>Y003-002</v>
          </cell>
          <cell r="B262" t="str">
            <v>LCT107-063</v>
          </cell>
          <cell r="C262" t="str">
            <v>Y003</v>
          </cell>
          <cell r="D262" t="str">
            <v>H00888</v>
          </cell>
          <cell r="E262" t="str">
            <v>94200 POLY  R</v>
          </cell>
          <cell r="F262" t="str">
            <v>209*43*6</v>
          </cell>
          <cell r="G262">
            <v>209</v>
          </cell>
          <cell r="H262">
            <v>43</v>
          </cell>
          <cell r="I262">
            <v>6</v>
          </cell>
          <cell r="J262">
            <v>42</v>
          </cell>
          <cell r="K262">
            <v>0.12</v>
          </cell>
          <cell r="L262">
            <v>0</v>
          </cell>
          <cell r="M262">
            <v>2700</v>
          </cell>
          <cell r="N262">
            <v>0</v>
          </cell>
          <cell r="O262" t="str">
            <v>40V</v>
          </cell>
          <cell r="P262" t="str">
            <v>1010</v>
          </cell>
          <cell r="Q262" t="str">
            <v>1010</v>
          </cell>
          <cell r="R262">
            <v>0</v>
          </cell>
        </row>
        <row r="263">
          <cell r="A263" t="str">
            <v>Y003-003</v>
          </cell>
          <cell r="B263" t="str">
            <v>LCT107-064</v>
          </cell>
          <cell r="C263" t="str">
            <v>Y003</v>
          </cell>
          <cell r="D263" t="str">
            <v>H00893</v>
          </cell>
          <cell r="E263" t="str">
            <v>94208 POLY L</v>
          </cell>
          <cell r="F263" t="str">
            <v>254*231*13</v>
          </cell>
          <cell r="G263">
            <v>254</v>
          </cell>
          <cell r="H263">
            <v>231</v>
          </cell>
          <cell r="I263">
            <v>13</v>
          </cell>
          <cell r="J263">
            <v>277</v>
          </cell>
          <cell r="K263">
            <v>0</v>
          </cell>
          <cell r="L263">
            <v>0.7</v>
          </cell>
          <cell r="M263">
            <v>0</v>
          </cell>
          <cell r="N263">
            <v>0</v>
          </cell>
          <cell r="O263" t="str">
            <v>40V</v>
          </cell>
          <cell r="P263" t="str">
            <v>1010</v>
          </cell>
          <cell r="Q263" t="str">
            <v>1010</v>
          </cell>
          <cell r="R263">
            <v>2.5270758122743677</v>
          </cell>
        </row>
        <row r="264">
          <cell r="A264" t="str">
            <v>Y003-004</v>
          </cell>
          <cell r="B264" t="str">
            <v>LCT107-065</v>
          </cell>
          <cell r="C264" t="str">
            <v>Y003</v>
          </cell>
          <cell r="D264" t="str">
            <v>H00894</v>
          </cell>
          <cell r="E264" t="str">
            <v>94208 POLY R</v>
          </cell>
          <cell r="F264" t="str">
            <v>254*231*13</v>
          </cell>
          <cell r="G264">
            <v>254</v>
          </cell>
          <cell r="H264">
            <v>231</v>
          </cell>
          <cell r="I264">
            <v>13</v>
          </cell>
          <cell r="J264">
            <v>277</v>
          </cell>
          <cell r="K264">
            <v>0</v>
          </cell>
          <cell r="L264">
            <v>0.7</v>
          </cell>
          <cell r="M264">
            <v>0</v>
          </cell>
          <cell r="N264">
            <v>0</v>
          </cell>
          <cell r="O264" t="str">
            <v>40V</v>
          </cell>
          <cell r="P264" t="str">
            <v>1010</v>
          </cell>
          <cell r="Q264" t="str">
            <v>1010</v>
          </cell>
          <cell r="R264">
            <v>2.5270758122743677</v>
          </cell>
        </row>
        <row r="265">
          <cell r="A265" t="str">
            <v>Y003-005</v>
          </cell>
          <cell r="B265" t="str">
            <v>LCT107-066</v>
          </cell>
          <cell r="C265" t="str">
            <v>Y003</v>
          </cell>
          <cell r="D265" t="str">
            <v>H00899</v>
          </cell>
          <cell r="E265" t="str">
            <v>94215 POLY</v>
          </cell>
          <cell r="F265" t="str">
            <v>426*395*9</v>
          </cell>
          <cell r="G265">
            <v>426</v>
          </cell>
          <cell r="H265">
            <v>395</v>
          </cell>
          <cell r="I265">
            <v>9</v>
          </cell>
          <cell r="J265">
            <v>219</v>
          </cell>
          <cell r="K265">
            <v>0</v>
          </cell>
          <cell r="L265">
            <v>0.52</v>
          </cell>
          <cell r="M265">
            <v>0</v>
          </cell>
          <cell r="N265">
            <v>0</v>
          </cell>
          <cell r="O265" t="str">
            <v>40V</v>
          </cell>
          <cell r="P265" t="str">
            <v>1010</v>
          </cell>
          <cell r="Q265" t="str">
            <v>1010</v>
          </cell>
          <cell r="R265">
            <v>2.3744292237442921</v>
          </cell>
        </row>
        <row r="266">
          <cell r="A266" t="str">
            <v>Y003-006</v>
          </cell>
          <cell r="B266" t="str">
            <v>LCT107-067</v>
          </cell>
          <cell r="C266" t="str">
            <v>Y003</v>
          </cell>
          <cell r="D266" t="str">
            <v>H00900</v>
          </cell>
          <cell r="E266" t="str">
            <v>94215 POLY L</v>
          </cell>
          <cell r="F266" t="str">
            <v>96*92*8</v>
          </cell>
          <cell r="G266">
            <v>96</v>
          </cell>
          <cell r="H266">
            <v>92</v>
          </cell>
          <cell r="I266">
            <v>8</v>
          </cell>
          <cell r="J266">
            <v>52</v>
          </cell>
          <cell r="K266">
            <v>0</v>
          </cell>
          <cell r="L266">
            <v>0.18</v>
          </cell>
          <cell r="M266">
            <v>0</v>
          </cell>
          <cell r="N266">
            <v>0</v>
          </cell>
          <cell r="O266" t="str">
            <v>40V</v>
          </cell>
          <cell r="P266" t="str">
            <v>1010</v>
          </cell>
          <cell r="Q266" t="str">
            <v>1010</v>
          </cell>
          <cell r="R266">
            <v>3.4615384615384617</v>
          </cell>
        </row>
        <row r="267">
          <cell r="A267" t="str">
            <v>Y003-007</v>
          </cell>
          <cell r="B267" t="str">
            <v>LCT107-068</v>
          </cell>
          <cell r="C267" t="str">
            <v>Y003</v>
          </cell>
          <cell r="D267" t="str">
            <v>H00901</v>
          </cell>
          <cell r="E267" t="str">
            <v>94215 POLY R</v>
          </cell>
          <cell r="F267" t="str">
            <v>96*92*8</v>
          </cell>
          <cell r="G267">
            <v>96</v>
          </cell>
          <cell r="H267">
            <v>92</v>
          </cell>
          <cell r="I267">
            <v>8</v>
          </cell>
          <cell r="J267">
            <v>52</v>
          </cell>
          <cell r="K267">
            <v>0</v>
          </cell>
          <cell r="L267">
            <v>0.18</v>
          </cell>
          <cell r="M267">
            <v>0</v>
          </cell>
          <cell r="N267">
            <v>0</v>
          </cell>
          <cell r="O267" t="str">
            <v>40V</v>
          </cell>
          <cell r="P267" t="str">
            <v>1010</v>
          </cell>
          <cell r="Q267" t="str">
            <v>1010</v>
          </cell>
          <cell r="R267">
            <v>3.4615384615384617</v>
          </cell>
        </row>
        <row r="268">
          <cell r="A268" t="str">
            <v>Y003-008</v>
          </cell>
          <cell r="B268" t="str">
            <v>LCT107-069</v>
          </cell>
          <cell r="C268" t="str">
            <v>Y003</v>
          </cell>
          <cell r="D268" t="str">
            <v>H00902</v>
          </cell>
          <cell r="E268" t="str">
            <v>94238 POLY</v>
          </cell>
          <cell r="F268" t="str">
            <v>330*689*9</v>
          </cell>
          <cell r="G268">
            <v>330</v>
          </cell>
          <cell r="H268">
            <v>689</v>
          </cell>
          <cell r="I268">
            <v>9</v>
          </cell>
          <cell r="J268">
            <v>285</v>
          </cell>
          <cell r="K268">
            <v>0</v>
          </cell>
          <cell r="L268">
            <v>0.74</v>
          </cell>
          <cell r="M268">
            <v>0</v>
          </cell>
          <cell r="N268">
            <v>0</v>
          </cell>
          <cell r="O268" t="str">
            <v>40V</v>
          </cell>
          <cell r="P268" t="str">
            <v>1010</v>
          </cell>
          <cell r="Q268" t="str">
            <v>1010</v>
          </cell>
          <cell r="R268">
            <v>2.5964912280701755</v>
          </cell>
        </row>
        <row r="269">
          <cell r="A269" t="str">
            <v>Y003-009</v>
          </cell>
          <cell r="B269" t="str">
            <v>LCT107-070</v>
          </cell>
          <cell r="C269" t="str">
            <v>Y003</v>
          </cell>
          <cell r="D269" t="str">
            <v>H00903</v>
          </cell>
          <cell r="E269" t="str">
            <v>94238 POLY L</v>
          </cell>
          <cell r="F269" t="str">
            <v>144*92*8</v>
          </cell>
          <cell r="G269">
            <v>144</v>
          </cell>
          <cell r="H269">
            <v>92</v>
          </cell>
          <cell r="I269">
            <v>8</v>
          </cell>
          <cell r="J269">
            <v>66</v>
          </cell>
          <cell r="K269">
            <v>0</v>
          </cell>
          <cell r="L269">
            <v>0.23</v>
          </cell>
          <cell r="M269">
            <v>0</v>
          </cell>
          <cell r="N269">
            <v>0</v>
          </cell>
          <cell r="O269" t="str">
            <v>40V</v>
          </cell>
          <cell r="P269" t="str">
            <v>1010</v>
          </cell>
          <cell r="Q269" t="str">
            <v>1010</v>
          </cell>
          <cell r="R269">
            <v>3.4848484848484849</v>
          </cell>
        </row>
        <row r="270">
          <cell r="A270" t="str">
            <v>Y003-010</v>
          </cell>
          <cell r="B270" t="str">
            <v>LCT107-071</v>
          </cell>
          <cell r="C270" t="str">
            <v>Y003</v>
          </cell>
          <cell r="D270" t="str">
            <v>H00904</v>
          </cell>
          <cell r="E270" t="str">
            <v>94238 POLY R</v>
          </cell>
          <cell r="F270" t="str">
            <v>144*92*8</v>
          </cell>
          <cell r="G270">
            <v>144</v>
          </cell>
          <cell r="H270">
            <v>92</v>
          </cell>
          <cell r="I270">
            <v>8</v>
          </cell>
          <cell r="J270">
            <v>66</v>
          </cell>
          <cell r="K270">
            <v>0</v>
          </cell>
          <cell r="L270">
            <v>0.23</v>
          </cell>
          <cell r="M270">
            <v>0</v>
          </cell>
          <cell r="N270">
            <v>0</v>
          </cell>
          <cell r="O270" t="str">
            <v>40V</v>
          </cell>
          <cell r="P270" t="str">
            <v>1010</v>
          </cell>
          <cell r="Q270" t="str">
            <v>1010</v>
          </cell>
          <cell r="R270">
            <v>3.4848484848484849</v>
          </cell>
        </row>
        <row r="271">
          <cell r="A271" t="str">
            <v>Y003-011</v>
          </cell>
          <cell r="B271" t="str">
            <v>LCT107-072</v>
          </cell>
          <cell r="C271" t="str">
            <v>Y003</v>
          </cell>
          <cell r="D271" t="str">
            <v>H00889</v>
          </cell>
          <cell r="E271" t="str">
            <v>94201 POLY L</v>
          </cell>
          <cell r="F271" t="str">
            <v>434*306*13</v>
          </cell>
          <cell r="G271">
            <v>434</v>
          </cell>
          <cell r="H271">
            <v>306</v>
          </cell>
          <cell r="I271">
            <v>13</v>
          </cell>
          <cell r="J271">
            <v>453</v>
          </cell>
          <cell r="K271">
            <v>0</v>
          </cell>
          <cell r="L271">
            <v>1.1000000000000001</v>
          </cell>
          <cell r="M271">
            <v>0</v>
          </cell>
          <cell r="N271">
            <v>0</v>
          </cell>
          <cell r="O271" t="str">
            <v>40V</v>
          </cell>
          <cell r="P271" t="str">
            <v>1010</v>
          </cell>
          <cell r="Q271" t="str">
            <v>1010</v>
          </cell>
          <cell r="R271">
            <v>2.4282560706401766</v>
          </cell>
        </row>
        <row r="272">
          <cell r="A272" t="str">
            <v>Y003-012</v>
          </cell>
          <cell r="B272" t="str">
            <v>LCT107-073</v>
          </cell>
          <cell r="C272" t="str">
            <v>Y003</v>
          </cell>
          <cell r="D272" t="str">
            <v>H00890</v>
          </cell>
          <cell r="E272" t="str">
            <v>94201 POLY R</v>
          </cell>
          <cell r="F272" t="str">
            <v>434*306*13</v>
          </cell>
          <cell r="G272">
            <v>434</v>
          </cell>
          <cell r="H272">
            <v>306</v>
          </cell>
          <cell r="I272">
            <v>13</v>
          </cell>
          <cell r="J272">
            <v>453</v>
          </cell>
          <cell r="K272">
            <v>0</v>
          </cell>
          <cell r="L272">
            <v>1.1000000000000001</v>
          </cell>
          <cell r="M272">
            <v>0</v>
          </cell>
          <cell r="N272">
            <v>0</v>
          </cell>
          <cell r="O272" t="str">
            <v>40V</v>
          </cell>
          <cell r="P272" t="str">
            <v>1010</v>
          </cell>
          <cell r="Q272" t="str">
            <v>1010</v>
          </cell>
          <cell r="R272">
            <v>2.4282560706401766</v>
          </cell>
        </row>
        <row r="273">
          <cell r="A273" t="str">
            <v>Y003-013</v>
          </cell>
          <cell r="B273" t="str">
            <v>LCT107-074</v>
          </cell>
          <cell r="C273" t="str">
            <v>Y003</v>
          </cell>
          <cell r="D273" t="str">
            <v>H00891</v>
          </cell>
          <cell r="E273" t="str">
            <v>94203 POLY L</v>
          </cell>
          <cell r="F273" t="str">
            <v>299*353*13</v>
          </cell>
          <cell r="G273">
            <v>299</v>
          </cell>
          <cell r="H273">
            <v>353</v>
          </cell>
          <cell r="I273">
            <v>13</v>
          </cell>
          <cell r="J273">
            <v>417</v>
          </cell>
          <cell r="K273">
            <v>0</v>
          </cell>
          <cell r="L273">
            <v>1.1000000000000001</v>
          </cell>
          <cell r="M273">
            <v>0</v>
          </cell>
          <cell r="N273">
            <v>0</v>
          </cell>
          <cell r="O273" t="str">
            <v>40V</v>
          </cell>
          <cell r="P273" t="str">
            <v>1010</v>
          </cell>
          <cell r="Q273" t="str">
            <v>1010</v>
          </cell>
          <cell r="R273">
            <v>2.637889688249401</v>
          </cell>
        </row>
        <row r="274">
          <cell r="A274" t="str">
            <v>Y003-014</v>
          </cell>
          <cell r="B274" t="str">
            <v>LCT107-075</v>
          </cell>
          <cell r="C274" t="str">
            <v>Y003</v>
          </cell>
          <cell r="D274" t="str">
            <v>H00892</v>
          </cell>
          <cell r="E274" t="str">
            <v>94203 POLY R</v>
          </cell>
          <cell r="F274" t="str">
            <v>299*353*13</v>
          </cell>
          <cell r="G274">
            <v>299</v>
          </cell>
          <cell r="H274">
            <v>353</v>
          </cell>
          <cell r="I274">
            <v>13</v>
          </cell>
          <cell r="J274">
            <v>417</v>
          </cell>
          <cell r="K274">
            <v>0</v>
          </cell>
          <cell r="L274">
            <v>1.1000000000000001</v>
          </cell>
          <cell r="M274">
            <v>0</v>
          </cell>
          <cell r="N274">
            <v>0</v>
          </cell>
          <cell r="O274" t="str">
            <v>40V</v>
          </cell>
          <cell r="P274" t="str">
            <v>1010</v>
          </cell>
          <cell r="Q274" t="str">
            <v>1010</v>
          </cell>
          <cell r="R274">
            <v>2.637889688249401</v>
          </cell>
        </row>
        <row r="275">
          <cell r="A275" t="str">
            <v>Y003-015</v>
          </cell>
          <cell r="B275" t="str">
            <v>LCT107-076</v>
          </cell>
          <cell r="C275" t="str">
            <v>Y003</v>
          </cell>
          <cell r="D275" t="str">
            <v>H00895</v>
          </cell>
          <cell r="E275" t="str">
            <v>94211 POLYL</v>
          </cell>
          <cell r="F275" t="str">
            <v>497*470*13</v>
          </cell>
          <cell r="G275">
            <v>497</v>
          </cell>
          <cell r="H275">
            <v>470</v>
          </cell>
          <cell r="I275">
            <v>13</v>
          </cell>
          <cell r="J275">
            <v>592</v>
          </cell>
          <cell r="K275">
            <v>0</v>
          </cell>
          <cell r="L275">
            <v>1.5</v>
          </cell>
          <cell r="M275">
            <v>0</v>
          </cell>
          <cell r="N275">
            <v>0</v>
          </cell>
          <cell r="O275" t="str">
            <v>40V</v>
          </cell>
          <cell r="P275" t="str">
            <v>1010</v>
          </cell>
          <cell r="Q275" t="str">
            <v>1010</v>
          </cell>
          <cell r="R275">
            <v>2.5337837837837838</v>
          </cell>
        </row>
        <row r="276">
          <cell r="A276" t="str">
            <v>Y003-016</v>
          </cell>
          <cell r="B276" t="str">
            <v>LCT107-077</v>
          </cell>
          <cell r="C276" t="str">
            <v>Y003</v>
          </cell>
          <cell r="D276" t="str">
            <v>H00897</v>
          </cell>
          <cell r="E276" t="str">
            <v>94213 POLY L</v>
          </cell>
          <cell r="F276" t="str">
            <v>493*390*13</v>
          </cell>
          <cell r="G276">
            <v>493</v>
          </cell>
          <cell r="H276">
            <v>390</v>
          </cell>
          <cell r="I276">
            <v>13</v>
          </cell>
          <cell r="J276">
            <v>569</v>
          </cell>
          <cell r="K276">
            <v>0</v>
          </cell>
          <cell r="L276">
            <v>1.5</v>
          </cell>
          <cell r="M276">
            <v>0</v>
          </cell>
          <cell r="N276">
            <v>0</v>
          </cell>
          <cell r="O276" t="str">
            <v>40V</v>
          </cell>
          <cell r="P276" t="str">
            <v>1010</v>
          </cell>
          <cell r="Q276" t="str">
            <v>1010</v>
          </cell>
          <cell r="R276">
            <v>2.6362038664323375</v>
          </cell>
        </row>
        <row r="277">
          <cell r="A277" t="str">
            <v>Y003-017</v>
          </cell>
          <cell r="B277" t="str">
            <v>LCT107-078</v>
          </cell>
          <cell r="C277" t="str">
            <v>Y003</v>
          </cell>
          <cell r="D277" t="str">
            <v>H00898</v>
          </cell>
          <cell r="E277" t="str">
            <v>94213 POLY R</v>
          </cell>
          <cell r="F277" t="str">
            <v>493*390*13</v>
          </cell>
          <cell r="G277">
            <v>493</v>
          </cell>
          <cell r="H277">
            <v>390</v>
          </cell>
          <cell r="I277">
            <v>13</v>
          </cell>
          <cell r="J277">
            <v>569</v>
          </cell>
          <cell r="K277">
            <v>0</v>
          </cell>
          <cell r="L277">
            <v>1.5</v>
          </cell>
          <cell r="M277">
            <v>0</v>
          </cell>
          <cell r="N277">
            <v>0</v>
          </cell>
          <cell r="O277" t="str">
            <v>40V</v>
          </cell>
          <cell r="P277" t="str">
            <v>1010</v>
          </cell>
          <cell r="Q277" t="str">
            <v>1010</v>
          </cell>
          <cell r="R277">
            <v>2.6362038664323375</v>
          </cell>
        </row>
        <row r="278">
          <cell r="A278" t="str">
            <v>Y003-018</v>
          </cell>
          <cell r="B278" t="str">
            <v>LCT107-079</v>
          </cell>
          <cell r="C278" t="str">
            <v>Y003</v>
          </cell>
          <cell r="D278" t="str">
            <v>H00896</v>
          </cell>
          <cell r="E278" t="str">
            <v>94211 POLYR</v>
          </cell>
          <cell r="F278" t="str">
            <v>497*470*13</v>
          </cell>
          <cell r="G278">
            <v>497</v>
          </cell>
          <cell r="H278">
            <v>470</v>
          </cell>
          <cell r="I278">
            <v>13</v>
          </cell>
          <cell r="J278">
            <v>592</v>
          </cell>
          <cell r="K278">
            <v>0</v>
          </cell>
          <cell r="L278">
            <v>1.5</v>
          </cell>
          <cell r="M278">
            <v>0</v>
          </cell>
          <cell r="N278">
            <v>0</v>
          </cell>
          <cell r="O278" t="str">
            <v>40V</v>
          </cell>
          <cell r="P278" t="str">
            <v>1010</v>
          </cell>
          <cell r="Q278" t="str">
            <v>1010</v>
          </cell>
          <cell r="R278">
            <v>2.5337837837837838</v>
          </cell>
        </row>
        <row r="279">
          <cell r="A279" t="str">
            <v>Y003-019</v>
          </cell>
          <cell r="B279" t="str">
            <v>T107-092</v>
          </cell>
          <cell r="C279" t="str">
            <v>Y003</v>
          </cell>
          <cell r="D279" t="str">
            <v>H01272</v>
          </cell>
          <cell r="E279" t="str">
            <v>床EK/CK-HB-21861</v>
          </cell>
          <cell r="F279" t="str">
            <v>1295*673*9</v>
          </cell>
          <cell r="G279">
            <v>1295</v>
          </cell>
          <cell r="H279">
            <v>673</v>
          </cell>
          <cell r="I279">
            <v>9</v>
          </cell>
          <cell r="J279">
            <v>758</v>
          </cell>
          <cell r="K279">
            <v>1.3</v>
          </cell>
          <cell r="L279">
            <v>0</v>
          </cell>
          <cell r="M279">
            <v>33000</v>
          </cell>
          <cell r="N279">
            <v>0</v>
          </cell>
          <cell r="O279">
            <v>0</v>
          </cell>
          <cell r="P279" t="str">
            <v>1010</v>
          </cell>
          <cell r="Q279" t="str">
            <v>1010</v>
          </cell>
          <cell r="R279">
            <v>0</v>
          </cell>
        </row>
        <row r="280">
          <cell r="A280" t="str">
            <v>Y003-020</v>
          </cell>
          <cell r="B280" t="str">
            <v>LCT107-089</v>
          </cell>
          <cell r="C280" t="str">
            <v>Y003</v>
          </cell>
          <cell r="D280" t="str">
            <v>H01269</v>
          </cell>
          <cell r="E280" t="str">
            <v>床Q-HB-21860</v>
          </cell>
          <cell r="F280" t="str">
            <v>1052*673*9</v>
          </cell>
          <cell r="G280">
            <v>1052</v>
          </cell>
          <cell r="H280">
            <v>673</v>
          </cell>
          <cell r="I280">
            <v>9</v>
          </cell>
          <cell r="J280">
            <v>659</v>
          </cell>
          <cell r="K280">
            <v>1.17</v>
          </cell>
          <cell r="L280">
            <v>0</v>
          </cell>
          <cell r="M280">
            <v>28000</v>
          </cell>
          <cell r="N280">
            <v>0</v>
          </cell>
          <cell r="O280">
            <v>0</v>
          </cell>
          <cell r="P280" t="str">
            <v>1010</v>
          </cell>
          <cell r="Q280" t="str">
            <v>1010</v>
          </cell>
          <cell r="R280">
            <v>0</v>
          </cell>
        </row>
        <row r="281">
          <cell r="A281" t="str">
            <v>Y003-021</v>
          </cell>
          <cell r="B281">
            <v>0</v>
          </cell>
          <cell r="C281" t="str">
            <v>Y003</v>
          </cell>
          <cell r="D281" t="str">
            <v>H03119</v>
          </cell>
          <cell r="E281" t="str">
            <v>POLY-93050 HOA TRANG TRÍ GIƯỜNG</v>
          </cell>
          <cell r="F281" t="str">
            <v>80*38*6</v>
          </cell>
          <cell r="G281">
            <v>80</v>
          </cell>
          <cell r="H281">
            <v>38</v>
          </cell>
          <cell r="I281">
            <v>6</v>
          </cell>
          <cell r="J281">
            <v>34</v>
          </cell>
          <cell r="K281">
            <v>0</v>
          </cell>
          <cell r="L281">
            <v>0</v>
          </cell>
          <cell r="M281">
            <v>2680</v>
          </cell>
          <cell r="N281">
            <v>0</v>
          </cell>
          <cell r="O281">
            <v>0</v>
          </cell>
          <cell r="P281" t="str">
            <v>1010</v>
          </cell>
          <cell r="Q281" t="str">
            <v>1010</v>
          </cell>
          <cell r="R281">
            <v>0</v>
          </cell>
        </row>
        <row r="282">
          <cell r="A282" t="str">
            <v>Y003-022</v>
          </cell>
          <cell r="B282">
            <v>0</v>
          </cell>
          <cell r="C282" t="str">
            <v>Y003</v>
          </cell>
          <cell r="D282" t="str">
            <v>H01966</v>
          </cell>
          <cell r="E282" t="str">
            <v>93750 POLY  R-TRÁI</v>
          </cell>
          <cell r="F282" t="str">
            <v>209*43*6</v>
          </cell>
          <cell r="G282">
            <v>209</v>
          </cell>
          <cell r="H282">
            <v>43</v>
          </cell>
          <cell r="I282">
            <v>6</v>
          </cell>
          <cell r="J282">
            <v>42</v>
          </cell>
          <cell r="K282">
            <v>0</v>
          </cell>
          <cell r="L282">
            <v>0</v>
          </cell>
          <cell r="M282">
            <v>2700</v>
          </cell>
          <cell r="N282">
            <v>0</v>
          </cell>
          <cell r="O282">
            <v>0</v>
          </cell>
          <cell r="P282" t="str">
            <v>1010</v>
          </cell>
          <cell r="Q282" t="str">
            <v>1010</v>
          </cell>
          <cell r="R282">
            <v>0</v>
          </cell>
          <cell r="S282">
            <v>0</v>
          </cell>
        </row>
        <row r="283">
          <cell r="A283" t="str">
            <v>Y003-023</v>
          </cell>
          <cell r="B283">
            <v>0</v>
          </cell>
          <cell r="C283" t="str">
            <v>Y003</v>
          </cell>
          <cell r="D283" t="str">
            <v>H01965</v>
          </cell>
          <cell r="E283" t="str">
            <v>93750 POLY  L-PHẢI</v>
          </cell>
          <cell r="F283" t="str">
            <v>209*43*6</v>
          </cell>
          <cell r="G283">
            <v>209</v>
          </cell>
          <cell r="H283">
            <v>43</v>
          </cell>
          <cell r="I283">
            <v>6</v>
          </cell>
          <cell r="J283">
            <v>42</v>
          </cell>
          <cell r="K283">
            <v>0</v>
          </cell>
          <cell r="L283">
            <v>0</v>
          </cell>
          <cell r="M283">
            <v>2700</v>
          </cell>
          <cell r="N283">
            <v>0</v>
          </cell>
          <cell r="O283">
            <v>0</v>
          </cell>
          <cell r="P283" t="str">
            <v>1010</v>
          </cell>
          <cell r="Q283" t="str">
            <v>1010</v>
          </cell>
          <cell r="R283">
            <v>0</v>
          </cell>
          <cell r="S283">
            <v>0</v>
          </cell>
        </row>
        <row r="284">
          <cell r="A284" t="str">
            <v>Y003-024</v>
          </cell>
          <cell r="B284">
            <v>0</v>
          </cell>
          <cell r="C284" t="str">
            <v>Y003</v>
          </cell>
          <cell r="D284" t="str">
            <v>H03969</v>
          </cell>
          <cell r="E284" t="str">
            <v>饰框-中</v>
          </cell>
          <cell r="F284" t="str">
            <v>307*540*7</v>
          </cell>
          <cell r="G284">
            <v>307</v>
          </cell>
          <cell r="H284">
            <v>540</v>
          </cell>
          <cell r="I284">
            <v>7</v>
          </cell>
          <cell r="J284">
            <v>0</v>
          </cell>
          <cell r="K284">
            <v>0</v>
          </cell>
          <cell r="L284">
            <v>0</v>
          </cell>
          <cell r="M284">
            <v>12201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A285" t="str">
            <v>Y003-025</v>
          </cell>
          <cell r="B285">
            <v>0</v>
          </cell>
          <cell r="C285" t="str">
            <v>Y003</v>
          </cell>
          <cell r="D285" t="str">
            <v>H03970</v>
          </cell>
          <cell r="E285" t="str">
            <v>饰框-左 L</v>
          </cell>
          <cell r="F285" t="str">
            <v>205*469*7</v>
          </cell>
          <cell r="G285">
            <v>205</v>
          </cell>
          <cell r="H285">
            <v>469</v>
          </cell>
          <cell r="I285">
            <v>7</v>
          </cell>
          <cell r="J285">
            <v>0</v>
          </cell>
          <cell r="K285">
            <v>0</v>
          </cell>
          <cell r="L285">
            <v>0</v>
          </cell>
          <cell r="M285">
            <v>8624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A286" t="str">
            <v>Y003-026</v>
          </cell>
          <cell r="B286">
            <v>0</v>
          </cell>
          <cell r="C286" t="str">
            <v>Y003</v>
          </cell>
          <cell r="D286" t="str">
            <v>H03971</v>
          </cell>
          <cell r="E286" t="str">
            <v>饰框-右 R</v>
          </cell>
          <cell r="F286" t="str">
            <v>205*469*7</v>
          </cell>
          <cell r="G286">
            <v>205</v>
          </cell>
          <cell r="H286">
            <v>469</v>
          </cell>
          <cell r="I286">
            <v>7</v>
          </cell>
          <cell r="J286">
            <v>0</v>
          </cell>
          <cell r="K286">
            <v>0</v>
          </cell>
          <cell r="L286">
            <v>0</v>
          </cell>
          <cell r="M286">
            <v>8624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A287" t="str">
            <v>Y003-027</v>
          </cell>
          <cell r="B287">
            <v>0</v>
          </cell>
          <cell r="C287" t="str">
            <v>Y003</v>
          </cell>
          <cell r="D287" t="str">
            <v>H03972</v>
          </cell>
          <cell r="E287" t="str">
            <v>饰花 （貼瑰）</v>
          </cell>
          <cell r="F287" t="str">
            <v>58*39*5</v>
          </cell>
          <cell r="G287">
            <v>58</v>
          </cell>
          <cell r="H287">
            <v>39</v>
          </cell>
          <cell r="I287">
            <v>5</v>
          </cell>
          <cell r="J287">
            <v>0</v>
          </cell>
          <cell r="K287">
            <v>0</v>
          </cell>
          <cell r="L287">
            <v>0</v>
          </cell>
          <cell r="M287">
            <v>1176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 t="str">
            <v>Y003-028</v>
          </cell>
          <cell r="B288">
            <v>0</v>
          </cell>
          <cell r="C288" t="str">
            <v>Y003</v>
          </cell>
          <cell r="D288" t="str">
            <v>H03973</v>
          </cell>
          <cell r="E288" t="str">
            <v>饰条</v>
          </cell>
          <cell r="F288" t="str">
            <v>292*14.3*7</v>
          </cell>
          <cell r="G288">
            <v>292</v>
          </cell>
          <cell r="H288">
            <v>14.3</v>
          </cell>
          <cell r="I288">
            <v>7</v>
          </cell>
          <cell r="J288">
            <v>0</v>
          </cell>
          <cell r="K288">
            <v>0</v>
          </cell>
          <cell r="L288">
            <v>0</v>
          </cell>
          <cell r="M288">
            <v>2153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A289" t="str">
            <v>Y003-029</v>
          </cell>
          <cell r="B289">
            <v>0</v>
          </cell>
          <cell r="C289" t="str">
            <v>Y003</v>
          </cell>
          <cell r="D289" t="str">
            <v>H03974</v>
          </cell>
          <cell r="E289" t="str">
            <v>饰条</v>
          </cell>
          <cell r="F289" t="str">
            <v>245*14.3*7</v>
          </cell>
          <cell r="G289">
            <v>245</v>
          </cell>
          <cell r="H289">
            <v>14.3</v>
          </cell>
          <cell r="I289">
            <v>7</v>
          </cell>
          <cell r="J289">
            <v>0</v>
          </cell>
          <cell r="K289">
            <v>0</v>
          </cell>
          <cell r="L289">
            <v>0</v>
          </cell>
          <cell r="M289">
            <v>1806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A290" t="str">
            <v>Y003-030</v>
          </cell>
          <cell r="B290">
            <v>0</v>
          </cell>
          <cell r="C290" t="str">
            <v>Y003</v>
          </cell>
          <cell r="D290" t="str">
            <v>H03975</v>
          </cell>
          <cell r="E290" t="str">
            <v>饰花 （貼瑰）</v>
          </cell>
          <cell r="F290" t="str">
            <v>93*58*6.5</v>
          </cell>
          <cell r="G290">
            <v>93</v>
          </cell>
          <cell r="H290">
            <v>58</v>
          </cell>
          <cell r="I290">
            <v>6.5</v>
          </cell>
          <cell r="J290">
            <v>0</v>
          </cell>
          <cell r="K290">
            <v>0</v>
          </cell>
          <cell r="L290">
            <v>0</v>
          </cell>
          <cell r="M290">
            <v>2489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A291" t="str">
            <v>Y003-031</v>
          </cell>
          <cell r="B291">
            <v>0</v>
          </cell>
          <cell r="C291" t="str">
            <v>Y003</v>
          </cell>
          <cell r="D291" t="str">
            <v>H03976</v>
          </cell>
          <cell r="E291" t="str">
            <v>饰框-長框</v>
          </cell>
          <cell r="F291" t="str">
            <v>624*100*7</v>
          </cell>
          <cell r="G291">
            <v>624</v>
          </cell>
          <cell r="H291">
            <v>100</v>
          </cell>
          <cell r="I291">
            <v>7</v>
          </cell>
          <cell r="J291">
            <v>0</v>
          </cell>
          <cell r="K291">
            <v>0</v>
          </cell>
          <cell r="L291">
            <v>0</v>
          </cell>
          <cell r="M291">
            <v>10878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A292" t="str">
            <v>Y003-032</v>
          </cell>
          <cell r="B292">
            <v>0</v>
          </cell>
          <cell r="C292" t="str">
            <v>Y003</v>
          </cell>
          <cell r="D292" t="str">
            <v>H03977</v>
          </cell>
          <cell r="E292" t="str">
            <v>饰花-左 L</v>
          </cell>
          <cell r="F292" t="str">
            <v>265*57*6.8</v>
          </cell>
          <cell r="G292">
            <v>265</v>
          </cell>
          <cell r="H292">
            <v>57</v>
          </cell>
          <cell r="I292">
            <v>6.8</v>
          </cell>
          <cell r="J292">
            <v>0</v>
          </cell>
          <cell r="K292">
            <v>0</v>
          </cell>
          <cell r="L292">
            <v>0</v>
          </cell>
          <cell r="M292">
            <v>3675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 t="str">
            <v>Y003-033</v>
          </cell>
          <cell r="B293">
            <v>0</v>
          </cell>
          <cell r="C293" t="str">
            <v>Y003</v>
          </cell>
          <cell r="D293" t="str">
            <v>H03978</v>
          </cell>
          <cell r="E293" t="str">
            <v>饰花-右 R</v>
          </cell>
          <cell r="F293" t="str">
            <v>265*57*6.8</v>
          </cell>
          <cell r="G293">
            <v>265</v>
          </cell>
          <cell r="H293">
            <v>57</v>
          </cell>
          <cell r="I293">
            <v>6.8</v>
          </cell>
          <cell r="J293">
            <v>0</v>
          </cell>
          <cell r="K293">
            <v>0</v>
          </cell>
          <cell r="L293">
            <v>0</v>
          </cell>
          <cell r="M293">
            <v>3675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A294" t="str">
            <v>Y003-034</v>
          </cell>
          <cell r="B294">
            <v>0</v>
          </cell>
          <cell r="C294" t="str">
            <v>Y003</v>
          </cell>
          <cell r="D294" t="str">
            <v>H03979</v>
          </cell>
          <cell r="E294" t="str">
            <v>饰条</v>
          </cell>
          <cell r="F294" t="str">
            <v>305*14.3*7</v>
          </cell>
          <cell r="G294">
            <v>305</v>
          </cell>
          <cell r="H294">
            <v>14.3</v>
          </cell>
          <cell r="I294">
            <v>7</v>
          </cell>
          <cell r="J294">
            <v>0</v>
          </cell>
          <cell r="K294">
            <v>0</v>
          </cell>
          <cell r="L294">
            <v>0</v>
          </cell>
          <cell r="M294">
            <v>2249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</row>
        <row r="295">
          <cell r="A295" t="str">
            <v>Y003-035</v>
          </cell>
          <cell r="B295" t="str">
            <v>BL-421</v>
          </cell>
          <cell r="C295" t="str">
            <v>Y003</v>
          </cell>
          <cell r="D295" t="str">
            <v>H05074</v>
          </cell>
          <cell r="E295" t="str">
            <v>CHỈ ỐP NGANG RIỀM BẦN</v>
          </cell>
          <cell r="F295" t="str">
            <v>305*14*10</v>
          </cell>
          <cell r="G295">
            <v>305</v>
          </cell>
          <cell r="H295">
            <v>14</v>
          </cell>
          <cell r="I295">
            <v>10</v>
          </cell>
          <cell r="J295">
            <v>0</v>
          </cell>
          <cell r="K295">
            <v>0</v>
          </cell>
          <cell r="L295">
            <v>0</v>
          </cell>
          <cell r="M295">
            <v>3000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A296" t="str">
            <v>Y003-036</v>
          </cell>
          <cell r="B296" t="str">
            <v>BL-421</v>
          </cell>
          <cell r="C296" t="str">
            <v>Y003</v>
          </cell>
          <cell r="D296" t="str">
            <v>H05075</v>
          </cell>
          <cell r="E296" t="str">
            <v>BÔNG ỐP MẶT HỌC KÉO PHẢI-R</v>
          </cell>
          <cell r="F296" t="str">
            <v>261*56*7</v>
          </cell>
          <cell r="G296">
            <v>261</v>
          </cell>
          <cell r="H296">
            <v>56</v>
          </cell>
          <cell r="I296">
            <v>7</v>
          </cell>
          <cell r="J296">
            <v>0</v>
          </cell>
          <cell r="K296">
            <v>0</v>
          </cell>
          <cell r="L296">
            <v>0</v>
          </cell>
          <cell r="M296">
            <v>3700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A297" t="str">
            <v>Y003-037</v>
          </cell>
          <cell r="B297" t="str">
            <v>BL-421</v>
          </cell>
          <cell r="C297" t="str">
            <v>Y003</v>
          </cell>
          <cell r="D297" t="str">
            <v>H05076</v>
          </cell>
          <cell r="E297" t="str">
            <v>BÔNG ỐP MẶT HỌC KÉO TRÁI-L</v>
          </cell>
          <cell r="F297" t="str">
            <v>261*56*7</v>
          </cell>
          <cell r="G297">
            <v>261</v>
          </cell>
          <cell r="H297">
            <v>56</v>
          </cell>
          <cell r="I297">
            <v>7</v>
          </cell>
          <cell r="J297">
            <v>0</v>
          </cell>
          <cell r="K297">
            <v>0</v>
          </cell>
          <cell r="L297">
            <v>0</v>
          </cell>
          <cell r="M297">
            <v>3700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A298" t="str">
            <v>Y003-038</v>
          </cell>
          <cell r="B298" t="str">
            <v>BL-421</v>
          </cell>
          <cell r="C298" t="str">
            <v>Y003</v>
          </cell>
          <cell r="D298" t="str">
            <v>H05077</v>
          </cell>
          <cell r="E298" t="str">
            <v>KHUNG CHỈ ỐP MẶT HỘC KÉO BÀN</v>
          </cell>
          <cell r="F298" t="str">
            <v>624*99*10</v>
          </cell>
          <cell r="G298">
            <v>624</v>
          </cell>
          <cell r="H298">
            <v>99</v>
          </cell>
          <cell r="I298">
            <v>10</v>
          </cell>
          <cell r="J298">
            <v>0</v>
          </cell>
          <cell r="K298">
            <v>0</v>
          </cell>
          <cell r="L298">
            <v>0</v>
          </cell>
          <cell r="M298">
            <v>14500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A299" t="str">
            <v>Y003-039</v>
          </cell>
          <cell r="B299" t="str">
            <v>BL-421</v>
          </cell>
          <cell r="C299" t="str">
            <v>Y003</v>
          </cell>
          <cell r="D299" t="str">
            <v>H05078</v>
          </cell>
          <cell r="E299" t="str">
            <v>BÔNG ỐP CHÂN BÀN</v>
          </cell>
          <cell r="F299" t="str">
            <v>120*53*9.5</v>
          </cell>
          <cell r="G299">
            <v>120</v>
          </cell>
          <cell r="H299">
            <v>53</v>
          </cell>
          <cell r="I299">
            <v>9.5</v>
          </cell>
          <cell r="J299">
            <v>0</v>
          </cell>
          <cell r="K299">
            <v>0</v>
          </cell>
          <cell r="L299">
            <v>0</v>
          </cell>
          <cell r="M299">
            <v>2900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A300" t="str">
            <v>Y003-040</v>
          </cell>
          <cell r="B300" t="str">
            <v>BL-421</v>
          </cell>
          <cell r="C300" t="str">
            <v>Y003</v>
          </cell>
          <cell r="D300" t="str">
            <v>H05079</v>
          </cell>
          <cell r="E300" t="str">
            <v>CHỈ ỐP HÔNG KHUNG GHẾ TRÁI PHẢI</v>
          </cell>
          <cell r="F300" t="str">
            <v>245*14*10</v>
          </cell>
          <cell r="G300">
            <v>245</v>
          </cell>
          <cell r="H300">
            <v>14</v>
          </cell>
          <cell r="I300">
            <v>10</v>
          </cell>
          <cell r="J300">
            <v>0</v>
          </cell>
          <cell r="K300">
            <v>0</v>
          </cell>
          <cell r="L300">
            <v>0</v>
          </cell>
          <cell r="M300">
            <v>2500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A301" t="str">
            <v>Y003-041</v>
          </cell>
          <cell r="B301" t="str">
            <v>BL-421</v>
          </cell>
          <cell r="C301" t="str">
            <v>Y003</v>
          </cell>
          <cell r="D301" t="str">
            <v>H05080</v>
          </cell>
          <cell r="E301" t="str">
            <v>CHỈ ỐP HÔNG KHUNG GHẾ TRƯỚC SAU</v>
          </cell>
          <cell r="F301" t="str">
            <v>292*14*10</v>
          </cell>
          <cell r="G301">
            <v>292</v>
          </cell>
          <cell r="H301">
            <v>14</v>
          </cell>
          <cell r="I301">
            <v>10</v>
          </cell>
          <cell r="J301">
            <v>0</v>
          </cell>
          <cell r="K301">
            <v>0</v>
          </cell>
          <cell r="L301">
            <v>0</v>
          </cell>
          <cell r="M301">
            <v>2900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Y003-042</v>
          </cell>
          <cell r="B302" t="str">
            <v>BL-421</v>
          </cell>
          <cell r="C302" t="str">
            <v>Y003</v>
          </cell>
          <cell r="D302" t="str">
            <v>H05081</v>
          </cell>
          <cell r="E302" t="str">
            <v>BÔNG ỐP CHÂN GHẾ</v>
          </cell>
          <cell r="F302" t="str">
            <v>73*33*6</v>
          </cell>
          <cell r="G302">
            <v>73</v>
          </cell>
          <cell r="H302">
            <v>33</v>
          </cell>
          <cell r="I302">
            <v>6</v>
          </cell>
          <cell r="J302">
            <v>0</v>
          </cell>
          <cell r="K302">
            <v>0</v>
          </cell>
          <cell r="L302">
            <v>0</v>
          </cell>
          <cell r="M302">
            <v>1250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Y003-043</v>
          </cell>
          <cell r="B303" t="str">
            <v>BL-421</v>
          </cell>
          <cell r="C303" t="str">
            <v>Y003</v>
          </cell>
          <cell r="D303" t="str">
            <v>H05082</v>
          </cell>
          <cell r="E303" t="str">
            <v>KHUNG CHỈ ỐP GƯƠNG TRÁI-L</v>
          </cell>
          <cell r="F303" t="str">
            <v>469*205*10</v>
          </cell>
          <cell r="G303">
            <v>469</v>
          </cell>
          <cell r="H303">
            <v>205</v>
          </cell>
          <cell r="I303">
            <v>10</v>
          </cell>
          <cell r="J303">
            <v>0</v>
          </cell>
          <cell r="K303">
            <v>0</v>
          </cell>
          <cell r="L303">
            <v>0</v>
          </cell>
          <cell r="M303">
            <v>11250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Y003-044</v>
          </cell>
          <cell r="B304" t="str">
            <v>BL-421</v>
          </cell>
          <cell r="C304" t="str">
            <v>Y003</v>
          </cell>
          <cell r="D304" t="str">
            <v>H05083</v>
          </cell>
          <cell r="E304" t="str">
            <v>KHUNG CHỈ ỐP GƯƠNG PHẢI-R</v>
          </cell>
          <cell r="F304" t="str">
            <v>469*205*10</v>
          </cell>
          <cell r="G304">
            <v>469</v>
          </cell>
          <cell r="H304">
            <v>205</v>
          </cell>
          <cell r="I304">
            <v>10</v>
          </cell>
          <cell r="J304">
            <v>0</v>
          </cell>
          <cell r="K304">
            <v>0</v>
          </cell>
          <cell r="L304">
            <v>0</v>
          </cell>
          <cell r="M304">
            <v>11250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Y003-045</v>
          </cell>
          <cell r="B305" t="str">
            <v>BL-421</v>
          </cell>
          <cell r="C305" t="str">
            <v>Y003</v>
          </cell>
          <cell r="D305" t="str">
            <v>H05084</v>
          </cell>
          <cell r="E305" t="str">
            <v>KHUNG CHỈ ỐP GƯƠNG GIỮA</v>
          </cell>
          <cell r="F305" t="str">
            <v>540*307*10</v>
          </cell>
          <cell r="G305">
            <v>540</v>
          </cell>
          <cell r="H305">
            <v>307</v>
          </cell>
          <cell r="I305">
            <v>10</v>
          </cell>
          <cell r="J305">
            <v>0</v>
          </cell>
          <cell r="K305">
            <v>0</v>
          </cell>
          <cell r="L305">
            <v>0</v>
          </cell>
          <cell r="M305">
            <v>16000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Y003-046</v>
          </cell>
          <cell r="B306" t="str">
            <v>BL-414</v>
          </cell>
          <cell r="C306" t="str">
            <v>Y003</v>
          </cell>
          <cell r="D306" t="str">
            <v>H05191</v>
          </cell>
          <cell r="E306" t="str">
            <v>KHUNG ỐP MẶT HỌC KÉO T/P</v>
          </cell>
          <cell r="F306" t="str">
            <v>187*110*7</v>
          </cell>
          <cell r="G306">
            <v>187</v>
          </cell>
          <cell r="H306">
            <v>110</v>
          </cell>
          <cell r="I306">
            <v>7</v>
          </cell>
          <cell r="J306" t="str">
            <v>.</v>
          </cell>
          <cell r="K306">
            <v>0</v>
          </cell>
          <cell r="L306">
            <v>0</v>
          </cell>
          <cell r="M306">
            <v>8200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Y003-047</v>
          </cell>
          <cell r="B307" t="str">
            <v>BL-414</v>
          </cell>
          <cell r="C307" t="str">
            <v>Y003</v>
          </cell>
          <cell r="D307" t="str">
            <v>H05192</v>
          </cell>
          <cell r="E307" t="str">
            <v>KHUNG ỐP MẶT HỌC KÉO GIỮA</v>
          </cell>
          <cell r="F307" t="str">
            <v>341*110*7</v>
          </cell>
          <cell r="G307">
            <v>341</v>
          </cell>
          <cell r="H307">
            <v>110</v>
          </cell>
          <cell r="I307">
            <v>7</v>
          </cell>
          <cell r="J307">
            <v>0</v>
          </cell>
          <cell r="K307">
            <v>0</v>
          </cell>
          <cell r="L307">
            <v>0</v>
          </cell>
          <cell r="M307">
            <v>16900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Y003-048</v>
          </cell>
          <cell r="B308" t="str">
            <v>80107</v>
          </cell>
          <cell r="C308" t="str">
            <v>Y003</v>
          </cell>
          <cell r="D308">
            <v>0</v>
          </cell>
          <cell r="E308">
            <v>0</v>
          </cell>
          <cell r="F308" t="str">
            <v>409*145*4</v>
          </cell>
          <cell r="G308">
            <v>409</v>
          </cell>
          <cell r="H308">
            <v>145</v>
          </cell>
          <cell r="I308">
            <v>4</v>
          </cell>
          <cell r="J308">
            <v>0</v>
          </cell>
          <cell r="K308">
            <v>0</v>
          </cell>
          <cell r="L308">
            <v>0</v>
          </cell>
          <cell r="M308">
            <v>3260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Y003-049</v>
          </cell>
          <cell r="B309" t="str">
            <v>80105</v>
          </cell>
          <cell r="C309" t="str">
            <v>Y003</v>
          </cell>
          <cell r="D309">
            <v>0</v>
          </cell>
          <cell r="E309">
            <v>0</v>
          </cell>
          <cell r="F309" t="str">
            <v>279*67*4</v>
          </cell>
          <cell r="G309">
            <v>279</v>
          </cell>
          <cell r="H309">
            <v>67</v>
          </cell>
          <cell r="I309">
            <v>4</v>
          </cell>
          <cell r="J309">
            <v>0</v>
          </cell>
          <cell r="K309">
            <v>0</v>
          </cell>
          <cell r="L309">
            <v>0</v>
          </cell>
          <cell r="M309">
            <v>2260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Y003-050</v>
          </cell>
          <cell r="B310" t="str">
            <v>80105</v>
          </cell>
          <cell r="C310" t="str">
            <v>Y003</v>
          </cell>
          <cell r="D310">
            <v>0</v>
          </cell>
          <cell r="E310">
            <v>0</v>
          </cell>
          <cell r="F310" t="str">
            <v>661*124*4</v>
          </cell>
          <cell r="G310">
            <v>661</v>
          </cell>
          <cell r="H310">
            <v>124</v>
          </cell>
          <cell r="I310">
            <v>4</v>
          </cell>
          <cell r="J310">
            <v>0</v>
          </cell>
          <cell r="K310">
            <v>0</v>
          </cell>
          <cell r="L310">
            <v>0</v>
          </cell>
          <cell r="M310">
            <v>4670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Y003-051</v>
          </cell>
          <cell r="B311" t="str">
            <v>80109</v>
          </cell>
          <cell r="C311" t="str">
            <v>Y003</v>
          </cell>
          <cell r="D311">
            <v>0</v>
          </cell>
          <cell r="E311">
            <v>0</v>
          </cell>
          <cell r="F311" t="str">
            <v>256*113*4</v>
          </cell>
          <cell r="G311">
            <v>256</v>
          </cell>
          <cell r="H311">
            <v>113</v>
          </cell>
          <cell r="I311">
            <v>4</v>
          </cell>
          <cell r="J311">
            <v>0</v>
          </cell>
          <cell r="K311">
            <v>0</v>
          </cell>
          <cell r="L311">
            <v>0</v>
          </cell>
          <cell r="M311">
            <v>2460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Y003-052</v>
          </cell>
          <cell r="B312" t="str">
            <v>80109</v>
          </cell>
          <cell r="C312" t="str">
            <v>Y003</v>
          </cell>
          <cell r="D312">
            <v>0</v>
          </cell>
          <cell r="E312">
            <v>0</v>
          </cell>
          <cell r="F312" t="str">
            <v>593*113*4</v>
          </cell>
          <cell r="G312">
            <v>593</v>
          </cell>
          <cell r="H312">
            <v>113</v>
          </cell>
          <cell r="I312">
            <v>4</v>
          </cell>
          <cell r="J312">
            <v>0</v>
          </cell>
          <cell r="K312">
            <v>0</v>
          </cell>
          <cell r="L312">
            <v>0</v>
          </cell>
          <cell r="M312">
            <v>4180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Y003-053</v>
          </cell>
          <cell r="B313" t="str">
            <v>80109</v>
          </cell>
          <cell r="C313" t="str">
            <v>Y003</v>
          </cell>
          <cell r="D313">
            <v>0</v>
          </cell>
          <cell r="E313">
            <v>0</v>
          </cell>
          <cell r="F313" t="str">
            <v>607*156*4</v>
          </cell>
          <cell r="G313">
            <v>607</v>
          </cell>
          <cell r="H313">
            <v>156</v>
          </cell>
          <cell r="I313">
            <v>4</v>
          </cell>
          <cell r="J313">
            <v>0</v>
          </cell>
          <cell r="K313">
            <v>0</v>
          </cell>
          <cell r="L313">
            <v>0</v>
          </cell>
          <cell r="M313">
            <v>4550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Y003-054</v>
          </cell>
          <cell r="B314">
            <v>0</v>
          </cell>
          <cell r="C314" t="str">
            <v>Y003</v>
          </cell>
          <cell r="D314" t="str">
            <v>H00836</v>
          </cell>
          <cell r="E314" t="str">
            <v>POLY-94200-62860</v>
          </cell>
          <cell r="F314" t="str">
            <v>1000*13*6</v>
          </cell>
          <cell r="G314">
            <v>1000</v>
          </cell>
          <cell r="H314">
            <v>13</v>
          </cell>
          <cell r="I314">
            <v>6</v>
          </cell>
          <cell r="J314">
            <v>0</v>
          </cell>
          <cell r="K314">
            <v>0</v>
          </cell>
          <cell r="L314">
            <v>0</v>
          </cell>
          <cell r="M314">
            <v>5200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43447</v>
          </cell>
          <cell r="T314">
            <v>0</v>
          </cell>
        </row>
        <row r="315">
          <cell r="A315" t="str">
            <v>Y003-055</v>
          </cell>
          <cell r="B315">
            <v>0</v>
          </cell>
          <cell r="C315" t="str">
            <v>Y003</v>
          </cell>
          <cell r="D315" t="str">
            <v>H06101</v>
          </cell>
          <cell r="E315" t="str">
            <v>poly-chỉ ốp</v>
          </cell>
          <cell r="F315" t="str">
            <v>1000*8*4</v>
          </cell>
          <cell r="G315">
            <v>1000</v>
          </cell>
          <cell r="H315">
            <v>8</v>
          </cell>
          <cell r="I315">
            <v>4</v>
          </cell>
          <cell r="J315">
            <v>0</v>
          </cell>
          <cell r="K315">
            <v>0</v>
          </cell>
          <cell r="L315">
            <v>0</v>
          </cell>
          <cell r="M315">
            <v>3800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Y003-056</v>
          </cell>
          <cell r="B316">
            <v>0</v>
          </cell>
          <cell r="C316" t="str">
            <v>Y003</v>
          </cell>
          <cell r="D316" t="str">
            <v>H06069</v>
          </cell>
          <cell r="E316" t="str">
            <v>POLY-4910 CHỈ ỐP</v>
          </cell>
          <cell r="F316" t="str">
            <v>1060*19*5</v>
          </cell>
          <cell r="G316">
            <v>1060</v>
          </cell>
          <cell r="H316">
            <v>19</v>
          </cell>
          <cell r="I316">
            <v>5</v>
          </cell>
          <cell r="J316">
            <v>0</v>
          </cell>
          <cell r="K316">
            <v>0</v>
          </cell>
          <cell r="L316">
            <v>0</v>
          </cell>
          <cell r="M316">
            <v>12000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Y003-057</v>
          </cell>
          <cell r="B317">
            <v>0</v>
          </cell>
          <cell r="C317" t="str">
            <v>Y003</v>
          </cell>
          <cell r="D317" t="str">
            <v>H06462</v>
          </cell>
          <cell r="E317" t="str">
            <v>POLY-12262 CHỈ ỐP CHÂN TỦ</v>
          </cell>
          <cell r="F317" t="str">
            <v>70*70*8</v>
          </cell>
          <cell r="G317">
            <v>70</v>
          </cell>
          <cell r="H317">
            <v>70</v>
          </cell>
          <cell r="I317">
            <v>8</v>
          </cell>
          <cell r="J317">
            <v>0</v>
          </cell>
          <cell r="K317">
            <v>0</v>
          </cell>
          <cell r="L317">
            <v>0</v>
          </cell>
          <cell r="M317">
            <v>1180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43550</v>
          </cell>
          <cell r="T317">
            <v>0</v>
          </cell>
        </row>
        <row r="318">
          <cell r="A318" t="str">
            <v>Y003-058</v>
          </cell>
          <cell r="B318">
            <v>0</v>
          </cell>
          <cell r="C318" t="str">
            <v>Y003</v>
          </cell>
          <cell r="D318" t="str">
            <v>H03643</v>
          </cell>
          <cell r="E318" t="str">
            <v>POLY B8300-CHÓP ĐỈNH GIƯỜNG</v>
          </cell>
          <cell r="F318" t="str">
            <v>130*130*208</v>
          </cell>
          <cell r="G318">
            <v>130</v>
          </cell>
          <cell r="H318">
            <v>130</v>
          </cell>
          <cell r="I318">
            <v>208</v>
          </cell>
          <cell r="J318">
            <v>0</v>
          </cell>
          <cell r="K318">
            <v>0</v>
          </cell>
          <cell r="L318">
            <v>0</v>
          </cell>
          <cell r="M318">
            <v>48000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43554</v>
          </cell>
          <cell r="T318">
            <v>0</v>
          </cell>
        </row>
        <row r="319">
          <cell r="A319" t="str">
            <v>Y003-059</v>
          </cell>
          <cell r="B319">
            <v>0</v>
          </cell>
          <cell r="C319" t="str">
            <v>Y003</v>
          </cell>
          <cell r="D319" t="str">
            <v>H06864</v>
          </cell>
          <cell r="E319" t="str">
            <v>POLY-86050 ỐP CHÂN GIƯỜNG</v>
          </cell>
          <cell r="F319" t="str">
            <v>40*40*8</v>
          </cell>
          <cell r="G319">
            <v>40</v>
          </cell>
          <cell r="H319">
            <v>40</v>
          </cell>
          <cell r="I319">
            <v>8</v>
          </cell>
          <cell r="J319">
            <v>0</v>
          </cell>
          <cell r="K319">
            <v>0</v>
          </cell>
          <cell r="L319">
            <v>0</v>
          </cell>
          <cell r="M319">
            <v>1500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43554</v>
          </cell>
        </row>
        <row r="320">
          <cell r="A320" t="str">
            <v>Y003-060</v>
          </cell>
          <cell r="B320">
            <v>0</v>
          </cell>
          <cell r="C320" t="str">
            <v>Y003</v>
          </cell>
          <cell r="D320" t="str">
            <v>H03805</v>
          </cell>
          <cell r="E320" t="str">
            <v>POLY-81051/61/53/63 CHÓP ĐỈNH GIƯỜNG</v>
          </cell>
          <cell r="F320" t="str">
            <v>122*80*80</v>
          </cell>
          <cell r="G320">
            <v>122</v>
          </cell>
          <cell r="H320">
            <v>80</v>
          </cell>
          <cell r="I320">
            <v>80</v>
          </cell>
          <cell r="J320">
            <v>0</v>
          </cell>
          <cell r="K320">
            <v>0</v>
          </cell>
          <cell r="L320">
            <v>0</v>
          </cell>
          <cell r="M320">
            <v>20200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 t="str">
            <v>Y003-2001</v>
          </cell>
          <cell r="B321">
            <v>0</v>
          </cell>
          <cell r="C321" t="str">
            <v>Y003</v>
          </cell>
          <cell r="D321">
            <v>0</v>
          </cell>
          <cell r="E321">
            <v>0</v>
          </cell>
          <cell r="F321" t="str">
            <v>1000*19*10</v>
          </cell>
          <cell r="G321">
            <v>1000</v>
          </cell>
          <cell r="H321">
            <v>19</v>
          </cell>
          <cell r="I321">
            <v>10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A322" t="str">
            <v>Y003-2002</v>
          </cell>
          <cell r="B322">
            <v>0</v>
          </cell>
          <cell r="C322" t="str">
            <v>Y003</v>
          </cell>
          <cell r="D322">
            <v>0</v>
          </cell>
          <cell r="E322">
            <v>0</v>
          </cell>
          <cell r="F322" t="str">
            <v>1000*13*7</v>
          </cell>
          <cell r="G322">
            <v>1000</v>
          </cell>
          <cell r="H322">
            <v>13</v>
          </cell>
          <cell r="I322">
            <v>7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A323" t="str">
            <v>Y003-2003</v>
          </cell>
          <cell r="B323">
            <v>0</v>
          </cell>
          <cell r="C323" t="str">
            <v>Y003</v>
          </cell>
          <cell r="D323">
            <v>0</v>
          </cell>
          <cell r="E323">
            <v>0</v>
          </cell>
          <cell r="F323" t="str">
            <v>1000*10*5</v>
          </cell>
          <cell r="G323">
            <v>1000</v>
          </cell>
          <cell r="H323">
            <v>10</v>
          </cell>
          <cell r="I323">
            <v>5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 t="str">
            <v>Y003-2004</v>
          </cell>
          <cell r="B324">
            <v>0</v>
          </cell>
          <cell r="C324" t="str">
            <v>Y003</v>
          </cell>
          <cell r="D324">
            <v>0</v>
          </cell>
          <cell r="E324">
            <v>0</v>
          </cell>
          <cell r="F324" t="str">
            <v>1000*7*4</v>
          </cell>
          <cell r="G324">
            <v>1000</v>
          </cell>
          <cell r="H324">
            <v>7</v>
          </cell>
          <cell r="I324">
            <v>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A325" t="str">
            <v>Y004-001</v>
          </cell>
          <cell r="B325" t="str">
            <v>LCT004-080</v>
          </cell>
          <cell r="C325" t="str">
            <v>Y004</v>
          </cell>
          <cell r="D325" t="str">
            <v>SF013-100-6</v>
          </cell>
          <cell r="E325" t="str">
            <v>POLY 飾条(#4955)</v>
          </cell>
          <cell r="F325" t="str">
            <v>5*6*660</v>
          </cell>
          <cell r="G325">
            <v>5</v>
          </cell>
          <cell r="H325">
            <v>6</v>
          </cell>
          <cell r="I325">
            <v>660</v>
          </cell>
          <cell r="J325">
            <v>50</v>
          </cell>
          <cell r="K325">
            <v>0</v>
          </cell>
          <cell r="L325">
            <v>0.161</v>
          </cell>
          <cell r="M325">
            <v>0</v>
          </cell>
          <cell r="N325">
            <v>0</v>
          </cell>
          <cell r="O325" t="str">
            <v>T</v>
          </cell>
          <cell r="P325" t="str">
            <v>1010</v>
          </cell>
          <cell r="Q325" t="str">
            <v>1010</v>
          </cell>
          <cell r="R325">
            <v>3.2199999999999998</v>
          </cell>
        </row>
        <row r="326">
          <cell r="A326" t="str">
            <v>Y004-002</v>
          </cell>
          <cell r="B326" t="str">
            <v>LCT004-100</v>
          </cell>
          <cell r="C326" t="str">
            <v>Y004</v>
          </cell>
          <cell r="D326" t="str">
            <v>SF013-100-92</v>
          </cell>
          <cell r="E326" t="str">
            <v>POLY 飾片</v>
          </cell>
          <cell r="F326" t="str">
            <v>Ø35*18</v>
          </cell>
          <cell r="G326" t="str">
            <v>Ø</v>
          </cell>
          <cell r="H326">
            <v>35</v>
          </cell>
          <cell r="I326">
            <v>18</v>
          </cell>
          <cell r="J326">
            <v>20</v>
          </cell>
          <cell r="K326">
            <v>0</v>
          </cell>
          <cell r="L326">
            <v>8.5999999999999993E-2</v>
          </cell>
          <cell r="M326">
            <v>0</v>
          </cell>
          <cell r="N326">
            <v>0</v>
          </cell>
          <cell r="O326" t="str">
            <v>T</v>
          </cell>
          <cell r="P326" t="str">
            <v>1010</v>
          </cell>
          <cell r="Q326" t="str">
            <v>1010</v>
          </cell>
          <cell r="R326">
            <v>4.3</v>
          </cell>
        </row>
        <row r="327">
          <cell r="A327" t="str">
            <v>Y004-003</v>
          </cell>
          <cell r="B327" t="str">
            <v>LCT004-110</v>
          </cell>
          <cell r="C327" t="str">
            <v>Y004</v>
          </cell>
          <cell r="D327" t="str">
            <v>SF013-100-95</v>
          </cell>
          <cell r="E327" t="str">
            <v>POLY 飾条</v>
          </cell>
          <cell r="F327" t="str">
            <v>5*6*440</v>
          </cell>
          <cell r="G327">
            <v>5</v>
          </cell>
          <cell r="H327">
            <v>6</v>
          </cell>
          <cell r="I327">
            <v>440</v>
          </cell>
          <cell r="J327">
            <v>35</v>
          </cell>
          <cell r="K327">
            <v>0</v>
          </cell>
          <cell r="L327">
            <v>9.7000000000000003E-2</v>
          </cell>
          <cell r="M327">
            <v>0</v>
          </cell>
          <cell r="N327">
            <v>0</v>
          </cell>
          <cell r="O327" t="str">
            <v>T</v>
          </cell>
          <cell r="P327" t="str">
            <v>1010</v>
          </cell>
          <cell r="Q327" t="str">
            <v>1010</v>
          </cell>
          <cell r="R327">
            <v>2.7714285714285714</v>
          </cell>
        </row>
        <row r="328">
          <cell r="A328" t="str">
            <v>Y004-004</v>
          </cell>
          <cell r="B328" t="str">
            <v>LCT004-113</v>
          </cell>
          <cell r="C328" t="str">
            <v>Y004</v>
          </cell>
          <cell r="D328" t="str">
            <v>SF013-100-97</v>
          </cell>
          <cell r="E328" t="str">
            <v>POLY 飾片(#1028)</v>
          </cell>
          <cell r="F328" t="str">
            <v>Ø30*3</v>
          </cell>
          <cell r="G328" t="str">
            <v>Ø</v>
          </cell>
          <cell r="H328">
            <v>30</v>
          </cell>
          <cell r="I328">
            <v>3</v>
          </cell>
          <cell r="J328">
            <v>12</v>
          </cell>
          <cell r="K328">
            <v>0</v>
          </cell>
          <cell r="L328">
            <v>0.03</v>
          </cell>
          <cell r="M328">
            <v>0</v>
          </cell>
          <cell r="N328">
            <v>0</v>
          </cell>
          <cell r="O328" t="str">
            <v>T</v>
          </cell>
          <cell r="P328" t="str">
            <v>1010</v>
          </cell>
          <cell r="Q328" t="str">
            <v>1010</v>
          </cell>
          <cell r="R328">
            <v>2.5</v>
          </cell>
        </row>
        <row r="329">
          <cell r="A329" t="str">
            <v>Y004-005</v>
          </cell>
          <cell r="B329" t="str">
            <v>LCT004-122</v>
          </cell>
          <cell r="C329" t="str">
            <v>Y004</v>
          </cell>
          <cell r="D329" t="str">
            <v>SF012-3</v>
          </cell>
          <cell r="E329" t="str">
            <v>POLY饰片</v>
          </cell>
          <cell r="F329" t="str">
            <v>Ø10.5*9.5*6</v>
          </cell>
          <cell r="G329" t="str">
            <v>Ø10.5</v>
          </cell>
          <cell r="H329">
            <v>9.5</v>
          </cell>
          <cell r="I329">
            <v>6</v>
          </cell>
          <cell r="J329">
            <v>5</v>
          </cell>
          <cell r="K329">
            <v>0</v>
          </cell>
          <cell r="L329">
            <v>0.03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6</v>
          </cell>
        </row>
        <row r="330">
          <cell r="A330" t="str">
            <v>Y004-006</v>
          </cell>
          <cell r="B330" t="str">
            <v>LCT004-159</v>
          </cell>
          <cell r="C330" t="str">
            <v>Y004</v>
          </cell>
          <cell r="D330" t="str">
            <v>SF013-100-1020-1</v>
          </cell>
          <cell r="E330" t="str">
            <v>POLY钸條</v>
          </cell>
          <cell r="F330" t="str">
            <v>6*15*560</v>
          </cell>
          <cell r="G330">
            <v>6</v>
          </cell>
          <cell r="H330">
            <v>15</v>
          </cell>
          <cell r="I330">
            <v>560</v>
          </cell>
          <cell r="J330">
            <v>70</v>
          </cell>
          <cell r="K330">
            <v>0</v>
          </cell>
          <cell r="L330">
            <v>0.23</v>
          </cell>
          <cell r="M330">
            <v>0</v>
          </cell>
          <cell r="N330">
            <v>0</v>
          </cell>
          <cell r="O330" t="str">
            <v>T</v>
          </cell>
          <cell r="P330" t="str">
            <v>1010</v>
          </cell>
          <cell r="Q330" t="str">
            <v>1010</v>
          </cell>
          <cell r="R330">
            <v>3.2857142857142856</v>
          </cell>
        </row>
        <row r="331">
          <cell r="A331" t="str">
            <v>Y004-007</v>
          </cell>
          <cell r="B331" t="str">
            <v>LCT004-158</v>
          </cell>
          <cell r="C331" t="str">
            <v>Y004</v>
          </cell>
          <cell r="D331" t="str">
            <v>SF013-100-1020</v>
          </cell>
          <cell r="E331" t="str">
            <v>POLY钸條</v>
          </cell>
          <cell r="F331" t="str">
            <v>6*15*1170</v>
          </cell>
          <cell r="G331">
            <v>6</v>
          </cell>
          <cell r="H331">
            <v>15</v>
          </cell>
          <cell r="I331">
            <v>1170</v>
          </cell>
          <cell r="J331">
            <v>140</v>
          </cell>
          <cell r="K331">
            <v>0</v>
          </cell>
          <cell r="L331">
            <v>0.45</v>
          </cell>
          <cell r="M331">
            <v>0</v>
          </cell>
          <cell r="N331">
            <v>0</v>
          </cell>
          <cell r="O331" t="str">
            <v>T</v>
          </cell>
          <cell r="P331" t="str">
            <v>1010</v>
          </cell>
          <cell r="Q331" t="str">
            <v>1010</v>
          </cell>
          <cell r="R331">
            <v>3.214285714285714</v>
          </cell>
        </row>
        <row r="332">
          <cell r="A332" t="str">
            <v>Y004-008</v>
          </cell>
          <cell r="B332" t="str">
            <v>LCT004-161</v>
          </cell>
          <cell r="C332" t="str">
            <v>Y004</v>
          </cell>
          <cell r="D332" t="str">
            <v>SF013-100-1293</v>
          </cell>
          <cell r="E332" t="str">
            <v>POLY MEM 飾條</v>
          </cell>
          <cell r="F332" t="str">
            <v>6*15*723</v>
          </cell>
          <cell r="G332">
            <v>6</v>
          </cell>
          <cell r="H332">
            <v>15</v>
          </cell>
          <cell r="I332">
            <v>723</v>
          </cell>
          <cell r="J332">
            <v>120</v>
          </cell>
          <cell r="K332">
            <v>0</v>
          </cell>
          <cell r="L332">
            <v>0.5</v>
          </cell>
          <cell r="M332">
            <v>0</v>
          </cell>
          <cell r="N332">
            <v>0</v>
          </cell>
          <cell r="O332" t="str">
            <v>T</v>
          </cell>
          <cell r="P332" t="str">
            <v>1010</v>
          </cell>
          <cell r="Q332" t="str">
            <v>1010</v>
          </cell>
          <cell r="R332">
            <v>4.166666666666667</v>
          </cell>
        </row>
        <row r="333">
          <cell r="A333" t="str">
            <v>Y004-009</v>
          </cell>
          <cell r="B333" t="str">
            <v>LCT004-162</v>
          </cell>
          <cell r="C333" t="str">
            <v>Y004</v>
          </cell>
          <cell r="D333" t="str">
            <v>SF013-100-1293.1</v>
          </cell>
          <cell r="E333" t="str">
            <v>POLY MEM 飾條</v>
          </cell>
          <cell r="F333" t="str">
            <v>6*15*651</v>
          </cell>
          <cell r="G333">
            <v>6</v>
          </cell>
          <cell r="H333">
            <v>15</v>
          </cell>
          <cell r="I333">
            <v>651</v>
          </cell>
          <cell r="J333">
            <v>108</v>
          </cell>
          <cell r="K333">
            <v>0</v>
          </cell>
          <cell r="L333">
            <v>0.45</v>
          </cell>
          <cell r="M333">
            <v>0</v>
          </cell>
          <cell r="N333">
            <v>0</v>
          </cell>
          <cell r="O333" t="str">
            <v>T</v>
          </cell>
          <cell r="P333" t="str">
            <v>1010</v>
          </cell>
          <cell r="Q333" t="str">
            <v>1010</v>
          </cell>
          <cell r="R333">
            <v>4.166666666666667</v>
          </cell>
        </row>
        <row r="334">
          <cell r="A334" t="str">
            <v>Y004-010</v>
          </cell>
          <cell r="B334" t="str">
            <v>LCT004-081</v>
          </cell>
          <cell r="C334" t="str">
            <v>Y004</v>
          </cell>
          <cell r="D334" t="str">
            <v>SF013-100-7</v>
          </cell>
          <cell r="E334" t="str">
            <v>POLY 飾条(#4955)</v>
          </cell>
          <cell r="F334" t="str">
            <v>5*6*520</v>
          </cell>
          <cell r="G334">
            <v>5</v>
          </cell>
          <cell r="H334">
            <v>6</v>
          </cell>
          <cell r="I334">
            <v>520</v>
          </cell>
          <cell r="J334">
            <v>40</v>
          </cell>
          <cell r="K334">
            <v>0</v>
          </cell>
          <cell r="L334">
            <v>0.15</v>
          </cell>
          <cell r="M334">
            <v>0</v>
          </cell>
          <cell r="N334">
            <v>0</v>
          </cell>
          <cell r="O334" t="str">
            <v>T</v>
          </cell>
          <cell r="P334" t="str">
            <v>1010</v>
          </cell>
          <cell r="Q334" t="str">
            <v>1010</v>
          </cell>
          <cell r="R334">
            <v>3.75</v>
          </cell>
        </row>
        <row r="335">
          <cell r="A335" t="str">
            <v>Y004-011</v>
          </cell>
          <cell r="B335" t="str">
            <v>LCT004-097</v>
          </cell>
          <cell r="C335" t="str">
            <v>Y004</v>
          </cell>
          <cell r="D335" t="str">
            <v>SF013-100-9</v>
          </cell>
          <cell r="E335" t="str">
            <v>POLY 飾条</v>
          </cell>
          <cell r="F335" t="str">
            <v>5*6*960</v>
          </cell>
          <cell r="G335">
            <v>5</v>
          </cell>
          <cell r="H335">
            <v>6</v>
          </cell>
          <cell r="I335">
            <v>960</v>
          </cell>
          <cell r="J335">
            <v>50</v>
          </cell>
          <cell r="K335">
            <v>0</v>
          </cell>
          <cell r="L335">
            <v>0.16600000000000001</v>
          </cell>
          <cell r="M335">
            <v>0</v>
          </cell>
          <cell r="N335">
            <v>0</v>
          </cell>
          <cell r="O335" t="str">
            <v>T</v>
          </cell>
          <cell r="P335" t="str">
            <v>1010</v>
          </cell>
          <cell r="Q335" t="str">
            <v>1010</v>
          </cell>
          <cell r="R335">
            <v>3.32</v>
          </cell>
        </row>
        <row r="336">
          <cell r="A336" t="str">
            <v>Y004-012</v>
          </cell>
          <cell r="B336" t="str">
            <v>LCT004-099</v>
          </cell>
          <cell r="C336" t="str">
            <v>Y004</v>
          </cell>
          <cell r="D336" t="str">
            <v>SF013-100-91</v>
          </cell>
          <cell r="E336" t="str">
            <v>POLY 飾条</v>
          </cell>
          <cell r="F336" t="str">
            <v>5*6*1150</v>
          </cell>
          <cell r="G336">
            <v>5</v>
          </cell>
          <cell r="H336">
            <v>6</v>
          </cell>
          <cell r="I336">
            <v>1150</v>
          </cell>
          <cell r="J336">
            <v>60</v>
          </cell>
          <cell r="K336">
            <v>0</v>
          </cell>
          <cell r="L336">
            <v>0.19900000000000001</v>
          </cell>
          <cell r="M336">
            <v>0</v>
          </cell>
          <cell r="N336">
            <v>0</v>
          </cell>
          <cell r="O336" t="str">
            <v>T</v>
          </cell>
          <cell r="P336" t="str">
            <v>1010</v>
          </cell>
          <cell r="Q336" t="str">
            <v>1010</v>
          </cell>
          <cell r="R336">
            <v>3.3166666666666669</v>
          </cell>
        </row>
        <row r="337">
          <cell r="A337" t="str">
            <v>Y004-013</v>
          </cell>
          <cell r="B337" t="str">
            <v>LCT004-106</v>
          </cell>
          <cell r="C337" t="str">
            <v>Y004</v>
          </cell>
          <cell r="D337" t="str">
            <v>SF013-6806-1</v>
          </cell>
          <cell r="E337" t="str">
            <v>POLY 飾片</v>
          </cell>
          <cell r="F337" t="str">
            <v>Ø 28*10</v>
          </cell>
          <cell r="G337" t="str">
            <v>Ø</v>
          </cell>
          <cell r="H337">
            <v>28</v>
          </cell>
          <cell r="I337">
            <v>10</v>
          </cell>
          <cell r="J337">
            <v>16</v>
          </cell>
          <cell r="K337">
            <v>0</v>
          </cell>
          <cell r="L337">
            <v>0.03</v>
          </cell>
          <cell r="M337">
            <v>0</v>
          </cell>
          <cell r="N337">
            <v>0</v>
          </cell>
          <cell r="O337" t="str">
            <v>T</v>
          </cell>
          <cell r="P337" t="str">
            <v>1010</v>
          </cell>
          <cell r="Q337" t="str">
            <v>1010</v>
          </cell>
          <cell r="R337">
            <v>1.875</v>
          </cell>
        </row>
        <row r="338">
          <cell r="A338" t="str">
            <v>Y004-014</v>
          </cell>
          <cell r="B338" t="str">
            <v>LCT004-107</v>
          </cell>
          <cell r="C338" t="str">
            <v>Y004</v>
          </cell>
          <cell r="D338" t="str">
            <v>SF013-6806-2</v>
          </cell>
          <cell r="E338" t="str">
            <v>POLY 飾片</v>
          </cell>
          <cell r="F338" t="str">
            <v>Ø 32*12</v>
          </cell>
          <cell r="G338" t="str">
            <v>Ø</v>
          </cell>
          <cell r="H338">
            <v>32</v>
          </cell>
          <cell r="I338">
            <v>12</v>
          </cell>
          <cell r="J338">
            <v>20</v>
          </cell>
          <cell r="K338">
            <v>0</v>
          </cell>
          <cell r="L338">
            <v>0.05</v>
          </cell>
          <cell r="M338">
            <v>0</v>
          </cell>
          <cell r="N338">
            <v>0</v>
          </cell>
          <cell r="O338" t="str">
            <v>T</v>
          </cell>
          <cell r="P338" t="str">
            <v>1010</v>
          </cell>
          <cell r="Q338" t="str">
            <v>1010</v>
          </cell>
          <cell r="R338">
            <v>2.5</v>
          </cell>
        </row>
        <row r="339">
          <cell r="A339" t="str">
            <v>Y004-015</v>
          </cell>
          <cell r="B339" t="str">
            <v>LCT004-160</v>
          </cell>
          <cell r="C339" t="str">
            <v>Y004</v>
          </cell>
          <cell r="D339" t="str">
            <v xml:space="preserve">SF013-100-92.1 </v>
          </cell>
          <cell r="E339" t="str">
            <v>POLY飾片(#1292)</v>
          </cell>
          <cell r="F339" t="str">
            <v>Ø34*11*Ø22</v>
          </cell>
          <cell r="G339" t="str">
            <v>Ø34</v>
          </cell>
          <cell r="H339">
            <v>11</v>
          </cell>
          <cell r="I339" t="str">
            <v>Ø22</v>
          </cell>
          <cell r="J339">
            <v>20</v>
          </cell>
          <cell r="K339">
            <v>0</v>
          </cell>
          <cell r="L339">
            <v>0.11</v>
          </cell>
          <cell r="M339">
            <v>0</v>
          </cell>
          <cell r="N339">
            <v>0</v>
          </cell>
          <cell r="O339" t="str">
            <v>T</v>
          </cell>
          <cell r="P339" t="str">
            <v>1010</v>
          </cell>
          <cell r="Q339" t="str">
            <v>1010</v>
          </cell>
          <cell r="R339">
            <v>5.5</v>
          </cell>
        </row>
        <row r="340">
          <cell r="A340" t="str">
            <v>Y004-016</v>
          </cell>
          <cell r="B340" t="str">
            <v>LCT004-105</v>
          </cell>
          <cell r="C340" t="str">
            <v>Y004</v>
          </cell>
          <cell r="D340" t="str">
            <v>SF013-6807-3</v>
          </cell>
          <cell r="E340" t="str">
            <v>POLY卓脚饰片</v>
          </cell>
          <cell r="F340" t="str">
            <v>148*34*9</v>
          </cell>
          <cell r="G340">
            <v>148</v>
          </cell>
          <cell r="H340">
            <v>34</v>
          </cell>
          <cell r="I340">
            <v>9</v>
          </cell>
          <cell r="J340">
            <v>55</v>
          </cell>
          <cell r="K340">
            <v>0</v>
          </cell>
          <cell r="L340">
            <v>0.14000000000000001</v>
          </cell>
          <cell r="M340">
            <v>0</v>
          </cell>
          <cell r="N340">
            <v>0</v>
          </cell>
          <cell r="O340">
            <v>0</v>
          </cell>
          <cell r="P340" t="str">
            <v>1010</v>
          </cell>
          <cell r="Q340" t="str">
            <v>1010</v>
          </cell>
          <cell r="R340">
            <v>2.5454545454545459</v>
          </cell>
          <cell r="S340">
            <v>0</v>
          </cell>
        </row>
        <row r="341">
          <cell r="A341" t="str">
            <v>Y004-017</v>
          </cell>
          <cell r="B341" t="str">
            <v>LCT004-108</v>
          </cell>
          <cell r="C341" t="str">
            <v>Y004</v>
          </cell>
          <cell r="D341" t="str">
            <v>SF013-6808-2</v>
          </cell>
          <cell r="E341" t="str">
            <v>POLY 飾片-L</v>
          </cell>
          <cell r="F341" t="str">
            <v>9*104*186</v>
          </cell>
          <cell r="G341">
            <v>9</v>
          </cell>
          <cell r="H341">
            <v>104</v>
          </cell>
          <cell r="I341">
            <v>186</v>
          </cell>
          <cell r="J341">
            <v>80</v>
          </cell>
          <cell r="K341">
            <v>0</v>
          </cell>
          <cell r="L341">
            <v>0.4</v>
          </cell>
          <cell r="M341">
            <v>0</v>
          </cell>
          <cell r="N341">
            <v>0</v>
          </cell>
          <cell r="O341">
            <v>0</v>
          </cell>
          <cell r="P341" t="str">
            <v>1010</v>
          </cell>
          <cell r="Q341" t="str">
            <v>1010</v>
          </cell>
          <cell r="R341">
            <v>5</v>
          </cell>
          <cell r="S341">
            <v>0</v>
          </cell>
        </row>
        <row r="342">
          <cell r="A342" t="str">
            <v>Y004-018</v>
          </cell>
          <cell r="B342" t="str">
            <v>LCT004-109</v>
          </cell>
          <cell r="C342" t="str">
            <v>Y004</v>
          </cell>
          <cell r="D342" t="str">
            <v>SF013-6808-2</v>
          </cell>
          <cell r="E342" t="str">
            <v>POLY 飾片-R</v>
          </cell>
          <cell r="F342" t="str">
            <v>9*104*186</v>
          </cell>
          <cell r="G342">
            <v>9</v>
          </cell>
          <cell r="H342">
            <v>104</v>
          </cell>
          <cell r="I342">
            <v>186</v>
          </cell>
          <cell r="J342">
            <v>80</v>
          </cell>
          <cell r="K342">
            <v>0</v>
          </cell>
          <cell r="L342">
            <v>0.4</v>
          </cell>
          <cell r="M342">
            <v>0</v>
          </cell>
          <cell r="N342">
            <v>0</v>
          </cell>
          <cell r="O342">
            <v>0</v>
          </cell>
          <cell r="P342" t="str">
            <v>1010</v>
          </cell>
          <cell r="Q342" t="str">
            <v>1010</v>
          </cell>
          <cell r="R342">
            <v>5</v>
          </cell>
          <cell r="S342">
            <v>0</v>
          </cell>
        </row>
        <row r="343">
          <cell r="A343" t="str">
            <v>Y004-019</v>
          </cell>
          <cell r="B343" t="str">
            <v>LCT004-076</v>
          </cell>
          <cell r="C343" t="str">
            <v>Y004</v>
          </cell>
          <cell r="D343" t="str">
            <v>SF015(34954)</v>
          </cell>
          <cell r="E343" t="str">
            <v>POLY 飾片</v>
          </cell>
          <cell r="F343" t="str">
            <v>5*16*260</v>
          </cell>
          <cell r="G343">
            <v>5</v>
          </cell>
          <cell r="H343">
            <v>16</v>
          </cell>
          <cell r="I343">
            <v>260</v>
          </cell>
          <cell r="J343">
            <v>40</v>
          </cell>
          <cell r="K343">
            <v>0</v>
          </cell>
          <cell r="L343">
            <v>0.17299999999999999</v>
          </cell>
          <cell r="M343">
            <v>0</v>
          </cell>
          <cell r="N343">
            <v>0</v>
          </cell>
          <cell r="O343">
            <v>0</v>
          </cell>
          <cell r="P343" t="str">
            <v>1010</v>
          </cell>
          <cell r="Q343" t="str">
            <v>1010</v>
          </cell>
          <cell r="R343">
            <v>4.3249999999999993</v>
          </cell>
          <cell r="S343">
            <v>0</v>
          </cell>
        </row>
        <row r="344">
          <cell r="A344" t="str">
            <v>Y004-020</v>
          </cell>
          <cell r="B344">
            <v>0</v>
          </cell>
          <cell r="C344" t="str">
            <v>Y004</v>
          </cell>
          <cell r="D344" t="str">
            <v>GOB798-KEC-2</v>
          </cell>
          <cell r="E344" t="str">
            <v xml:space="preserve">車枳 CUMGOC </v>
          </cell>
          <cell r="F344" t="str">
            <v>100*149*186</v>
          </cell>
          <cell r="G344">
            <v>100</v>
          </cell>
          <cell r="H344">
            <v>169</v>
          </cell>
          <cell r="I344">
            <v>186</v>
          </cell>
          <cell r="J344">
            <v>940</v>
          </cell>
          <cell r="K344">
            <v>0</v>
          </cell>
          <cell r="L344">
            <v>2.1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2.2340425531914896</v>
          </cell>
        </row>
        <row r="345">
          <cell r="A345" t="str">
            <v>Y004-021</v>
          </cell>
          <cell r="B345">
            <v>0</v>
          </cell>
          <cell r="C345" t="str">
            <v>Y004</v>
          </cell>
          <cell r="D345" t="str">
            <v>GOB798-QC-2</v>
          </cell>
          <cell r="E345" t="str">
            <v xml:space="preserve">車枳 CUMGOC </v>
          </cell>
          <cell r="F345" t="str">
            <v>100*149*186</v>
          </cell>
          <cell r="G345">
            <v>100</v>
          </cell>
          <cell r="H345">
            <v>169</v>
          </cell>
          <cell r="I345">
            <v>186</v>
          </cell>
          <cell r="J345">
            <v>940</v>
          </cell>
          <cell r="K345">
            <v>0</v>
          </cell>
          <cell r="L345">
            <v>2.1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2.2340425531914896</v>
          </cell>
        </row>
        <row r="346">
          <cell r="A346" t="str">
            <v>Y004-022</v>
          </cell>
          <cell r="B346">
            <v>0</v>
          </cell>
          <cell r="C346" t="str">
            <v>Y004</v>
          </cell>
          <cell r="D346" t="str">
            <v>GOB798-KWC-2</v>
          </cell>
          <cell r="E346" t="str">
            <v xml:space="preserve">車枳 CUMGOC </v>
          </cell>
          <cell r="F346" t="str">
            <v>100*149*186</v>
          </cell>
          <cell r="G346">
            <v>100</v>
          </cell>
          <cell r="H346">
            <v>169</v>
          </cell>
          <cell r="I346">
            <v>186</v>
          </cell>
          <cell r="J346">
            <v>940</v>
          </cell>
          <cell r="K346">
            <v>0</v>
          </cell>
          <cell r="L346">
            <v>2.1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2.2340425531914896</v>
          </cell>
        </row>
        <row r="347">
          <cell r="A347" t="str">
            <v>Y004-023</v>
          </cell>
          <cell r="B347">
            <v>0</v>
          </cell>
          <cell r="C347" t="str">
            <v>Y004</v>
          </cell>
          <cell r="D347">
            <v>0</v>
          </cell>
          <cell r="E347" t="str">
            <v>POLY 飾片</v>
          </cell>
          <cell r="F347" t="str">
            <v>10*40*50</v>
          </cell>
          <cell r="G347">
            <v>3</v>
          </cell>
          <cell r="H347">
            <v>6</v>
          </cell>
          <cell r="I347">
            <v>840</v>
          </cell>
          <cell r="J347">
            <v>0</v>
          </cell>
          <cell r="K347">
            <v>0</v>
          </cell>
          <cell r="L347">
            <v>0.13800000000000001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#DIV/0!</v>
          </cell>
        </row>
        <row r="348">
          <cell r="A348" t="str">
            <v>Y004-024</v>
          </cell>
          <cell r="B348">
            <v>0</v>
          </cell>
          <cell r="C348" t="str">
            <v>Y004</v>
          </cell>
          <cell r="D348" t="str">
            <v>SF013-3259-1</v>
          </cell>
          <cell r="E348" t="str">
            <v>poly饰片</v>
          </cell>
          <cell r="F348" t="str">
            <v>3*6*184</v>
          </cell>
          <cell r="G348">
            <v>3</v>
          </cell>
          <cell r="H348">
            <v>6</v>
          </cell>
          <cell r="I348">
            <v>184</v>
          </cell>
          <cell r="J348">
            <v>0</v>
          </cell>
          <cell r="K348">
            <v>0</v>
          </cell>
          <cell r="L348">
            <v>3.5000000000000003E-2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#DIV/0!</v>
          </cell>
          <cell r="T348">
            <v>0</v>
          </cell>
        </row>
        <row r="349">
          <cell r="A349" t="str">
            <v>Y004-025</v>
          </cell>
          <cell r="B349">
            <v>0</v>
          </cell>
          <cell r="C349" t="str">
            <v>Y004</v>
          </cell>
          <cell r="D349" t="str">
            <v>SF013-3259-0</v>
          </cell>
          <cell r="E349" t="str">
            <v>poly饰片</v>
          </cell>
          <cell r="F349" t="str">
            <v>3*6*410</v>
          </cell>
          <cell r="G349">
            <v>3</v>
          </cell>
          <cell r="H349">
            <v>6</v>
          </cell>
          <cell r="I349">
            <v>410</v>
          </cell>
          <cell r="J349">
            <v>0</v>
          </cell>
          <cell r="K349">
            <v>0</v>
          </cell>
          <cell r="L349">
            <v>6.9000000000000006E-2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#DIV/0!</v>
          </cell>
          <cell r="T349">
            <v>0</v>
          </cell>
        </row>
        <row r="350">
          <cell r="A350" t="str">
            <v>Y004-026</v>
          </cell>
          <cell r="B350">
            <v>0</v>
          </cell>
          <cell r="C350" t="str">
            <v>Y004</v>
          </cell>
          <cell r="D350" t="str">
            <v>SF013-4114</v>
          </cell>
          <cell r="E350" t="str">
            <v>poly饰片</v>
          </cell>
          <cell r="F350" t="str">
            <v>8*23*320</v>
          </cell>
          <cell r="G350">
            <v>8</v>
          </cell>
          <cell r="H350">
            <v>23</v>
          </cell>
          <cell r="I350">
            <v>320</v>
          </cell>
          <cell r="J350">
            <v>92</v>
          </cell>
          <cell r="K350">
            <v>0</v>
          </cell>
          <cell r="L350">
            <v>0.25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2.7173913043478262</v>
          </cell>
          <cell r="T350">
            <v>0</v>
          </cell>
        </row>
        <row r="351">
          <cell r="A351" t="str">
            <v>Y004-027</v>
          </cell>
          <cell r="B351">
            <v>0</v>
          </cell>
          <cell r="C351" t="str">
            <v>Y004</v>
          </cell>
          <cell r="D351" t="str">
            <v>SF013-4114-1</v>
          </cell>
          <cell r="E351" t="str">
            <v>poly饰片</v>
          </cell>
          <cell r="F351" t="str">
            <v>8*23*464</v>
          </cell>
          <cell r="G351">
            <v>8</v>
          </cell>
          <cell r="H351">
            <v>23</v>
          </cell>
          <cell r="I351">
            <v>464</v>
          </cell>
          <cell r="J351">
            <v>126</v>
          </cell>
          <cell r="K351">
            <v>0</v>
          </cell>
          <cell r="L351">
            <v>0.39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3.0952380952380953</v>
          </cell>
          <cell r="T351">
            <v>0</v>
          </cell>
        </row>
        <row r="352">
          <cell r="A352" t="str">
            <v>Y004-028</v>
          </cell>
          <cell r="B352">
            <v>0</v>
          </cell>
          <cell r="C352" t="str">
            <v>Y004</v>
          </cell>
          <cell r="D352" t="str">
            <v>SF013-#2214</v>
          </cell>
          <cell r="E352" t="str">
            <v>poly饰条</v>
          </cell>
          <cell r="F352" t="str">
            <v>Ø 122*7</v>
          </cell>
          <cell r="G352" t="str">
            <v>Ø</v>
          </cell>
          <cell r="H352">
            <v>122</v>
          </cell>
          <cell r="I352">
            <v>7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#DIV/0!</v>
          </cell>
          <cell r="T352">
            <v>0</v>
          </cell>
        </row>
        <row r="353">
          <cell r="A353" t="str">
            <v>Y004-029</v>
          </cell>
          <cell r="B353">
            <v>0</v>
          </cell>
          <cell r="C353" t="str">
            <v>Y004</v>
          </cell>
          <cell r="D353" t="str">
            <v>SF013-100-92.2</v>
          </cell>
          <cell r="E353" t="str">
            <v>poly饰条</v>
          </cell>
          <cell r="F353" t="str">
            <v>Ø 35*7</v>
          </cell>
          <cell r="G353" t="str">
            <v>Ø</v>
          </cell>
          <cell r="H353">
            <v>35</v>
          </cell>
          <cell r="I353">
            <v>7</v>
          </cell>
          <cell r="J353">
            <v>9</v>
          </cell>
          <cell r="K353">
            <v>0</v>
          </cell>
          <cell r="L353">
            <v>0.04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4.4444444444444446</v>
          </cell>
          <cell r="T353">
            <v>0</v>
          </cell>
        </row>
        <row r="354">
          <cell r="A354" t="str">
            <v>Y004-030</v>
          </cell>
          <cell r="B354">
            <v>0</v>
          </cell>
          <cell r="C354" t="str">
            <v>Y004</v>
          </cell>
          <cell r="D354" t="str">
            <v>G03965-KI</v>
          </cell>
          <cell r="E354" t="str">
            <v>poly饰条</v>
          </cell>
          <cell r="F354" t="str">
            <v>12*20*1800</v>
          </cell>
          <cell r="G354">
            <v>12</v>
          </cell>
          <cell r="H354">
            <v>20</v>
          </cell>
          <cell r="I354">
            <v>1800</v>
          </cell>
          <cell r="J354">
            <v>0</v>
          </cell>
          <cell r="K354">
            <v>0</v>
          </cell>
          <cell r="L354">
            <v>1.5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 t="str">
            <v>1010</v>
          </cell>
          <cell r="R354" t="e">
            <v>#DIV/0!</v>
          </cell>
          <cell r="S354">
            <v>0</v>
          </cell>
          <cell r="T354">
            <v>0</v>
          </cell>
        </row>
        <row r="355">
          <cell r="A355" t="str">
            <v>Y004-031</v>
          </cell>
          <cell r="B355">
            <v>0</v>
          </cell>
          <cell r="C355" t="str">
            <v>Y004</v>
          </cell>
          <cell r="D355" t="str">
            <v>G03955-01-2</v>
          </cell>
          <cell r="E355" t="str">
            <v>poly饰条</v>
          </cell>
          <cell r="F355" t="str">
            <v>12*20*2100</v>
          </cell>
          <cell r="G355">
            <v>12</v>
          </cell>
          <cell r="H355">
            <v>20</v>
          </cell>
          <cell r="I355">
            <v>2100</v>
          </cell>
          <cell r="J355">
            <v>0</v>
          </cell>
          <cell r="K355">
            <v>0</v>
          </cell>
          <cell r="L355">
            <v>1.78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 t="str">
            <v>1010</v>
          </cell>
          <cell r="R355" t="e">
            <v>#DIV/0!</v>
          </cell>
          <cell r="S355">
            <v>0</v>
          </cell>
          <cell r="T355">
            <v>0</v>
          </cell>
        </row>
        <row r="356">
          <cell r="A356" t="str">
            <v>Y004-032</v>
          </cell>
          <cell r="B356">
            <v>0</v>
          </cell>
          <cell r="C356" t="str">
            <v>Y004</v>
          </cell>
          <cell r="D356" t="str">
            <v>G03965-KI-01</v>
          </cell>
          <cell r="E356" t="str">
            <v>饰条</v>
          </cell>
          <cell r="F356" t="str">
            <v>12*20*1154</v>
          </cell>
          <cell r="G356">
            <v>12</v>
          </cell>
          <cell r="H356">
            <v>20</v>
          </cell>
          <cell r="I356">
            <v>1154</v>
          </cell>
          <cell r="J356">
            <v>0</v>
          </cell>
          <cell r="K356">
            <v>0</v>
          </cell>
          <cell r="L356">
            <v>0.98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</row>
        <row r="357">
          <cell r="A357" t="str">
            <v>Y004-033</v>
          </cell>
          <cell r="B357">
            <v>0</v>
          </cell>
          <cell r="C357" t="str">
            <v>Y004</v>
          </cell>
          <cell r="D357" t="str">
            <v>G03965-KI-02</v>
          </cell>
          <cell r="E357" t="str">
            <v>饰条</v>
          </cell>
          <cell r="F357" t="str">
            <v>12*20*514</v>
          </cell>
          <cell r="G357">
            <v>12</v>
          </cell>
          <cell r="H357">
            <v>20</v>
          </cell>
          <cell r="I357">
            <v>514</v>
          </cell>
          <cell r="J357">
            <v>0</v>
          </cell>
          <cell r="K357">
            <v>0</v>
          </cell>
          <cell r="L357">
            <v>0.44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 t="str">
            <v>Y004-034</v>
          </cell>
          <cell r="B358">
            <v>0</v>
          </cell>
          <cell r="C358" t="str">
            <v>Y004</v>
          </cell>
          <cell r="D358" t="str">
            <v>G03955-NS-01</v>
          </cell>
          <cell r="E358" t="str">
            <v>poly 饰条</v>
          </cell>
          <cell r="F358" t="str">
            <v>12*20*694</v>
          </cell>
          <cell r="G358">
            <v>12</v>
          </cell>
          <cell r="H358">
            <v>20</v>
          </cell>
          <cell r="I358">
            <v>694</v>
          </cell>
          <cell r="J358">
            <v>0</v>
          </cell>
          <cell r="K358">
            <v>0</v>
          </cell>
          <cell r="L358">
            <v>0.59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A359" t="str">
            <v>Y004-035</v>
          </cell>
          <cell r="B359">
            <v>0</v>
          </cell>
          <cell r="C359" t="str">
            <v>Y004</v>
          </cell>
          <cell r="D359" t="str">
            <v>G03955-NS-02</v>
          </cell>
          <cell r="E359" t="str">
            <v>poly 饰条</v>
          </cell>
          <cell r="F359" t="str">
            <v>12*20*437</v>
          </cell>
          <cell r="G359">
            <v>12</v>
          </cell>
          <cell r="H359">
            <v>20</v>
          </cell>
          <cell r="I359">
            <v>437</v>
          </cell>
          <cell r="J359">
            <v>0</v>
          </cell>
          <cell r="K359">
            <v>0</v>
          </cell>
          <cell r="L359">
            <v>0.37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A360" t="str">
            <v>Y004-036</v>
          </cell>
          <cell r="B360">
            <v>0</v>
          </cell>
          <cell r="C360" t="str">
            <v>Y004</v>
          </cell>
          <cell r="D360" t="str">
            <v>G03955-DC-01</v>
          </cell>
          <cell r="E360" t="str">
            <v>poly 饰条</v>
          </cell>
          <cell r="F360" t="str">
            <v>12*20*949</v>
          </cell>
          <cell r="G360">
            <v>12</v>
          </cell>
          <cell r="H360">
            <v>20</v>
          </cell>
          <cell r="I360">
            <v>949</v>
          </cell>
          <cell r="J360">
            <v>0</v>
          </cell>
          <cell r="K360">
            <v>0</v>
          </cell>
          <cell r="L360">
            <v>0.8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A361" t="str">
            <v>Y004-037</v>
          </cell>
          <cell r="B361">
            <v>0</v>
          </cell>
          <cell r="C361" t="str">
            <v>Y004</v>
          </cell>
          <cell r="D361" t="str">
            <v>G03955-DR-01</v>
          </cell>
          <cell r="E361" t="str">
            <v>poly 饰条</v>
          </cell>
          <cell r="F361" t="str">
            <v>12*20*1611</v>
          </cell>
          <cell r="G361">
            <v>12</v>
          </cell>
          <cell r="H361">
            <v>20</v>
          </cell>
          <cell r="I361">
            <v>1611</v>
          </cell>
          <cell r="J361">
            <v>0</v>
          </cell>
          <cell r="K361">
            <v>0</v>
          </cell>
          <cell r="L361">
            <v>1.37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A362" t="str">
            <v>Y004-038</v>
          </cell>
          <cell r="B362">
            <v>0</v>
          </cell>
          <cell r="C362" t="str">
            <v>Y004</v>
          </cell>
          <cell r="D362" t="str">
            <v>G03955-MR-01</v>
          </cell>
          <cell r="E362" t="str">
            <v>poly 饰条</v>
          </cell>
          <cell r="F362" t="str">
            <v>12*20*1218</v>
          </cell>
          <cell r="G362">
            <v>12</v>
          </cell>
          <cell r="H362">
            <v>20</v>
          </cell>
          <cell r="I362">
            <v>1218</v>
          </cell>
          <cell r="J362">
            <v>0</v>
          </cell>
          <cell r="K362">
            <v>0</v>
          </cell>
          <cell r="L362">
            <v>1.03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A363" t="str">
            <v>Y004-039</v>
          </cell>
          <cell r="B363">
            <v>0</v>
          </cell>
          <cell r="C363" t="str">
            <v>Y004</v>
          </cell>
          <cell r="D363" t="str">
            <v>G03955-QNHB-01</v>
          </cell>
          <cell r="E363" t="str">
            <v>poly 饰条</v>
          </cell>
          <cell r="F363" t="str">
            <v>12*20*1630</v>
          </cell>
          <cell r="G363">
            <v>12</v>
          </cell>
          <cell r="H363">
            <v>20</v>
          </cell>
          <cell r="I363">
            <v>1630</v>
          </cell>
          <cell r="J363">
            <v>0</v>
          </cell>
          <cell r="K363">
            <v>0</v>
          </cell>
          <cell r="L363">
            <v>1.38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</row>
        <row r="364">
          <cell r="A364" t="str">
            <v>Y004-040</v>
          </cell>
          <cell r="B364">
            <v>0</v>
          </cell>
          <cell r="C364" t="str">
            <v>Y004</v>
          </cell>
          <cell r="D364" t="str">
            <v>G03955-QNHB-01</v>
          </cell>
          <cell r="E364" t="str">
            <v>poly 饰条</v>
          </cell>
          <cell r="F364" t="str">
            <v>12*20*2036</v>
          </cell>
          <cell r="G364">
            <v>12</v>
          </cell>
          <cell r="H364">
            <v>20</v>
          </cell>
          <cell r="I364">
            <v>2036</v>
          </cell>
          <cell r="J364">
            <v>0</v>
          </cell>
          <cell r="K364">
            <v>0</v>
          </cell>
          <cell r="L364">
            <v>1.73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</row>
        <row r="365">
          <cell r="A365" t="str">
            <v>Y004-041</v>
          </cell>
          <cell r="B365">
            <v>0</v>
          </cell>
          <cell r="C365" t="str">
            <v>Y004</v>
          </cell>
          <cell r="D365" t="str">
            <v>SF013-100-8</v>
          </cell>
          <cell r="E365" t="str">
            <v>poly 饰条</v>
          </cell>
          <cell r="F365" t="str">
            <v>3*6*1100</v>
          </cell>
          <cell r="G365">
            <v>3</v>
          </cell>
          <cell r="H365">
            <v>6</v>
          </cell>
          <cell r="I365">
            <v>1100</v>
          </cell>
          <cell r="J365">
            <v>0</v>
          </cell>
          <cell r="K365">
            <v>0</v>
          </cell>
          <cell r="L365">
            <v>0.16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 t="str">
            <v>Y004-042</v>
          </cell>
          <cell r="B366" t="str">
            <v>Y031</v>
          </cell>
          <cell r="C366" t="str">
            <v>Y004</v>
          </cell>
          <cell r="D366" t="str">
            <v>G02400</v>
          </cell>
          <cell r="E366" t="str">
            <v xml:space="preserve">627边柜poly饰条 </v>
          </cell>
          <cell r="F366" t="str">
            <v>6*289*508</v>
          </cell>
          <cell r="G366">
            <v>6</v>
          </cell>
          <cell r="H366">
            <v>289</v>
          </cell>
          <cell r="I366">
            <v>508</v>
          </cell>
          <cell r="J366">
            <v>0</v>
          </cell>
          <cell r="K366">
            <v>0</v>
          </cell>
          <cell r="L366">
            <v>0.45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</row>
        <row r="367">
          <cell r="A367" t="str">
            <v>Y004-043</v>
          </cell>
          <cell r="B367">
            <v>0</v>
          </cell>
          <cell r="C367" t="str">
            <v>Y004</v>
          </cell>
          <cell r="D367" t="str">
            <v>G04757-04</v>
          </cell>
          <cell r="E367" t="str">
            <v>poly 饰条</v>
          </cell>
          <cell r="F367" t="str">
            <v>6*12*711</v>
          </cell>
          <cell r="G367">
            <v>6</v>
          </cell>
          <cell r="H367">
            <v>12</v>
          </cell>
          <cell r="I367">
            <v>711</v>
          </cell>
          <cell r="J367">
            <v>0</v>
          </cell>
          <cell r="K367">
            <v>0</v>
          </cell>
          <cell r="L367">
            <v>0.23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</row>
        <row r="368">
          <cell r="A368" t="str">
            <v>Y004-044</v>
          </cell>
          <cell r="B368">
            <v>0</v>
          </cell>
          <cell r="C368" t="str">
            <v>Y004</v>
          </cell>
          <cell r="D368" t="str">
            <v>G04757-05</v>
          </cell>
          <cell r="E368" t="str">
            <v>poly 饰条</v>
          </cell>
          <cell r="F368" t="str">
            <v>6*124*550</v>
          </cell>
          <cell r="G368">
            <v>6</v>
          </cell>
          <cell r="H368">
            <v>124</v>
          </cell>
          <cell r="I368">
            <v>550</v>
          </cell>
          <cell r="J368">
            <v>0</v>
          </cell>
          <cell r="K368">
            <v>0</v>
          </cell>
          <cell r="L368">
            <v>0.6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</row>
        <row r="369">
          <cell r="A369" t="str">
            <v>Y004-045</v>
          </cell>
          <cell r="B369">
            <v>0</v>
          </cell>
          <cell r="C369" t="str">
            <v>Y004</v>
          </cell>
          <cell r="D369" t="str">
            <v>G04757-06</v>
          </cell>
          <cell r="E369" t="str">
            <v>poly 饰条</v>
          </cell>
          <cell r="F369" t="str">
            <v>6*205*524</v>
          </cell>
          <cell r="G369">
            <v>6</v>
          </cell>
          <cell r="H369">
            <v>205</v>
          </cell>
          <cell r="I369">
            <v>524</v>
          </cell>
          <cell r="J369">
            <v>0</v>
          </cell>
          <cell r="K369">
            <v>0</v>
          </cell>
          <cell r="L369">
            <v>0.6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</row>
        <row r="370">
          <cell r="A370" t="str">
            <v>Y004-046</v>
          </cell>
          <cell r="B370">
            <v>0</v>
          </cell>
          <cell r="C370" t="str">
            <v>Y004</v>
          </cell>
          <cell r="D370" t="str">
            <v>G04757-07</v>
          </cell>
          <cell r="E370" t="str">
            <v>poly 饰条</v>
          </cell>
          <cell r="F370" t="str">
            <v>6*12*320</v>
          </cell>
          <cell r="G370">
            <v>6</v>
          </cell>
          <cell r="H370">
            <v>12</v>
          </cell>
          <cell r="I370">
            <v>320</v>
          </cell>
          <cell r="J370">
            <v>0</v>
          </cell>
          <cell r="K370">
            <v>0</v>
          </cell>
          <cell r="L370">
            <v>0.11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 t="str">
            <v>Y004-047</v>
          </cell>
          <cell r="B371">
            <v>0</v>
          </cell>
          <cell r="C371" t="str">
            <v>Y004</v>
          </cell>
          <cell r="D371" t="str">
            <v>G04859-01</v>
          </cell>
          <cell r="E371" t="str">
            <v>poly 饰条</v>
          </cell>
          <cell r="F371" t="str">
            <v>10*15*1345</v>
          </cell>
          <cell r="G371">
            <v>10</v>
          </cell>
          <cell r="H371">
            <v>15</v>
          </cell>
          <cell r="I371">
            <v>1345</v>
          </cell>
          <cell r="J371">
            <v>140</v>
          </cell>
          <cell r="K371" t="str">
            <v>未確認</v>
          </cell>
          <cell r="L371">
            <v>0.45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>1010</v>
          </cell>
          <cell r="R371">
            <v>3.214285714285714</v>
          </cell>
          <cell r="S371">
            <v>0</v>
          </cell>
        </row>
        <row r="372">
          <cell r="A372" t="str">
            <v>Y004-048</v>
          </cell>
          <cell r="B372">
            <v>0</v>
          </cell>
          <cell r="C372" t="str">
            <v>Y004</v>
          </cell>
          <cell r="D372" t="str">
            <v>GOB8323-9/15-01</v>
          </cell>
          <cell r="E372" t="str">
            <v>poly 饰条</v>
          </cell>
          <cell r="F372" t="str">
            <v>6*8*1000</v>
          </cell>
          <cell r="G372">
            <v>6</v>
          </cell>
          <cell r="H372">
            <v>8</v>
          </cell>
          <cell r="I372">
            <v>1000</v>
          </cell>
          <cell r="J372">
            <v>0</v>
          </cell>
          <cell r="K372" t="str">
            <v>未確認</v>
          </cell>
          <cell r="L372">
            <v>0.23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</row>
        <row r="373">
          <cell r="A373" t="str">
            <v>Y004-049</v>
          </cell>
          <cell r="B373">
            <v>0</v>
          </cell>
          <cell r="C373" t="str">
            <v>Y004</v>
          </cell>
          <cell r="D373" t="str">
            <v>GOB8323-17-01</v>
          </cell>
          <cell r="E373" t="str">
            <v>poly 饰条</v>
          </cell>
          <cell r="F373" t="str">
            <v>6*8*1200</v>
          </cell>
          <cell r="G373">
            <v>6</v>
          </cell>
          <cell r="H373">
            <v>8</v>
          </cell>
          <cell r="I373">
            <v>1200</v>
          </cell>
          <cell r="J373">
            <v>0</v>
          </cell>
          <cell r="K373" t="str">
            <v>未確認</v>
          </cell>
          <cell r="L373">
            <v>0.27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A374" t="str">
            <v>Y004-050</v>
          </cell>
          <cell r="B374">
            <v>0</v>
          </cell>
          <cell r="C374" t="str">
            <v>Y004</v>
          </cell>
          <cell r="D374" t="str">
            <v>GOB8323-17-01</v>
          </cell>
          <cell r="E374" t="str">
            <v>poly 饰条</v>
          </cell>
          <cell r="F374" t="str">
            <v>6*8*1700</v>
          </cell>
          <cell r="G374">
            <v>6</v>
          </cell>
          <cell r="H374">
            <v>8</v>
          </cell>
          <cell r="I374">
            <v>1700</v>
          </cell>
          <cell r="J374">
            <v>0</v>
          </cell>
          <cell r="K374" t="str">
            <v>未確認</v>
          </cell>
          <cell r="L374">
            <v>0.38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 t="str">
            <v>1010</v>
          </cell>
          <cell r="R374" t="e">
            <v>#DIV/0!</v>
          </cell>
          <cell r="S374">
            <v>0</v>
          </cell>
        </row>
        <row r="375">
          <cell r="A375" t="str">
            <v>Y004-051</v>
          </cell>
          <cell r="B375">
            <v>0</v>
          </cell>
          <cell r="C375" t="str">
            <v>Y004</v>
          </cell>
          <cell r="D375" t="str">
            <v>GOB8323-9/15-01</v>
          </cell>
          <cell r="E375" t="str">
            <v>poly 饰条</v>
          </cell>
          <cell r="F375" t="str">
            <v>5*8*1000</v>
          </cell>
          <cell r="G375">
            <v>5</v>
          </cell>
          <cell r="H375">
            <v>8</v>
          </cell>
          <cell r="I375">
            <v>1000</v>
          </cell>
          <cell r="J375">
            <v>0</v>
          </cell>
          <cell r="K375">
            <v>0</v>
          </cell>
          <cell r="L375">
            <v>0.23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</row>
        <row r="376">
          <cell r="A376" t="str">
            <v>Y004-052</v>
          </cell>
          <cell r="B376">
            <v>0</v>
          </cell>
          <cell r="C376" t="str">
            <v>Y004</v>
          </cell>
          <cell r="D376" t="str">
            <v>GOB8323-17-01</v>
          </cell>
          <cell r="E376" t="str">
            <v>poly 饰条</v>
          </cell>
          <cell r="F376" t="str">
            <v>5*8*1200</v>
          </cell>
          <cell r="G376">
            <v>5</v>
          </cell>
          <cell r="H376">
            <v>8</v>
          </cell>
          <cell r="I376">
            <v>1200</v>
          </cell>
          <cell r="J376">
            <v>0</v>
          </cell>
          <cell r="K376">
            <v>0</v>
          </cell>
          <cell r="L376">
            <v>0.27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</row>
        <row r="377">
          <cell r="A377" t="str">
            <v>Y004-053</v>
          </cell>
          <cell r="B377">
            <v>0</v>
          </cell>
          <cell r="C377" t="str">
            <v>Y004</v>
          </cell>
          <cell r="D377" t="str">
            <v>GOB8323-7-01</v>
          </cell>
          <cell r="E377" t="str">
            <v>poly 饰条</v>
          </cell>
          <cell r="F377" t="str">
            <v>5*8*1700</v>
          </cell>
          <cell r="G377">
            <v>5</v>
          </cell>
          <cell r="H377">
            <v>8</v>
          </cell>
          <cell r="I377">
            <v>1700</v>
          </cell>
          <cell r="J377">
            <v>0</v>
          </cell>
          <cell r="K377">
            <v>0</v>
          </cell>
          <cell r="L377">
            <v>0.38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</row>
        <row r="378">
          <cell r="A378" t="str">
            <v>Y004-054</v>
          </cell>
          <cell r="B378">
            <v>0</v>
          </cell>
          <cell r="C378" t="str">
            <v>Y004</v>
          </cell>
          <cell r="D378" t="str">
            <v>GO105-5011-01</v>
          </cell>
          <cell r="E378" t="str">
            <v>poly 饰条</v>
          </cell>
          <cell r="F378" t="str">
            <v>5*44*58</v>
          </cell>
          <cell r="G378">
            <v>5</v>
          </cell>
          <cell r="H378">
            <v>44</v>
          </cell>
          <cell r="I378">
            <v>58</v>
          </cell>
          <cell r="J378">
            <v>0</v>
          </cell>
          <cell r="K378">
            <v>0</v>
          </cell>
          <cell r="L378">
            <v>0.09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</row>
        <row r="379">
          <cell r="A379" t="str">
            <v>Y004-055</v>
          </cell>
          <cell r="B379">
            <v>0</v>
          </cell>
          <cell r="C379" t="str">
            <v>Y004</v>
          </cell>
          <cell r="D379" t="str">
            <v>GOLO313-CT-2</v>
          </cell>
          <cell r="E379" t="str">
            <v>poly  trang trí 饰条</v>
          </cell>
          <cell r="F379" t="str">
            <v>6*15*3256</v>
          </cell>
          <cell r="G379">
            <v>6</v>
          </cell>
          <cell r="H379">
            <v>15</v>
          </cell>
          <cell r="I379">
            <v>3256</v>
          </cell>
          <cell r="J379">
            <v>0</v>
          </cell>
          <cell r="K379">
            <v>0</v>
          </cell>
          <cell r="L379">
            <v>1.07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43293</v>
          </cell>
          <cell r="T379">
            <v>0</v>
          </cell>
        </row>
        <row r="380">
          <cell r="A380" t="str">
            <v>Y004-056</v>
          </cell>
          <cell r="B380">
            <v>0</v>
          </cell>
          <cell r="C380" t="str">
            <v>Y004</v>
          </cell>
          <cell r="D380" t="str">
            <v>GOLO313-ET-2</v>
          </cell>
          <cell r="E380" t="str">
            <v>poly  trang trí 饰条</v>
          </cell>
          <cell r="F380" t="str">
            <v>6*15*1996</v>
          </cell>
          <cell r="G380">
            <v>6</v>
          </cell>
          <cell r="H380">
            <v>15</v>
          </cell>
          <cell r="I380">
            <v>1996</v>
          </cell>
          <cell r="J380">
            <v>0</v>
          </cell>
          <cell r="K380">
            <v>0</v>
          </cell>
          <cell r="L380">
            <v>0.66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43293</v>
          </cell>
          <cell r="T380">
            <v>0</v>
          </cell>
        </row>
        <row r="381">
          <cell r="A381" t="str">
            <v>Y004-057</v>
          </cell>
          <cell r="B381">
            <v>0</v>
          </cell>
          <cell r="C381" t="str">
            <v>Y004</v>
          </cell>
          <cell r="D381" t="str">
            <v>GOLO313-ST-2</v>
          </cell>
          <cell r="E381" t="str">
            <v>poly  trang trí 饰条</v>
          </cell>
          <cell r="F381" t="str">
            <v>6*15*1996</v>
          </cell>
          <cell r="G381">
            <v>6</v>
          </cell>
          <cell r="H381">
            <v>15</v>
          </cell>
          <cell r="I381">
            <v>1996</v>
          </cell>
          <cell r="J381">
            <v>0</v>
          </cell>
          <cell r="K381">
            <v>0</v>
          </cell>
          <cell r="L381">
            <v>0.66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43293</v>
          </cell>
          <cell r="T381">
            <v>0</v>
          </cell>
        </row>
        <row r="382">
          <cell r="A382" t="str">
            <v>Y004-058</v>
          </cell>
          <cell r="B382">
            <v>0</v>
          </cell>
          <cell r="C382" t="str">
            <v>Y004</v>
          </cell>
          <cell r="D382" t="str">
            <v>GOB0313-01</v>
          </cell>
          <cell r="E382" t="str">
            <v>poly  trang trí 饰条</v>
          </cell>
          <cell r="F382" t="str">
            <v>6*15*1630</v>
          </cell>
          <cell r="G382">
            <v>6</v>
          </cell>
          <cell r="H382">
            <v>15</v>
          </cell>
          <cell r="I382">
            <v>1630</v>
          </cell>
          <cell r="J382">
            <v>0</v>
          </cell>
          <cell r="K382">
            <v>0</v>
          </cell>
          <cell r="L382">
            <v>0.57999999999999996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43306</v>
          </cell>
          <cell r="T382">
            <v>0</v>
          </cell>
        </row>
        <row r="383">
          <cell r="A383" t="str">
            <v>Y004-059</v>
          </cell>
          <cell r="B383">
            <v>0</v>
          </cell>
          <cell r="C383" t="str">
            <v>Y004</v>
          </cell>
          <cell r="D383" t="str">
            <v>GOB0313-03</v>
          </cell>
          <cell r="E383" t="str">
            <v>poly  trang trí 饰条</v>
          </cell>
          <cell r="F383" t="str">
            <v>6*15*2200</v>
          </cell>
          <cell r="G383">
            <v>6</v>
          </cell>
          <cell r="H383">
            <v>15</v>
          </cell>
          <cell r="I383">
            <v>2200</v>
          </cell>
          <cell r="J383">
            <v>0</v>
          </cell>
          <cell r="K383">
            <v>0</v>
          </cell>
          <cell r="L383">
            <v>0.82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43306</v>
          </cell>
          <cell r="T383">
            <v>0</v>
          </cell>
        </row>
        <row r="384">
          <cell r="A384" t="str">
            <v>Y004-060</v>
          </cell>
          <cell r="B384">
            <v>0</v>
          </cell>
          <cell r="C384" t="str">
            <v>Y004</v>
          </cell>
          <cell r="D384" t="str">
            <v>GOB0313-01</v>
          </cell>
          <cell r="E384" t="str">
            <v>poly  trang trí 饰条</v>
          </cell>
          <cell r="F384" t="str">
            <v>6*15*2500</v>
          </cell>
          <cell r="G384">
            <v>6</v>
          </cell>
          <cell r="H384">
            <v>15</v>
          </cell>
          <cell r="I384">
            <v>2500</v>
          </cell>
          <cell r="J384">
            <v>0</v>
          </cell>
          <cell r="K384">
            <v>0</v>
          </cell>
          <cell r="L384">
            <v>0.97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</row>
        <row r="385">
          <cell r="A385" t="str">
            <v>Y004-061</v>
          </cell>
          <cell r="B385">
            <v>0</v>
          </cell>
          <cell r="C385" t="str">
            <v>Y004</v>
          </cell>
          <cell r="D385" t="str">
            <v>GO2343-01</v>
          </cell>
          <cell r="E385" t="str">
            <v>TRỤ BÀN POLY</v>
          </cell>
          <cell r="F385" t="str">
            <v>138*138*303</v>
          </cell>
          <cell r="G385">
            <v>138</v>
          </cell>
          <cell r="H385">
            <v>138</v>
          </cell>
          <cell r="I385">
            <v>303</v>
          </cell>
          <cell r="J385">
            <v>0</v>
          </cell>
          <cell r="K385">
            <v>0</v>
          </cell>
          <cell r="L385">
            <v>2.58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</row>
        <row r="386">
          <cell r="A386" t="str">
            <v>Y004-062</v>
          </cell>
          <cell r="B386">
            <v>0</v>
          </cell>
          <cell r="C386" t="str">
            <v>Y004</v>
          </cell>
          <cell r="D386" t="str">
            <v>GO2301-01</v>
          </cell>
          <cell r="E386" t="str">
            <v>TRỤ BÀN POLY</v>
          </cell>
          <cell r="F386" t="str">
            <v>138*138*303</v>
          </cell>
          <cell r="G386">
            <v>138</v>
          </cell>
          <cell r="H386">
            <v>138</v>
          </cell>
          <cell r="I386">
            <v>303</v>
          </cell>
          <cell r="J386">
            <v>0</v>
          </cell>
          <cell r="K386">
            <v>0</v>
          </cell>
          <cell r="L386">
            <v>2.58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7">
          <cell r="A387" t="str">
            <v>Y004-063</v>
          </cell>
          <cell r="B387">
            <v>0</v>
          </cell>
          <cell r="C387" t="str">
            <v>Y004</v>
          </cell>
          <cell r="D387" t="str">
            <v>GO2327-01</v>
          </cell>
          <cell r="E387" t="str">
            <v>TRỤ BÀN POLY</v>
          </cell>
          <cell r="F387" t="str">
            <v>138*138*303</v>
          </cell>
          <cell r="G387">
            <v>138</v>
          </cell>
          <cell r="H387">
            <v>138</v>
          </cell>
          <cell r="I387">
            <v>303</v>
          </cell>
          <cell r="J387">
            <v>0</v>
          </cell>
          <cell r="K387">
            <v>0</v>
          </cell>
          <cell r="L387">
            <v>2.58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</row>
        <row r="388">
          <cell r="A388" t="str">
            <v>Y004-064</v>
          </cell>
          <cell r="B388">
            <v>0</v>
          </cell>
          <cell r="C388" t="str">
            <v>Y004</v>
          </cell>
          <cell r="D388" t="str">
            <v>GO2277-01</v>
          </cell>
          <cell r="E388" t="str">
            <v>TRỤ BÀN POLY</v>
          </cell>
          <cell r="F388" t="str">
            <v>138*138*303</v>
          </cell>
          <cell r="G388">
            <v>138</v>
          </cell>
          <cell r="H388">
            <v>138</v>
          </cell>
          <cell r="I388">
            <v>303</v>
          </cell>
          <cell r="J388">
            <v>0</v>
          </cell>
          <cell r="K388">
            <v>0</v>
          </cell>
          <cell r="L388">
            <v>2.58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A389" t="str">
            <v>Y004-065</v>
          </cell>
          <cell r="B389">
            <v>0</v>
          </cell>
          <cell r="C389" t="str">
            <v>Y004</v>
          </cell>
          <cell r="D389" t="str">
            <v>GO2327-01</v>
          </cell>
          <cell r="E389" t="str">
            <v>TRỤ BÀN POLY</v>
          </cell>
          <cell r="F389" t="str">
            <v>138*138*303</v>
          </cell>
          <cell r="G389">
            <v>138</v>
          </cell>
          <cell r="H389">
            <v>138</v>
          </cell>
          <cell r="I389">
            <v>303</v>
          </cell>
          <cell r="J389">
            <v>0</v>
          </cell>
          <cell r="K389">
            <v>0</v>
          </cell>
          <cell r="L389">
            <v>2.58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A390" t="str">
            <v>Y004-2001</v>
          </cell>
          <cell r="B390" t="str">
            <v>Y022的貨</v>
          </cell>
          <cell r="C390" t="str">
            <v>Y004</v>
          </cell>
          <cell r="D390">
            <v>0</v>
          </cell>
          <cell r="E390" t="str">
            <v>POLY 飾条</v>
          </cell>
          <cell r="F390">
            <v>0</v>
          </cell>
          <cell r="G390">
            <v>1440</v>
          </cell>
          <cell r="H390">
            <v>20</v>
          </cell>
          <cell r="I390">
            <v>12</v>
          </cell>
          <cell r="J390">
            <v>40</v>
          </cell>
          <cell r="K390">
            <v>0</v>
          </cell>
          <cell r="L390">
            <v>1.26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31.5</v>
          </cell>
        </row>
        <row r="391">
          <cell r="A391" t="str">
            <v>Y004-2002</v>
          </cell>
          <cell r="B391">
            <v>0</v>
          </cell>
          <cell r="C391" t="str">
            <v>Y004</v>
          </cell>
          <cell r="D391">
            <v>0</v>
          </cell>
          <cell r="E391" t="str">
            <v>POLY 飾条</v>
          </cell>
          <cell r="F391">
            <v>0</v>
          </cell>
          <cell r="G391">
            <v>920</v>
          </cell>
          <cell r="H391">
            <v>5</v>
          </cell>
          <cell r="I391">
            <v>3</v>
          </cell>
          <cell r="J391">
            <v>38</v>
          </cell>
          <cell r="K391">
            <v>0</v>
          </cell>
          <cell r="L391">
            <v>0.12</v>
          </cell>
          <cell r="M391">
            <v>0</v>
          </cell>
          <cell r="N391">
            <v>0</v>
          </cell>
          <cell r="O391" t="str">
            <v>T</v>
          </cell>
          <cell r="P391" t="str">
            <v>1010</v>
          </cell>
          <cell r="Q391" t="str">
            <v>1010</v>
          </cell>
          <cell r="R391">
            <v>3.1578947368421053</v>
          </cell>
        </row>
        <row r="392">
          <cell r="A392" t="str">
            <v>Y004-2003</v>
          </cell>
          <cell r="B392" t="str">
            <v>Y005的貨</v>
          </cell>
          <cell r="C392" t="str">
            <v>Y004</v>
          </cell>
          <cell r="D392">
            <v>0</v>
          </cell>
          <cell r="E392" t="str">
            <v>POLY 飾条</v>
          </cell>
          <cell r="F392">
            <v>0</v>
          </cell>
          <cell r="G392">
            <v>1012</v>
          </cell>
          <cell r="H392">
            <v>12</v>
          </cell>
          <cell r="I392">
            <v>8</v>
          </cell>
          <cell r="J392">
            <v>206</v>
          </cell>
          <cell r="K392">
            <v>0</v>
          </cell>
          <cell r="L392">
            <v>0.57999999999999996</v>
          </cell>
          <cell r="M392">
            <v>0</v>
          </cell>
          <cell r="N392">
            <v>0</v>
          </cell>
          <cell r="O392" t="str">
            <v>T</v>
          </cell>
          <cell r="P392" t="str">
            <v>1010</v>
          </cell>
          <cell r="Q392" t="str">
            <v>1010</v>
          </cell>
          <cell r="R392">
            <v>2.8155339805825244</v>
          </cell>
        </row>
        <row r="393">
          <cell r="A393" t="str">
            <v>Y005-001</v>
          </cell>
          <cell r="B393" t="str">
            <v>LCT005-040</v>
          </cell>
          <cell r="C393" t="str">
            <v>Y005</v>
          </cell>
          <cell r="D393" t="str">
            <v>#1873/74/75/76</v>
          </cell>
          <cell r="E393" t="str">
            <v>chốt</v>
          </cell>
          <cell r="F393" t="str">
            <v>44*38*17</v>
          </cell>
          <cell r="G393">
            <v>44</v>
          </cell>
          <cell r="H393">
            <v>38</v>
          </cell>
          <cell r="I393">
            <v>17</v>
          </cell>
          <cell r="J393">
            <v>23</v>
          </cell>
          <cell r="K393">
            <v>0</v>
          </cell>
          <cell r="L393">
            <v>0.12</v>
          </cell>
          <cell r="M393">
            <v>0</v>
          </cell>
          <cell r="N393">
            <v>0</v>
          </cell>
          <cell r="O393" t="str">
            <v>40V</v>
          </cell>
          <cell r="P393" t="str">
            <v>1010</v>
          </cell>
          <cell r="Q393" t="str">
            <v>1010</v>
          </cell>
          <cell r="R393">
            <v>5.2173913043478262</v>
          </cell>
          <cell r="S393">
            <v>0</v>
          </cell>
        </row>
        <row r="394">
          <cell r="A394" t="str">
            <v>Y005-002</v>
          </cell>
          <cell r="B394" t="str">
            <v>LCT005-063</v>
          </cell>
          <cell r="C394" t="str">
            <v>Y005</v>
          </cell>
          <cell r="D394" t="str">
            <v>M55-H</v>
          </cell>
          <cell r="E394">
            <v>0</v>
          </cell>
          <cell r="F394" t="str">
            <v>1500*160*5</v>
          </cell>
          <cell r="G394">
            <v>1500</v>
          </cell>
          <cell r="H394">
            <v>160</v>
          </cell>
          <cell r="I394">
            <v>5</v>
          </cell>
          <cell r="J394">
            <v>0</v>
          </cell>
          <cell r="K394">
            <v>0</v>
          </cell>
          <cell r="L394">
            <v>5.4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#DIV/0!</v>
          </cell>
          <cell r="S394">
            <v>0</v>
          </cell>
        </row>
        <row r="395">
          <cell r="A395" t="str">
            <v>Y005-003</v>
          </cell>
          <cell r="B395" t="str">
            <v>LCT005-064</v>
          </cell>
          <cell r="C395" t="str">
            <v>Y005</v>
          </cell>
          <cell r="D395" t="str">
            <v>M-71</v>
          </cell>
          <cell r="E395">
            <v>0</v>
          </cell>
          <cell r="F395" t="str">
            <v>600*180*5</v>
          </cell>
          <cell r="G395">
            <v>600</v>
          </cell>
          <cell r="H395">
            <v>180</v>
          </cell>
          <cell r="I395">
            <v>5</v>
          </cell>
          <cell r="J395">
            <v>0</v>
          </cell>
          <cell r="K395">
            <v>0</v>
          </cell>
          <cell r="L395">
            <v>2.6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#DIV/0!</v>
          </cell>
          <cell r="S395">
            <v>0</v>
          </cell>
        </row>
        <row r="396">
          <cell r="A396" t="str">
            <v>Y005-004</v>
          </cell>
          <cell r="B396" t="str">
            <v>LCT005-065</v>
          </cell>
          <cell r="C396" t="str">
            <v>Y005</v>
          </cell>
          <cell r="D396" t="str">
            <v>M-75</v>
          </cell>
          <cell r="E396">
            <v>0</v>
          </cell>
          <cell r="F396" t="str">
            <v>850*180*5</v>
          </cell>
          <cell r="G396">
            <v>850</v>
          </cell>
          <cell r="H396">
            <v>180</v>
          </cell>
          <cell r="I396">
            <v>5</v>
          </cell>
          <cell r="J396">
            <v>0</v>
          </cell>
          <cell r="K396">
            <v>0</v>
          </cell>
          <cell r="L396">
            <v>2.8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#DIV/0!</v>
          </cell>
          <cell r="S396">
            <v>0</v>
          </cell>
        </row>
        <row r="397">
          <cell r="A397" t="str">
            <v>Y005-005</v>
          </cell>
          <cell r="B397" t="str">
            <v>LCT005-066</v>
          </cell>
          <cell r="C397" t="str">
            <v>Y005</v>
          </cell>
          <cell r="D397" t="str">
            <v>M-08</v>
          </cell>
          <cell r="E397">
            <v>0</v>
          </cell>
          <cell r="F397" t="str">
            <v>950*180*5</v>
          </cell>
          <cell r="G397">
            <v>950</v>
          </cell>
          <cell r="H397">
            <v>180</v>
          </cell>
          <cell r="I397">
            <v>5</v>
          </cell>
          <cell r="J397">
            <v>0</v>
          </cell>
          <cell r="K397">
            <v>0</v>
          </cell>
          <cell r="L397">
            <v>3.3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#DIV/0!</v>
          </cell>
          <cell r="S397">
            <v>0</v>
          </cell>
        </row>
        <row r="398">
          <cell r="A398" t="str">
            <v>Y005-006</v>
          </cell>
          <cell r="B398" t="str">
            <v>LCT005-067</v>
          </cell>
          <cell r="C398" t="str">
            <v>Y005</v>
          </cell>
          <cell r="D398" t="str">
            <v>M-78</v>
          </cell>
          <cell r="E398">
            <v>0</v>
          </cell>
          <cell r="F398" t="str">
            <v>810*180*5</v>
          </cell>
          <cell r="G398">
            <v>810</v>
          </cell>
          <cell r="H398">
            <v>180</v>
          </cell>
          <cell r="I398">
            <v>5</v>
          </cell>
          <cell r="J398">
            <v>0</v>
          </cell>
          <cell r="K398">
            <v>0</v>
          </cell>
          <cell r="L398">
            <v>2.75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#DIV/0!</v>
          </cell>
          <cell r="S398">
            <v>0</v>
          </cell>
        </row>
        <row r="399">
          <cell r="A399" t="str">
            <v>Y005-007</v>
          </cell>
          <cell r="B399" t="str">
            <v>LCT005-068</v>
          </cell>
          <cell r="C399" t="str">
            <v>Y005</v>
          </cell>
          <cell r="D399" t="str">
            <v>#1444-08L</v>
          </cell>
          <cell r="E399" t="str">
            <v>半圓飾條</v>
          </cell>
          <cell r="F399" t="str">
            <v>1500*10*5</v>
          </cell>
          <cell r="G399">
            <v>1500</v>
          </cell>
          <cell r="H399">
            <v>10</v>
          </cell>
          <cell r="I399">
            <v>5</v>
          </cell>
          <cell r="J399">
            <v>0</v>
          </cell>
          <cell r="K399">
            <v>0</v>
          </cell>
          <cell r="L399">
            <v>0.47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#DIV/0!</v>
          </cell>
          <cell r="S399">
            <v>0</v>
          </cell>
        </row>
        <row r="400">
          <cell r="A400" t="str">
            <v>Y005-008</v>
          </cell>
          <cell r="B400" t="str">
            <v>LCT005-071</v>
          </cell>
          <cell r="C400" t="str">
            <v>Y005</v>
          </cell>
          <cell r="D400" t="str">
            <v>#2989+3341-54/55F</v>
          </cell>
          <cell r="E400" t="str">
            <v>半圓飾條</v>
          </cell>
          <cell r="F400" t="str">
            <v>1200*6*3</v>
          </cell>
          <cell r="G400">
            <v>1200</v>
          </cell>
          <cell r="H400">
            <v>6</v>
          </cell>
          <cell r="I400">
            <v>3</v>
          </cell>
          <cell r="J400">
            <v>40</v>
          </cell>
          <cell r="K400">
            <v>0</v>
          </cell>
          <cell r="L400">
            <v>0.28999999999999998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7.2499999999999991</v>
          </cell>
          <cell r="S400">
            <v>0</v>
          </cell>
        </row>
        <row r="401">
          <cell r="A401" t="str">
            <v>Y005-009</v>
          </cell>
          <cell r="B401" t="str">
            <v>LCT005-069</v>
          </cell>
          <cell r="C401" t="str">
            <v>Y005</v>
          </cell>
          <cell r="D401" t="str">
            <v>#2989+3341-73/75/78</v>
          </cell>
          <cell r="E401" t="str">
            <v>POLY飾條</v>
          </cell>
          <cell r="F401" t="str">
            <v>2040*10*5</v>
          </cell>
          <cell r="G401">
            <v>2040</v>
          </cell>
          <cell r="H401">
            <v>10</v>
          </cell>
          <cell r="I401">
            <v>5</v>
          </cell>
          <cell r="J401">
            <v>100</v>
          </cell>
          <cell r="K401">
            <v>0</v>
          </cell>
          <cell r="L401">
            <v>0.63</v>
          </cell>
          <cell r="M401">
            <v>0</v>
          </cell>
          <cell r="N401">
            <v>0</v>
          </cell>
          <cell r="O401" t="str">
            <v>40V</v>
          </cell>
          <cell r="P401" t="str">
            <v>1010</v>
          </cell>
          <cell r="Q401" t="str">
            <v>1010</v>
          </cell>
          <cell r="R401">
            <v>6.3</v>
          </cell>
          <cell r="S401">
            <v>0</v>
          </cell>
        </row>
        <row r="402">
          <cell r="A402" t="str">
            <v>Y005-010</v>
          </cell>
          <cell r="B402" t="str">
            <v>LCT005-021</v>
          </cell>
          <cell r="C402" t="str">
            <v>Y005</v>
          </cell>
          <cell r="D402" t="str">
            <v>#793-72T</v>
          </cell>
          <cell r="E402" t="str">
            <v>chỉ cập</v>
          </cell>
          <cell r="F402" t="str">
            <v>385*13*11</v>
          </cell>
          <cell r="G402">
            <v>385</v>
          </cell>
          <cell r="H402">
            <v>13</v>
          </cell>
          <cell r="I402">
            <v>11</v>
          </cell>
          <cell r="J402">
            <v>70</v>
          </cell>
          <cell r="K402">
            <v>0</v>
          </cell>
          <cell r="L402">
            <v>0.28000000000000003</v>
          </cell>
          <cell r="M402">
            <v>0</v>
          </cell>
          <cell r="N402">
            <v>0</v>
          </cell>
          <cell r="O402">
            <v>0</v>
          </cell>
          <cell r="P402" t="str">
            <v>1010</v>
          </cell>
          <cell r="Q402" t="str">
            <v>1010</v>
          </cell>
          <cell r="R402">
            <v>4</v>
          </cell>
          <cell r="S402">
            <v>0</v>
          </cell>
        </row>
        <row r="403">
          <cell r="A403" t="str">
            <v>Y005-011</v>
          </cell>
          <cell r="B403" t="str">
            <v>LCT005-023</v>
          </cell>
          <cell r="C403" t="str">
            <v>Y005</v>
          </cell>
          <cell r="D403" t="str">
            <v>#793-72T</v>
          </cell>
          <cell r="E403" t="str">
            <v>chỉ cập trên phải</v>
          </cell>
          <cell r="F403" t="str">
            <v>431*70*25</v>
          </cell>
          <cell r="G403">
            <v>431</v>
          </cell>
          <cell r="H403">
            <v>70</v>
          </cell>
          <cell r="I403">
            <v>25</v>
          </cell>
          <cell r="J403">
            <v>0</v>
          </cell>
          <cell r="K403">
            <v>0</v>
          </cell>
          <cell r="L403">
            <v>2.25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#DIV/0!</v>
          </cell>
          <cell r="S403">
            <v>0</v>
          </cell>
        </row>
        <row r="404">
          <cell r="A404" t="str">
            <v>Y005-012</v>
          </cell>
          <cell r="B404" t="str">
            <v>LCT005-025</v>
          </cell>
          <cell r="C404" t="str">
            <v>Y005</v>
          </cell>
          <cell r="D404" t="str">
            <v>#793-72T</v>
          </cell>
          <cell r="E404" t="str">
            <v>chỉ cập dưới phải</v>
          </cell>
          <cell r="F404" t="str">
            <v>431*60*25</v>
          </cell>
          <cell r="G404">
            <v>431</v>
          </cell>
          <cell r="H404">
            <v>60</v>
          </cell>
          <cell r="I404">
            <v>25</v>
          </cell>
          <cell r="J404">
            <v>0</v>
          </cell>
          <cell r="K404">
            <v>0</v>
          </cell>
          <cell r="L404">
            <v>1.8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#DIV/0!</v>
          </cell>
        </row>
        <row r="405">
          <cell r="A405" t="str">
            <v>Y005-013</v>
          </cell>
          <cell r="B405" t="str">
            <v>LCT005-038</v>
          </cell>
          <cell r="C405" t="str">
            <v>Y005</v>
          </cell>
          <cell r="D405" t="str">
            <v>#793-54/55HF</v>
          </cell>
          <cell r="E405" t="str">
            <v>đầu trụ</v>
          </cell>
          <cell r="F405" t="str">
            <v>182*96*96</v>
          </cell>
          <cell r="G405">
            <v>182</v>
          </cell>
          <cell r="H405">
            <v>96</v>
          </cell>
          <cell r="I405">
            <v>96</v>
          </cell>
          <cell r="J405">
            <v>0</v>
          </cell>
          <cell r="K405">
            <v>0</v>
          </cell>
          <cell r="L405">
            <v>1.3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#DIV/0!</v>
          </cell>
        </row>
        <row r="406">
          <cell r="A406" t="str">
            <v>Y005-014</v>
          </cell>
          <cell r="B406" t="str">
            <v>LCT005-072</v>
          </cell>
          <cell r="C406" t="str">
            <v>Y005</v>
          </cell>
          <cell r="D406" t="str">
            <v>#3101/3108-388</v>
          </cell>
          <cell r="E406" t="str">
            <v>hoa theo mau</v>
          </cell>
          <cell r="F406" t="str">
            <v>83*40*10</v>
          </cell>
          <cell r="G406">
            <v>83</v>
          </cell>
          <cell r="H406">
            <v>40</v>
          </cell>
          <cell r="I406">
            <v>10</v>
          </cell>
          <cell r="J406">
            <v>50</v>
          </cell>
          <cell r="K406">
            <v>0</v>
          </cell>
          <cell r="L406">
            <v>0.2</v>
          </cell>
          <cell r="M406">
            <v>0</v>
          </cell>
          <cell r="N406">
            <v>0</v>
          </cell>
          <cell r="O406" t="str">
            <v>40V</v>
          </cell>
          <cell r="P406" t="str">
            <v>1010</v>
          </cell>
          <cell r="Q406" t="str">
            <v>1010</v>
          </cell>
          <cell r="R406">
            <v>4</v>
          </cell>
          <cell r="S406">
            <v>0</v>
          </cell>
        </row>
        <row r="407">
          <cell r="A407" t="str">
            <v>Y005-015</v>
          </cell>
          <cell r="B407" t="str">
            <v>LCT005-073</v>
          </cell>
          <cell r="C407" t="str">
            <v>Y005</v>
          </cell>
          <cell r="D407" t="str">
            <v>#3101/3108-01</v>
          </cell>
          <cell r="E407" t="str">
            <v>hoa theo mau</v>
          </cell>
          <cell r="F407" t="str">
            <v>83*40*10</v>
          </cell>
          <cell r="G407">
            <v>83</v>
          </cell>
          <cell r="H407">
            <v>40</v>
          </cell>
          <cell r="I407">
            <v>10</v>
          </cell>
          <cell r="J407">
            <v>50</v>
          </cell>
          <cell r="K407">
            <v>0</v>
          </cell>
          <cell r="L407">
            <v>0.2</v>
          </cell>
          <cell r="M407">
            <v>0</v>
          </cell>
          <cell r="N407">
            <v>0</v>
          </cell>
          <cell r="O407" t="str">
            <v>40V</v>
          </cell>
          <cell r="P407" t="str">
            <v>1010</v>
          </cell>
          <cell r="Q407" t="str">
            <v>1010</v>
          </cell>
          <cell r="R407">
            <v>4</v>
          </cell>
          <cell r="S407">
            <v>0</v>
          </cell>
        </row>
        <row r="408">
          <cell r="A408" t="str">
            <v>Y005-016</v>
          </cell>
          <cell r="B408" t="str">
            <v>LCT005-074</v>
          </cell>
          <cell r="C408" t="str">
            <v>Y005</v>
          </cell>
          <cell r="D408" t="str">
            <v>#3099-75/78</v>
          </cell>
          <cell r="E408" t="str">
            <v>hoa theo mau</v>
          </cell>
          <cell r="F408" t="str">
            <v>110*40*10</v>
          </cell>
          <cell r="G408">
            <v>110</v>
          </cell>
          <cell r="H408">
            <v>40</v>
          </cell>
          <cell r="I408">
            <v>10</v>
          </cell>
          <cell r="J408">
            <v>60</v>
          </cell>
          <cell r="K408">
            <v>0</v>
          </cell>
          <cell r="L408">
            <v>0.25</v>
          </cell>
          <cell r="M408">
            <v>0</v>
          </cell>
          <cell r="N408">
            <v>0</v>
          </cell>
          <cell r="O408" t="str">
            <v>40V</v>
          </cell>
          <cell r="P408" t="str">
            <v>1010</v>
          </cell>
          <cell r="Q408" t="str">
            <v>1010</v>
          </cell>
          <cell r="R408">
            <v>4.166666666666667</v>
          </cell>
          <cell r="S408">
            <v>0</v>
          </cell>
        </row>
        <row r="409">
          <cell r="A409" t="str">
            <v>Y005-017</v>
          </cell>
          <cell r="B409" t="str">
            <v>LCT005-052</v>
          </cell>
          <cell r="C409" t="str">
            <v>Y005</v>
          </cell>
          <cell r="D409" t="str">
            <v>#2351 H/PL/PR</v>
          </cell>
          <cell r="E409" t="str">
            <v>Chỉ Poly</v>
          </cell>
          <cell r="F409" t="str">
            <v>563*16*14</v>
          </cell>
          <cell r="G409">
            <v>563</v>
          </cell>
          <cell r="H409">
            <v>16</v>
          </cell>
          <cell r="I409">
            <v>14</v>
          </cell>
          <cell r="J409">
            <v>150</v>
          </cell>
          <cell r="K409">
            <v>0</v>
          </cell>
          <cell r="L409">
            <v>0.42</v>
          </cell>
          <cell r="M409">
            <v>0</v>
          </cell>
          <cell r="N409">
            <v>0</v>
          </cell>
          <cell r="O409" t="str">
            <v>40V</v>
          </cell>
          <cell r="P409" t="str">
            <v>1010</v>
          </cell>
          <cell r="Q409" t="str">
            <v>1010</v>
          </cell>
          <cell r="R409">
            <v>2.8</v>
          </cell>
        </row>
        <row r="410">
          <cell r="A410" t="str">
            <v>Y005-018</v>
          </cell>
          <cell r="B410" t="str">
            <v>LCT005-075</v>
          </cell>
          <cell r="C410" t="str">
            <v>Y005</v>
          </cell>
          <cell r="D410" t="str">
            <v>#8113-08L</v>
          </cell>
          <cell r="E410" t="str">
            <v>poly飾框</v>
          </cell>
          <cell r="F410" t="str">
            <v>283*215*(13*7)</v>
          </cell>
          <cell r="G410">
            <v>283</v>
          </cell>
          <cell r="H410">
            <v>215</v>
          </cell>
          <cell r="I410" t="str">
            <v>13*7</v>
          </cell>
          <cell r="J410">
            <v>125</v>
          </cell>
          <cell r="K410">
            <v>0</v>
          </cell>
          <cell r="L410">
            <v>0.45</v>
          </cell>
          <cell r="M410">
            <v>0</v>
          </cell>
          <cell r="N410">
            <v>0</v>
          </cell>
          <cell r="O410" t="str">
            <v>40V</v>
          </cell>
          <cell r="P410" t="str">
            <v>1010</v>
          </cell>
          <cell r="Q410" t="str">
            <v>1010</v>
          </cell>
          <cell r="R410">
            <v>3.6</v>
          </cell>
        </row>
        <row r="411">
          <cell r="A411" t="str">
            <v>Y005-019</v>
          </cell>
          <cell r="B411">
            <v>0</v>
          </cell>
          <cell r="C411" t="str">
            <v>Y005</v>
          </cell>
          <cell r="D411" t="str">
            <v>M-01</v>
          </cell>
          <cell r="E411" t="str">
            <v>POLY飾條</v>
          </cell>
          <cell r="F411" t="str">
            <v>900*25*10</v>
          </cell>
          <cell r="G411">
            <v>900</v>
          </cell>
          <cell r="H411">
            <v>25</v>
          </cell>
          <cell r="I411">
            <v>10</v>
          </cell>
          <cell r="J411">
            <v>320</v>
          </cell>
          <cell r="K411">
            <v>0</v>
          </cell>
          <cell r="L411">
            <v>0.96</v>
          </cell>
          <cell r="M411">
            <v>0</v>
          </cell>
          <cell r="N411">
            <v>0</v>
          </cell>
          <cell r="O411" t="str">
            <v>40V</v>
          </cell>
          <cell r="P411" t="str">
            <v>1010</v>
          </cell>
          <cell r="Q411" t="str">
            <v>1010</v>
          </cell>
          <cell r="R411">
            <v>3</v>
          </cell>
          <cell r="S411">
            <v>41992</v>
          </cell>
        </row>
        <row r="412">
          <cell r="A412" t="str">
            <v>Y005-020</v>
          </cell>
          <cell r="B412">
            <v>0</v>
          </cell>
          <cell r="C412" t="str">
            <v>Y005</v>
          </cell>
          <cell r="D412" t="str">
            <v>M-02</v>
          </cell>
          <cell r="E412" t="str">
            <v>POLY飾條</v>
          </cell>
          <cell r="F412" t="str">
            <v>1545*16*10</v>
          </cell>
          <cell r="G412">
            <v>1545</v>
          </cell>
          <cell r="H412">
            <v>16</v>
          </cell>
          <cell r="I412">
            <v>10</v>
          </cell>
          <cell r="J412">
            <v>360</v>
          </cell>
          <cell r="K412">
            <v>0</v>
          </cell>
          <cell r="L412">
            <v>1.08</v>
          </cell>
          <cell r="M412">
            <v>0</v>
          </cell>
          <cell r="N412">
            <v>0</v>
          </cell>
          <cell r="O412" t="str">
            <v>40V</v>
          </cell>
          <cell r="P412" t="str">
            <v>1010</v>
          </cell>
          <cell r="Q412" t="str">
            <v>1010</v>
          </cell>
          <cell r="R412">
            <v>3.0000000000000004</v>
          </cell>
          <cell r="S412">
            <v>41992</v>
          </cell>
        </row>
        <row r="413">
          <cell r="A413" t="str">
            <v>Y005-021</v>
          </cell>
          <cell r="B413">
            <v>0</v>
          </cell>
          <cell r="C413" t="str">
            <v>Y005</v>
          </cell>
          <cell r="D413" t="str">
            <v>M-03</v>
          </cell>
          <cell r="E413" t="str">
            <v>POLY飾條</v>
          </cell>
          <cell r="F413" t="str">
            <v>1950*64*10</v>
          </cell>
          <cell r="G413">
            <v>1950</v>
          </cell>
          <cell r="H413">
            <v>64</v>
          </cell>
          <cell r="I413">
            <v>10</v>
          </cell>
          <cell r="J413">
            <v>1780</v>
          </cell>
          <cell r="K413">
            <v>0</v>
          </cell>
          <cell r="L413">
            <v>4.45</v>
          </cell>
          <cell r="M413">
            <v>0</v>
          </cell>
          <cell r="N413">
            <v>0</v>
          </cell>
          <cell r="O413" t="str">
            <v>40V</v>
          </cell>
          <cell r="P413" t="str">
            <v>1010</v>
          </cell>
          <cell r="Q413" t="str">
            <v>1010</v>
          </cell>
          <cell r="R413">
            <v>2.5</v>
          </cell>
          <cell r="S413">
            <v>41998</v>
          </cell>
        </row>
        <row r="414">
          <cell r="A414" t="str">
            <v>Y005-022</v>
          </cell>
          <cell r="B414">
            <v>0</v>
          </cell>
          <cell r="C414" t="str">
            <v>Y005</v>
          </cell>
          <cell r="D414">
            <v>0</v>
          </cell>
          <cell r="E414" t="str">
            <v>POLY飾條</v>
          </cell>
          <cell r="F414" t="str">
            <v>2145*20*16</v>
          </cell>
          <cell r="G414">
            <v>2145</v>
          </cell>
          <cell r="H414">
            <v>20</v>
          </cell>
          <cell r="I414">
            <v>16</v>
          </cell>
          <cell r="J414">
            <v>930</v>
          </cell>
          <cell r="K414">
            <v>0</v>
          </cell>
          <cell r="L414">
            <v>2.3250000000000002</v>
          </cell>
          <cell r="M414">
            <v>0</v>
          </cell>
          <cell r="N414">
            <v>0</v>
          </cell>
          <cell r="O414" t="str">
            <v>40V</v>
          </cell>
          <cell r="P414" t="str">
            <v>1010</v>
          </cell>
          <cell r="Q414" t="str">
            <v>1010</v>
          </cell>
          <cell r="R414">
            <v>2.5</v>
          </cell>
          <cell r="S414">
            <v>41998</v>
          </cell>
        </row>
        <row r="415">
          <cell r="A415" t="str">
            <v>Y005-023</v>
          </cell>
          <cell r="B415" t="str">
            <v>LCT005-069</v>
          </cell>
          <cell r="C415" t="str">
            <v>Y005</v>
          </cell>
          <cell r="D415" t="str">
            <v>#1444-08L</v>
          </cell>
          <cell r="E415" t="str">
            <v>半圓飾條</v>
          </cell>
          <cell r="F415" t="str">
            <v>2040*10*5</v>
          </cell>
          <cell r="G415">
            <v>2040</v>
          </cell>
          <cell r="H415">
            <v>10</v>
          </cell>
          <cell r="I415">
            <v>5</v>
          </cell>
          <cell r="J415">
            <v>100</v>
          </cell>
          <cell r="K415">
            <v>0</v>
          </cell>
          <cell r="L415">
            <v>0.63</v>
          </cell>
          <cell r="M415">
            <v>0</v>
          </cell>
          <cell r="N415">
            <v>0</v>
          </cell>
          <cell r="O415" t="str">
            <v>40V</v>
          </cell>
          <cell r="P415" t="str">
            <v>1010</v>
          </cell>
          <cell r="Q415" t="str">
            <v>1010</v>
          </cell>
          <cell r="R415">
            <v>6.3</v>
          </cell>
        </row>
        <row r="416">
          <cell r="A416" t="str">
            <v>Y005-024</v>
          </cell>
          <cell r="B416">
            <v>0</v>
          </cell>
          <cell r="C416" t="str">
            <v>Y005</v>
          </cell>
          <cell r="D416" t="str">
            <v>#2989+3341-54H</v>
          </cell>
          <cell r="E416" t="str">
            <v>半圓飾條</v>
          </cell>
          <cell r="F416" t="str">
            <v>1600*6*3</v>
          </cell>
          <cell r="G416">
            <v>1600</v>
          </cell>
          <cell r="H416">
            <v>6</v>
          </cell>
          <cell r="I416">
            <v>3</v>
          </cell>
          <cell r="J416">
            <v>70</v>
          </cell>
          <cell r="K416">
            <v>0</v>
          </cell>
          <cell r="L416">
            <v>0.315</v>
          </cell>
          <cell r="M416">
            <v>0</v>
          </cell>
          <cell r="N416">
            <v>0</v>
          </cell>
          <cell r="O416" t="str">
            <v>40V</v>
          </cell>
          <cell r="P416" t="str">
            <v>1010</v>
          </cell>
          <cell r="Q416" t="str">
            <v>1010</v>
          </cell>
          <cell r="R416">
            <v>4.5</v>
          </cell>
          <cell r="S416">
            <v>42013</v>
          </cell>
        </row>
        <row r="417">
          <cell r="A417" t="str">
            <v>Y005-025</v>
          </cell>
          <cell r="B417">
            <v>0</v>
          </cell>
          <cell r="C417" t="str">
            <v>Y005</v>
          </cell>
          <cell r="D417" t="str">
            <v>#2989+3341-55/65H</v>
          </cell>
          <cell r="E417" t="str">
            <v>POLY飾條</v>
          </cell>
          <cell r="F417" t="str">
            <v>930*14*9</v>
          </cell>
          <cell r="G417">
            <v>930</v>
          </cell>
          <cell r="H417">
            <v>14</v>
          </cell>
          <cell r="I417">
            <v>9</v>
          </cell>
          <cell r="J417">
            <v>160</v>
          </cell>
          <cell r="K417">
            <v>0</v>
          </cell>
          <cell r="L417">
            <v>0.40799999999999997</v>
          </cell>
          <cell r="M417">
            <v>0</v>
          </cell>
          <cell r="N417">
            <v>0</v>
          </cell>
          <cell r="O417" t="str">
            <v>40V</v>
          </cell>
          <cell r="P417" t="str">
            <v>1010</v>
          </cell>
          <cell r="Q417" t="str">
            <v>1010</v>
          </cell>
          <cell r="R417">
            <v>2.5499999999999998</v>
          </cell>
          <cell r="S417">
            <v>42018</v>
          </cell>
        </row>
        <row r="418">
          <cell r="A418" t="str">
            <v>Y005-026</v>
          </cell>
          <cell r="B418">
            <v>0</v>
          </cell>
          <cell r="C418" t="str">
            <v>Y005</v>
          </cell>
          <cell r="D418" t="str">
            <v>#2989+3341-55/65H</v>
          </cell>
          <cell r="E418" t="str">
            <v>POLY飾條-L</v>
          </cell>
          <cell r="F418" t="str">
            <v>310*14*9</v>
          </cell>
          <cell r="G418">
            <v>310</v>
          </cell>
          <cell r="H418">
            <v>14</v>
          </cell>
          <cell r="I418">
            <v>9</v>
          </cell>
          <cell r="J418">
            <v>90</v>
          </cell>
          <cell r="K418">
            <v>0</v>
          </cell>
          <cell r="L418">
            <v>0.23</v>
          </cell>
          <cell r="M418">
            <v>0</v>
          </cell>
          <cell r="N418">
            <v>0</v>
          </cell>
          <cell r="O418" t="str">
            <v>40V</v>
          </cell>
          <cell r="P418" t="str">
            <v>1010</v>
          </cell>
          <cell r="Q418" t="str">
            <v>1010</v>
          </cell>
          <cell r="R418">
            <v>2.5555555555555558</v>
          </cell>
          <cell r="S418">
            <v>42018</v>
          </cell>
        </row>
        <row r="419">
          <cell r="A419" t="str">
            <v>Y005-027</v>
          </cell>
          <cell r="B419">
            <v>0</v>
          </cell>
          <cell r="C419" t="str">
            <v>Y005</v>
          </cell>
          <cell r="D419" t="str">
            <v>#2989+3341-55/65H</v>
          </cell>
          <cell r="E419" t="str">
            <v>POLY飾條-R</v>
          </cell>
          <cell r="F419" t="str">
            <v>310*14*9</v>
          </cell>
          <cell r="G419">
            <v>310</v>
          </cell>
          <cell r="H419">
            <v>14</v>
          </cell>
          <cell r="I419">
            <v>9</v>
          </cell>
          <cell r="J419">
            <v>90</v>
          </cell>
          <cell r="K419">
            <v>0</v>
          </cell>
          <cell r="L419">
            <v>0.23</v>
          </cell>
          <cell r="M419">
            <v>0</v>
          </cell>
          <cell r="N419">
            <v>0</v>
          </cell>
          <cell r="O419" t="str">
            <v>40V</v>
          </cell>
          <cell r="P419" t="str">
            <v>1010</v>
          </cell>
          <cell r="Q419" t="str">
            <v>1010</v>
          </cell>
          <cell r="R419">
            <v>2.5555555555555558</v>
          </cell>
          <cell r="S419">
            <v>42018</v>
          </cell>
        </row>
        <row r="420">
          <cell r="A420" t="str">
            <v>Y005-028</v>
          </cell>
          <cell r="B420">
            <v>0</v>
          </cell>
          <cell r="C420" t="str">
            <v>Y005</v>
          </cell>
          <cell r="D420" t="str">
            <v>#2989+3341-55/65H</v>
          </cell>
          <cell r="E420" t="str">
            <v>POLY飾條</v>
          </cell>
          <cell r="F420" t="str">
            <v>1130*14*9</v>
          </cell>
          <cell r="G420">
            <v>1130</v>
          </cell>
          <cell r="H420">
            <v>14</v>
          </cell>
          <cell r="I420">
            <v>9</v>
          </cell>
          <cell r="J420">
            <v>190</v>
          </cell>
          <cell r="K420">
            <v>0</v>
          </cell>
          <cell r="L420">
            <v>0.48499999999999999</v>
          </cell>
          <cell r="M420">
            <v>0</v>
          </cell>
          <cell r="N420">
            <v>0</v>
          </cell>
          <cell r="O420" t="str">
            <v>40V</v>
          </cell>
          <cell r="P420" t="str">
            <v>1010</v>
          </cell>
          <cell r="Q420" t="str">
            <v>1010</v>
          </cell>
          <cell r="R420">
            <v>2.5526315789473681</v>
          </cell>
          <cell r="S420">
            <v>42018</v>
          </cell>
        </row>
        <row r="421">
          <cell r="A421" t="str">
            <v>Y005-029</v>
          </cell>
          <cell r="B421">
            <v>0</v>
          </cell>
          <cell r="C421" t="str">
            <v>Y005</v>
          </cell>
          <cell r="D421" t="str">
            <v>#2989+3341-55/65H</v>
          </cell>
          <cell r="E421" t="str">
            <v>POLY飾條-L</v>
          </cell>
          <cell r="F421" t="str">
            <v>410*14*9</v>
          </cell>
          <cell r="G421">
            <v>410</v>
          </cell>
          <cell r="H421">
            <v>14</v>
          </cell>
          <cell r="I421">
            <v>9</v>
          </cell>
          <cell r="J421">
            <v>190</v>
          </cell>
          <cell r="K421">
            <v>0</v>
          </cell>
          <cell r="L421">
            <v>0.255</v>
          </cell>
          <cell r="M421">
            <v>0</v>
          </cell>
          <cell r="N421">
            <v>0</v>
          </cell>
          <cell r="O421" t="str">
            <v>40V</v>
          </cell>
          <cell r="P421" t="str">
            <v>1010</v>
          </cell>
          <cell r="Q421" t="str">
            <v>1010</v>
          </cell>
          <cell r="R421">
            <v>1.3421052631578947</v>
          </cell>
          <cell r="S421">
            <v>42018</v>
          </cell>
        </row>
        <row r="422">
          <cell r="A422" t="str">
            <v>Y005-030</v>
          </cell>
          <cell r="B422">
            <v>0</v>
          </cell>
          <cell r="C422" t="str">
            <v>Y005</v>
          </cell>
          <cell r="D422" t="str">
            <v>#2989+3341-55/65H</v>
          </cell>
          <cell r="E422" t="str">
            <v>POLY飾條-R</v>
          </cell>
          <cell r="F422" t="str">
            <v>410*14*9</v>
          </cell>
          <cell r="G422">
            <v>410</v>
          </cell>
          <cell r="H422">
            <v>14</v>
          </cell>
          <cell r="I422">
            <v>9</v>
          </cell>
          <cell r="J422">
            <v>190</v>
          </cell>
          <cell r="K422">
            <v>0</v>
          </cell>
          <cell r="L422">
            <v>0.255</v>
          </cell>
          <cell r="M422">
            <v>0</v>
          </cell>
          <cell r="N422">
            <v>0</v>
          </cell>
          <cell r="O422" t="str">
            <v>40V</v>
          </cell>
          <cell r="P422" t="str">
            <v>1010</v>
          </cell>
          <cell r="Q422" t="str">
            <v>1010</v>
          </cell>
          <cell r="R422">
            <v>1.3421052631578947</v>
          </cell>
          <cell r="S422">
            <v>42018</v>
          </cell>
        </row>
        <row r="423">
          <cell r="A423" t="str">
            <v>Y005-031</v>
          </cell>
          <cell r="B423">
            <v>0</v>
          </cell>
          <cell r="C423" t="str">
            <v>Y005</v>
          </cell>
          <cell r="D423" t="str">
            <v>M-02</v>
          </cell>
          <cell r="E423" t="str">
            <v>POLY飾條</v>
          </cell>
          <cell r="F423" t="str">
            <v>1950*29*15</v>
          </cell>
          <cell r="G423">
            <v>1950</v>
          </cell>
          <cell r="H423">
            <v>29</v>
          </cell>
          <cell r="I423">
            <v>15</v>
          </cell>
          <cell r="J423">
            <v>850</v>
          </cell>
          <cell r="K423">
            <v>0</v>
          </cell>
          <cell r="L423">
            <v>2.04</v>
          </cell>
          <cell r="M423">
            <v>0</v>
          </cell>
          <cell r="N423">
            <v>0</v>
          </cell>
          <cell r="O423" t="str">
            <v>40V</v>
          </cell>
          <cell r="P423" t="str">
            <v>1010</v>
          </cell>
          <cell r="Q423" t="str">
            <v>1010</v>
          </cell>
          <cell r="R423">
            <v>2.4</v>
          </cell>
          <cell r="S423">
            <v>42020</v>
          </cell>
        </row>
        <row r="424">
          <cell r="A424" t="str">
            <v>Y005-032</v>
          </cell>
          <cell r="B424">
            <v>0</v>
          </cell>
          <cell r="C424" t="str">
            <v>Y005</v>
          </cell>
          <cell r="D424" t="str">
            <v>M-03</v>
          </cell>
          <cell r="E424" t="str">
            <v>POLY飾條</v>
          </cell>
          <cell r="F424" t="str">
            <v>1390*12*6</v>
          </cell>
          <cell r="G424">
            <v>1390</v>
          </cell>
          <cell r="H424">
            <v>12</v>
          </cell>
          <cell r="I424">
            <v>6</v>
          </cell>
          <cell r="J424">
            <v>170</v>
          </cell>
          <cell r="K424">
            <v>0</v>
          </cell>
          <cell r="L424">
            <v>0.434</v>
          </cell>
          <cell r="M424">
            <v>0</v>
          </cell>
          <cell r="N424">
            <v>0</v>
          </cell>
          <cell r="O424" t="str">
            <v>40V</v>
          </cell>
          <cell r="P424" t="str">
            <v>1010</v>
          </cell>
          <cell r="Q424" t="str">
            <v>1010</v>
          </cell>
          <cell r="R424">
            <v>2.552941176470588</v>
          </cell>
          <cell r="S424">
            <v>42020</v>
          </cell>
        </row>
        <row r="425">
          <cell r="A425" t="str">
            <v>Y005-033</v>
          </cell>
          <cell r="B425">
            <v>0</v>
          </cell>
          <cell r="C425" t="str">
            <v>Y005</v>
          </cell>
          <cell r="D425" t="str">
            <v>M-04</v>
          </cell>
          <cell r="E425" t="str">
            <v>POLY飾條</v>
          </cell>
          <cell r="F425" t="str">
            <v>1320*19*9</v>
          </cell>
          <cell r="G425">
            <v>1320</v>
          </cell>
          <cell r="H425">
            <v>19</v>
          </cell>
          <cell r="I425">
            <v>9</v>
          </cell>
          <cell r="J425">
            <v>330</v>
          </cell>
          <cell r="K425">
            <v>0</v>
          </cell>
          <cell r="L425">
            <v>0.84199999999999997</v>
          </cell>
          <cell r="M425">
            <v>0</v>
          </cell>
          <cell r="N425">
            <v>0</v>
          </cell>
          <cell r="O425" t="str">
            <v>40V</v>
          </cell>
          <cell r="P425" t="str">
            <v>1010</v>
          </cell>
          <cell r="Q425" t="str">
            <v>1010</v>
          </cell>
          <cell r="R425">
            <v>2.5515151515151513</v>
          </cell>
          <cell r="S425">
            <v>42020</v>
          </cell>
        </row>
        <row r="426">
          <cell r="A426" t="str">
            <v>Y005-034</v>
          </cell>
          <cell r="B426">
            <v>0</v>
          </cell>
          <cell r="C426" t="str">
            <v>Y005</v>
          </cell>
          <cell r="D426" t="str">
            <v>M-05</v>
          </cell>
          <cell r="E426" t="str">
            <v>POLY飾條</v>
          </cell>
          <cell r="F426" t="str">
            <v>1600*15*8</v>
          </cell>
          <cell r="G426">
            <v>1600</v>
          </cell>
          <cell r="H426">
            <v>15</v>
          </cell>
          <cell r="I426">
            <v>8</v>
          </cell>
          <cell r="J426">
            <v>320</v>
          </cell>
          <cell r="K426">
            <v>0</v>
          </cell>
          <cell r="L426">
            <v>0.96</v>
          </cell>
          <cell r="M426">
            <v>0</v>
          </cell>
          <cell r="N426">
            <v>0</v>
          </cell>
          <cell r="O426" t="str">
            <v>40V</v>
          </cell>
          <cell r="P426" t="str">
            <v>1010</v>
          </cell>
          <cell r="Q426" t="str">
            <v>1010</v>
          </cell>
          <cell r="R426">
            <v>3</v>
          </cell>
        </row>
        <row r="427">
          <cell r="A427" t="str">
            <v>Y005-035</v>
          </cell>
          <cell r="B427">
            <v>0</v>
          </cell>
          <cell r="C427" t="str">
            <v>Y005</v>
          </cell>
          <cell r="D427" t="str">
            <v>#H 2588-38</v>
          </cell>
          <cell r="E427" t="str">
            <v>POLY Chỉ góc cập trụ</v>
          </cell>
          <cell r="F427" t="str">
            <v>54.5*54.5*25</v>
          </cell>
          <cell r="G427">
            <v>54.5</v>
          </cell>
          <cell r="H427">
            <v>54.5</v>
          </cell>
          <cell r="I427">
            <v>25</v>
          </cell>
          <cell r="J427">
            <v>60</v>
          </cell>
          <cell r="K427">
            <v>0</v>
          </cell>
          <cell r="L427">
            <v>0.18</v>
          </cell>
          <cell r="M427">
            <v>0</v>
          </cell>
          <cell r="N427">
            <v>0</v>
          </cell>
          <cell r="O427" t="str">
            <v>40V</v>
          </cell>
          <cell r="P427" t="str">
            <v>1010</v>
          </cell>
          <cell r="Q427" t="str">
            <v>1010</v>
          </cell>
          <cell r="R427">
            <v>3</v>
          </cell>
        </row>
        <row r="428">
          <cell r="A428" t="str">
            <v>Y005-036</v>
          </cell>
          <cell r="B428">
            <v>0</v>
          </cell>
          <cell r="C428" t="str">
            <v>Y005</v>
          </cell>
          <cell r="D428" t="str">
            <v>#H 2588-BKT</v>
          </cell>
          <cell r="E428" t="str">
            <v>POLY Chỉ góc</v>
          </cell>
          <cell r="F428" t="str">
            <v>54.5*29.5*25</v>
          </cell>
          <cell r="G428">
            <v>54.5</v>
          </cell>
          <cell r="H428">
            <v>29.5</v>
          </cell>
          <cell r="I428">
            <v>25</v>
          </cell>
          <cell r="J428">
            <v>50</v>
          </cell>
          <cell r="K428">
            <v>0</v>
          </cell>
          <cell r="L428">
            <v>0.15</v>
          </cell>
          <cell r="M428">
            <v>0</v>
          </cell>
          <cell r="N428">
            <v>0</v>
          </cell>
          <cell r="O428" t="str">
            <v>40V</v>
          </cell>
          <cell r="P428" t="str">
            <v>1010</v>
          </cell>
          <cell r="Q428" t="str">
            <v>1010</v>
          </cell>
          <cell r="R428">
            <v>2.9999999999999996</v>
          </cell>
        </row>
        <row r="429">
          <cell r="A429" t="str">
            <v>Y005-037</v>
          </cell>
          <cell r="B429">
            <v>0</v>
          </cell>
          <cell r="C429" t="str">
            <v>Y005</v>
          </cell>
          <cell r="D429" t="str">
            <v>#H 2588-08L</v>
          </cell>
          <cell r="E429" t="str">
            <v>POLY Cập trụ</v>
          </cell>
          <cell r="F429" t="str">
            <v>49*48.5*25</v>
          </cell>
          <cell r="G429">
            <v>49</v>
          </cell>
          <cell r="H429">
            <v>48.5</v>
          </cell>
          <cell r="I429">
            <v>25</v>
          </cell>
          <cell r="J429">
            <v>55</v>
          </cell>
          <cell r="K429">
            <v>0</v>
          </cell>
          <cell r="L429">
            <v>0.16500000000000001</v>
          </cell>
          <cell r="M429">
            <v>0</v>
          </cell>
          <cell r="N429">
            <v>0</v>
          </cell>
          <cell r="O429" t="str">
            <v>40V</v>
          </cell>
          <cell r="P429" t="str">
            <v>1010</v>
          </cell>
          <cell r="Q429" t="str">
            <v>1010</v>
          </cell>
          <cell r="R429">
            <v>3</v>
          </cell>
        </row>
        <row r="430">
          <cell r="A430" t="str">
            <v>Y005-038</v>
          </cell>
          <cell r="B430">
            <v>0</v>
          </cell>
          <cell r="C430" t="str">
            <v>Y005</v>
          </cell>
          <cell r="D430" t="str">
            <v>#H 2588-PR/PL</v>
          </cell>
          <cell r="E430" t="str">
            <v>POLY Cập trụ</v>
          </cell>
          <cell r="F430" t="str">
            <v>49*48.5*25</v>
          </cell>
          <cell r="G430">
            <v>49</v>
          </cell>
          <cell r="H430">
            <v>48.5</v>
          </cell>
          <cell r="I430">
            <v>25</v>
          </cell>
          <cell r="J430">
            <v>55</v>
          </cell>
          <cell r="K430">
            <v>0</v>
          </cell>
          <cell r="L430">
            <v>0.16500000000000001</v>
          </cell>
          <cell r="M430">
            <v>0</v>
          </cell>
          <cell r="N430">
            <v>0</v>
          </cell>
          <cell r="O430" t="str">
            <v>40V</v>
          </cell>
          <cell r="P430" t="str">
            <v>1010</v>
          </cell>
          <cell r="Q430" t="str">
            <v>1010</v>
          </cell>
          <cell r="R430">
            <v>3</v>
          </cell>
        </row>
        <row r="431">
          <cell r="A431" t="str">
            <v>Y005-039</v>
          </cell>
          <cell r="B431">
            <v>0</v>
          </cell>
          <cell r="C431" t="str">
            <v>Y005</v>
          </cell>
          <cell r="D431" t="str">
            <v>#H 2588-PR/PL</v>
          </cell>
          <cell r="E431" t="str">
            <v>POLY Cập trụ</v>
          </cell>
          <cell r="F431" t="str">
            <v>62.5*29.5*25</v>
          </cell>
          <cell r="G431">
            <v>62.5</v>
          </cell>
          <cell r="H431">
            <v>29.5</v>
          </cell>
          <cell r="I431">
            <v>25</v>
          </cell>
          <cell r="J431">
            <v>55</v>
          </cell>
          <cell r="K431">
            <v>0</v>
          </cell>
          <cell r="L431">
            <v>0.16500000000000001</v>
          </cell>
          <cell r="M431">
            <v>0</v>
          </cell>
          <cell r="N431">
            <v>0</v>
          </cell>
          <cell r="O431" t="str">
            <v>40V</v>
          </cell>
          <cell r="P431" t="str">
            <v>1010</v>
          </cell>
          <cell r="Q431" t="str">
            <v>1010</v>
          </cell>
          <cell r="R431">
            <v>3</v>
          </cell>
        </row>
        <row r="432">
          <cell r="A432" t="str">
            <v>Y005-040</v>
          </cell>
          <cell r="B432">
            <v>0</v>
          </cell>
          <cell r="C432" t="str">
            <v>Y005</v>
          </cell>
          <cell r="D432" t="str">
            <v>#H 2588-H</v>
          </cell>
          <cell r="E432" t="str">
            <v>POLY Cập trụ</v>
          </cell>
          <cell r="F432" t="str">
            <v>62.5*29.5*25</v>
          </cell>
          <cell r="G432">
            <v>62.5</v>
          </cell>
          <cell r="H432">
            <v>29.5</v>
          </cell>
          <cell r="I432">
            <v>25</v>
          </cell>
          <cell r="J432">
            <v>55</v>
          </cell>
          <cell r="K432">
            <v>0</v>
          </cell>
          <cell r="L432">
            <v>0.16500000000000001</v>
          </cell>
          <cell r="M432">
            <v>0</v>
          </cell>
          <cell r="N432">
            <v>0</v>
          </cell>
          <cell r="O432" t="str">
            <v>40V</v>
          </cell>
          <cell r="P432" t="str">
            <v>1010</v>
          </cell>
          <cell r="Q432" t="str">
            <v>1010</v>
          </cell>
          <cell r="R432">
            <v>3</v>
          </cell>
        </row>
        <row r="433">
          <cell r="A433" t="str">
            <v>Y005-041</v>
          </cell>
          <cell r="B433">
            <v>0</v>
          </cell>
          <cell r="C433" t="str">
            <v>Y005</v>
          </cell>
          <cell r="D433" t="str">
            <v>#731</v>
          </cell>
          <cell r="E433" t="str">
            <v>CHỈ POY</v>
          </cell>
          <cell r="F433" t="str">
            <v>1200*15*8</v>
          </cell>
          <cell r="G433">
            <v>1200</v>
          </cell>
          <cell r="H433">
            <v>15</v>
          </cell>
          <cell r="I433">
            <v>8</v>
          </cell>
          <cell r="J433">
            <v>170</v>
          </cell>
          <cell r="K433">
            <v>0</v>
          </cell>
          <cell r="L433">
            <v>0.51</v>
          </cell>
          <cell r="M433">
            <v>0</v>
          </cell>
          <cell r="N433">
            <v>0</v>
          </cell>
          <cell r="O433" t="str">
            <v>40V</v>
          </cell>
          <cell r="P433" t="str">
            <v>1010</v>
          </cell>
          <cell r="Q433" t="str">
            <v>1010</v>
          </cell>
          <cell r="R433">
            <v>3</v>
          </cell>
          <cell r="S433">
            <v>0</v>
          </cell>
        </row>
        <row r="434">
          <cell r="A434" t="str">
            <v>Y005-042</v>
          </cell>
          <cell r="B434">
            <v>0</v>
          </cell>
          <cell r="C434" t="str">
            <v>Y005</v>
          </cell>
          <cell r="D434" t="str">
            <v>#731</v>
          </cell>
          <cell r="E434" t="str">
            <v>CHỈ POY</v>
          </cell>
          <cell r="F434" t="str">
            <v>1200*85*6</v>
          </cell>
          <cell r="G434">
            <v>1200</v>
          </cell>
          <cell r="H434">
            <v>85</v>
          </cell>
          <cell r="I434">
            <v>6</v>
          </cell>
          <cell r="J434">
            <v>900</v>
          </cell>
          <cell r="K434">
            <v>0</v>
          </cell>
          <cell r="L434">
            <v>2.4300000000000002</v>
          </cell>
          <cell r="M434">
            <v>0</v>
          </cell>
          <cell r="N434">
            <v>0</v>
          </cell>
          <cell r="O434" t="str">
            <v>40V</v>
          </cell>
          <cell r="P434" t="str">
            <v>1010</v>
          </cell>
          <cell r="Q434" t="str">
            <v>1010</v>
          </cell>
          <cell r="R434">
            <v>2.7</v>
          </cell>
          <cell r="S434">
            <v>0</v>
          </cell>
        </row>
        <row r="435">
          <cell r="A435" t="str">
            <v>Y005-043</v>
          </cell>
          <cell r="B435">
            <v>0</v>
          </cell>
          <cell r="C435" t="str">
            <v>Y005</v>
          </cell>
          <cell r="D435" t="str">
            <v>#3600-71</v>
          </cell>
          <cell r="E435" t="str">
            <v>CHỈ POY</v>
          </cell>
          <cell r="F435" t="str">
            <v>450*19*13</v>
          </cell>
          <cell r="G435">
            <v>450</v>
          </cell>
          <cell r="H435">
            <v>19</v>
          </cell>
          <cell r="I435">
            <v>13</v>
          </cell>
          <cell r="J435">
            <v>150</v>
          </cell>
          <cell r="K435">
            <v>0</v>
          </cell>
          <cell r="L435">
            <v>0.4</v>
          </cell>
          <cell r="M435">
            <v>0</v>
          </cell>
          <cell r="N435">
            <v>0</v>
          </cell>
          <cell r="O435" t="str">
            <v>40V</v>
          </cell>
          <cell r="P435" t="str">
            <v>1010</v>
          </cell>
          <cell r="Q435" t="str">
            <v>1010</v>
          </cell>
          <cell r="R435">
            <v>2.666666666666667</v>
          </cell>
          <cell r="S435">
            <v>0</v>
          </cell>
        </row>
        <row r="436">
          <cell r="A436" t="str">
            <v>Y005-044</v>
          </cell>
          <cell r="B436">
            <v>0</v>
          </cell>
          <cell r="C436" t="str">
            <v>Y005</v>
          </cell>
          <cell r="D436" t="str">
            <v>#3603-71</v>
          </cell>
          <cell r="E436" t="str">
            <v>HOA + CHỈ</v>
          </cell>
          <cell r="F436" t="str">
            <v>465*50*9</v>
          </cell>
          <cell r="G436">
            <v>465</v>
          </cell>
          <cell r="H436">
            <v>50</v>
          </cell>
          <cell r="I436">
            <v>9</v>
          </cell>
          <cell r="J436">
            <v>80</v>
          </cell>
          <cell r="K436">
            <v>0</v>
          </cell>
          <cell r="L436">
            <v>0.32</v>
          </cell>
          <cell r="M436">
            <v>0</v>
          </cell>
          <cell r="N436">
            <v>0</v>
          </cell>
          <cell r="O436" t="str">
            <v>40V</v>
          </cell>
          <cell r="P436" t="str">
            <v>1010</v>
          </cell>
          <cell r="Q436" t="str">
            <v>1010</v>
          </cell>
          <cell r="R436">
            <v>4</v>
          </cell>
          <cell r="S436">
            <v>0</v>
          </cell>
        </row>
        <row r="437">
          <cell r="A437" t="str">
            <v>Y005-045</v>
          </cell>
          <cell r="B437">
            <v>0</v>
          </cell>
          <cell r="C437" t="str">
            <v>Y005</v>
          </cell>
          <cell r="D437" t="str">
            <v>#3603-53H</v>
          </cell>
          <cell r="E437" t="str">
            <v>POLY đầu giường</v>
          </cell>
          <cell r="F437" t="str">
            <v>1030*535*9</v>
          </cell>
          <cell r="G437">
            <v>1030</v>
          </cell>
          <cell r="H437">
            <v>535</v>
          </cell>
          <cell r="I437">
            <v>9</v>
          </cell>
          <cell r="J437">
            <v>430</v>
          </cell>
          <cell r="K437">
            <v>0</v>
          </cell>
          <cell r="L437">
            <v>1.72</v>
          </cell>
          <cell r="M437">
            <v>0</v>
          </cell>
          <cell r="N437">
            <v>0</v>
          </cell>
          <cell r="O437" t="str">
            <v>40V</v>
          </cell>
          <cell r="P437" t="str">
            <v>1010</v>
          </cell>
          <cell r="Q437" t="str">
            <v>1010</v>
          </cell>
          <cell r="R437">
            <v>4</v>
          </cell>
          <cell r="S437">
            <v>0</v>
          </cell>
        </row>
        <row r="438">
          <cell r="A438" t="str">
            <v>Y005-046</v>
          </cell>
          <cell r="B438">
            <v>0</v>
          </cell>
          <cell r="C438" t="str">
            <v>Y005</v>
          </cell>
          <cell r="D438">
            <v>0</v>
          </cell>
          <cell r="E438" t="str">
            <v>CHỈ</v>
          </cell>
          <cell r="F438" t="str">
            <v>1080*19*13</v>
          </cell>
          <cell r="G438">
            <v>1080</v>
          </cell>
          <cell r="H438">
            <v>19</v>
          </cell>
          <cell r="I438">
            <v>13</v>
          </cell>
          <cell r="J438">
            <v>390</v>
          </cell>
          <cell r="K438">
            <v>0</v>
          </cell>
          <cell r="L438">
            <v>0.95</v>
          </cell>
          <cell r="M438">
            <v>0</v>
          </cell>
          <cell r="N438">
            <v>0</v>
          </cell>
          <cell r="O438" t="str">
            <v>40V</v>
          </cell>
          <cell r="P438" t="str">
            <v>1010</v>
          </cell>
          <cell r="Q438" t="str">
            <v>1010</v>
          </cell>
          <cell r="R438">
            <v>2.4358974358974357</v>
          </cell>
          <cell r="S438">
            <v>0</v>
          </cell>
        </row>
        <row r="439">
          <cell r="A439" t="str">
            <v>Y005-047</v>
          </cell>
          <cell r="B439">
            <v>0</v>
          </cell>
          <cell r="C439" t="str">
            <v>Y005</v>
          </cell>
          <cell r="D439" t="str">
            <v>#369-15</v>
          </cell>
          <cell r="E439" t="str">
            <v>POLY</v>
          </cell>
          <cell r="F439" t="str">
            <v>1178*15*9</v>
          </cell>
          <cell r="G439">
            <v>1178</v>
          </cell>
          <cell r="H439">
            <v>15</v>
          </cell>
          <cell r="I439">
            <v>9</v>
          </cell>
          <cell r="J439">
            <v>250</v>
          </cell>
          <cell r="K439">
            <v>0</v>
          </cell>
          <cell r="L439">
            <v>0.65</v>
          </cell>
          <cell r="M439">
            <v>0</v>
          </cell>
          <cell r="N439">
            <v>0</v>
          </cell>
          <cell r="O439" t="str">
            <v>40V</v>
          </cell>
          <cell r="P439" t="str">
            <v>1010</v>
          </cell>
          <cell r="Q439" t="str">
            <v>1010</v>
          </cell>
          <cell r="R439">
            <v>2.6</v>
          </cell>
          <cell r="S439">
            <v>0</v>
          </cell>
        </row>
        <row r="440">
          <cell r="A440" t="str">
            <v>Y005-048</v>
          </cell>
          <cell r="B440">
            <v>0</v>
          </cell>
          <cell r="C440" t="str">
            <v>Y005</v>
          </cell>
          <cell r="D440" t="str">
            <v>#369-54F</v>
          </cell>
          <cell r="E440" t="str">
            <v>POLY</v>
          </cell>
          <cell r="F440" t="str">
            <v>960*15*9</v>
          </cell>
          <cell r="G440">
            <v>960</v>
          </cell>
          <cell r="H440">
            <v>15</v>
          </cell>
          <cell r="I440">
            <v>9</v>
          </cell>
          <cell r="J440">
            <v>230</v>
          </cell>
          <cell r="K440">
            <v>0</v>
          </cell>
          <cell r="L440">
            <v>0.6</v>
          </cell>
          <cell r="M440">
            <v>0</v>
          </cell>
          <cell r="N440">
            <v>0</v>
          </cell>
          <cell r="O440" t="str">
            <v>40V</v>
          </cell>
          <cell r="P440" t="str">
            <v>1010</v>
          </cell>
          <cell r="Q440" t="str">
            <v>1010</v>
          </cell>
          <cell r="R440">
            <v>2.6086956521739126</v>
          </cell>
          <cell r="S440">
            <v>0</v>
          </cell>
        </row>
        <row r="441">
          <cell r="A441" t="str">
            <v>Y005-049</v>
          </cell>
          <cell r="B441">
            <v>0</v>
          </cell>
          <cell r="C441" t="str">
            <v>Y005</v>
          </cell>
          <cell r="D441" t="str">
            <v>#369-54F</v>
          </cell>
          <cell r="E441" t="str">
            <v>POLY</v>
          </cell>
          <cell r="F441" t="str">
            <v>960*15*9</v>
          </cell>
          <cell r="G441">
            <v>960</v>
          </cell>
          <cell r="H441">
            <v>15</v>
          </cell>
          <cell r="I441">
            <v>9</v>
          </cell>
          <cell r="J441">
            <v>230</v>
          </cell>
          <cell r="K441">
            <v>0</v>
          </cell>
          <cell r="L441">
            <v>0.6</v>
          </cell>
          <cell r="M441">
            <v>0</v>
          </cell>
          <cell r="N441">
            <v>0</v>
          </cell>
          <cell r="O441" t="str">
            <v>40V</v>
          </cell>
          <cell r="P441" t="str">
            <v>1010</v>
          </cell>
          <cell r="Q441" t="str">
            <v>1010</v>
          </cell>
          <cell r="R441">
            <v>2.6086956521739126</v>
          </cell>
          <cell r="S441">
            <v>0</v>
          </cell>
        </row>
        <row r="442">
          <cell r="A442" t="str">
            <v>Y005-050</v>
          </cell>
          <cell r="B442">
            <v>0</v>
          </cell>
          <cell r="C442" t="str">
            <v>Y005</v>
          </cell>
          <cell r="D442" t="str">
            <v>#369-55F</v>
          </cell>
          <cell r="E442" t="str">
            <v>POLY</v>
          </cell>
          <cell r="F442" t="str">
            <v>750*15*9</v>
          </cell>
          <cell r="G442">
            <v>750</v>
          </cell>
          <cell r="H442">
            <v>15</v>
          </cell>
          <cell r="I442">
            <v>9</v>
          </cell>
          <cell r="J442">
            <v>180</v>
          </cell>
          <cell r="K442">
            <v>0</v>
          </cell>
          <cell r="L442">
            <v>0.51</v>
          </cell>
          <cell r="M442">
            <v>0</v>
          </cell>
          <cell r="N442">
            <v>0</v>
          </cell>
          <cell r="O442" t="str">
            <v>40V</v>
          </cell>
          <cell r="P442" t="str">
            <v>1010</v>
          </cell>
          <cell r="Q442" t="str">
            <v>1010</v>
          </cell>
          <cell r="R442">
            <v>2.8333333333333335</v>
          </cell>
          <cell r="S442">
            <v>0</v>
          </cell>
        </row>
        <row r="443">
          <cell r="A443" t="str">
            <v>Y005-051</v>
          </cell>
          <cell r="B443">
            <v>0</v>
          </cell>
          <cell r="C443" t="str">
            <v>Y005</v>
          </cell>
          <cell r="D443" t="str">
            <v>#369-55F</v>
          </cell>
          <cell r="E443" t="str">
            <v>POLY</v>
          </cell>
          <cell r="F443" t="str">
            <v>750*15*9</v>
          </cell>
          <cell r="G443">
            <v>750</v>
          </cell>
          <cell r="H443">
            <v>15</v>
          </cell>
          <cell r="I443">
            <v>9</v>
          </cell>
          <cell r="J443">
            <v>180</v>
          </cell>
          <cell r="K443">
            <v>0</v>
          </cell>
          <cell r="L443">
            <v>0.51</v>
          </cell>
          <cell r="M443">
            <v>0</v>
          </cell>
          <cell r="N443">
            <v>0</v>
          </cell>
          <cell r="O443" t="str">
            <v>40V</v>
          </cell>
          <cell r="P443" t="str">
            <v>1010</v>
          </cell>
          <cell r="Q443" t="str">
            <v>1010</v>
          </cell>
          <cell r="R443">
            <v>2.8333333333333335</v>
          </cell>
          <cell r="S443">
            <v>0</v>
          </cell>
        </row>
        <row r="444">
          <cell r="A444" t="str">
            <v>Y005-052</v>
          </cell>
          <cell r="B444">
            <v>0</v>
          </cell>
          <cell r="C444" t="str">
            <v>Y005</v>
          </cell>
          <cell r="D444" t="str">
            <v>#369-54/55H</v>
          </cell>
          <cell r="E444" t="str">
            <v>POLY</v>
          </cell>
          <cell r="F444" t="str">
            <v>70*70*10*5</v>
          </cell>
          <cell r="G444">
            <v>70</v>
          </cell>
          <cell r="H444">
            <v>70</v>
          </cell>
          <cell r="I444" t="str">
            <v>10*5</v>
          </cell>
          <cell r="J444">
            <v>20</v>
          </cell>
          <cell r="K444">
            <v>0</v>
          </cell>
          <cell r="L444">
            <v>6.4000000000000001E-2</v>
          </cell>
          <cell r="M444">
            <v>0</v>
          </cell>
          <cell r="N444">
            <v>0</v>
          </cell>
          <cell r="O444" t="str">
            <v>40V</v>
          </cell>
          <cell r="P444" t="str">
            <v>1010</v>
          </cell>
          <cell r="Q444" t="str">
            <v>1010</v>
          </cell>
          <cell r="R444">
            <v>3.2</v>
          </cell>
          <cell r="S444">
            <v>0</v>
          </cell>
        </row>
        <row r="445">
          <cell r="A445" t="str">
            <v>Y005-053</v>
          </cell>
          <cell r="B445">
            <v>0</v>
          </cell>
          <cell r="C445" t="str">
            <v>Y005</v>
          </cell>
          <cell r="D445" t="str">
            <v>#369-54/55F</v>
          </cell>
          <cell r="E445" t="str">
            <v>POLY</v>
          </cell>
          <cell r="F445" t="str">
            <v>70*70*10*5</v>
          </cell>
          <cell r="G445">
            <v>70</v>
          </cell>
          <cell r="H445">
            <v>70</v>
          </cell>
          <cell r="I445" t="str">
            <v>10*5</v>
          </cell>
          <cell r="J445">
            <v>20</v>
          </cell>
          <cell r="K445">
            <v>0</v>
          </cell>
          <cell r="L445">
            <v>6.4000000000000001E-2</v>
          </cell>
          <cell r="M445">
            <v>0</v>
          </cell>
          <cell r="N445">
            <v>0</v>
          </cell>
          <cell r="O445" t="str">
            <v>40V</v>
          </cell>
          <cell r="P445" t="str">
            <v>1010</v>
          </cell>
          <cell r="Q445" t="str">
            <v>1010</v>
          </cell>
          <cell r="R445">
            <v>3.2</v>
          </cell>
          <cell r="S445">
            <v>0</v>
          </cell>
        </row>
        <row r="446">
          <cell r="A446" t="str">
            <v>Y005-054</v>
          </cell>
          <cell r="B446">
            <v>0</v>
          </cell>
          <cell r="C446" t="str">
            <v>Y005</v>
          </cell>
          <cell r="D446" t="str">
            <v>#369-71</v>
          </cell>
          <cell r="E446" t="str">
            <v>POLY</v>
          </cell>
          <cell r="F446" t="str">
            <v>48*48**10*5</v>
          </cell>
          <cell r="G446">
            <v>48</v>
          </cell>
          <cell r="H446">
            <v>48</v>
          </cell>
          <cell r="I446" t="str">
            <v>10*5</v>
          </cell>
          <cell r="J446">
            <v>10</v>
          </cell>
          <cell r="K446">
            <v>0</v>
          </cell>
          <cell r="L446">
            <v>3.2000000000000001E-2</v>
          </cell>
          <cell r="M446">
            <v>0</v>
          </cell>
          <cell r="N446">
            <v>0</v>
          </cell>
          <cell r="O446" t="str">
            <v>40V</v>
          </cell>
          <cell r="P446" t="str">
            <v>1010</v>
          </cell>
          <cell r="Q446" t="str">
            <v>1010</v>
          </cell>
          <cell r="R446">
            <v>3.2</v>
          </cell>
          <cell r="S446">
            <v>0</v>
          </cell>
        </row>
        <row r="447">
          <cell r="A447" t="str">
            <v>Y005-055</v>
          </cell>
          <cell r="B447">
            <v>0</v>
          </cell>
          <cell r="C447" t="str">
            <v>Y005</v>
          </cell>
          <cell r="D447" t="str">
            <v>#369-75</v>
          </cell>
          <cell r="E447" t="str">
            <v>POLY</v>
          </cell>
          <cell r="F447" t="str">
            <v>48*48**10*5</v>
          </cell>
          <cell r="G447">
            <v>48</v>
          </cell>
          <cell r="H447">
            <v>48</v>
          </cell>
          <cell r="I447" t="str">
            <v>10*5</v>
          </cell>
          <cell r="J447">
            <v>10</v>
          </cell>
          <cell r="K447">
            <v>0</v>
          </cell>
          <cell r="L447">
            <v>3.2000000000000001E-2</v>
          </cell>
          <cell r="M447">
            <v>0</v>
          </cell>
          <cell r="N447">
            <v>0</v>
          </cell>
          <cell r="O447" t="str">
            <v>40V</v>
          </cell>
          <cell r="P447" t="str">
            <v>1010</v>
          </cell>
          <cell r="Q447" t="str">
            <v>1010</v>
          </cell>
          <cell r="R447">
            <v>3.2</v>
          </cell>
          <cell r="S447">
            <v>0</v>
          </cell>
        </row>
        <row r="448">
          <cell r="A448" t="str">
            <v>Y005-056</v>
          </cell>
          <cell r="B448">
            <v>0</v>
          </cell>
          <cell r="C448" t="str">
            <v>Y005</v>
          </cell>
          <cell r="D448" t="str">
            <v>#369-08</v>
          </cell>
          <cell r="E448" t="str">
            <v>POLY</v>
          </cell>
          <cell r="F448" t="str">
            <v>48*48**10*5</v>
          </cell>
          <cell r="G448">
            <v>48</v>
          </cell>
          <cell r="H448">
            <v>48</v>
          </cell>
          <cell r="I448" t="str">
            <v>10*5</v>
          </cell>
          <cell r="J448">
            <v>10</v>
          </cell>
          <cell r="K448">
            <v>0</v>
          </cell>
          <cell r="L448">
            <v>3.2000000000000001E-2</v>
          </cell>
          <cell r="M448">
            <v>0</v>
          </cell>
          <cell r="N448">
            <v>0</v>
          </cell>
          <cell r="O448" t="str">
            <v>40V</v>
          </cell>
          <cell r="P448" t="str">
            <v>1010</v>
          </cell>
          <cell r="Q448" t="str">
            <v>1010</v>
          </cell>
          <cell r="R448">
            <v>3.2</v>
          </cell>
          <cell r="S448">
            <v>0</v>
          </cell>
        </row>
        <row r="449">
          <cell r="A449" t="str">
            <v>Y005-057</v>
          </cell>
          <cell r="B449">
            <v>0</v>
          </cell>
          <cell r="C449" t="str">
            <v>Y005</v>
          </cell>
          <cell r="D449" t="str">
            <v>#369-78</v>
          </cell>
          <cell r="E449" t="str">
            <v>POLY</v>
          </cell>
          <cell r="F449" t="str">
            <v>48*48**10*5</v>
          </cell>
          <cell r="G449">
            <v>48</v>
          </cell>
          <cell r="H449">
            <v>48</v>
          </cell>
          <cell r="I449" t="str">
            <v>10*5</v>
          </cell>
          <cell r="J449">
            <v>10</v>
          </cell>
          <cell r="K449">
            <v>0</v>
          </cell>
          <cell r="L449">
            <v>3.2000000000000001E-2</v>
          </cell>
          <cell r="M449">
            <v>0</v>
          </cell>
          <cell r="N449">
            <v>0</v>
          </cell>
          <cell r="O449" t="str">
            <v>40V</v>
          </cell>
          <cell r="P449" t="str">
            <v>1010</v>
          </cell>
          <cell r="Q449" t="str">
            <v>1010</v>
          </cell>
          <cell r="R449">
            <v>3.2</v>
          </cell>
          <cell r="S449">
            <v>0</v>
          </cell>
        </row>
        <row r="450">
          <cell r="A450" t="str">
            <v>Y005-058</v>
          </cell>
          <cell r="B450">
            <v>0</v>
          </cell>
          <cell r="C450" t="str">
            <v>Y005</v>
          </cell>
          <cell r="D450">
            <v>0</v>
          </cell>
          <cell r="E450" t="str">
            <v>POLY</v>
          </cell>
          <cell r="F450" t="str">
            <v>1670*350*5</v>
          </cell>
          <cell r="G450">
            <v>1670</v>
          </cell>
          <cell r="H450">
            <v>350</v>
          </cell>
          <cell r="I450">
            <v>5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 t="str">
            <v>40V</v>
          </cell>
          <cell r="P450" t="str">
            <v>1010</v>
          </cell>
          <cell r="Q450" t="str">
            <v>1010</v>
          </cell>
          <cell r="R450" t="e">
            <v>#DIV/0!</v>
          </cell>
          <cell r="S450">
            <v>0</v>
          </cell>
        </row>
        <row r="451">
          <cell r="A451" t="str">
            <v>Y005-059</v>
          </cell>
          <cell r="B451">
            <v>0</v>
          </cell>
          <cell r="C451" t="str">
            <v>Y005</v>
          </cell>
          <cell r="D451" t="str">
            <v>#H2588-H</v>
          </cell>
          <cell r="E451" t="str">
            <v xml:space="preserve">Chỉ cổ gốc </v>
          </cell>
          <cell r="F451" t="str">
            <v>54.5*29.5*10.5</v>
          </cell>
          <cell r="G451">
            <v>54.5</v>
          </cell>
          <cell r="H451">
            <v>29.5</v>
          </cell>
          <cell r="I451">
            <v>10.5</v>
          </cell>
          <cell r="J451">
            <v>50</v>
          </cell>
          <cell r="K451">
            <v>0</v>
          </cell>
          <cell r="L451">
            <v>0.15</v>
          </cell>
          <cell r="M451">
            <v>0</v>
          </cell>
          <cell r="N451">
            <v>0</v>
          </cell>
          <cell r="O451" t="str">
            <v>40V</v>
          </cell>
          <cell r="P451" t="str">
            <v>1010</v>
          </cell>
          <cell r="Q451" t="str">
            <v>1010</v>
          </cell>
          <cell r="R451">
            <v>2.9999999999999996</v>
          </cell>
          <cell r="S451">
            <v>0</v>
          </cell>
        </row>
        <row r="452">
          <cell r="A452" t="str">
            <v>Y005-060</v>
          </cell>
          <cell r="B452">
            <v>0</v>
          </cell>
          <cell r="C452" t="str">
            <v>Y005</v>
          </cell>
          <cell r="D452" t="str">
            <v>#H2588-H</v>
          </cell>
          <cell r="E452" t="str">
            <v>Chỉ cập</v>
          </cell>
          <cell r="F452" t="str">
            <v>800*8*4</v>
          </cell>
          <cell r="G452">
            <v>800</v>
          </cell>
          <cell r="H452">
            <v>8</v>
          </cell>
          <cell r="I452">
            <v>4</v>
          </cell>
          <cell r="J452">
            <v>65</v>
          </cell>
          <cell r="K452">
            <v>0</v>
          </cell>
          <cell r="L452">
            <v>0.16</v>
          </cell>
          <cell r="M452">
            <v>0</v>
          </cell>
          <cell r="N452">
            <v>0</v>
          </cell>
          <cell r="O452" t="str">
            <v>40V</v>
          </cell>
          <cell r="P452" t="str">
            <v>1010</v>
          </cell>
          <cell r="Q452" t="str">
            <v>1010</v>
          </cell>
          <cell r="R452">
            <v>2.4615384615384617</v>
          </cell>
          <cell r="S452">
            <v>0</v>
          </cell>
        </row>
        <row r="453">
          <cell r="A453" t="str">
            <v>Y005-061</v>
          </cell>
          <cell r="B453">
            <v>0</v>
          </cell>
          <cell r="C453" t="str">
            <v>Y005</v>
          </cell>
          <cell r="D453" t="str">
            <v>#369-54H</v>
          </cell>
          <cell r="E453" t="str">
            <v xml:space="preserve">Thanh giữa </v>
          </cell>
          <cell r="F453" t="str">
            <v>670*15*9</v>
          </cell>
          <cell r="G453">
            <v>670</v>
          </cell>
          <cell r="H453">
            <v>15</v>
          </cell>
          <cell r="I453">
            <v>9</v>
          </cell>
          <cell r="J453">
            <v>125</v>
          </cell>
          <cell r="K453">
            <v>0</v>
          </cell>
          <cell r="L453">
            <v>0.38</v>
          </cell>
          <cell r="M453">
            <v>0</v>
          </cell>
          <cell r="N453">
            <v>0</v>
          </cell>
          <cell r="O453" t="str">
            <v>40V</v>
          </cell>
          <cell r="P453" t="str">
            <v>1010</v>
          </cell>
          <cell r="Q453" t="str">
            <v>1010</v>
          </cell>
          <cell r="R453">
            <v>3.04</v>
          </cell>
          <cell r="S453">
            <v>0</v>
          </cell>
        </row>
        <row r="454">
          <cell r="A454" t="str">
            <v>Y005-062</v>
          </cell>
          <cell r="B454">
            <v>0</v>
          </cell>
          <cell r="C454" t="str">
            <v>Y005</v>
          </cell>
          <cell r="D454" t="str">
            <v>#369-54H</v>
          </cell>
          <cell r="E454" t="str">
            <v>Thanh Trái -L</v>
          </cell>
          <cell r="F454" t="str">
            <v>570*15*9</v>
          </cell>
          <cell r="G454">
            <v>570</v>
          </cell>
          <cell r="H454">
            <v>15</v>
          </cell>
          <cell r="I454">
            <v>9</v>
          </cell>
          <cell r="J454">
            <v>98</v>
          </cell>
          <cell r="K454">
            <v>0</v>
          </cell>
          <cell r="L454">
            <v>0.30399999999999999</v>
          </cell>
          <cell r="M454">
            <v>0</v>
          </cell>
          <cell r="N454">
            <v>0</v>
          </cell>
          <cell r="O454" t="str">
            <v>40V</v>
          </cell>
          <cell r="P454" t="str">
            <v>1010</v>
          </cell>
          <cell r="Q454" t="str">
            <v>1010</v>
          </cell>
          <cell r="R454">
            <v>3.1020408163265305</v>
          </cell>
          <cell r="S454">
            <v>0</v>
          </cell>
        </row>
        <row r="455">
          <cell r="A455" t="str">
            <v>Y005-063</v>
          </cell>
          <cell r="B455">
            <v>0</v>
          </cell>
          <cell r="C455" t="str">
            <v>Y005</v>
          </cell>
          <cell r="D455" t="str">
            <v>#369-54H</v>
          </cell>
          <cell r="E455" t="str">
            <v>Thanh phải-R</v>
          </cell>
          <cell r="F455" t="str">
            <v>570*15*9</v>
          </cell>
          <cell r="G455">
            <v>570</v>
          </cell>
          <cell r="H455">
            <v>15</v>
          </cell>
          <cell r="I455">
            <v>9</v>
          </cell>
          <cell r="J455">
            <v>98</v>
          </cell>
          <cell r="K455">
            <v>0</v>
          </cell>
          <cell r="L455">
            <v>0.30399999999999999</v>
          </cell>
          <cell r="M455">
            <v>0</v>
          </cell>
          <cell r="N455">
            <v>0</v>
          </cell>
          <cell r="O455" t="str">
            <v>40V</v>
          </cell>
          <cell r="P455" t="str">
            <v>1010</v>
          </cell>
          <cell r="Q455" t="str">
            <v>1010</v>
          </cell>
          <cell r="R455">
            <v>3.1020408163265305</v>
          </cell>
          <cell r="S455">
            <v>0</v>
          </cell>
        </row>
        <row r="456">
          <cell r="A456" t="str">
            <v>Y005-064</v>
          </cell>
          <cell r="B456">
            <v>0</v>
          </cell>
          <cell r="C456" t="str">
            <v>Y005</v>
          </cell>
          <cell r="D456" t="str">
            <v>#369-54H</v>
          </cell>
          <cell r="E456" t="str">
            <v>Góc</v>
          </cell>
          <cell r="F456" t="str">
            <v>280*15*9</v>
          </cell>
          <cell r="G456">
            <v>280</v>
          </cell>
          <cell r="H456">
            <v>15</v>
          </cell>
          <cell r="I456">
            <v>9</v>
          </cell>
          <cell r="J456">
            <v>46</v>
          </cell>
          <cell r="K456">
            <v>0</v>
          </cell>
          <cell r="L456">
            <v>0.14299999999999999</v>
          </cell>
          <cell r="M456">
            <v>0</v>
          </cell>
          <cell r="N456">
            <v>0</v>
          </cell>
          <cell r="O456" t="str">
            <v>40V</v>
          </cell>
          <cell r="P456" t="str">
            <v>1010</v>
          </cell>
          <cell r="Q456" t="str">
            <v>1010</v>
          </cell>
          <cell r="R456">
            <v>3.1086956521739126</v>
          </cell>
          <cell r="S456">
            <v>0</v>
          </cell>
        </row>
        <row r="457">
          <cell r="A457" t="str">
            <v>Y005-065</v>
          </cell>
          <cell r="B457">
            <v>0</v>
          </cell>
          <cell r="C457" t="str">
            <v>Y005</v>
          </cell>
          <cell r="D457" t="str">
            <v>#369-55H</v>
          </cell>
          <cell r="E457" t="str">
            <v xml:space="preserve">Thanh giữa </v>
          </cell>
          <cell r="F457" t="str">
            <v>510*15*9</v>
          </cell>
          <cell r="G457">
            <v>510</v>
          </cell>
          <cell r="H457">
            <v>15</v>
          </cell>
          <cell r="I457">
            <v>9</v>
          </cell>
          <cell r="J457">
            <v>94</v>
          </cell>
          <cell r="K457">
            <v>0</v>
          </cell>
          <cell r="L457">
            <v>0.29499999999999998</v>
          </cell>
          <cell r="M457">
            <v>0</v>
          </cell>
          <cell r="N457">
            <v>0</v>
          </cell>
          <cell r="O457" t="str">
            <v>40V</v>
          </cell>
          <cell r="P457" t="str">
            <v>1010</v>
          </cell>
          <cell r="Q457" t="str">
            <v>1010</v>
          </cell>
          <cell r="R457">
            <v>3.1382978723404253</v>
          </cell>
          <cell r="S457">
            <v>0</v>
          </cell>
        </row>
        <row r="458">
          <cell r="A458" t="str">
            <v>Y005-066</v>
          </cell>
          <cell r="B458">
            <v>0</v>
          </cell>
          <cell r="C458" t="str">
            <v>Y005</v>
          </cell>
          <cell r="D458" t="str">
            <v>#369-55H</v>
          </cell>
          <cell r="E458" t="str">
            <v>Thanh Trái -L</v>
          </cell>
          <cell r="F458" t="str">
            <v>460*15*9</v>
          </cell>
          <cell r="G458">
            <v>460</v>
          </cell>
          <cell r="H458">
            <v>15</v>
          </cell>
          <cell r="I458">
            <v>9</v>
          </cell>
          <cell r="J458">
            <v>84</v>
          </cell>
          <cell r="K458">
            <v>0</v>
          </cell>
          <cell r="L458">
            <v>0.28499999999999998</v>
          </cell>
          <cell r="M458">
            <v>0</v>
          </cell>
          <cell r="N458">
            <v>0</v>
          </cell>
          <cell r="O458" t="str">
            <v>40V</v>
          </cell>
          <cell r="P458" t="str">
            <v>1010</v>
          </cell>
          <cell r="Q458" t="str">
            <v>1010</v>
          </cell>
          <cell r="R458">
            <v>3.3928571428571423</v>
          </cell>
          <cell r="S458">
            <v>0</v>
          </cell>
        </row>
        <row r="459">
          <cell r="A459" t="str">
            <v>Y005-067</v>
          </cell>
          <cell r="B459">
            <v>0</v>
          </cell>
          <cell r="C459" t="str">
            <v>Y005</v>
          </cell>
          <cell r="D459" t="str">
            <v>#369-55H</v>
          </cell>
          <cell r="E459" t="str">
            <v>Thanh phải-R</v>
          </cell>
          <cell r="F459" t="str">
            <v>460*15*9</v>
          </cell>
          <cell r="G459">
            <v>460</v>
          </cell>
          <cell r="H459">
            <v>15</v>
          </cell>
          <cell r="I459">
            <v>9</v>
          </cell>
          <cell r="J459">
            <v>84</v>
          </cell>
          <cell r="K459">
            <v>0</v>
          </cell>
          <cell r="L459">
            <v>0.28499999999999998</v>
          </cell>
          <cell r="M459">
            <v>0</v>
          </cell>
          <cell r="N459">
            <v>0</v>
          </cell>
          <cell r="O459" t="str">
            <v>40V</v>
          </cell>
          <cell r="P459" t="str">
            <v>1010</v>
          </cell>
          <cell r="Q459" t="str">
            <v>1010</v>
          </cell>
          <cell r="R459">
            <v>3.3928571428571423</v>
          </cell>
          <cell r="S459">
            <v>0</v>
          </cell>
        </row>
        <row r="460">
          <cell r="A460" t="str">
            <v>Y005-068</v>
          </cell>
          <cell r="B460">
            <v>0</v>
          </cell>
          <cell r="C460" t="str">
            <v>Y005</v>
          </cell>
          <cell r="D460" t="str">
            <v>#369-55H</v>
          </cell>
          <cell r="E460" t="str">
            <v>Góc</v>
          </cell>
          <cell r="F460" t="str">
            <v>280*15*9</v>
          </cell>
          <cell r="G460">
            <v>280</v>
          </cell>
          <cell r="H460">
            <v>15</v>
          </cell>
          <cell r="I460">
            <v>9</v>
          </cell>
          <cell r="J460">
            <v>46</v>
          </cell>
          <cell r="K460">
            <v>0</v>
          </cell>
          <cell r="L460">
            <v>0.14299999999999999</v>
          </cell>
          <cell r="M460">
            <v>0</v>
          </cell>
          <cell r="N460">
            <v>0</v>
          </cell>
          <cell r="O460" t="str">
            <v>40V</v>
          </cell>
          <cell r="P460" t="str">
            <v>1010</v>
          </cell>
          <cell r="Q460" t="str">
            <v>1010</v>
          </cell>
          <cell r="R460">
            <v>3.1086956521739126</v>
          </cell>
          <cell r="S460">
            <v>0</v>
          </cell>
        </row>
        <row r="461">
          <cell r="A461" t="str">
            <v>Y005-069</v>
          </cell>
          <cell r="B461">
            <v>0</v>
          </cell>
          <cell r="C461" t="str">
            <v>Y005</v>
          </cell>
          <cell r="D461" t="str">
            <v>#369-71</v>
          </cell>
          <cell r="E461" t="str">
            <v xml:space="preserve">Thanh giữa </v>
          </cell>
          <cell r="F461" t="str">
            <v>620*15*9</v>
          </cell>
          <cell r="G461">
            <v>620</v>
          </cell>
          <cell r="H461">
            <v>15</v>
          </cell>
          <cell r="I461">
            <v>9</v>
          </cell>
          <cell r="J461">
            <v>107</v>
          </cell>
          <cell r="K461">
            <v>0</v>
          </cell>
          <cell r="L461">
            <v>0.33300000000000002</v>
          </cell>
          <cell r="M461">
            <v>0</v>
          </cell>
          <cell r="N461">
            <v>0</v>
          </cell>
          <cell r="O461" t="str">
            <v>40V</v>
          </cell>
          <cell r="P461" t="str">
            <v>1010</v>
          </cell>
          <cell r="Q461" t="str">
            <v>1010</v>
          </cell>
          <cell r="R461">
            <v>3.1121495327102804</v>
          </cell>
          <cell r="S461">
            <v>0</v>
          </cell>
        </row>
        <row r="462">
          <cell r="A462" t="str">
            <v>Y005-070</v>
          </cell>
          <cell r="B462">
            <v>0</v>
          </cell>
          <cell r="C462" t="str">
            <v>Y005</v>
          </cell>
          <cell r="D462" t="str">
            <v>#369-71</v>
          </cell>
          <cell r="E462" t="str">
            <v>Thanh Trái -L</v>
          </cell>
          <cell r="F462" t="str">
            <v>450*15*9</v>
          </cell>
          <cell r="G462">
            <v>450</v>
          </cell>
          <cell r="H462">
            <v>15</v>
          </cell>
          <cell r="I462">
            <v>9</v>
          </cell>
          <cell r="J462">
            <v>83</v>
          </cell>
          <cell r="K462">
            <v>0</v>
          </cell>
          <cell r="L462">
            <v>0.28499999999999998</v>
          </cell>
          <cell r="M462">
            <v>0</v>
          </cell>
          <cell r="N462">
            <v>0</v>
          </cell>
          <cell r="O462" t="str">
            <v>40V</v>
          </cell>
          <cell r="P462" t="str">
            <v>1010</v>
          </cell>
          <cell r="Q462" t="str">
            <v>1010</v>
          </cell>
          <cell r="R462">
            <v>3.4337349397590358</v>
          </cell>
          <cell r="S462">
            <v>0</v>
          </cell>
        </row>
        <row r="463">
          <cell r="A463" t="str">
            <v>Y005-071</v>
          </cell>
          <cell r="B463">
            <v>0</v>
          </cell>
          <cell r="C463" t="str">
            <v>Y005</v>
          </cell>
          <cell r="D463" t="str">
            <v>#369-71</v>
          </cell>
          <cell r="E463" t="str">
            <v>Thanh phải-R</v>
          </cell>
          <cell r="F463" t="str">
            <v>450*15*9</v>
          </cell>
          <cell r="G463">
            <v>450</v>
          </cell>
          <cell r="H463">
            <v>15</v>
          </cell>
          <cell r="I463">
            <v>9</v>
          </cell>
          <cell r="J463">
            <v>83</v>
          </cell>
          <cell r="K463">
            <v>0</v>
          </cell>
          <cell r="L463">
            <v>0.28499999999999998</v>
          </cell>
          <cell r="M463">
            <v>0</v>
          </cell>
          <cell r="N463">
            <v>0</v>
          </cell>
          <cell r="O463" t="str">
            <v>40V</v>
          </cell>
          <cell r="P463" t="str">
            <v>1010</v>
          </cell>
          <cell r="Q463" t="str">
            <v>1010</v>
          </cell>
          <cell r="R463">
            <v>3.4337349397590358</v>
          </cell>
          <cell r="S463">
            <v>0</v>
          </cell>
        </row>
        <row r="464">
          <cell r="A464" t="str">
            <v>Y005-072</v>
          </cell>
          <cell r="B464">
            <v>0</v>
          </cell>
          <cell r="C464" t="str">
            <v>Y005</v>
          </cell>
          <cell r="D464" t="str">
            <v>#369-75</v>
          </cell>
          <cell r="E464" t="str">
            <v xml:space="preserve">Thanh giữa </v>
          </cell>
          <cell r="F464" t="str">
            <v>880*15*9</v>
          </cell>
          <cell r="G464">
            <v>880</v>
          </cell>
          <cell r="H464">
            <v>15</v>
          </cell>
          <cell r="I464">
            <v>9</v>
          </cell>
          <cell r="J464">
            <v>155</v>
          </cell>
          <cell r="K464">
            <v>0</v>
          </cell>
          <cell r="L464">
            <v>0.47499999999999998</v>
          </cell>
          <cell r="M464">
            <v>0</v>
          </cell>
          <cell r="N464">
            <v>0</v>
          </cell>
          <cell r="O464" t="str">
            <v>40V</v>
          </cell>
          <cell r="P464" t="str">
            <v>1010</v>
          </cell>
          <cell r="Q464" t="str">
            <v>1010</v>
          </cell>
          <cell r="R464">
            <v>3.064516129032258</v>
          </cell>
          <cell r="S464">
            <v>0</v>
          </cell>
        </row>
        <row r="465">
          <cell r="A465" t="str">
            <v>Y005-073</v>
          </cell>
          <cell r="B465">
            <v>0</v>
          </cell>
          <cell r="C465" t="str">
            <v>Y005</v>
          </cell>
          <cell r="D465" t="str">
            <v>#369-75</v>
          </cell>
          <cell r="E465" t="str">
            <v>Thanh Trái -L</v>
          </cell>
          <cell r="F465" t="str">
            <v>450*15*9</v>
          </cell>
          <cell r="G465">
            <v>450</v>
          </cell>
          <cell r="H465">
            <v>15</v>
          </cell>
          <cell r="I465">
            <v>9</v>
          </cell>
          <cell r="J465">
            <v>83</v>
          </cell>
          <cell r="K465">
            <v>0</v>
          </cell>
          <cell r="L465">
            <v>0.28499999999999998</v>
          </cell>
          <cell r="M465">
            <v>0</v>
          </cell>
          <cell r="N465">
            <v>0</v>
          </cell>
          <cell r="O465" t="str">
            <v>40V</v>
          </cell>
          <cell r="P465" t="str">
            <v>1010</v>
          </cell>
          <cell r="Q465" t="str">
            <v>1010</v>
          </cell>
          <cell r="R465">
            <v>3.4337349397590358</v>
          </cell>
          <cell r="S465">
            <v>0</v>
          </cell>
        </row>
        <row r="466">
          <cell r="A466" t="str">
            <v>Y005-074</v>
          </cell>
          <cell r="B466">
            <v>0</v>
          </cell>
          <cell r="C466" t="str">
            <v>Y005</v>
          </cell>
          <cell r="D466" t="str">
            <v>#369-75</v>
          </cell>
          <cell r="E466" t="str">
            <v>Thanh phải-R</v>
          </cell>
          <cell r="F466" t="str">
            <v>450*15*9</v>
          </cell>
          <cell r="G466">
            <v>450</v>
          </cell>
          <cell r="H466">
            <v>15</v>
          </cell>
          <cell r="I466">
            <v>9</v>
          </cell>
          <cell r="J466">
            <v>83</v>
          </cell>
          <cell r="K466">
            <v>0</v>
          </cell>
          <cell r="L466">
            <v>0.28499999999999998</v>
          </cell>
          <cell r="M466">
            <v>0</v>
          </cell>
          <cell r="N466">
            <v>0</v>
          </cell>
          <cell r="O466" t="str">
            <v>40V</v>
          </cell>
          <cell r="P466" t="str">
            <v>1010</v>
          </cell>
          <cell r="Q466" t="str">
            <v>1010</v>
          </cell>
          <cell r="R466">
            <v>3.4337349397590358</v>
          </cell>
          <cell r="S466">
            <v>0</v>
          </cell>
        </row>
        <row r="467">
          <cell r="A467" t="str">
            <v>Y005-075</v>
          </cell>
          <cell r="B467">
            <v>0</v>
          </cell>
          <cell r="C467" t="str">
            <v>Y005</v>
          </cell>
          <cell r="D467" t="str">
            <v>#369-08</v>
          </cell>
          <cell r="E467" t="str">
            <v xml:space="preserve">Thanh giữa </v>
          </cell>
          <cell r="F467" t="str">
            <v>1050*15*9</v>
          </cell>
          <cell r="G467">
            <v>1050</v>
          </cell>
          <cell r="H467">
            <v>15</v>
          </cell>
          <cell r="I467">
            <v>9</v>
          </cell>
          <cell r="J467">
            <v>178</v>
          </cell>
          <cell r="K467">
            <v>0</v>
          </cell>
          <cell r="L467">
            <v>0.53200000000000003</v>
          </cell>
          <cell r="M467">
            <v>0</v>
          </cell>
          <cell r="N467">
            <v>0</v>
          </cell>
          <cell r="O467" t="str">
            <v>40V</v>
          </cell>
          <cell r="P467" t="str">
            <v>1010</v>
          </cell>
          <cell r="Q467" t="str">
            <v>1010</v>
          </cell>
          <cell r="R467">
            <v>2.9887640449438204</v>
          </cell>
          <cell r="S467">
            <v>0</v>
          </cell>
        </row>
        <row r="468">
          <cell r="A468" t="str">
            <v>Y005-076</v>
          </cell>
          <cell r="B468">
            <v>0</v>
          </cell>
          <cell r="C468" t="str">
            <v>Y005</v>
          </cell>
          <cell r="D468" t="str">
            <v>#369-08</v>
          </cell>
          <cell r="E468" t="str">
            <v>Thanh Trái -L</v>
          </cell>
          <cell r="F468" t="str">
            <v>450*15*9</v>
          </cell>
          <cell r="G468">
            <v>450</v>
          </cell>
          <cell r="H468">
            <v>15</v>
          </cell>
          <cell r="I468">
            <v>9</v>
          </cell>
          <cell r="J468">
            <v>83</v>
          </cell>
          <cell r="K468">
            <v>0</v>
          </cell>
          <cell r="L468">
            <v>0.28499999999999998</v>
          </cell>
          <cell r="M468">
            <v>0</v>
          </cell>
          <cell r="N468">
            <v>0</v>
          </cell>
          <cell r="O468" t="str">
            <v>40V</v>
          </cell>
          <cell r="P468" t="str">
            <v>1010</v>
          </cell>
          <cell r="Q468" t="str">
            <v>1010</v>
          </cell>
          <cell r="R468">
            <v>3.4337349397590358</v>
          </cell>
          <cell r="S468">
            <v>0</v>
          </cell>
        </row>
        <row r="469">
          <cell r="A469" t="str">
            <v>Y005-077</v>
          </cell>
          <cell r="B469">
            <v>0</v>
          </cell>
          <cell r="C469" t="str">
            <v>Y005</v>
          </cell>
          <cell r="D469" t="str">
            <v>#369-08</v>
          </cell>
          <cell r="E469" t="str">
            <v>Thanh phải-R</v>
          </cell>
          <cell r="F469" t="str">
            <v>450*15*9</v>
          </cell>
          <cell r="G469">
            <v>450</v>
          </cell>
          <cell r="H469">
            <v>15</v>
          </cell>
          <cell r="I469">
            <v>9</v>
          </cell>
          <cell r="J469">
            <v>83</v>
          </cell>
          <cell r="K469">
            <v>0</v>
          </cell>
          <cell r="L469">
            <v>0.28499999999999998</v>
          </cell>
          <cell r="M469">
            <v>0</v>
          </cell>
          <cell r="N469">
            <v>0</v>
          </cell>
          <cell r="O469" t="str">
            <v>40V</v>
          </cell>
          <cell r="P469" t="str">
            <v>1010</v>
          </cell>
          <cell r="Q469" t="str">
            <v>1010</v>
          </cell>
          <cell r="R469">
            <v>3.4337349397590358</v>
          </cell>
          <cell r="S469">
            <v>0</v>
          </cell>
        </row>
        <row r="470">
          <cell r="A470" t="str">
            <v>Y005-078</v>
          </cell>
          <cell r="B470">
            <v>0</v>
          </cell>
          <cell r="C470" t="str">
            <v>Y005</v>
          </cell>
          <cell r="D470" t="str">
            <v>#369-78</v>
          </cell>
          <cell r="E470" t="str">
            <v xml:space="preserve">Thanh giữa </v>
          </cell>
          <cell r="F470" t="str">
            <v>1800*15*9</v>
          </cell>
          <cell r="G470">
            <v>1800</v>
          </cell>
          <cell r="H470">
            <v>15</v>
          </cell>
          <cell r="I470">
            <v>9</v>
          </cell>
          <cell r="J470">
            <v>313</v>
          </cell>
          <cell r="K470">
            <v>0</v>
          </cell>
          <cell r="L470">
            <v>0.96</v>
          </cell>
          <cell r="M470">
            <v>0</v>
          </cell>
          <cell r="N470">
            <v>0</v>
          </cell>
          <cell r="O470" t="str">
            <v>40V</v>
          </cell>
          <cell r="P470" t="str">
            <v>1010</v>
          </cell>
          <cell r="Q470" t="str">
            <v>1010</v>
          </cell>
          <cell r="R470">
            <v>3.0670926517571884</v>
          </cell>
          <cell r="S470">
            <v>0</v>
          </cell>
        </row>
        <row r="471">
          <cell r="A471" t="str">
            <v>Y005-079</v>
          </cell>
          <cell r="B471">
            <v>0</v>
          </cell>
          <cell r="C471" t="str">
            <v>Y005</v>
          </cell>
          <cell r="D471" t="str">
            <v>#369-78</v>
          </cell>
          <cell r="E471" t="str">
            <v>Thanh Trái -L</v>
          </cell>
          <cell r="F471" t="str">
            <v>450*15*9</v>
          </cell>
          <cell r="G471">
            <v>450</v>
          </cell>
          <cell r="H471">
            <v>15</v>
          </cell>
          <cell r="I471">
            <v>9</v>
          </cell>
          <cell r="J471">
            <v>83</v>
          </cell>
          <cell r="K471">
            <v>0</v>
          </cell>
          <cell r="L471">
            <v>0.28499999999999998</v>
          </cell>
          <cell r="M471">
            <v>0</v>
          </cell>
          <cell r="N471">
            <v>0</v>
          </cell>
          <cell r="O471" t="str">
            <v>40V</v>
          </cell>
          <cell r="P471" t="str">
            <v>1010</v>
          </cell>
          <cell r="Q471" t="str">
            <v>1010</v>
          </cell>
          <cell r="R471">
            <v>3.4337349397590358</v>
          </cell>
          <cell r="S471">
            <v>0</v>
          </cell>
        </row>
        <row r="472">
          <cell r="A472" t="str">
            <v>Y005-080</v>
          </cell>
          <cell r="B472">
            <v>0</v>
          </cell>
          <cell r="C472" t="str">
            <v>Y005</v>
          </cell>
          <cell r="D472" t="str">
            <v>#369-78</v>
          </cell>
          <cell r="E472" t="str">
            <v>Thanh phải-R</v>
          </cell>
          <cell r="F472" t="str">
            <v>450*15*9</v>
          </cell>
          <cell r="G472">
            <v>450</v>
          </cell>
          <cell r="H472">
            <v>15</v>
          </cell>
          <cell r="I472">
            <v>9</v>
          </cell>
          <cell r="J472">
            <v>83</v>
          </cell>
          <cell r="K472">
            <v>0</v>
          </cell>
          <cell r="L472">
            <v>0.28499999999999998</v>
          </cell>
          <cell r="M472">
            <v>0</v>
          </cell>
          <cell r="N472">
            <v>0</v>
          </cell>
          <cell r="O472" t="str">
            <v>40V</v>
          </cell>
          <cell r="P472" t="str">
            <v>1010</v>
          </cell>
          <cell r="Q472" t="str">
            <v>1010</v>
          </cell>
          <cell r="R472">
            <v>3.4337349397590358</v>
          </cell>
          <cell r="S472">
            <v>0</v>
          </cell>
        </row>
        <row r="473">
          <cell r="A473" t="str">
            <v>Y005-081</v>
          </cell>
          <cell r="B473">
            <v>0</v>
          </cell>
          <cell r="C473" t="str">
            <v>Y005</v>
          </cell>
          <cell r="D473">
            <v>0</v>
          </cell>
          <cell r="E473" t="str">
            <v xml:space="preserve">poly </v>
          </cell>
          <cell r="F473" t="str">
            <v>1050*13*8</v>
          </cell>
          <cell r="G473">
            <v>1050</v>
          </cell>
          <cell r="H473">
            <v>13</v>
          </cell>
          <cell r="I473">
            <v>8</v>
          </cell>
          <cell r="J473">
            <v>122</v>
          </cell>
          <cell r="K473">
            <v>0</v>
          </cell>
          <cell r="L473">
            <v>0.34</v>
          </cell>
          <cell r="M473">
            <v>0</v>
          </cell>
          <cell r="N473">
            <v>0</v>
          </cell>
          <cell r="O473" t="str">
            <v>40V</v>
          </cell>
          <cell r="P473" t="str">
            <v>1010</v>
          </cell>
          <cell r="Q473" t="str">
            <v>1010</v>
          </cell>
          <cell r="R473">
            <v>2.7868852459016398</v>
          </cell>
          <cell r="S473">
            <v>0</v>
          </cell>
        </row>
        <row r="474">
          <cell r="A474" t="str">
            <v>Y005-082</v>
          </cell>
          <cell r="B474">
            <v>0</v>
          </cell>
          <cell r="C474" t="str">
            <v>Y005</v>
          </cell>
          <cell r="D474">
            <v>0</v>
          </cell>
          <cell r="E474" t="str">
            <v xml:space="preserve">poly </v>
          </cell>
          <cell r="F474" t="str">
            <v>1000*10*8</v>
          </cell>
          <cell r="G474">
            <v>1000</v>
          </cell>
          <cell r="H474">
            <v>10</v>
          </cell>
          <cell r="I474">
            <v>8</v>
          </cell>
          <cell r="J474">
            <v>87</v>
          </cell>
          <cell r="K474">
            <v>0</v>
          </cell>
          <cell r="L474">
            <v>0.24</v>
          </cell>
          <cell r="M474">
            <v>0</v>
          </cell>
          <cell r="N474">
            <v>0</v>
          </cell>
          <cell r="O474" t="str">
            <v>40V</v>
          </cell>
          <cell r="P474" t="str">
            <v>1010</v>
          </cell>
          <cell r="Q474" t="str">
            <v>1010</v>
          </cell>
          <cell r="R474">
            <v>2.7586206896551726</v>
          </cell>
          <cell r="S474">
            <v>0</v>
          </cell>
        </row>
        <row r="475">
          <cell r="A475" t="str">
            <v>Y005-083</v>
          </cell>
          <cell r="B475">
            <v>0</v>
          </cell>
          <cell r="C475" t="str">
            <v>Y005</v>
          </cell>
          <cell r="D475" t="str">
            <v>#3557-71</v>
          </cell>
          <cell r="E475" t="str">
            <v>半圆(780*7*4)</v>
          </cell>
          <cell r="F475" t="str">
            <v>780*6*3</v>
          </cell>
          <cell r="G475">
            <v>780</v>
          </cell>
          <cell r="H475">
            <v>6</v>
          </cell>
          <cell r="I475">
            <v>3</v>
          </cell>
          <cell r="J475">
            <v>0</v>
          </cell>
          <cell r="K475">
            <v>0</v>
          </cell>
          <cell r="L475">
            <v>0.157</v>
          </cell>
          <cell r="M475">
            <v>0</v>
          </cell>
          <cell r="N475">
            <v>0</v>
          </cell>
          <cell r="O475">
            <v>0</v>
          </cell>
          <cell r="P475" t="str">
            <v>1010</v>
          </cell>
          <cell r="Q475" t="str">
            <v>1010</v>
          </cell>
          <cell r="R475" t="e">
            <v>#DIV/0!</v>
          </cell>
          <cell r="S475">
            <v>0</v>
          </cell>
        </row>
        <row r="476">
          <cell r="A476" t="str">
            <v>Y005-084</v>
          </cell>
          <cell r="B476">
            <v>0</v>
          </cell>
          <cell r="C476" t="str">
            <v>Y005</v>
          </cell>
          <cell r="D476" t="str">
            <v>#2989+3341-73/75/78*08</v>
          </cell>
          <cell r="E476" t="str">
            <v xml:space="preserve">poly </v>
          </cell>
          <cell r="F476" t="str">
            <v>165*6*3</v>
          </cell>
          <cell r="G476">
            <v>165</v>
          </cell>
          <cell r="H476">
            <v>6</v>
          </cell>
          <cell r="I476">
            <v>3</v>
          </cell>
          <cell r="J476">
            <v>6</v>
          </cell>
          <cell r="K476">
            <v>0</v>
          </cell>
          <cell r="L476">
            <v>0.04</v>
          </cell>
          <cell r="M476">
            <v>0</v>
          </cell>
          <cell r="N476">
            <v>0</v>
          </cell>
          <cell r="O476">
            <v>0</v>
          </cell>
          <cell r="P476" t="str">
            <v>1010</v>
          </cell>
          <cell r="Q476" t="str">
            <v>1010</v>
          </cell>
          <cell r="R476">
            <v>6.666666666666667</v>
          </cell>
          <cell r="S476">
            <v>0</v>
          </cell>
        </row>
        <row r="477">
          <cell r="A477" t="str">
            <v>Y005-085</v>
          </cell>
          <cell r="B477">
            <v>0</v>
          </cell>
          <cell r="C477" t="str">
            <v>Y005</v>
          </cell>
          <cell r="D477" t="str">
            <v>#2989+3341-73/75/78*08</v>
          </cell>
          <cell r="E477" t="str">
            <v xml:space="preserve">poly </v>
          </cell>
          <cell r="F477" t="str">
            <v>565*6*3</v>
          </cell>
          <cell r="G477">
            <v>565</v>
          </cell>
          <cell r="H477">
            <v>6</v>
          </cell>
          <cell r="I477">
            <v>3</v>
          </cell>
          <cell r="J477">
            <v>12</v>
          </cell>
          <cell r="K477">
            <v>0</v>
          </cell>
          <cell r="L477">
            <v>7.0000000000000007E-2</v>
          </cell>
          <cell r="M477">
            <v>0</v>
          </cell>
          <cell r="N477">
            <v>0</v>
          </cell>
          <cell r="O477">
            <v>0</v>
          </cell>
          <cell r="P477" t="str">
            <v>1010</v>
          </cell>
          <cell r="Q477" t="str">
            <v>1010</v>
          </cell>
          <cell r="R477">
            <v>5.8333333333333339</v>
          </cell>
          <cell r="S477">
            <v>0</v>
          </cell>
        </row>
        <row r="478">
          <cell r="A478" t="str">
            <v>Y005-086</v>
          </cell>
          <cell r="B478">
            <v>0</v>
          </cell>
          <cell r="C478" t="str">
            <v>Y005</v>
          </cell>
          <cell r="D478" t="str">
            <v>#3787-71/73/75/78/08</v>
          </cell>
          <cell r="E478" t="str">
            <v>gót chân tủ 柜子脚</v>
          </cell>
          <cell r="F478" t="str">
            <v>140*140*49</v>
          </cell>
          <cell r="G478">
            <v>140</v>
          </cell>
          <cell r="H478">
            <v>140</v>
          </cell>
          <cell r="I478">
            <v>49</v>
          </cell>
          <cell r="J478">
            <v>433</v>
          </cell>
          <cell r="K478">
            <v>1.1000000000000001</v>
          </cell>
          <cell r="L478">
            <v>1.1000000000000001</v>
          </cell>
          <cell r="M478">
            <v>0</v>
          </cell>
          <cell r="N478">
            <v>0</v>
          </cell>
          <cell r="O478">
            <v>0</v>
          </cell>
          <cell r="P478" t="str">
            <v>1010</v>
          </cell>
          <cell r="Q478" t="str">
            <v>1010</v>
          </cell>
          <cell r="R478">
            <v>2.5404157043879909</v>
          </cell>
          <cell r="S478" t="str">
            <v>尚未確認</v>
          </cell>
        </row>
        <row r="479">
          <cell r="A479" t="str">
            <v>Y005-087</v>
          </cell>
          <cell r="B479">
            <v>0</v>
          </cell>
          <cell r="C479" t="str">
            <v>Y005</v>
          </cell>
          <cell r="D479" t="str">
            <v>#3787-64/65F</v>
          </cell>
          <cell r="E479" t="str">
            <v>gót chân giường 床脚</v>
          </cell>
          <cell r="F479" t="str">
            <v>155*155*54</v>
          </cell>
          <cell r="G479">
            <v>155</v>
          </cell>
          <cell r="H479">
            <v>155</v>
          </cell>
          <cell r="I479">
            <v>54</v>
          </cell>
          <cell r="J479">
            <v>619</v>
          </cell>
          <cell r="K479">
            <v>1.1000000000000001</v>
          </cell>
          <cell r="L479">
            <v>1.1000000000000001</v>
          </cell>
          <cell r="M479">
            <v>0</v>
          </cell>
          <cell r="N479">
            <v>0</v>
          </cell>
          <cell r="O479">
            <v>0</v>
          </cell>
          <cell r="P479" t="str">
            <v>1010</v>
          </cell>
          <cell r="Q479" t="str">
            <v>1010</v>
          </cell>
          <cell r="R479">
            <v>1.7770597738287561</v>
          </cell>
          <cell r="S479">
            <v>0</v>
          </cell>
        </row>
        <row r="480">
          <cell r="A480" t="str">
            <v>Y005-088</v>
          </cell>
          <cell r="B480">
            <v>0</v>
          </cell>
          <cell r="C480" t="str">
            <v>Y005</v>
          </cell>
          <cell r="D480" t="str">
            <v>#3787-75</v>
          </cell>
          <cell r="E480" t="str">
            <v>khung poly 框 poly</v>
          </cell>
          <cell r="F480" t="str">
            <v>909*220*8</v>
          </cell>
          <cell r="G480">
            <v>909</v>
          </cell>
          <cell r="H480">
            <v>220</v>
          </cell>
          <cell r="I480">
            <v>8</v>
          </cell>
          <cell r="J480">
            <v>0</v>
          </cell>
          <cell r="K480">
            <v>0.56999999999999995</v>
          </cell>
          <cell r="L480">
            <v>0.55900000000000005</v>
          </cell>
          <cell r="M480">
            <v>0</v>
          </cell>
          <cell r="N480">
            <v>0</v>
          </cell>
          <cell r="O480">
            <v>0</v>
          </cell>
          <cell r="P480" t="str">
            <v>1010</v>
          </cell>
          <cell r="Q480" t="str">
            <v>1010</v>
          </cell>
          <cell r="R480">
            <v>0</v>
          </cell>
          <cell r="S480">
            <v>0</v>
          </cell>
        </row>
        <row r="481">
          <cell r="A481" t="str">
            <v>Y005-089</v>
          </cell>
          <cell r="B481">
            <v>0</v>
          </cell>
          <cell r="C481" t="str">
            <v>Y005</v>
          </cell>
          <cell r="D481" t="str">
            <v>#3787-75</v>
          </cell>
          <cell r="E481" t="str">
            <v>trái 左</v>
          </cell>
          <cell r="F481" t="str">
            <v>336*185*8</v>
          </cell>
          <cell r="G481">
            <v>336</v>
          </cell>
          <cell r="H481">
            <v>185</v>
          </cell>
          <cell r="I481">
            <v>8</v>
          </cell>
          <cell r="J481">
            <v>0</v>
          </cell>
          <cell r="K481">
            <v>0.26</v>
          </cell>
          <cell r="L481">
            <v>0.252</v>
          </cell>
          <cell r="M481">
            <v>0</v>
          </cell>
          <cell r="N481">
            <v>0</v>
          </cell>
          <cell r="O481">
            <v>0</v>
          </cell>
          <cell r="P481" t="str">
            <v>1010</v>
          </cell>
          <cell r="Q481" t="str">
            <v>1010</v>
          </cell>
          <cell r="R481">
            <v>0</v>
          </cell>
          <cell r="S481">
            <v>0</v>
          </cell>
        </row>
        <row r="482">
          <cell r="A482" t="str">
            <v>Y005-090</v>
          </cell>
          <cell r="B482">
            <v>0</v>
          </cell>
          <cell r="C482" t="str">
            <v>Y005</v>
          </cell>
          <cell r="D482" t="str">
            <v>#3787-75</v>
          </cell>
          <cell r="E482" t="str">
            <v>phải 右</v>
          </cell>
          <cell r="F482" t="str">
            <v>336*185*8</v>
          </cell>
          <cell r="G482">
            <v>336</v>
          </cell>
          <cell r="H482">
            <v>185</v>
          </cell>
          <cell r="I482">
            <v>8</v>
          </cell>
          <cell r="J482">
            <v>0</v>
          </cell>
          <cell r="K482">
            <v>0.26</v>
          </cell>
          <cell r="L482">
            <v>0.252</v>
          </cell>
          <cell r="M482">
            <v>0</v>
          </cell>
          <cell r="N482">
            <v>0</v>
          </cell>
          <cell r="O482">
            <v>0</v>
          </cell>
          <cell r="P482" t="str">
            <v>1010</v>
          </cell>
          <cell r="Q482" t="str">
            <v>1010</v>
          </cell>
          <cell r="R482">
            <v>0</v>
          </cell>
          <cell r="S482">
            <v>0</v>
          </cell>
        </row>
        <row r="483">
          <cell r="A483" t="str">
            <v>Y005-091</v>
          </cell>
          <cell r="B483">
            <v>0</v>
          </cell>
          <cell r="C483" t="str">
            <v>Y005</v>
          </cell>
          <cell r="D483" t="str">
            <v>#3787-75</v>
          </cell>
          <cell r="E483" t="str">
            <v>khung poly 框 poly</v>
          </cell>
          <cell r="F483" t="str">
            <v>250*148*8</v>
          </cell>
          <cell r="G483">
            <v>250</v>
          </cell>
          <cell r="H483">
            <v>148</v>
          </cell>
          <cell r="I483">
            <v>8</v>
          </cell>
          <cell r="J483">
            <v>0</v>
          </cell>
          <cell r="K483">
            <v>0.17</v>
          </cell>
          <cell r="L483">
            <v>0.16500000000000001</v>
          </cell>
          <cell r="M483">
            <v>0</v>
          </cell>
          <cell r="N483">
            <v>0</v>
          </cell>
          <cell r="O483">
            <v>0</v>
          </cell>
          <cell r="P483" t="str">
            <v>1010</v>
          </cell>
          <cell r="Q483" t="str">
            <v>1010</v>
          </cell>
          <cell r="R483">
            <v>0</v>
          </cell>
          <cell r="S483">
            <v>0</v>
          </cell>
        </row>
        <row r="484">
          <cell r="A484" t="str">
            <v>Y005-092</v>
          </cell>
          <cell r="B484">
            <v>0</v>
          </cell>
          <cell r="C484" t="str">
            <v>Y005</v>
          </cell>
          <cell r="D484" t="str">
            <v>#3787-75</v>
          </cell>
          <cell r="E484" t="str">
            <v>khung poly 框 poly</v>
          </cell>
          <cell r="F484" t="str">
            <v>1252*300*8</v>
          </cell>
          <cell r="G484">
            <v>1252</v>
          </cell>
          <cell r="H484">
            <v>300</v>
          </cell>
          <cell r="I484">
            <v>8</v>
          </cell>
          <cell r="J484">
            <v>0</v>
          </cell>
          <cell r="K484">
            <v>0.78</v>
          </cell>
          <cell r="L484">
            <v>0.76400000000000001</v>
          </cell>
          <cell r="M484">
            <v>0</v>
          </cell>
          <cell r="N484">
            <v>0</v>
          </cell>
          <cell r="O484">
            <v>0</v>
          </cell>
          <cell r="P484" t="str">
            <v>1010</v>
          </cell>
          <cell r="Q484" t="str">
            <v>1010</v>
          </cell>
          <cell r="R484">
            <v>0</v>
          </cell>
          <cell r="S484">
            <v>0</v>
          </cell>
        </row>
        <row r="485">
          <cell r="A485" t="str">
            <v>Y005-093</v>
          </cell>
          <cell r="B485">
            <v>0</v>
          </cell>
          <cell r="C485" t="str">
            <v>Y005</v>
          </cell>
          <cell r="D485" t="str">
            <v>#3787-75</v>
          </cell>
          <cell r="E485" t="str">
            <v>khung poly 框 poly</v>
          </cell>
          <cell r="F485" t="str">
            <v>1262*110</v>
          </cell>
          <cell r="G485">
            <v>1262</v>
          </cell>
          <cell r="H485">
            <v>110</v>
          </cell>
          <cell r="I485">
            <v>0</v>
          </cell>
          <cell r="J485">
            <v>0</v>
          </cell>
          <cell r="K485">
            <v>0.56000000000000005</v>
          </cell>
          <cell r="L485">
            <v>0.54900000000000004</v>
          </cell>
          <cell r="M485">
            <v>0</v>
          </cell>
          <cell r="N485">
            <v>0</v>
          </cell>
          <cell r="O485">
            <v>0</v>
          </cell>
          <cell r="P485" t="str">
            <v>1010</v>
          </cell>
          <cell r="Q485" t="str">
            <v>1010</v>
          </cell>
          <cell r="R485">
            <v>0</v>
          </cell>
          <cell r="S485">
            <v>0</v>
          </cell>
        </row>
        <row r="486">
          <cell r="A486" t="str">
            <v>Y005-094</v>
          </cell>
          <cell r="B486">
            <v>0</v>
          </cell>
          <cell r="C486" t="str">
            <v>Y005</v>
          </cell>
          <cell r="D486" t="str">
            <v>#3787-78</v>
          </cell>
          <cell r="E486" t="str">
            <v>khung poly 框 poly</v>
          </cell>
          <cell r="F486" t="str">
            <v>651*221*8</v>
          </cell>
          <cell r="G486">
            <v>651</v>
          </cell>
          <cell r="H486">
            <v>221</v>
          </cell>
          <cell r="I486">
            <v>8</v>
          </cell>
          <cell r="J486">
            <v>0</v>
          </cell>
          <cell r="K486">
            <v>0.46</v>
          </cell>
          <cell r="L486">
            <v>0.44600000000000001</v>
          </cell>
          <cell r="M486">
            <v>0</v>
          </cell>
          <cell r="N486">
            <v>0</v>
          </cell>
          <cell r="O486">
            <v>0</v>
          </cell>
          <cell r="P486" t="str">
            <v>1010</v>
          </cell>
          <cell r="Q486" t="str">
            <v>1010</v>
          </cell>
          <cell r="R486">
            <v>0</v>
          </cell>
          <cell r="S486">
            <v>0</v>
          </cell>
        </row>
        <row r="487">
          <cell r="A487" t="str">
            <v>Y005-095</v>
          </cell>
          <cell r="B487">
            <v>0</v>
          </cell>
          <cell r="C487" t="str">
            <v>Y005</v>
          </cell>
          <cell r="D487" t="str">
            <v>#3787-78</v>
          </cell>
          <cell r="E487" t="str">
            <v>khung poly 框 poly</v>
          </cell>
          <cell r="F487" t="str">
            <v>780*301*8</v>
          </cell>
          <cell r="G487">
            <v>780</v>
          </cell>
          <cell r="H487">
            <v>301</v>
          </cell>
          <cell r="I487">
            <v>8</v>
          </cell>
          <cell r="J487">
            <v>0</v>
          </cell>
          <cell r="K487">
            <v>0.54</v>
          </cell>
          <cell r="L487">
            <v>0.52900000000000003</v>
          </cell>
          <cell r="M487">
            <v>0</v>
          </cell>
          <cell r="N487">
            <v>0</v>
          </cell>
          <cell r="O487">
            <v>0</v>
          </cell>
          <cell r="P487" t="str">
            <v>1010</v>
          </cell>
          <cell r="Q487" t="str">
            <v>1010</v>
          </cell>
          <cell r="R487">
            <v>0</v>
          </cell>
          <cell r="S487">
            <v>0</v>
          </cell>
        </row>
        <row r="488">
          <cell r="A488" t="str">
            <v>Y005-096</v>
          </cell>
          <cell r="B488">
            <v>0</v>
          </cell>
          <cell r="C488" t="str">
            <v>Y005</v>
          </cell>
          <cell r="D488" t="str">
            <v>#3787-78</v>
          </cell>
          <cell r="E488" t="str">
            <v>khung poly 框 poly</v>
          </cell>
          <cell r="F488" t="str">
            <v>387*220*8</v>
          </cell>
          <cell r="G488">
            <v>387</v>
          </cell>
          <cell r="H488">
            <v>220</v>
          </cell>
          <cell r="I488">
            <v>8</v>
          </cell>
          <cell r="J488">
            <v>0</v>
          </cell>
          <cell r="K488">
            <v>0.3</v>
          </cell>
          <cell r="L488">
            <v>0.28999999999999998</v>
          </cell>
          <cell r="M488">
            <v>0</v>
          </cell>
          <cell r="N488">
            <v>0</v>
          </cell>
          <cell r="O488">
            <v>0</v>
          </cell>
          <cell r="P488" t="str">
            <v>1010</v>
          </cell>
          <cell r="Q488" t="str">
            <v>1010</v>
          </cell>
          <cell r="R488">
            <v>0</v>
          </cell>
          <cell r="S488">
            <v>0</v>
          </cell>
        </row>
        <row r="489">
          <cell r="A489" t="str">
            <v>Y005-097</v>
          </cell>
          <cell r="B489">
            <v>0</v>
          </cell>
          <cell r="C489" t="str">
            <v>Y005</v>
          </cell>
          <cell r="D489" t="str">
            <v>#3787-78</v>
          </cell>
          <cell r="E489" t="str">
            <v>khung poly 框 poly</v>
          </cell>
          <cell r="F489" t="str">
            <v>786*110</v>
          </cell>
          <cell r="G489">
            <v>786</v>
          </cell>
          <cell r="H489">
            <v>110</v>
          </cell>
          <cell r="I489">
            <v>0</v>
          </cell>
          <cell r="J489">
            <v>0</v>
          </cell>
          <cell r="K489">
            <v>0.39</v>
          </cell>
          <cell r="L489">
            <v>0.378</v>
          </cell>
          <cell r="M489">
            <v>0</v>
          </cell>
          <cell r="N489">
            <v>0</v>
          </cell>
          <cell r="O489">
            <v>0</v>
          </cell>
          <cell r="P489" t="str">
            <v>1010</v>
          </cell>
          <cell r="Q489" t="str">
            <v>1010</v>
          </cell>
          <cell r="R489">
            <v>0</v>
          </cell>
          <cell r="S489">
            <v>0</v>
          </cell>
        </row>
        <row r="490">
          <cell r="A490" t="str">
            <v>Y005-098</v>
          </cell>
          <cell r="B490">
            <v>0</v>
          </cell>
          <cell r="C490" t="str">
            <v>Y005</v>
          </cell>
          <cell r="D490" t="str">
            <v>#3787-71</v>
          </cell>
          <cell r="E490" t="str">
            <v>khung poly 框 poly</v>
          </cell>
          <cell r="F490" t="str">
            <v>508*293*8</v>
          </cell>
          <cell r="G490">
            <v>508</v>
          </cell>
          <cell r="H490">
            <v>293</v>
          </cell>
          <cell r="I490">
            <v>8</v>
          </cell>
          <cell r="J490">
            <v>0</v>
          </cell>
          <cell r="K490">
            <v>0.39</v>
          </cell>
          <cell r="L490">
            <v>0.378</v>
          </cell>
          <cell r="M490">
            <v>0</v>
          </cell>
          <cell r="N490">
            <v>0</v>
          </cell>
          <cell r="O490">
            <v>0</v>
          </cell>
          <cell r="P490" t="str">
            <v>1010</v>
          </cell>
          <cell r="Q490" t="str">
            <v>1010</v>
          </cell>
          <cell r="R490">
            <v>0</v>
          </cell>
          <cell r="S490">
            <v>0</v>
          </cell>
        </row>
        <row r="491">
          <cell r="A491" t="str">
            <v>Y005-099</v>
          </cell>
          <cell r="B491">
            <v>0</v>
          </cell>
          <cell r="C491" t="str">
            <v>Y005</v>
          </cell>
          <cell r="D491" t="str">
            <v>#3787-71</v>
          </cell>
          <cell r="E491" t="str">
            <v>khung poly 框 poly</v>
          </cell>
          <cell r="F491" t="str">
            <v>525*220*8</v>
          </cell>
          <cell r="G491">
            <v>525</v>
          </cell>
          <cell r="H491">
            <v>220</v>
          </cell>
          <cell r="I491">
            <v>8</v>
          </cell>
          <cell r="J491">
            <v>0</v>
          </cell>
          <cell r="K491">
            <v>0.37</v>
          </cell>
          <cell r="L491">
            <v>0.35899999999999999</v>
          </cell>
          <cell r="M491">
            <v>0</v>
          </cell>
          <cell r="N491">
            <v>0</v>
          </cell>
          <cell r="O491">
            <v>0</v>
          </cell>
          <cell r="P491" t="str">
            <v>1010</v>
          </cell>
          <cell r="Q491" t="str">
            <v>1010</v>
          </cell>
          <cell r="R491">
            <v>0</v>
          </cell>
          <cell r="S491">
            <v>0</v>
          </cell>
        </row>
        <row r="492">
          <cell r="A492" t="str">
            <v>Y005-100</v>
          </cell>
          <cell r="B492">
            <v>0</v>
          </cell>
          <cell r="C492" t="str">
            <v>Y005</v>
          </cell>
          <cell r="D492" t="str">
            <v>#3787-71</v>
          </cell>
          <cell r="E492" t="str">
            <v>khung poly 框 poly</v>
          </cell>
          <cell r="F492" t="str">
            <v>518*110</v>
          </cell>
          <cell r="G492">
            <v>518</v>
          </cell>
          <cell r="H492">
            <v>110</v>
          </cell>
          <cell r="I492">
            <v>0</v>
          </cell>
          <cell r="J492">
            <v>0</v>
          </cell>
          <cell r="K492">
            <v>0.28000000000000003</v>
          </cell>
          <cell r="L492">
            <v>0.27200000000000002</v>
          </cell>
          <cell r="M492">
            <v>0</v>
          </cell>
          <cell r="N492">
            <v>0</v>
          </cell>
          <cell r="O492">
            <v>0</v>
          </cell>
          <cell r="P492" t="str">
            <v>1010</v>
          </cell>
          <cell r="Q492" t="str">
            <v>1010</v>
          </cell>
          <cell r="R492">
            <v>0</v>
          </cell>
          <cell r="S492">
            <v>0</v>
          </cell>
        </row>
        <row r="493">
          <cell r="A493" t="str">
            <v>Y005-101</v>
          </cell>
          <cell r="B493">
            <v>0</v>
          </cell>
          <cell r="C493" t="str">
            <v>Y005</v>
          </cell>
          <cell r="D493" t="str">
            <v>#3787-73</v>
          </cell>
          <cell r="E493" t="str">
            <v>khung poly 框 poly</v>
          </cell>
          <cell r="F493" t="str">
            <v>595*110</v>
          </cell>
          <cell r="G493">
            <v>595</v>
          </cell>
          <cell r="H493">
            <v>110</v>
          </cell>
          <cell r="I493">
            <v>0</v>
          </cell>
          <cell r="J493">
            <v>0</v>
          </cell>
          <cell r="K493">
            <v>0.41</v>
          </cell>
          <cell r="L493">
            <v>0.39700000000000002</v>
          </cell>
          <cell r="M493">
            <v>0</v>
          </cell>
          <cell r="N493">
            <v>0</v>
          </cell>
          <cell r="O493">
            <v>0</v>
          </cell>
          <cell r="P493" t="str">
            <v>1010</v>
          </cell>
          <cell r="Q493" t="str">
            <v>1010</v>
          </cell>
          <cell r="R493">
            <v>0</v>
          </cell>
          <cell r="S493">
            <v>0</v>
          </cell>
        </row>
        <row r="494">
          <cell r="A494" t="str">
            <v>Y005-101-1</v>
          </cell>
          <cell r="B494">
            <v>0</v>
          </cell>
          <cell r="C494" t="str">
            <v>Y005</v>
          </cell>
          <cell r="D494" t="str">
            <v>#3787-73</v>
          </cell>
          <cell r="E494" t="str">
            <v>khung poly 框 poly-左</v>
          </cell>
          <cell r="F494">
            <v>0</v>
          </cell>
          <cell r="G494">
            <v>274</v>
          </cell>
          <cell r="H494">
            <v>110</v>
          </cell>
          <cell r="I494">
            <v>8</v>
          </cell>
          <cell r="J494">
            <v>0</v>
          </cell>
          <cell r="K494">
            <v>0.16</v>
          </cell>
          <cell r="L494">
            <v>0.155</v>
          </cell>
          <cell r="M494">
            <v>0</v>
          </cell>
          <cell r="N494">
            <v>0</v>
          </cell>
          <cell r="O494">
            <v>0</v>
          </cell>
          <cell r="P494" t="str">
            <v>1010</v>
          </cell>
          <cell r="Q494" t="str">
            <v>1010</v>
          </cell>
          <cell r="R494">
            <v>0</v>
          </cell>
          <cell r="S494">
            <v>0</v>
          </cell>
        </row>
        <row r="495">
          <cell r="A495" t="str">
            <v>Y005-101-2</v>
          </cell>
          <cell r="B495">
            <v>0</v>
          </cell>
          <cell r="C495" t="str">
            <v>Y005</v>
          </cell>
          <cell r="D495" t="str">
            <v>#3787-73</v>
          </cell>
          <cell r="E495" t="str">
            <v>khung poly 框 poly-中</v>
          </cell>
          <cell r="F495">
            <v>0</v>
          </cell>
          <cell r="G495">
            <v>96</v>
          </cell>
          <cell r="H495">
            <v>58</v>
          </cell>
          <cell r="I495">
            <v>8</v>
          </cell>
          <cell r="J495">
            <v>0</v>
          </cell>
          <cell r="K495">
            <v>0.09</v>
          </cell>
          <cell r="L495">
            <v>8.6999999999999994E-2</v>
          </cell>
          <cell r="M495">
            <v>0</v>
          </cell>
          <cell r="N495">
            <v>0</v>
          </cell>
          <cell r="O495">
            <v>0</v>
          </cell>
          <cell r="P495" t="str">
            <v>1010</v>
          </cell>
          <cell r="Q495" t="str">
            <v>1010</v>
          </cell>
          <cell r="R495">
            <v>0</v>
          </cell>
          <cell r="S495">
            <v>0</v>
          </cell>
        </row>
        <row r="496">
          <cell r="A496" t="str">
            <v>Y005-101-3</v>
          </cell>
          <cell r="B496">
            <v>0</v>
          </cell>
          <cell r="C496" t="str">
            <v>Y005</v>
          </cell>
          <cell r="D496" t="str">
            <v>#3787-73</v>
          </cell>
          <cell r="E496" t="str">
            <v>khung poly 框 poly-右</v>
          </cell>
          <cell r="F496">
            <v>0</v>
          </cell>
          <cell r="G496">
            <v>274</v>
          </cell>
          <cell r="H496">
            <v>110</v>
          </cell>
          <cell r="I496">
            <v>8</v>
          </cell>
          <cell r="J496">
            <v>0</v>
          </cell>
          <cell r="K496">
            <v>0.16</v>
          </cell>
          <cell r="L496">
            <v>0.155</v>
          </cell>
          <cell r="M496">
            <v>0</v>
          </cell>
          <cell r="N496">
            <v>0</v>
          </cell>
          <cell r="O496">
            <v>0</v>
          </cell>
          <cell r="P496" t="str">
            <v>1010</v>
          </cell>
          <cell r="Q496" t="str">
            <v>1010</v>
          </cell>
          <cell r="R496">
            <v>0</v>
          </cell>
          <cell r="S496">
            <v>0</v>
          </cell>
        </row>
        <row r="497">
          <cell r="A497" t="str">
            <v>Y005-102</v>
          </cell>
          <cell r="B497">
            <v>0</v>
          </cell>
          <cell r="C497" t="str">
            <v>Y005</v>
          </cell>
          <cell r="D497" t="str">
            <v>#3787-73</v>
          </cell>
          <cell r="E497" t="str">
            <v>khung poly 框 poly</v>
          </cell>
          <cell r="F497" t="str">
            <v>394*566*8</v>
          </cell>
          <cell r="G497">
            <v>394</v>
          </cell>
          <cell r="H497">
            <v>566</v>
          </cell>
          <cell r="I497">
            <v>8</v>
          </cell>
          <cell r="J497">
            <v>0</v>
          </cell>
          <cell r="K497">
            <v>0.5</v>
          </cell>
          <cell r="L497">
            <v>0.48499999999999999</v>
          </cell>
          <cell r="M497">
            <v>0</v>
          </cell>
          <cell r="N497">
            <v>0</v>
          </cell>
          <cell r="O497">
            <v>0</v>
          </cell>
          <cell r="P497" t="str">
            <v>1010</v>
          </cell>
          <cell r="Q497" t="str">
            <v>1010</v>
          </cell>
          <cell r="R497">
            <v>0</v>
          </cell>
          <cell r="S497">
            <v>0</v>
          </cell>
        </row>
        <row r="498">
          <cell r="A498" t="str">
            <v>Y005-103</v>
          </cell>
          <cell r="B498">
            <v>0</v>
          </cell>
          <cell r="C498" t="str">
            <v>Y005</v>
          </cell>
          <cell r="D498" t="str">
            <v>#3787-73</v>
          </cell>
          <cell r="E498" t="str">
            <v>khung poly 框 poly</v>
          </cell>
          <cell r="F498" t="str">
            <v>575*154*8</v>
          </cell>
          <cell r="G498">
            <v>575</v>
          </cell>
          <cell r="H498">
            <v>154</v>
          </cell>
          <cell r="I498">
            <v>8</v>
          </cell>
          <cell r="J498">
            <v>0</v>
          </cell>
          <cell r="K498">
            <v>0.33</v>
          </cell>
          <cell r="L498">
            <v>0.32</v>
          </cell>
          <cell r="M498">
            <v>0</v>
          </cell>
          <cell r="N498">
            <v>0</v>
          </cell>
          <cell r="O498">
            <v>0</v>
          </cell>
          <cell r="P498" t="str">
            <v>1010</v>
          </cell>
          <cell r="Q498" t="str">
            <v>1010</v>
          </cell>
          <cell r="R498">
            <v>0</v>
          </cell>
          <cell r="S498">
            <v>0</v>
          </cell>
        </row>
        <row r="499">
          <cell r="A499" t="str">
            <v>Y005-104</v>
          </cell>
          <cell r="B499">
            <v>0</v>
          </cell>
          <cell r="C499" t="str">
            <v>Y005</v>
          </cell>
          <cell r="D499" t="str">
            <v>#3787-15</v>
          </cell>
          <cell r="E499" t="str">
            <v>Chỉ dài 饰条</v>
          </cell>
          <cell r="F499" t="str">
            <v>1080*16*10</v>
          </cell>
          <cell r="G499">
            <v>1080</v>
          </cell>
          <cell r="H499">
            <v>16</v>
          </cell>
          <cell r="I499">
            <v>10</v>
          </cell>
          <cell r="J499">
            <v>0</v>
          </cell>
          <cell r="K499">
            <v>0.75</v>
          </cell>
          <cell r="L499">
            <v>0.71299999999999997</v>
          </cell>
          <cell r="M499">
            <v>0</v>
          </cell>
          <cell r="N499">
            <v>0</v>
          </cell>
          <cell r="O499">
            <v>0</v>
          </cell>
          <cell r="P499" t="str">
            <v>1010</v>
          </cell>
          <cell r="Q499" t="str">
            <v>1010</v>
          </cell>
          <cell r="R499">
            <v>0</v>
          </cell>
          <cell r="S499">
            <v>0</v>
          </cell>
        </row>
        <row r="500">
          <cell r="A500" t="str">
            <v>Y005-105</v>
          </cell>
          <cell r="B500">
            <v>0</v>
          </cell>
          <cell r="C500" t="str">
            <v>Y005</v>
          </cell>
          <cell r="D500" t="str">
            <v>#3787-15</v>
          </cell>
          <cell r="E500" t="str">
            <v>Chỉ dài 饰条</v>
          </cell>
          <cell r="F500" t="str">
            <v>1105*16*10</v>
          </cell>
          <cell r="G500">
            <v>1105</v>
          </cell>
          <cell r="H500">
            <v>16</v>
          </cell>
          <cell r="I500">
            <v>10</v>
          </cell>
          <cell r="J500">
            <v>0</v>
          </cell>
          <cell r="K500">
            <v>0.8</v>
          </cell>
          <cell r="L500">
            <v>0.76</v>
          </cell>
          <cell r="M500">
            <v>0</v>
          </cell>
          <cell r="N500">
            <v>0</v>
          </cell>
          <cell r="O500">
            <v>0</v>
          </cell>
          <cell r="P500" t="str">
            <v>1010</v>
          </cell>
          <cell r="Q500" t="str">
            <v>1010</v>
          </cell>
          <cell r="R500">
            <v>0</v>
          </cell>
          <cell r="S500">
            <v>0</v>
          </cell>
        </row>
        <row r="501">
          <cell r="A501" t="str">
            <v>Y005-106</v>
          </cell>
          <cell r="B501">
            <v>0</v>
          </cell>
          <cell r="C501" t="str">
            <v>Y005</v>
          </cell>
          <cell r="D501" t="str">
            <v>#3787-15</v>
          </cell>
          <cell r="E501" t="str">
            <v>Chỉ dài 饰条</v>
          </cell>
          <cell r="F501" t="str">
            <v>882*16*10</v>
          </cell>
          <cell r="G501">
            <v>882</v>
          </cell>
          <cell r="H501">
            <v>16</v>
          </cell>
          <cell r="I501">
            <v>10</v>
          </cell>
          <cell r="J501">
            <v>0</v>
          </cell>
          <cell r="K501">
            <v>0.54</v>
          </cell>
          <cell r="L501">
            <v>0.51300000000000001</v>
          </cell>
          <cell r="M501">
            <v>0</v>
          </cell>
          <cell r="N501">
            <v>0</v>
          </cell>
          <cell r="O501">
            <v>0</v>
          </cell>
          <cell r="P501" t="str">
            <v>1010</v>
          </cell>
          <cell r="Q501" t="str">
            <v>1010</v>
          </cell>
          <cell r="R501">
            <v>0</v>
          </cell>
          <cell r="S501">
            <v>0</v>
          </cell>
        </row>
        <row r="502">
          <cell r="A502" t="str">
            <v>Y005-107</v>
          </cell>
          <cell r="B502">
            <v>0</v>
          </cell>
          <cell r="C502" t="str">
            <v>Y005</v>
          </cell>
          <cell r="D502" t="str">
            <v>#3787-15</v>
          </cell>
          <cell r="E502" t="str">
            <v>Chỉ dài 饰条</v>
          </cell>
          <cell r="F502" t="str">
            <v>777*16*10</v>
          </cell>
          <cell r="G502">
            <v>777</v>
          </cell>
          <cell r="H502">
            <v>16</v>
          </cell>
          <cell r="I502">
            <v>10</v>
          </cell>
          <cell r="J502">
            <v>0</v>
          </cell>
          <cell r="K502">
            <v>0.44</v>
          </cell>
          <cell r="L502">
            <v>0.41799999999999998</v>
          </cell>
          <cell r="M502">
            <v>0</v>
          </cell>
          <cell r="N502">
            <v>0</v>
          </cell>
          <cell r="O502">
            <v>0</v>
          </cell>
          <cell r="P502" t="str">
            <v>1010</v>
          </cell>
          <cell r="Q502" t="str">
            <v>1010</v>
          </cell>
          <cell r="R502">
            <v>0</v>
          </cell>
          <cell r="S502">
            <v>0</v>
          </cell>
        </row>
        <row r="503">
          <cell r="A503" t="str">
            <v>Y005-108</v>
          </cell>
          <cell r="B503">
            <v>0</v>
          </cell>
          <cell r="C503" t="str">
            <v>Y005</v>
          </cell>
          <cell r="D503" t="str">
            <v>#3787-01</v>
          </cell>
          <cell r="E503" t="str">
            <v>Chỉ nữa tròn 半圆饰条</v>
          </cell>
          <cell r="F503" t="str">
            <v>700*8*4</v>
          </cell>
          <cell r="G503">
            <v>700</v>
          </cell>
          <cell r="H503">
            <v>8</v>
          </cell>
          <cell r="I503">
            <v>4</v>
          </cell>
          <cell r="J503">
            <v>0</v>
          </cell>
          <cell r="K503">
            <v>0.16</v>
          </cell>
          <cell r="L503">
            <v>0.13600000000000001</v>
          </cell>
          <cell r="M503">
            <v>0</v>
          </cell>
          <cell r="N503">
            <v>0</v>
          </cell>
          <cell r="O503">
            <v>0</v>
          </cell>
          <cell r="P503" t="str">
            <v>1010</v>
          </cell>
          <cell r="Q503" t="str">
            <v>1010</v>
          </cell>
          <cell r="R503">
            <v>0</v>
          </cell>
          <cell r="S503">
            <v>0</v>
          </cell>
        </row>
        <row r="504">
          <cell r="A504" t="str">
            <v>Y005-109</v>
          </cell>
          <cell r="B504">
            <v>0</v>
          </cell>
          <cell r="C504" t="str">
            <v>Y005</v>
          </cell>
          <cell r="D504" t="str">
            <v>#3787-54H</v>
          </cell>
          <cell r="E504" t="str">
            <v>khung poly 框 poly</v>
          </cell>
          <cell r="F504" t="str">
            <v>856*394*12</v>
          </cell>
          <cell r="G504">
            <v>856</v>
          </cell>
          <cell r="H504">
            <v>394</v>
          </cell>
          <cell r="I504">
            <v>12</v>
          </cell>
          <cell r="J504">
            <v>0</v>
          </cell>
          <cell r="K504">
            <v>1.59</v>
          </cell>
          <cell r="L504">
            <v>1.55</v>
          </cell>
          <cell r="M504">
            <v>0</v>
          </cell>
          <cell r="N504">
            <v>0</v>
          </cell>
          <cell r="O504">
            <v>0</v>
          </cell>
          <cell r="P504" t="str">
            <v>1010</v>
          </cell>
          <cell r="Q504" t="str">
            <v>1010</v>
          </cell>
          <cell r="R504">
            <v>0</v>
          </cell>
          <cell r="S504">
            <v>0</v>
          </cell>
        </row>
        <row r="505">
          <cell r="A505" t="str">
            <v>Y005-110</v>
          </cell>
          <cell r="B505">
            <v>0</v>
          </cell>
          <cell r="C505" t="str">
            <v>Y005</v>
          </cell>
          <cell r="D505" t="str">
            <v>#3787-55H</v>
          </cell>
          <cell r="E505" t="str">
            <v>khung poly 框 poly</v>
          </cell>
          <cell r="F505" t="str">
            <v>856*318*12</v>
          </cell>
          <cell r="G505">
            <v>856</v>
          </cell>
          <cell r="H505">
            <v>318</v>
          </cell>
          <cell r="I505">
            <v>12</v>
          </cell>
          <cell r="J505">
            <v>0</v>
          </cell>
          <cell r="K505">
            <v>1.84</v>
          </cell>
          <cell r="L505">
            <v>1.82</v>
          </cell>
          <cell r="M505">
            <v>0</v>
          </cell>
          <cell r="N505">
            <v>0</v>
          </cell>
          <cell r="O505">
            <v>0</v>
          </cell>
          <cell r="P505" t="str">
            <v>1010</v>
          </cell>
          <cell r="Q505" t="str">
            <v>1010</v>
          </cell>
          <cell r="R505">
            <v>0</v>
          </cell>
          <cell r="S505">
            <v>0</v>
          </cell>
        </row>
        <row r="506">
          <cell r="A506" t="str">
            <v>Y005-111</v>
          </cell>
          <cell r="B506">
            <v>0</v>
          </cell>
          <cell r="C506" t="str">
            <v>Y005</v>
          </cell>
          <cell r="D506" t="str">
            <v>#3787-54F</v>
          </cell>
          <cell r="E506" t="str">
            <v>khung poly 框 poly</v>
          </cell>
          <cell r="F506" t="str">
            <v>1866*510*12</v>
          </cell>
          <cell r="G506">
            <v>1866</v>
          </cell>
          <cell r="H506">
            <v>510</v>
          </cell>
          <cell r="I506">
            <v>12</v>
          </cell>
          <cell r="J506">
            <v>0</v>
          </cell>
          <cell r="K506">
            <v>3.83</v>
          </cell>
          <cell r="L506">
            <v>3.8</v>
          </cell>
          <cell r="M506">
            <v>0</v>
          </cell>
          <cell r="N506">
            <v>0</v>
          </cell>
          <cell r="O506">
            <v>0</v>
          </cell>
          <cell r="P506" t="str">
            <v>1010</v>
          </cell>
          <cell r="Q506" t="str">
            <v>1010</v>
          </cell>
          <cell r="R506">
            <v>0</v>
          </cell>
          <cell r="S506">
            <v>0</v>
          </cell>
        </row>
        <row r="507">
          <cell r="A507" t="str">
            <v>Y005-112</v>
          </cell>
          <cell r="B507">
            <v>0</v>
          </cell>
          <cell r="C507" t="str">
            <v>Y005</v>
          </cell>
          <cell r="D507" t="str">
            <v>#3787-55F</v>
          </cell>
          <cell r="E507" t="str">
            <v>khung poly 框 poly</v>
          </cell>
          <cell r="F507" t="str">
            <v>1453*510*12</v>
          </cell>
          <cell r="G507">
            <v>1453</v>
          </cell>
          <cell r="H507">
            <v>510</v>
          </cell>
          <cell r="I507">
            <v>12</v>
          </cell>
          <cell r="J507">
            <v>0</v>
          </cell>
          <cell r="K507">
            <v>2.93</v>
          </cell>
          <cell r="L507">
            <v>2.89</v>
          </cell>
          <cell r="M507">
            <v>0</v>
          </cell>
          <cell r="N507">
            <v>0</v>
          </cell>
          <cell r="O507">
            <v>0</v>
          </cell>
          <cell r="P507" t="str">
            <v>1010</v>
          </cell>
          <cell r="Q507" t="str">
            <v>1010</v>
          </cell>
          <cell r="R507">
            <v>0</v>
          </cell>
          <cell r="S507">
            <v>0</v>
          </cell>
        </row>
        <row r="508">
          <cell r="A508" t="str">
            <v>Y005-113</v>
          </cell>
          <cell r="B508">
            <v>0</v>
          </cell>
          <cell r="C508" t="str">
            <v>Y005</v>
          </cell>
          <cell r="D508" t="str">
            <v>#3787-64/65F</v>
          </cell>
          <cell r="E508" t="str">
            <v>khung poly 框 poly</v>
          </cell>
          <cell r="F508" t="str">
            <v>340*98*6</v>
          </cell>
          <cell r="G508">
            <v>340</v>
          </cell>
          <cell r="H508">
            <v>98</v>
          </cell>
          <cell r="I508">
            <v>6</v>
          </cell>
          <cell r="J508">
            <v>0</v>
          </cell>
          <cell r="K508">
            <v>0.21</v>
          </cell>
          <cell r="L508">
            <v>0.20399999999999999</v>
          </cell>
          <cell r="M508">
            <v>0</v>
          </cell>
          <cell r="N508">
            <v>0</v>
          </cell>
          <cell r="O508">
            <v>0</v>
          </cell>
          <cell r="P508" t="str">
            <v>1010</v>
          </cell>
          <cell r="Q508" t="str">
            <v>1010</v>
          </cell>
          <cell r="R508">
            <v>0</v>
          </cell>
          <cell r="S508">
            <v>0</v>
          </cell>
        </row>
        <row r="509">
          <cell r="A509" t="str">
            <v>Y005-114</v>
          </cell>
          <cell r="B509">
            <v>0</v>
          </cell>
          <cell r="C509" t="str">
            <v>Y005</v>
          </cell>
          <cell r="D509" t="str">
            <v>#3787-55R</v>
          </cell>
          <cell r="E509" t="str">
            <v>khung poly 框 poly</v>
          </cell>
          <cell r="F509" t="str">
            <v>1896*117*10</v>
          </cell>
          <cell r="G509">
            <v>1896</v>
          </cell>
          <cell r="H509">
            <v>117</v>
          </cell>
          <cell r="I509">
            <v>10</v>
          </cell>
          <cell r="J509">
            <v>0</v>
          </cell>
          <cell r="K509">
            <v>2.35</v>
          </cell>
          <cell r="L509">
            <v>2.3199999999999998</v>
          </cell>
          <cell r="M509">
            <v>0</v>
          </cell>
          <cell r="N509">
            <v>0</v>
          </cell>
          <cell r="O509">
            <v>0</v>
          </cell>
          <cell r="P509" t="str">
            <v>1010</v>
          </cell>
          <cell r="Q509" t="str">
            <v>1010</v>
          </cell>
          <cell r="R509">
            <v>0</v>
          </cell>
          <cell r="S509">
            <v>0</v>
          </cell>
        </row>
        <row r="510">
          <cell r="A510" t="str">
            <v>Y005-115</v>
          </cell>
          <cell r="B510">
            <v>0</v>
          </cell>
          <cell r="C510" t="str">
            <v>Y005</v>
          </cell>
          <cell r="D510" t="str">
            <v>#3787-56R</v>
          </cell>
          <cell r="E510" t="str">
            <v>khung poly 框 poly</v>
          </cell>
          <cell r="F510" t="str">
            <v>2000*117*10</v>
          </cell>
          <cell r="G510">
            <v>2000</v>
          </cell>
          <cell r="H510">
            <v>117</v>
          </cell>
          <cell r="I510">
            <v>10</v>
          </cell>
          <cell r="J510">
            <v>0</v>
          </cell>
          <cell r="K510">
            <v>2.38</v>
          </cell>
          <cell r="L510">
            <v>2.34</v>
          </cell>
          <cell r="M510">
            <v>0</v>
          </cell>
          <cell r="N510">
            <v>0</v>
          </cell>
          <cell r="O510">
            <v>0</v>
          </cell>
          <cell r="P510" t="str">
            <v>1010</v>
          </cell>
          <cell r="Q510" t="str">
            <v>1010</v>
          </cell>
          <cell r="R510">
            <v>0</v>
          </cell>
          <cell r="S510">
            <v>0</v>
          </cell>
        </row>
        <row r="511">
          <cell r="A511" t="str">
            <v>Y005-116</v>
          </cell>
          <cell r="B511">
            <v>0</v>
          </cell>
          <cell r="C511" t="str">
            <v>Y005</v>
          </cell>
          <cell r="D511" t="str">
            <v>#3787-01</v>
          </cell>
          <cell r="E511" t="str">
            <v>Chi3i nửa tròn 半圆饰条</v>
          </cell>
          <cell r="F511" t="str">
            <v>1930*8*4</v>
          </cell>
          <cell r="G511">
            <v>1930</v>
          </cell>
          <cell r="H511">
            <v>8</v>
          </cell>
          <cell r="I511">
            <v>4</v>
          </cell>
          <cell r="J511">
            <v>0</v>
          </cell>
          <cell r="K511">
            <v>0</v>
          </cell>
          <cell r="L511">
            <v>0.37</v>
          </cell>
          <cell r="M511">
            <v>0</v>
          </cell>
          <cell r="N511">
            <v>0</v>
          </cell>
          <cell r="O511">
            <v>0</v>
          </cell>
          <cell r="P511" t="str">
            <v>1010</v>
          </cell>
          <cell r="Q511" t="str">
            <v>1010</v>
          </cell>
          <cell r="R511">
            <v>0</v>
          </cell>
          <cell r="S511">
            <v>0</v>
          </cell>
        </row>
        <row r="512">
          <cell r="A512" t="str">
            <v>Y005-117</v>
          </cell>
          <cell r="B512">
            <v>0</v>
          </cell>
          <cell r="C512" t="str">
            <v>Y005</v>
          </cell>
          <cell r="D512" t="str">
            <v>#3787-01</v>
          </cell>
          <cell r="E512" t="str">
            <v>Chi3i nửa tròn 半圆饰条</v>
          </cell>
          <cell r="F512" t="str">
            <v>1430*8*4</v>
          </cell>
          <cell r="G512">
            <v>1430</v>
          </cell>
          <cell r="H512">
            <v>8</v>
          </cell>
          <cell r="I512">
            <v>4</v>
          </cell>
          <cell r="J512">
            <v>0</v>
          </cell>
          <cell r="K512">
            <v>0</v>
          </cell>
          <cell r="L512">
            <v>0.28000000000000003</v>
          </cell>
          <cell r="M512">
            <v>0</v>
          </cell>
          <cell r="N512">
            <v>0</v>
          </cell>
          <cell r="O512">
            <v>0</v>
          </cell>
          <cell r="P512" t="str">
            <v>1010</v>
          </cell>
          <cell r="Q512" t="str">
            <v>1010</v>
          </cell>
          <cell r="R512">
            <v>0</v>
          </cell>
          <cell r="S512">
            <v>0</v>
          </cell>
        </row>
        <row r="513">
          <cell r="A513" t="str">
            <v>Y005-118</v>
          </cell>
          <cell r="B513">
            <v>0</v>
          </cell>
          <cell r="C513" t="str">
            <v>Y005</v>
          </cell>
          <cell r="D513" t="str">
            <v>#321-71/75/78/08</v>
          </cell>
          <cell r="E513" t="str">
            <v>Cập trụ</v>
          </cell>
          <cell r="F513" t="str">
            <v>68*25*10</v>
          </cell>
          <cell r="G513">
            <v>68</v>
          </cell>
          <cell r="H513">
            <v>25</v>
          </cell>
          <cell r="I513">
            <v>10</v>
          </cell>
          <cell r="J513">
            <v>25</v>
          </cell>
          <cell r="K513">
            <v>0</v>
          </cell>
          <cell r="L513">
            <v>0.08</v>
          </cell>
          <cell r="M513">
            <v>0</v>
          </cell>
          <cell r="N513">
            <v>0</v>
          </cell>
          <cell r="O513">
            <v>0</v>
          </cell>
          <cell r="P513" t="str">
            <v>1010</v>
          </cell>
          <cell r="Q513" t="str">
            <v>1010</v>
          </cell>
          <cell r="R513">
            <v>0</v>
          </cell>
          <cell r="S513">
            <v>0</v>
          </cell>
        </row>
        <row r="514">
          <cell r="A514" t="str">
            <v>Y005-119</v>
          </cell>
          <cell r="B514">
            <v>0</v>
          </cell>
          <cell r="C514" t="str">
            <v>Y005</v>
          </cell>
          <cell r="D514" t="str">
            <v>#321-54/55F</v>
          </cell>
          <cell r="E514" t="str">
            <v>Cập trụ</v>
          </cell>
          <cell r="F514" t="str">
            <v>82*25*9</v>
          </cell>
          <cell r="G514">
            <v>82</v>
          </cell>
          <cell r="H514">
            <v>25</v>
          </cell>
          <cell r="I514">
            <v>9</v>
          </cell>
          <cell r="J514">
            <v>27</v>
          </cell>
          <cell r="K514">
            <v>0</v>
          </cell>
          <cell r="L514">
            <v>0.09</v>
          </cell>
          <cell r="M514">
            <v>0</v>
          </cell>
          <cell r="N514">
            <v>0</v>
          </cell>
          <cell r="O514">
            <v>0</v>
          </cell>
          <cell r="P514" t="str">
            <v>1010</v>
          </cell>
          <cell r="Q514" t="str">
            <v>1010</v>
          </cell>
          <cell r="R514">
            <v>0</v>
          </cell>
          <cell r="S514">
            <v>0</v>
          </cell>
        </row>
        <row r="515">
          <cell r="A515" t="str">
            <v>Y005-120</v>
          </cell>
          <cell r="B515">
            <v>0</v>
          </cell>
          <cell r="C515" t="str">
            <v>Y005</v>
          </cell>
          <cell r="D515" t="str">
            <v>#8237-73</v>
          </cell>
          <cell r="E515" t="str">
            <v>饰框中/左/右</v>
          </cell>
          <cell r="F515" t="str">
            <v>226*116*8</v>
          </cell>
          <cell r="G515">
            <v>226</v>
          </cell>
          <cell r="H515">
            <v>116</v>
          </cell>
          <cell r="I515">
            <v>8</v>
          </cell>
          <cell r="J515">
            <v>0</v>
          </cell>
          <cell r="K515">
            <v>0</v>
          </cell>
          <cell r="L515">
            <v>0.47</v>
          </cell>
          <cell r="M515">
            <v>0</v>
          </cell>
          <cell r="N515">
            <v>0</v>
          </cell>
          <cell r="O515">
            <v>0</v>
          </cell>
          <cell r="P515" t="str">
            <v>1010</v>
          </cell>
          <cell r="Q515" t="str">
            <v>1010</v>
          </cell>
          <cell r="R515">
            <v>0</v>
          </cell>
        </row>
        <row r="516">
          <cell r="A516" t="str">
            <v>Y005-121</v>
          </cell>
          <cell r="B516">
            <v>0</v>
          </cell>
          <cell r="C516" t="str">
            <v>Y005</v>
          </cell>
          <cell r="D516" t="str">
            <v>#8237-73</v>
          </cell>
          <cell r="E516" t="str">
            <v>饰框左 chỉ hộc trái</v>
          </cell>
          <cell r="F516" t="str">
            <v>170*150*10</v>
          </cell>
          <cell r="G516">
            <v>170</v>
          </cell>
          <cell r="H516">
            <v>150</v>
          </cell>
          <cell r="I516">
            <v>10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 t="str">
            <v>1010</v>
          </cell>
          <cell r="Q516" t="str">
            <v>1010</v>
          </cell>
          <cell r="R516">
            <v>0</v>
          </cell>
        </row>
        <row r="517">
          <cell r="A517" t="str">
            <v>Y005-122</v>
          </cell>
          <cell r="B517">
            <v>0</v>
          </cell>
          <cell r="C517" t="str">
            <v>Y005</v>
          </cell>
          <cell r="D517" t="str">
            <v>#8237-73</v>
          </cell>
          <cell r="E517" t="str">
            <v>饰框右chỉ hộc phải</v>
          </cell>
          <cell r="F517" t="str">
            <v>170*150*10</v>
          </cell>
          <cell r="G517">
            <v>170</v>
          </cell>
          <cell r="H517">
            <v>150</v>
          </cell>
          <cell r="I517">
            <v>10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 t="str">
            <v>1010</v>
          </cell>
          <cell r="Q517" t="str">
            <v>1010</v>
          </cell>
          <cell r="R517">
            <v>0</v>
          </cell>
        </row>
        <row r="518">
          <cell r="A518" t="str">
            <v>Y005-123</v>
          </cell>
          <cell r="B518">
            <v>0</v>
          </cell>
          <cell r="C518" t="str">
            <v>Y005</v>
          </cell>
          <cell r="D518" t="str">
            <v>#8237-73</v>
          </cell>
          <cell r="E518" t="str">
            <v>饰框 chỉ hông</v>
          </cell>
          <cell r="F518" t="str">
            <v>560*362*10</v>
          </cell>
          <cell r="G518">
            <v>560</v>
          </cell>
          <cell r="H518">
            <v>362</v>
          </cell>
          <cell r="I518">
            <v>10</v>
          </cell>
          <cell r="J518">
            <v>0</v>
          </cell>
          <cell r="K518">
            <v>0</v>
          </cell>
          <cell r="L518">
            <v>0.52</v>
          </cell>
          <cell r="M518">
            <v>0</v>
          </cell>
          <cell r="N518">
            <v>0</v>
          </cell>
          <cell r="O518">
            <v>0</v>
          </cell>
          <cell r="P518" t="str">
            <v>1010</v>
          </cell>
          <cell r="Q518" t="str">
            <v>1010</v>
          </cell>
          <cell r="R518">
            <v>0</v>
          </cell>
        </row>
        <row r="519">
          <cell r="A519" t="str">
            <v>Y005-124</v>
          </cell>
          <cell r="B519">
            <v>0</v>
          </cell>
          <cell r="C519" t="str">
            <v>Y005</v>
          </cell>
          <cell r="D519" t="str">
            <v>#8237-78</v>
          </cell>
          <cell r="E519" t="str">
            <v>饰框中/左/右</v>
          </cell>
          <cell r="F519" t="str">
            <v>370*182*8</v>
          </cell>
          <cell r="G519">
            <v>370</v>
          </cell>
          <cell r="H519">
            <v>182</v>
          </cell>
          <cell r="I519">
            <v>8</v>
          </cell>
          <cell r="J519">
            <v>0</v>
          </cell>
          <cell r="K519">
            <v>0</v>
          </cell>
          <cell r="L519">
            <v>0.63</v>
          </cell>
          <cell r="M519">
            <v>0</v>
          </cell>
          <cell r="N519">
            <v>0</v>
          </cell>
          <cell r="O519">
            <v>0</v>
          </cell>
          <cell r="P519" t="str">
            <v>1010</v>
          </cell>
          <cell r="Q519" t="str">
            <v>1010</v>
          </cell>
          <cell r="R519">
            <v>0</v>
          </cell>
        </row>
        <row r="520">
          <cell r="A520" t="str">
            <v>Y005-125</v>
          </cell>
          <cell r="B520">
            <v>0</v>
          </cell>
          <cell r="C520" t="str">
            <v>Y005</v>
          </cell>
          <cell r="D520" t="str">
            <v>#8237-78</v>
          </cell>
          <cell r="E520" t="str">
            <v>饰框左chỉ hộc trái</v>
          </cell>
          <cell r="F520" t="str">
            <v>160*215*10</v>
          </cell>
          <cell r="G520">
            <v>160</v>
          </cell>
          <cell r="H520">
            <v>215</v>
          </cell>
          <cell r="I520">
            <v>10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 t="str">
            <v>1010</v>
          </cell>
          <cell r="Q520" t="str">
            <v>1010</v>
          </cell>
          <cell r="R520">
            <v>0</v>
          </cell>
        </row>
        <row r="521">
          <cell r="A521" t="str">
            <v>Y005-126</v>
          </cell>
          <cell r="B521">
            <v>0</v>
          </cell>
          <cell r="C521" t="str">
            <v>Y005</v>
          </cell>
          <cell r="D521" t="str">
            <v>#8237-78</v>
          </cell>
          <cell r="E521" t="str">
            <v>饰框右chỉ hộc phải</v>
          </cell>
          <cell r="F521" t="str">
            <v>160*215*10</v>
          </cell>
          <cell r="G521">
            <v>160</v>
          </cell>
          <cell r="H521">
            <v>215</v>
          </cell>
          <cell r="I521">
            <v>10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 t="str">
            <v>1010</v>
          </cell>
          <cell r="Q521" t="str">
            <v>1010</v>
          </cell>
          <cell r="R521">
            <v>0</v>
          </cell>
        </row>
        <row r="522">
          <cell r="A522" t="str">
            <v>Y005-127</v>
          </cell>
          <cell r="B522">
            <v>0</v>
          </cell>
          <cell r="C522" t="str">
            <v>Y005</v>
          </cell>
          <cell r="D522" t="str">
            <v>#8237-78</v>
          </cell>
          <cell r="E522" t="str">
            <v>饰框chỉ hộc</v>
          </cell>
          <cell r="F522" t="str">
            <v>375*212*10</v>
          </cell>
          <cell r="G522">
            <v>375</v>
          </cell>
          <cell r="H522">
            <v>212</v>
          </cell>
          <cell r="I522">
            <v>10</v>
          </cell>
          <cell r="J522">
            <v>0</v>
          </cell>
          <cell r="K522">
            <v>0</v>
          </cell>
          <cell r="L522">
            <v>0.32</v>
          </cell>
          <cell r="M522">
            <v>0</v>
          </cell>
          <cell r="N522">
            <v>0</v>
          </cell>
          <cell r="O522">
            <v>0</v>
          </cell>
          <cell r="P522" t="str">
            <v>1010</v>
          </cell>
          <cell r="Q522" t="str">
            <v>1010</v>
          </cell>
          <cell r="R522">
            <v>0</v>
          </cell>
        </row>
        <row r="523">
          <cell r="A523" t="str">
            <v>Y005-128</v>
          </cell>
          <cell r="B523">
            <v>0</v>
          </cell>
          <cell r="C523" t="str">
            <v>Y005</v>
          </cell>
          <cell r="D523" t="str">
            <v>#8237-78</v>
          </cell>
          <cell r="E523" t="str">
            <v>饰框chỉ hông</v>
          </cell>
          <cell r="F523" t="str">
            <v>763*270*10</v>
          </cell>
          <cell r="G523">
            <v>763</v>
          </cell>
          <cell r="H523">
            <v>270</v>
          </cell>
          <cell r="I523">
            <v>10</v>
          </cell>
          <cell r="J523">
            <v>0</v>
          </cell>
          <cell r="K523">
            <v>0</v>
          </cell>
          <cell r="L523">
            <v>0.51</v>
          </cell>
          <cell r="M523">
            <v>0</v>
          </cell>
          <cell r="N523">
            <v>0</v>
          </cell>
          <cell r="O523">
            <v>0</v>
          </cell>
          <cell r="P523" t="str">
            <v>1010</v>
          </cell>
          <cell r="Q523" t="str">
            <v>1010</v>
          </cell>
          <cell r="R523">
            <v>0</v>
          </cell>
        </row>
        <row r="524">
          <cell r="A524" t="str">
            <v>Y005-129</v>
          </cell>
          <cell r="B524">
            <v>0</v>
          </cell>
          <cell r="C524" t="str">
            <v>Y005</v>
          </cell>
          <cell r="D524" t="str">
            <v>#8237-71</v>
          </cell>
          <cell r="E524" t="str">
            <v>饰框中/左/右</v>
          </cell>
          <cell r="F524" t="str">
            <v>230*105*8</v>
          </cell>
          <cell r="G524">
            <v>230</v>
          </cell>
          <cell r="H524">
            <v>105</v>
          </cell>
          <cell r="I524">
            <v>8</v>
          </cell>
          <cell r="J524">
            <v>0</v>
          </cell>
          <cell r="K524">
            <v>0</v>
          </cell>
          <cell r="L524">
            <v>0.44</v>
          </cell>
          <cell r="M524">
            <v>0</v>
          </cell>
          <cell r="N524">
            <v>0</v>
          </cell>
          <cell r="O524">
            <v>0</v>
          </cell>
          <cell r="P524" t="str">
            <v>1010</v>
          </cell>
          <cell r="Q524" t="str">
            <v>1010</v>
          </cell>
          <cell r="R524">
            <v>0</v>
          </cell>
        </row>
        <row r="525">
          <cell r="A525" t="str">
            <v>Y005-130</v>
          </cell>
          <cell r="B525">
            <v>0</v>
          </cell>
          <cell r="C525" t="str">
            <v>Y005</v>
          </cell>
          <cell r="D525" t="str">
            <v>#8237-71</v>
          </cell>
          <cell r="E525" t="str">
            <v>饰框左chỉ hộc trái</v>
          </cell>
          <cell r="F525" t="str">
            <v>175*135*10</v>
          </cell>
          <cell r="G525">
            <v>175</v>
          </cell>
          <cell r="H525">
            <v>135</v>
          </cell>
          <cell r="I525">
            <v>10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 t="str">
            <v>1010</v>
          </cell>
          <cell r="Q525" t="str">
            <v>1010</v>
          </cell>
          <cell r="R525">
            <v>0</v>
          </cell>
        </row>
        <row r="526">
          <cell r="A526" t="str">
            <v>Y005-131</v>
          </cell>
          <cell r="B526">
            <v>0</v>
          </cell>
          <cell r="C526" t="str">
            <v>Y005</v>
          </cell>
          <cell r="D526" t="str">
            <v>#8237-71</v>
          </cell>
          <cell r="E526" t="str">
            <v>饰框右chỉ hộc phải</v>
          </cell>
          <cell r="F526" t="str">
            <v>175*135*10</v>
          </cell>
          <cell r="G526">
            <v>175</v>
          </cell>
          <cell r="H526">
            <v>135</v>
          </cell>
          <cell r="I526">
            <v>10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 t="str">
            <v>1010</v>
          </cell>
          <cell r="Q526" t="str">
            <v>1010</v>
          </cell>
          <cell r="R526">
            <v>0</v>
          </cell>
        </row>
        <row r="527">
          <cell r="A527" t="str">
            <v>Y005-132</v>
          </cell>
          <cell r="B527">
            <v>0</v>
          </cell>
          <cell r="C527" t="str">
            <v>Y005</v>
          </cell>
          <cell r="D527" t="str">
            <v>#8237-71</v>
          </cell>
          <cell r="E527" t="str">
            <v>饰框chỉ hông</v>
          </cell>
          <cell r="F527" t="str">
            <v>500*322*10</v>
          </cell>
          <cell r="G527">
            <v>500</v>
          </cell>
          <cell r="H527">
            <v>322</v>
          </cell>
          <cell r="I527">
            <v>10</v>
          </cell>
          <cell r="J527">
            <v>0</v>
          </cell>
          <cell r="K527">
            <v>0</v>
          </cell>
          <cell r="L527">
            <v>0.42</v>
          </cell>
          <cell r="M527">
            <v>0</v>
          </cell>
          <cell r="N527">
            <v>0</v>
          </cell>
          <cell r="O527">
            <v>0</v>
          </cell>
          <cell r="P527" t="str">
            <v>1010</v>
          </cell>
          <cell r="Q527" t="str">
            <v>1010</v>
          </cell>
          <cell r="R527">
            <v>0</v>
          </cell>
        </row>
        <row r="528">
          <cell r="A528" t="str">
            <v>Y005-133</v>
          </cell>
          <cell r="B528">
            <v>0</v>
          </cell>
          <cell r="C528" t="str">
            <v>Y005</v>
          </cell>
          <cell r="D528" t="str">
            <v>#8237-75</v>
          </cell>
          <cell r="E528" t="str">
            <v>饰框中/左/右</v>
          </cell>
          <cell r="F528" t="str">
            <v>367*182*8</v>
          </cell>
          <cell r="G528">
            <v>367</v>
          </cell>
          <cell r="H528">
            <v>182</v>
          </cell>
          <cell r="I528">
            <v>8</v>
          </cell>
          <cell r="J528">
            <v>0</v>
          </cell>
          <cell r="K528">
            <v>0</v>
          </cell>
          <cell r="L528">
            <v>0.72</v>
          </cell>
          <cell r="M528">
            <v>0</v>
          </cell>
          <cell r="N528">
            <v>0</v>
          </cell>
          <cell r="O528">
            <v>0</v>
          </cell>
          <cell r="P528" t="str">
            <v>1010</v>
          </cell>
          <cell r="Q528" t="str">
            <v>1010</v>
          </cell>
          <cell r="R528">
            <v>0</v>
          </cell>
        </row>
        <row r="529">
          <cell r="A529" t="str">
            <v>Y005-134</v>
          </cell>
          <cell r="B529">
            <v>0</v>
          </cell>
          <cell r="C529" t="str">
            <v>Y005</v>
          </cell>
          <cell r="D529" t="str">
            <v>#8237-75</v>
          </cell>
          <cell r="E529" t="str">
            <v>饰框左chỉ hộc trái</v>
          </cell>
          <cell r="F529" t="str">
            <v>285*215*16</v>
          </cell>
          <cell r="G529">
            <v>285</v>
          </cell>
          <cell r="H529">
            <v>215</v>
          </cell>
          <cell r="I529">
            <v>16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 t="str">
            <v>1010</v>
          </cell>
          <cell r="Q529" t="str">
            <v>1010</v>
          </cell>
          <cell r="R529">
            <v>0</v>
          </cell>
        </row>
        <row r="530">
          <cell r="A530" t="str">
            <v>Y005-135</v>
          </cell>
          <cell r="B530">
            <v>0</v>
          </cell>
          <cell r="C530" t="str">
            <v>Y005</v>
          </cell>
          <cell r="D530" t="str">
            <v>#8237-75</v>
          </cell>
          <cell r="E530" t="str">
            <v>饰框右chỉ hộc phải</v>
          </cell>
          <cell r="F530" t="str">
            <v>285*215*16</v>
          </cell>
          <cell r="G530">
            <v>285</v>
          </cell>
          <cell r="H530">
            <v>215</v>
          </cell>
          <cell r="I530">
            <v>16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 t="str">
            <v>1010</v>
          </cell>
          <cell r="Q530" t="str">
            <v>1010</v>
          </cell>
          <cell r="R530">
            <v>0</v>
          </cell>
        </row>
        <row r="531">
          <cell r="A531" t="str">
            <v>Y005-136</v>
          </cell>
          <cell r="B531">
            <v>0</v>
          </cell>
          <cell r="C531" t="str">
            <v>Y005</v>
          </cell>
          <cell r="D531" t="str">
            <v>#8237-75</v>
          </cell>
          <cell r="E531" t="str">
            <v>饰框chỉ hông</v>
          </cell>
          <cell r="F531" t="str">
            <v>1310*295*10</v>
          </cell>
          <cell r="G531">
            <v>1310</v>
          </cell>
          <cell r="H531">
            <v>295</v>
          </cell>
          <cell r="I531">
            <v>10</v>
          </cell>
          <cell r="J531">
            <v>0</v>
          </cell>
          <cell r="K531">
            <v>0</v>
          </cell>
          <cell r="L531">
            <v>0.88</v>
          </cell>
          <cell r="M531">
            <v>0</v>
          </cell>
          <cell r="N531">
            <v>0</v>
          </cell>
          <cell r="O531">
            <v>0</v>
          </cell>
          <cell r="P531" t="str">
            <v>1010</v>
          </cell>
          <cell r="Q531" t="str">
            <v>1010</v>
          </cell>
          <cell r="R531">
            <v>0</v>
          </cell>
        </row>
        <row r="532">
          <cell r="A532" t="str">
            <v>Y005-137</v>
          </cell>
          <cell r="B532">
            <v>0</v>
          </cell>
          <cell r="C532" t="str">
            <v>Y005</v>
          </cell>
          <cell r="D532" t="str">
            <v>#8237-08</v>
          </cell>
          <cell r="E532" t="str">
            <v>饰框chỉ hộc</v>
          </cell>
          <cell r="F532" t="str">
            <v>496*165*10</v>
          </cell>
          <cell r="G532">
            <v>496</v>
          </cell>
          <cell r="H532">
            <v>165</v>
          </cell>
          <cell r="I532">
            <v>10</v>
          </cell>
          <cell r="J532">
            <v>0</v>
          </cell>
          <cell r="K532">
            <v>0</v>
          </cell>
          <cell r="L532">
            <v>0.31</v>
          </cell>
          <cell r="M532">
            <v>0</v>
          </cell>
          <cell r="N532">
            <v>0</v>
          </cell>
          <cell r="O532">
            <v>0</v>
          </cell>
          <cell r="P532" t="str">
            <v>1010</v>
          </cell>
          <cell r="Q532" t="str">
            <v>1010</v>
          </cell>
          <cell r="R532">
            <v>0</v>
          </cell>
        </row>
        <row r="533">
          <cell r="A533" t="str">
            <v>Y005-138</v>
          </cell>
          <cell r="B533">
            <v>0</v>
          </cell>
          <cell r="C533" t="str">
            <v>Y005</v>
          </cell>
          <cell r="D533" t="str">
            <v>#8237-08</v>
          </cell>
          <cell r="E533" t="str">
            <v>饰框chỉ hông</v>
          </cell>
          <cell r="F533" t="str">
            <v>810*280*10</v>
          </cell>
          <cell r="G533">
            <v>810</v>
          </cell>
          <cell r="H533">
            <v>280</v>
          </cell>
          <cell r="I533">
            <v>10</v>
          </cell>
          <cell r="J533">
            <v>0</v>
          </cell>
          <cell r="K533">
            <v>0</v>
          </cell>
          <cell r="L533">
            <v>0.6</v>
          </cell>
          <cell r="M533">
            <v>0</v>
          </cell>
          <cell r="N533">
            <v>0</v>
          </cell>
          <cell r="O533">
            <v>0</v>
          </cell>
          <cell r="P533" t="str">
            <v>1010</v>
          </cell>
          <cell r="Q533" t="str">
            <v>1010</v>
          </cell>
          <cell r="R533">
            <v>0</v>
          </cell>
        </row>
        <row r="534">
          <cell r="A534" t="str">
            <v>Y005-139</v>
          </cell>
          <cell r="B534">
            <v>0</v>
          </cell>
          <cell r="C534" t="str">
            <v>Y005</v>
          </cell>
          <cell r="D534" t="str">
            <v>#8237</v>
          </cell>
          <cell r="E534" t="str">
            <v>饰花左 hoa trái</v>
          </cell>
          <cell r="F534" t="str">
            <v>45*68*8</v>
          </cell>
          <cell r="G534">
            <v>45</v>
          </cell>
          <cell r="H534">
            <v>68</v>
          </cell>
          <cell r="I534">
            <v>8</v>
          </cell>
          <cell r="J534">
            <v>0</v>
          </cell>
          <cell r="K534">
            <v>0</v>
          </cell>
          <cell r="L534">
            <v>0.04</v>
          </cell>
          <cell r="M534">
            <v>0</v>
          </cell>
          <cell r="N534">
            <v>0</v>
          </cell>
          <cell r="O534">
            <v>0</v>
          </cell>
          <cell r="P534" t="str">
            <v>1010</v>
          </cell>
          <cell r="Q534" t="str">
            <v>1010</v>
          </cell>
          <cell r="R534">
            <v>0</v>
          </cell>
        </row>
        <row r="535">
          <cell r="A535" t="str">
            <v>Y005-140</v>
          </cell>
          <cell r="B535">
            <v>0</v>
          </cell>
          <cell r="C535" t="str">
            <v>Y005</v>
          </cell>
          <cell r="D535" t="str">
            <v>#8237</v>
          </cell>
          <cell r="E535" t="str">
            <v>饰花右 hoa phải</v>
          </cell>
          <cell r="F535" t="str">
            <v>45*68*8</v>
          </cell>
          <cell r="G535">
            <v>45</v>
          </cell>
          <cell r="H535">
            <v>68</v>
          </cell>
          <cell r="I535">
            <v>8</v>
          </cell>
          <cell r="J535">
            <v>0</v>
          </cell>
          <cell r="K535">
            <v>0</v>
          </cell>
          <cell r="L535">
            <v>0.04</v>
          </cell>
          <cell r="M535">
            <v>0</v>
          </cell>
          <cell r="N535">
            <v>0</v>
          </cell>
          <cell r="O535">
            <v>0</v>
          </cell>
          <cell r="P535" t="str">
            <v>1010</v>
          </cell>
          <cell r="Q535" t="str">
            <v>1010</v>
          </cell>
          <cell r="R535">
            <v>0</v>
          </cell>
        </row>
        <row r="536">
          <cell r="A536" t="str">
            <v>Y005-141</v>
          </cell>
          <cell r="B536">
            <v>0</v>
          </cell>
          <cell r="C536" t="str">
            <v>Y005</v>
          </cell>
          <cell r="D536" t="str">
            <v>#8237</v>
          </cell>
          <cell r="E536" t="str">
            <v>饰花 hoa</v>
          </cell>
          <cell r="F536" t="str">
            <v>187*86*7</v>
          </cell>
          <cell r="G536">
            <v>187</v>
          </cell>
          <cell r="H536">
            <v>86</v>
          </cell>
          <cell r="I536">
            <v>7</v>
          </cell>
          <cell r="J536">
            <v>0</v>
          </cell>
          <cell r="K536">
            <v>0</v>
          </cell>
          <cell r="L536">
            <v>0.25</v>
          </cell>
          <cell r="M536">
            <v>0</v>
          </cell>
          <cell r="N536">
            <v>0</v>
          </cell>
          <cell r="O536">
            <v>0</v>
          </cell>
          <cell r="P536" t="str">
            <v>1010</v>
          </cell>
          <cell r="Q536" t="str">
            <v>1010</v>
          </cell>
          <cell r="R536">
            <v>0</v>
          </cell>
        </row>
        <row r="537">
          <cell r="A537" t="str">
            <v>Y005-142</v>
          </cell>
          <cell r="B537">
            <v>0</v>
          </cell>
          <cell r="C537" t="str">
            <v>Y005</v>
          </cell>
          <cell r="D537" t="str">
            <v>#8237</v>
          </cell>
          <cell r="E537" t="str">
            <v>饰花 hoa</v>
          </cell>
          <cell r="F537" t="str">
            <v>193*111*7</v>
          </cell>
          <cell r="G537">
            <v>193</v>
          </cell>
          <cell r="H537">
            <v>111</v>
          </cell>
          <cell r="I537">
            <v>7</v>
          </cell>
          <cell r="J537">
            <v>0</v>
          </cell>
          <cell r="K537">
            <v>0</v>
          </cell>
          <cell r="L537">
            <v>0.39</v>
          </cell>
          <cell r="M537">
            <v>0</v>
          </cell>
          <cell r="N537">
            <v>0</v>
          </cell>
          <cell r="O537">
            <v>0</v>
          </cell>
          <cell r="P537" t="str">
            <v>1010</v>
          </cell>
          <cell r="Q537" t="str">
            <v>1010</v>
          </cell>
          <cell r="R537">
            <v>0</v>
          </cell>
        </row>
        <row r="538">
          <cell r="A538" t="str">
            <v>Y005-143</v>
          </cell>
          <cell r="B538">
            <v>0</v>
          </cell>
          <cell r="C538" t="str">
            <v>Y005</v>
          </cell>
          <cell r="D538" t="str">
            <v>#8237</v>
          </cell>
          <cell r="E538" t="str">
            <v>饰花 hoa</v>
          </cell>
          <cell r="F538" t="str">
            <v>176*78*7</v>
          </cell>
          <cell r="G538">
            <v>176</v>
          </cell>
          <cell r="H538">
            <v>78</v>
          </cell>
          <cell r="I538">
            <v>7</v>
          </cell>
          <cell r="J538">
            <v>0</v>
          </cell>
          <cell r="K538">
            <v>0</v>
          </cell>
          <cell r="L538">
            <v>0.22</v>
          </cell>
          <cell r="M538">
            <v>0</v>
          </cell>
          <cell r="N538">
            <v>0</v>
          </cell>
          <cell r="O538">
            <v>0</v>
          </cell>
          <cell r="P538" t="str">
            <v>1010</v>
          </cell>
          <cell r="Q538" t="str">
            <v>1010</v>
          </cell>
          <cell r="R538">
            <v>0</v>
          </cell>
        </row>
        <row r="539">
          <cell r="A539" t="str">
            <v>Y005-144</v>
          </cell>
          <cell r="B539">
            <v>0</v>
          </cell>
          <cell r="C539" t="str">
            <v>Y005</v>
          </cell>
          <cell r="D539" t="str">
            <v>#8237</v>
          </cell>
          <cell r="E539" t="str">
            <v>饰花 hoa</v>
          </cell>
          <cell r="F539" t="str">
            <v>237*108*7</v>
          </cell>
          <cell r="G539">
            <v>237</v>
          </cell>
          <cell r="H539">
            <v>108</v>
          </cell>
          <cell r="I539">
            <v>7</v>
          </cell>
          <cell r="J539">
            <v>0</v>
          </cell>
          <cell r="K539">
            <v>0</v>
          </cell>
          <cell r="L539">
            <v>0.42</v>
          </cell>
          <cell r="M539">
            <v>0</v>
          </cell>
          <cell r="N539">
            <v>0</v>
          </cell>
          <cell r="O539">
            <v>0</v>
          </cell>
          <cell r="P539" t="str">
            <v>1010</v>
          </cell>
          <cell r="Q539" t="str">
            <v>1010</v>
          </cell>
          <cell r="R539">
            <v>0</v>
          </cell>
        </row>
        <row r="540">
          <cell r="A540" t="str">
            <v>Y005-145</v>
          </cell>
          <cell r="B540">
            <v>0</v>
          </cell>
          <cell r="C540" t="str">
            <v>Y005</v>
          </cell>
          <cell r="D540" t="str">
            <v>#8237</v>
          </cell>
          <cell r="E540" t="str">
            <v>饰花 hoa</v>
          </cell>
          <cell r="F540" t="str">
            <v>270*123*7</v>
          </cell>
          <cell r="G540">
            <v>270</v>
          </cell>
          <cell r="H540">
            <v>123</v>
          </cell>
          <cell r="I540">
            <v>7</v>
          </cell>
          <cell r="J540">
            <v>0</v>
          </cell>
          <cell r="K540">
            <v>0</v>
          </cell>
          <cell r="L540">
            <v>0.43</v>
          </cell>
          <cell r="M540">
            <v>0</v>
          </cell>
          <cell r="N540">
            <v>0</v>
          </cell>
          <cell r="O540">
            <v>0</v>
          </cell>
          <cell r="P540" t="str">
            <v>1010</v>
          </cell>
          <cell r="Q540" t="str">
            <v>1010</v>
          </cell>
          <cell r="R540">
            <v>0</v>
          </cell>
        </row>
        <row r="541">
          <cell r="A541" t="str">
            <v>Y005-146</v>
          </cell>
          <cell r="B541">
            <v>0</v>
          </cell>
          <cell r="C541" t="str">
            <v>Y005</v>
          </cell>
          <cell r="D541" t="str">
            <v>#8237</v>
          </cell>
          <cell r="E541" t="str">
            <v>饰条dây poly</v>
          </cell>
          <cell r="F541" t="str">
            <v>900*52*21</v>
          </cell>
          <cell r="G541">
            <v>900</v>
          </cell>
          <cell r="H541">
            <v>52</v>
          </cell>
          <cell r="I541">
            <v>21</v>
          </cell>
          <cell r="J541">
            <v>1177</v>
          </cell>
          <cell r="K541">
            <v>0</v>
          </cell>
          <cell r="L541">
            <v>3.3</v>
          </cell>
          <cell r="M541">
            <v>0</v>
          </cell>
          <cell r="N541">
            <v>0</v>
          </cell>
          <cell r="O541">
            <v>0</v>
          </cell>
          <cell r="P541" t="str">
            <v>1010</v>
          </cell>
          <cell r="Q541" t="str">
            <v>1010</v>
          </cell>
          <cell r="R541">
            <v>0</v>
          </cell>
        </row>
        <row r="542">
          <cell r="A542" t="str">
            <v>Y005-147</v>
          </cell>
          <cell r="B542">
            <v>0</v>
          </cell>
          <cell r="C542" t="str">
            <v>Y005</v>
          </cell>
          <cell r="D542" t="str">
            <v>#8237</v>
          </cell>
          <cell r="E542" t="str">
            <v>饰条  dây poly</v>
          </cell>
          <cell r="F542" t="str">
            <v>900*42*18</v>
          </cell>
          <cell r="G542">
            <v>900</v>
          </cell>
          <cell r="H542">
            <v>42</v>
          </cell>
          <cell r="I542">
            <v>18</v>
          </cell>
          <cell r="J542">
            <v>788</v>
          </cell>
          <cell r="K542">
            <v>0</v>
          </cell>
          <cell r="L542">
            <v>2.25</v>
          </cell>
          <cell r="M542">
            <v>0</v>
          </cell>
          <cell r="N542">
            <v>0</v>
          </cell>
          <cell r="O542">
            <v>0</v>
          </cell>
          <cell r="P542" t="str">
            <v>1010</v>
          </cell>
          <cell r="Q542" t="str">
            <v>1010</v>
          </cell>
          <cell r="R542">
            <v>0</v>
          </cell>
        </row>
        <row r="543">
          <cell r="A543" t="str">
            <v>Y005-148</v>
          </cell>
          <cell r="B543">
            <v>0</v>
          </cell>
          <cell r="C543" t="str">
            <v>Y005</v>
          </cell>
          <cell r="D543" t="str">
            <v>402-75/08/73</v>
          </cell>
          <cell r="E543" t="str">
            <v>Poly trái 左</v>
          </cell>
          <cell r="F543" t="str">
            <v>380*107*6</v>
          </cell>
          <cell r="G543">
            <v>380</v>
          </cell>
          <cell r="H543">
            <v>107</v>
          </cell>
          <cell r="I543">
            <v>6</v>
          </cell>
          <cell r="J543">
            <v>0</v>
          </cell>
          <cell r="K543">
            <v>0</v>
          </cell>
          <cell r="L543">
            <v>0.25</v>
          </cell>
          <cell r="M543">
            <v>0</v>
          </cell>
          <cell r="N543">
            <v>0</v>
          </cell>
          <cell r="O543">
            <v>0</v>
          </cell>
          <cell r="P543" t="str">
            <v>1010</v>
          </cell>
          <cell r="Q543" t="str">
            <v>1010</v>
          </cell>
          <cell r="R543">
            <v>0</v>
          </cell>
        </row>
        <row r="544">
          <cell r="A544" t="str">
            <v>Y005-149</v>
          </cell>
          <cell r="B544">
            <v>0</v>
          </cell>
          <cell r="C544" t="str">
            <v>Y005</v>
          </cell>
          <cell r="D544" t="str">
            <v>402-75/08/73</v>
          </cell>
          <cell r="E544" t="str">
            <v>Poly phải 右</v>
          </cell>
          <cell r="F544" t="str">
            <v>380*107*6</v>
          </cell>
          <cell r="G544">
            <v>380</v>
          </cell>
          <cell r="H544">
            <v>107</v>
          </cell>
          <cell r="I544">
            <v>6</v>
          </cell>
          <cell r="J544">
            <v>0</v>
          </cell>
          <cell r="K544">
            <v>0</v>
          </cell>
          <cell r="L544">
            <v>0.25</v>
          </cell>
          <cell r="M544">
            <v>0</v>
          </cell>
          <cell r="N544">
            <v>0</v>
          </cell>
          <cell r="O544">
            <v>0</v>
          </cell>
          <cell r="P544" t="str">
            <v>1010</v>
          </cell>
          <cell r="Q544" t="str">
            <v>1010</v>
          </cell>
          <cell r="R544">
            <v>0</v>
          </cell>
        </row>
        <row r="545">
          <cell r="A545" t="str">
            <v>Y005-150</v>
          </cell>
          <cell r="B545">
            <v>0</v>
          </cell>
          <cell r="C545" t="str">
            <v>Y005</v>
          </cell>
          <cell r="D545" t="str">
            <v>402-71</v>
          </cell>
          <cell r="E545" t="str">
            <v>Poly trái 左</v>
          </cell>
          <cell r="F545" t="str">
            <v>250*83*6</v>
          </cell>
          <cell r="G545">
            <v>250</v>
          </cell>
          <cell r="H545">
            <v>83</v>
          </cell>
          <cell r="I545">
            <v>6</v>
          </cell>
          <cell r="J545">
            <v>0</v>
          </cell>
          <cell r="K545">
            <v>0</v>
          </cell>
          <cell r="L545">
            <v>0.17</v>
          </cell>
          <cell r="M545">
            <v>0</v>
          </cell>
          <cell r="N545">
            <v>0</v>
          </cell>
          <cell r="O545">
            <v>0</v>
          </cell>
          <cell r="P545" t="str">
            <v>1010</v>
          </cell>
          <cell r="Q545" t="str">
            <v>1010</v>
          </cell>
          <cell r="R545">
            <v>0</v>
          </cell>
        </row>
        <row r="546">
          <cell r="A546" t="str">
            <v>Y005-151</v>
          </cell>
          <cell r="B546">
            <v>0</v>
          </cell>
          <cell r="C546" t="str">
            <v>Y005</v>
          </cell>
          <cell r="D546" t="str">
            <v>402-71</v>
          </cell>
          <cell r="E546" t="str">
            <v>Poly phải 右</v>
          </cell>
          <cell r="F546" t="str">
            <v>250*83*6</v>
          </cell>
          <cell r="G546">
            <v>250</v>
          </cell>
          <cell r="H546">
            <v>83</v>
          </cell>
          <cell r="I546">
            <v>6</v>
          </cell>
          <cell r="J546">
            <v>0</v>
          </cell>
          <cell r="K546">
            <v>0</v>
          </cell>
          <cell r="L546">
            <v>0.17</v>
          </cell>
          <cell r="M546">
            <v>0</v>
          </cell>
          <cell r="N546">
            <v>0</v>
          </cell>
          <cell r="O546">
            <v>0</v>
          </cell>
          <cell r="P546" t="str">
            <v>1010</v>
          </cell>
          <cell r="Q546" t="str">
            <v>1010</v>
          </cell>
          <cell r="R546">
            <v>0</v>
          </cell>
        </row>
        <row r="547">
          <cell r="A547" t="str">
            <v>Y005-152</v>
          </cell>
          <cell r="B547">
            <v>0</v>
          </cell>
          <cell r="C547" t="str">
            <v>Y005</v>
          </cell>
          <cell r="D547" t="str">
            <v>402-78</v>
          </cell>
          <cell r="E547" t="str">
            <v>Poly trái 左</v>
          </cell>
          <cell r="F547" t="str">
            <v>540*107*6</v>
          </cell>
          <cell r="G547">
            <v>540</v>
          </cell>
          <cell r="H547">
            <v>107</v>
          </cell>
          <cell r="I547">
            <v>6</v>
          </cell>
          <cell r="J547">
            <v>0</v>
          </cell>
          <cell r="K547">
            <v>0</v>
          </cell>
          <cell r="L547">
            <v>0.32</v>
          </cell>
          <cell r="M547">
            <v>0</v>
          </cell>
          <cell r="N547">
            <v>0</v>
          </cell>
          <cell r="O547">
            <v>0</v>
          </cell>
          <cell r="P547" t="str">
            <v>1010</v>
          </cell>
          <cell r="Q547" t="str">
            <v>1010</v>
          </cell>
          <cell r="R547">
            <v>0</v>
          </cell>
        </row>
        <row r="548">
          <cell r="A548" t="str">
            <v>Y005-153</v>
          </cell>
          <cell r="B548">
            <v>0</v>
          </cell>
          <cell r="C548" t="str">
            <v>Y005</v>
          </cell>
          <cell r="D548" t="str">
            <v>402-78</v>
          </cell>
          <cell r="E548" t="str">
            <v>Poly phải 右</v>
          </cell>
          <cell r="F548" t="str">
            <v>540*107*6</v>
          </cell>
          <cell r="G548">
            <v>540</v>
          </cell>
          <cell r="H548">
            <v>107</v>
          </cell>
          <cell r="I548">
            <v>6</v>
          </cell>
          <cell r="J548">
            <v>0</v>
          </cell>
          <cell r="K548">
            <v>0</v>
          </cell>
          <cell r="L548">
            <v>0.32</v>
          </cell>
          <cell r="M548">
            <v>0</v>
          </cell>
          <cell r="N548">
            <v>0</v>
          </cell>
          <cell r="O548">
            <v>0</v>
          </cell>
          <cell r="P548" t="str">
            <v>1010</v>
          </cell>
          <cell r="Q548" t="str">
            <v>1010</v>
          </cell>
          <cell r="R548">
            <v>0</v>
          </cell>
        </row>
        <row r="549">
          <cell r="A549" t="str">
            <v>Y005-154</v>
          </cell>
          <cell r="B549">
            <v>0</v>
          </cell>
          <cell r="C549" t="str">
            <v>Y005</v>
          </cell>
          <cell r="D549" t="str">
            <v>402-78</v>
          </cell>
          <cell r="E549" t="str">
            <v>thanh poly 饰条</v>
          </cell>
          <cell r="F549" t="str">
            <v>1100*16*6</v>
          </cell>
          <cell r="G549">
            <v>1100</v>
          </cell>
          <cell r="H549">
            <v>16</v>
          </cell>
          <cell r="I549">
            <v>6</v>
          </cell>
          <cell r="J549">
            <v>0</v>
          </cell>
          <cell r="K549">
            <v>0</v>
          </cell>
          <cell r="L549">
            <v>0.43</v>
          </cell>
          <cell r="M549">
            <v>0</v>
          </cell>
          <cell r="N549">
            <v>0</v>
          </cell>
          <cell r="O549">
            <v>0</v>
          </cell>
          <cell r="P549" t="str">
            <v>1010</v>
          </cell>
          <cell r="Q549" t="str">
            <v>1010</v>
          </cell>
          <cell r="R549">
            <v>0</v>
          </cell>
        </row>
        <row r="550">
          <cell r="A550" t="str">
            <v>Y005-155</v>
          </cell>
          <cell r="B550">
            <v>0</v>
          </cell>
          <cell r="C550" t="str">
            <v>Y005</v>
          </cell>
          <cell r="D550" t="str">
            <v>402-73/71/75/08</v>
          </cell>
          <cell r="E550" t="str">
            <v>thanh poly 饰条</v>
          </cell>
          <cell r="F550" t="str">
            <v>820*16*6</v>
          </cell>
          <cell r="G550">
            <v>820</v>
          </cell>
          <cell r="H550">
            <v>16</v>
          </cell>
          <cell r="I550">
            <v>6</v>
          </cell>
          <cell r="J550">
            <v>0</v>
          </cell>
          <cell r="K550">
            <v>0</v>
          </cell>
          <cell r="L550">
            <v>0.32</v>
          </cell>
          <cell r="M550">
            <v>0</v>
          </cell>
          <cell r="N550">
            <v>0</v>
          </cell>
          <cell r="O550">
            <v>0</v>
          </cell>
          <cell r="P550" t="str">
            <v>1010</v>
          </cell>
          <cell r="Q550" t="str">
            <v>1010</v>
          </cell>
          <cell r="R550">
            <v>0</v>
          </cell>
        </row>
        <row r="551">
          <cell r="A551" t="str">
            <v>Y005-156</v>
          </cell>
          <cell r="B551">
            <v>0</v>
          </cell>
          <cell r="C551" t="str">
            <v>Y005</v>
          </cell>
          <cell r="D551" t="str">
            <v>402-54/55F</v>
          </cell>
          <cell r="E551" t="str">
            <v>Poly trái 左</v>
          </cell>
          <cell r="F551" t="str">
            <v>465*90*6</v>
          </cell>
          <cell r="G551">
            <v>465</v>
          </cell>
          <cell r="H551">
            <v>90</v>
          </cell>
          <cell r="I551">
            <v>6</v>
          </cell>
          <cell r="J551">
            <v>0</v>
          </cell>
          <cell r="K551">
            <v>0</v>
          </cell>
          <cell r="L551">
            <v>0.31</v>
          </cell>
          <cell r="M551">
            <v>0</v>
          </cell>
          <cell r="N551">
            <v>0</v>
          </cell>
          <cell r="O551">
            <v>0</v>
          </cell>
          <cell r="P551" t="str">
            <v>1010</v>
          </cell>
          <cell r="Q551" t="str">
            <v>1010</v>
          </cell>
          <cell r="R551">
            <v>0</v>
          </cell>
        </row>
        <row r="552">
          <cell r="A552" t="str">
            <v>Y005-157</v>
          </cell>
          <cell r="B552">
            <v>0</v>
          </cell>
          <cell r="C552" t="str">
            <v>Y005</v>
          </cell>
          <cell r="D552" t="str">
            <v>402-54/55F</v>
          </cell>
          <cell r="E552" t="str">
            <v>Poly phải 右</v>
          </cell>
          <cell r="F552" t="str">
            <v>465*90*6</v>
          </cell>
          <cell r="G552">
            <v>465</v>
          </cell>
          <cell r="H552">
            <v>90</v>
          </cell>
          <cell r="I552">
            <v>6</v>
          </cell>
          <cell r="J552">
            <v>0</v>
          </cell>
          <cell r="K552">
            <v>0</v>
          </cell>
          <cell r="L552">
            <v>0.31</v>
          </cell>
          <cell r="M552">
            <v>0</v>
          </cell>
          <cell r="N552">
            <v>0</v>
          </cell>
          <cell r="O552">
            <v>0</v>
          </cell>
          <cell r="P552" t="str">
            <v>1010</v>
          </cell>
          <cell r="Q552" t="str">
            <v>1010</v>
          </cell>
          <cell r="R552">
            <v>0</v>
          </cell>
        </row>
        <row r="553">
          <cell r="A553" t="str">
            <v>Y005-158</v>
          </cell>
          <cell r="B553">
            <v>0</v>
          </cell>
          <cell r="C553" t="str">
            <v>Y005</v>
          </cell>
          <cell r="D553" t="str">
            <v>#8237</v>
          </cell>
          <cell r="E553" t="str">
            <v>Hoa poly  花</v>
          </cell>
          <cell r="F553" t="str">
            <v>160*135*32</v>
          </cell>
          <cell r="G553">
            <v>160</v>
          </cell>
          <cell r="H553">
            <v>135</v>
          </cell>
          <cell r="I553">
            <v>32</v>
          </cell>
          <cell r="J553">
            <v>0</v>
          </cell>
          <cell r="K553" t="str">
            <v>未確認</v>
          </cell>
          <cell r="L553">
            <v>1.23</v>
          </cell>
          <cell r="M553">
            <v>0</v>
          </cell>
          <cell r="N553">
            <v>0</v>
          </cell>
          <cell r="O553">
            <v>0</v>
          </cell>
          <cell r="P553" t="str">
            <v>1010</v>
          </cell>
          <cell r="Q553" t="str">
            <v>1010</v>
          </cell>
          <cell r="R553">
            <v>0</v>
          </cell>
          <cell r="S553">
            <v>0</v>
          </cell>
        </row>
        <row r="554">
          <cell r="A554" t="str">
            <v>Y005-159</v>
          </cell>
          <cell r="B554">
            <v>0</v>
          </cell>
          <cell r="C554" t="str">
            <v>Y005</v>
          </cell>
          <cell r="D554" t="str">
            <v>#8237</v>
          </cell>
          <cell r="E554" t="str">
            <v>Hoa poly 花</v>
          </cell>
          <cell r="F554" t="str">
            <v>127*108*29</v>
          </cell>
          <cell r="G554">
            <v>127</v>
          </cell>
          <cell r="H554">
            <v>108</v>
          </cell>
          <cell r="I554">
            <v>29</v>
          </cell>
          <cell r="J554">
            <v>0</v>
          </cell>
          <cell r="K554">
            <v>0</v>
          </cell>
          <cell r="L554">
            <v>0.67</v>
          </cell>
          <cell r="M554">
            <v>0</v>
          </cell>
          <cell r="N554">
            <v>0</v>
          </cell>
          <cell r="O554">
            <v>0</v>
          </cell>
          <cell r="P554" t="str">
            <v>1010</v>
          </cell>
          <cell r="Q554" t="str">
            <v>1010</v>
          </cell>
          <cell r="R554">
            <v>0</v>
          </cell>
          <cell r="S554">
            <v>0</v>
          </cell>
        </row>
        <row r="555">
          <cell r="A555" t="str">
            <v>Y005-160</v>
          </cell>
          <cell r="B555">
            <v>0</v>
          </cell>
          <cell r="C555" t="str">
            <v>Y005</v>
          </cell>
          <cell r="D555" t="str">
            <v>#8237</v>
          </cell>
          <cell r="E555" t="str">
            <v>Hoa poly Trái 花左</v>
          </cell>
          <cell r="F555" t="str">
            <v>97*88*32</v>
          </cell>
          <cell r="G555">
            <v>97</v>
          </cell>
          <cell r="H555">
            <v>88</v>
          </cell>
          <cell r="I555">
            <v>32</v>
          </cell>
          <cell r="J555">
            <v>0</v>
          </cell>
          <cell r="K555">
            <v>0</v>
          </cell>
          <cell r="L555">
            <v>0.55000000000000004</v>
          </cell>
          <cell r="M555">
            <v>0</v>
          </cell>
          <cell r="N555">
            <v>0</v>
          </cell>
          <cell r="O555">
            <v>0</v>
          </cell>
          <cell r="P555" t="str">
            <v>1010</v>
          </cell>
          <cell r="Q555" t="str">
            <v>1010</v>
          </cell>
          <cell r="R555">
            <v>0</v>
          </cell>
          <cell r="S555">
            <v>0</v>
          </cell>
        </row>
        <row r="556">
          <cell r="A556" t="str">
            <v>Y005-161</v>
          </cell>
          <cell r="B556">
            <v>0</v>
          </cell>
          <cell r="C556" t="str">
            <v>Y005</v>
          </cell>
          <cell r="D556" t="str">
            <v>#8237</v>
          </cell>
          <cell r="E556" t="str">
            <v>Hoa poly Phải 花右</v>
          </cell>
          <cell r="F556" t="str">
            <v>97*88*32</v>
          </cell>
          <cell r="G556">
            <v>97</v>
          </cell>
          <cell r="H556">
            <v>88</v>
          </cell>
          <cell r="I556">
            <v>32</v>
          </cell>
          <cell r="J556">
            <v>0</v>
          </cell>
          <cell r="K556">
            <v>0</v>
          </cell>
          <cell r="L556">
            <v>0.55000000000000004</v>
          </cell>
          <cell r="M556">
            <v>0</v>
          </cell>
          <cell r="N556">
            <v>0</v>
          </cell>
          <cell r="O556">
            <v>0</v>
          </cell>
          <cell r="P556" t="str">
            <v>1010</v>
          </cell>
          <cell r="Q556" t="str">
            <v>1010</v>
          </cell>
          <cell r="R556">
            <v>0</v>
          </cell>
          <cell r="S556">
            <v>0</v>
          </cell>
        </row>
        <row r="557">
          <cell r="A557" t="str">
            <v>Y005-162</v>
          </cell>
          <cell r="B557">
            <v>0</v>
          </cell>
          <cell r="C557" t="str">
            <v>Y005</v>
          </cell>
          <cell r="D557" t="str">
            <v>#8237</v>
          </cell>
          <cell r="E557" t="str">
            <v>Hoa poly Trái 花左</v>
          </cell>
          <cell r="F557" t="str">
            <v>97*88*32</v>
          </cell>
          <cell r="G557">
            <v>97</v>
          </cell>
          <cell r="H557">
            <v>88</v>
          </cell>
          <cell r="I557">
            <v>32</v>
          </cell>
          <cell r="J557">
            <v>0</v>
          </cell>
          <cell r="K557">
            <v>0</v>
          </cell>
          <cell r="L557">
            <v>0.55000000000000004</v>
          </cell>
          <cell r="M557">
            <v>0</v>
          </cell>
          <cell r="N557">
            <v>0</v>
          </cell>
          <cell r="O557">
            <v>0</v>
          </cell>
          <cell r="P557" t="str">
            <v>1010</v>
          </cell>
          <cell r="Q557" t="str">
            <v>1010</v>
          </cell>
          <cell r="R557">
            <v>0</v>
          </cell>
          <cell r="S557">
            <v>0</v>
          </cell>
        </row>
        <row r="558">
          <cell r="A558" t="str">
            <v>Y005-163</v>
          </cell>
          <cell r="B558">
            <v>0</v>
          </cell>
          <cell r="C558" t="str">
            <v>Y005</v>
          </cell>
          <cell r="D558" t="str">
            <v>#8237</v>
          </cell>
          <cell r="E558" t="str">
            <v>Hoa poly Phải 花右</v>
          </cell>
          <cell r="F558" t="str">
            <v>97*88*32</v>
          </cell>
          <cell r="G558">
            <v>97</v>
          </cell>
          <cell r="H558">
            <v>88</v>
          </cell>
          <cell r="I558">
            <v>32</v>
          </cell>
          <cell r="J558">
            <v>0</v>
          </cell>
          <cell r="K558">
            <v>0</v>
          </cell>
          <cell r="L558">
            <v>0.55000000000000004</v>
          </cell>
          <cell r="M558">
            <v>0</v>
          </cell>
          <cell r="N558">
            <v>0</v>
          </cell>
          <cell r="O558">
            <v>0</v>
          </cell>
          <cell r="P558" t="str">
            <v>1010</v>
          </cell>
          <cell r="Q558" t="str">
            <v>1010</v>
          </cell>
          <cell r="R558">
            <v>0</v>
          </cell>
          <cell r="S558">
            <v>0</v>
          </cell>
        </row>
        <row r="559">
          <cell r="A559" t="str">
            <v>Y005-164</v>
          </cell>
          <cell r="B559">
            <v>0</v>
          </cell>
          <cell r="C559" t="str">
            <v>Y005</v>
          </cell>
          <cell r="D559" t="str">
            <v>#8237</v>
          </cell>
          <cell r="E559" t="str">
            <v>Hoa poly Trái 花左</v>
          </cell>
          <cell r="F559" t="str">
            <v>78*72*29</v>
          </cell>
          <cell r="G559">
            <v>78</v>
          </cell>
          <cell r="H559">
            <v>72</v>
          </cell>
          <cell r="I559">
            <v>29</v>
          </cell>
          <cell r="J559">
            <v>0</v>
          </cell>
          <cell r="K559">
            <v>0</v>
          </cell>
          <cell r="L559">
            <v>0.31</v>
          </cell>
          <cell r="M559">
            <v>0</v>
          </cell>
          <cell r="N559">
            <v>0</v>
          </cell>
          <cell r="O559">
            <v>0</v>
          </cell>
          <cell r="P559" t="str">
            <v>1010</v>
          </cell>
          <cell r="Q559" t="str">
            <v>1010</v>
          </cell>
          <cell r="R559">
            <v>0</v>
          </cell>
          <cell r="S559">
            <v>0</v>
          </cell>
        </row>
        <row r="560">
          <cell r="A560" t="str">
            <v>Y005-165</v>
          </cell>
          <cell r="B560">
            <v>0</v>
          </cell>
          <cell r="C560" t="str">
            <v>Y005</v>
          </cell>
          <cell r="D560" t="str">
            <v>#8237</v>
          </cell>
          <cell r="E560" t="str">
            <v>Hoa poly Phải 花右</v>
          </cell>
          <cell r="F560" t="str">
            <v>78*72*29</v>
          </cell>
          <cell r="G560">
            <v>78</v>
          </cell>
          <cell r="H560">
            <v>72</v>
          </cell>
          <cell r="I560">
            <v>29</v>
          </cell>
          <cell r="J560">
            <v>0</v>
          </cell>
          <cell r="K560">
            <v>0</v>
          </cell>
          <cell r="L560">
            <v>0.31</v>
          </cell>
          <cell r="M560">
            <v>0</v>
          </cell>
          <cell r="N560">
            <v>0</v>
          </cell>
          <cell r="O560">
            <v>0</v>
          </cell>
          <cell r="P560" t="str">
            <v>1010</v>
          </cell>
          <cell r="Q560" t="str">
            <v>1010</v>
          </cell>
          <cell r="R560">
            <v>0</v>
          </cell>
          <cell r="S560">
            <v>0</v>
          </cell>
        </row>
        <row r="561">
          <cell r="A561" t="str">
            <v>Y005-166</v>
          </cell>
          <cell r="B561">
            <v>0</v>
          </cell>
          <cell r="C561" t="str">
            <v>Y005</v>
          </cell>
          <cell r="D561" t="str">
            <v>#8237</v>
          </cell>
          <cell r="E561" t="str">
            <v>Hoa poly Trái 花左</v>
          </cell>
          <cell r="F561" t="str">
            <v>76*70*30</v>
          </cell>
          <cell r="G561">
            <v>76</v>
          </cell>
          <cell r="H561">
            <v>70</v>
          </cell>
          <cell r="I561">
            <v>30</v>
          </cell>
          <cell r="J561">
            <v>0</v>
          </cell>
          <cell r="K561">
            <v>0</v>
          </cell>
          <cell r="L561">
            <v>0.28000000000000003</v>
          </cell>
          <cell r="M561">
            <v>0</v>
          </cell>
          <cell r="N561">
            <v>0</v>
          </cell>
          <cell r="O561">
            <v>0</v>
          </cell>
          <cell r="P561" t="str">
            <v>1010</v>
          </cell>
          <cell r="Q561" t="str">
            <v>1010</v>
          </cell>
          <cell r="R561">
            <v>0</v>
          </cell>
          <cell r="S561">
            <v>0</v>
          </cell>
        </row>
        <row r="562">
          <cell r="A562" t="str">
            <v>Y005-167</v>
          </cell>
          <cell r="B562">
            <v>0</v>
          </cell>
          <cell r="C562" t="str">
            <v>Y005</v>
          </cell>
          <cell r="D562" t="str">
            <v>#8237</v>
          </cell>
          <cell r="E562" t="str">
            <v>Hoa poly Phải 花右</v>
          </cell>
          <cell r="F562" t="str">
            <v>76*70*30</v>
          </cell>
          <cell r="G562">
            <v>76</v>
          </cell>
          <cell r="H562">
            <v>70</v>
          </cell>
          <cell r="I562">
            <v>30</v>
          </cell>
          <cell r="J562">
            <v>0</v>
          </cell>
          <cell r="K562">
            <v>0</v>
          </cell>
          <cell r="L562">
            <v>0.28000000000000003</v>
          </cell>
          <cell r="M562">
            <v>0</v>
          </cell>
          <cell r="N562">
            <v>0</v>
          </cell>
          <cell r="O562">
            <v>0</v>
          </cell>
          <cell r="P562" t="str">
            <v>1010</v>
          </cell>
          <cell r="Q562" t="str">
            <v>1010</v>
          </cell>
          <cell r="R562">
            <v>0</v>
          </cell>
          <cell r="S562">
            <v>0</v>
          </cell>
        </row>
        <row r="563">
          <cell r="A563" t="str">
            <v>Y005-168</v>
          </cell>
          <cell r="B563">
            <v>0</v>
          </cell>
          <cell r="C563" t="str">
            <v>Y005</v>
          </cell>
          <cell r="D563" t="str">
            <v>#8237</v>
          </cell>
          <cell r="E563" t="str">
            <v>thanh poly饰条</v>
          </cell>
          <cell r="F563" t="str">
            <v>1070*51*19</v>
          </cell>
          <cell r="G563">
            <v>1070</v>
          </cell>
          <cell r="H563">
            <v>51</v>
          </cell>
          <cell r="I563">
            <v>19</v>
          </cell>
          <cell r="J563">
            <v>0</v>
          </cell>
          <cell r="K563">
            <v>0</v>
          </cell>
          <cell r="L563">
            <v>3.3</v>
          </cell>
          <cell r="M563">
            <v>0</v>
          </cell>
          <cell r="N563">
            <v>0</v>
          </cell>
          <cell r="O563">
            <v>0</v>
          </cell>
          <cell r="P563" t="str">
            <v>1010</v>
          </cell>
          <cell r="Q563" t="str">
            <v>1010</v>
          </cell>
          <cell r="R563">
            <v>0</v>
          </cell>
          <cell r="S563">
            <v>0</v>
          </cell>
        </row>
        <row r="564">
          <cell r="A564" t="str">
            <v>Y005-169</v>
          </cell>
          <cell r="B564">
            <v>0</v>
          </cell>
          <cell r="C564" t="str">
            <v>Y005</v>
          </cell>
          <cell r="D564" t="str">
            <v>420-71/73</v>
          </cell>
          <cell r="E564" t="str">
            <v>nửa tròn 半圆饰条</v>
          </cell>
          <cell r="F564" t="str">
            <v>800*10*5</v>
          </cell>
          <cell r="G564">
            <v>800</v>
          </cell>
          <cell r="H564">
            <v>10</v>
          </cell>
          <cell r="I564">
            <v>5</v>
          </cell>
          <cell r="J564">
            <v>0</v>
          </cell>
          <cell r="K564">
            <v>0</v>
          </cell>
          <cell r="L564">
            <v>0.28000000000000003</v>
          </cell>
          <cell r="M564">
            <v>0</v>
          </cell>
          <cell r="N564">
            <v>0</v>
          </cell>
          <cell r="O564">
            <v>0</v>
          </cell>
          <cell r="P564" t="str">
            <v>1010</v>
          </cell>
          <cell r="Q564" t="str">
            <v>1010</v>
          </cell>
          <cell r="R564">
            <v>0</v>
          </cell>
          <cell r="S564">
            <v>0</v>
          </cell>
        </row>
        <row r="565">
          <cell r="A565" t="str">
            <v>Y005-170</v>
          </cell>
          <cell r="B565">
            <v>0</v>
          </cell>
          <cell r="C565" t="str">
            <v>Y005</v>
          </cell>
          <cell r="D565" t="str">
            <v>402-73/75/08</v>
          </cell>
          <cell r="E565" t="str">
            <v>nửa tròn 半圆饰条</v>
          </cell>
          <cell r="F565" t="str">
            <v>1100*10*5</v>
          </cell>
          <cell r="G565">
            <v>1100</v>
          </cell>
          <cell r="H565">
            <v>10</v>
          </cell>
          <cell r="I565">
            <v>5</v>
          </cell>
          <cell r="J565">
            <v>0</v>
          </cell>
          <cell r="K565">
            <v>0</v>
          </cell>
          <cell r="L565">
            <v>0.36</v>
          </cell>
          <cell r="M565">
            <v>0</v>
          </cell>
          <cell r="N565">
            <v>0</v>
          </cell>
          <cell r="O565">
            <v>0</v>
          </cell>
          <cell r="P565" t="str">
            <v>1010</v>
          </cell>
          <cell r="Q565" t="str">
            <v>1010</v>
          </cell>
          <cell r="R565">
            <v>0</v>
          </cell>
          <cell r="S565">
            <v>0</v>
          </cell>
        </row>
        <row r="566">
          <cell r="A566" t="str">
            <v>Y005-171</v>
          </cell>
          <cell r="B566">
            <v>0</v>
          </cell>
          <cell r="C566" t="str">
            <v>Y005</v>
          </cell>
          <cell r="D566" t="str">
            <v>402-75/78/08</v>
          </cell>
          <cell r="E566" t="str">
            <v>nửa tròn 半圆饰条</v>
          </cell>
          <cell r="F566" t="str">
            <v>1500*10*5</v>
          </cell>
          <cell r="G566">
            <v>1500</v>
          </cell>
          <cell r="H566">
            <v>10</v>
          </cell>
          <cell r="I566">
            <v>5</v>
          </cell>
          <cell r="J566">
            <v>0</v>
          </cell>
          <cell r="K566">
            <v>0</v>
          </cell>
          <cell r="L566">
            <v>0.46</v>
          </cell>
          <cell r="M566">
            <v>0</v>
          </cell>
          <cell r="N566">
            <v>0</v>
          </cell>
          <cell r="O566">
            <v>0</v>
          </cell>
          <cell r="P566" t="str">
            <v>1010</v>
          </cell>
          <cell r="Q566" t="str">
            <v>1010</v>
          </cell>
          <cell r="R566">
            <v>0</v>
          </cell>
          <cell r="S566">
            <v>0</v>
          </cell>
        </row>
        <row r="567">
          <cell r="A567" t="str">
            <v>Y005-172</v>
          </cell>
          <cell r="B567">
            <v>0</v>
          </cell>
          <cell r="C567" t="str">
            <v>Y005</v>
          </cell>
          <cell r="D567" t="str">
            <v>402-78</v>
          </cell>
          <cell r="E567" t="str">
            <v>nửa tròn 半圆饰条</v>
          </cell>
          <cell r="F567" t="str">
            <v>1200*10*5</v>
          </cell>
          <cell r="G567">
            <v>1200</v>
          </cell>
          <cell r="H567">
            <v>10</v>
          </cell>
          <cell r="I567">
            <v>5</v>
          </cell>
          <cell r="J567">
            <v>0</v>
          </cell>
          <cell r="K567">
            <v>0</v>
          </cell>
          <cell r="L567">
            <v>0.39</v>
          </cell>
          <cell r="M567">
            <v>0</v>
          </cell>
          <cell r="N567">
            <v>0</v>
          </cell>
          <cell r="O567">
            <v>0</v>
          </cell>
          <cell r="P567" t="str">
            <v>1010</v>
          </cell>
          <cell r="Q567" t="str">
            <v>1010</v>
          </cell>
          <cell r="R567">
            <v>0</v>
          </cell>
          <cell r="S567">
            <v>0</v>
          </cell>
        </row>
        <row r="568">
          <cell r="A568" t="str">
            <v>Y005-173</v>
          </cell>
          <cell r="B568">
            <v>0</v>
          </cell>
          <cell r="C568" t="str">
            <v>Y005</v>
          </cell>
          <cell r="D568" t="str">
            <v>#282-75</v>
          </cell>
          <cell r="E568" t="str">
            <v>Hoa poly Trái 花左</v>
          </cell>
          <cell r="F568" t="str">
            <v>321*316*13</v>
          </cell>
          <cell r="G568">
            <v>321</v>
          </cell>
          <cell r="H568">
            <v>316</v>
          </cell>
          <cell r="I568">
            <v>13</v>
          </cell>
          <cell r="J568">
            <v>395</v>
          </cell>
          <cell r="K568">
            <v>0</v>
          </cell>
          <cell r="L568">
            <v>1.1499999999999999</v>
          </cell>
          <cell r="M568">
            <v>0</v>
          </cell>
          <cell r="N568">
            <v>0</v>
          </cell>
          <cell r="O568">
            <v>0</v>
          </cell>
          <cell r="P568" t="str">
            <v>1010</v>
          </cell>
          <cell r="Q568" t="str">
            <v>1010</v>
          </cell>
          <cell r="R568">
            <v>0</v>
          </cell>
          <cell r="S568">
            <v>0</v>
          </cell>
        </row>
        <row r="569">
          <cell r="A569" t="str">
            <v>Y005-174</v>
          </cell>
          <cell r="B569">
            <v>0</v>
          </cell>
          <cell r="C569" t="str">
            <v>Y005</v>
          </cell>
          <cell r="D569" t="str">
            <v>#282-75</v>
          </cell>
          <cell r="E569" t="str">
            <v>Hoa poly Phải 花右</v>
          </cell>
          <cell r="F569" t="str">
            <v>321*316*13</v>
          </cell>
          <cell r="G569">
            <v>321</v>
          </cell>
          <cell r="H569">
            <v>316</v>
          </cell>
          <cell r="I569">
            <v>13</v>
          </cell>
          <cell r="J569">
            <v>395</v>
          </cell>
          <cell r="K569">
            <v>0</v>
          </cell>
          <cell r="L569">
            <v>1.1499999999999999</v>
          </cell>
          <cell r="M569">
            <v>0</v>
          </cell>
          <cell r="N569">
            <v>0</v>
          </cell>
          <cell r="O569">
            <v>0</v>
          </cell>
          <cell r="P569" t="str">
            <v>1010</v>
          </cell>
          <cell r="Q569" t="str">
            <v>1010</v>
          </cell>
          <cell r="R569">
            <v>0</v>
          </cell>
          <cell r="S569">
            <v>0</v>
          </cell>
        </row>
        <row r="570">
          <cell r="A570" t="str">
            <v>Y005-175</v>
          </cell>
          <cell r="B570">
            <v>0</v>
          </cell>
          <cell r="C570" t="str">
            <v>Y005</v>
          </cell>
          <cell r="D570" t="str">
            <v>#282-78</v>
          </cell>
          <cell r="E570" t="str">
            <v>Hoa poly Trái 花左</v>
          </cell>
          <cell r="F570" t="str">
            <v>241*237*13</v>
          </cell>
          <cell r="G570">
            <v>241</v>
          </cell>
          <cell r="H570">
            <v>237</v>
          </cell>
          <cell r="I570">
            <v>13</v>
          </cell>
          <cell r="J570">
            <v>248</v>
          </cell>
          <cell r="K570">
            <v>0</v>
          </cell>
          <cell r="L570">
            <v>0.72</v>
          </cell>
          <cell r="M570">
            <v>0</v>
          </cell>
          <cell r="N570">
            <v>0</v>
          </cell>
          <cell r="O570">
            <v>0</v>
          </cell>
          <cell r="P570" t="str">
            <v>1010</v>
          </cell>
          <cell r="Q570" t="str">
            <v>1010</v>
          </cell>
          <cell r="R570">
            <v>0</v>
          </cell>
          <cell r="S570">
            <v>0</v>
          </cell>
        </row>
        <row r="571">
          <cell r="A571" t="str">
            <v>Y005-176</v>
          </cell>
          <cell r="B571">
            <v>0</v>
          </cell>
          <cell r="C571" t="str">
            <v>Y005</v>
          </cell>
          <cell r="D571" t="str">
            <v>#282-78</v>
          </cell>
          <cell r="E571" t="str">
            <v>Hoa poly Phải 花右</v>
          </cell>
          <cell r="F571" t="str">
            <v>241*237*13</v>
          </cell>
          <cell r="G571">
            <v>241</v>
          </cell>
          <cell r="H571">
            <v>237</v>
          </cell>
          <cell r="I571">
            <v>13</v>
          </cell>
          <cell r="J571">
            <v>248</v>
          </cell>
          <cell r="K571">
            <v>0</v>
          </cell>
          <cell r="L571">
            <v>0.72</v>
          </cell>
          <cell r="M571">
            <v>0</v>
          </cell>
          <cell r="N571">
            <v>0</v>
          </cell>
          <cell r="O571">
            <v>0</v>
          </cell>
          <cell r="P571" t="str">
            <v>1010</v>
          </cell>
          <cell r="Q571" t="str">
            <v>1010</v>
          </cell>
          <cell r="R571">
            <v>0</v>
          </cell>
          <cell r="S571">
            <v>0</v>
          </cell>
        </row>
        <row r="572">
          <cell r="A572" t="str">
            <v>Y005-177</v>
          </cell>
          <cell r="B572">
            <v>0</v>
          </cell>
          <cell r="C572" t="str">
            <v>Y005</v>
          </cell>
          <cell r="D572" t="str">
            <v>#282*71</v>
          </cell>
          <cell r="E572" t="str">
            <v>hoa poly 饰花</v>
          </cell>
          <cell r="F572" t="str">
            <v>226*52*13</v>
          </cell>
          <cell r="G572">
            <v>226</v>
          </cell>
          <cell r="H572">
            <v>52</v>
          </cell>
          <cell r="I572">
            <v>13</v>
          </cell>
          <cell r="J572">
            <v>145</v>
          </cell>
          <cell r="K572">
            <v>0</v>
          </cell>
          <cell r="L572">
            <v>0.42</v>
          </cell>
          <cell r="M572">
            <v>0</v>
          </cell>
          <cell r="N572">
            <v>0</v>
          </cell>
          <cell r="O572">
            <v>0</v>
          </cell>
          <cell r="P572" t="str">
            <v>1010</v>
          </cell>
          <cell r="Q572" t="str">
            <v>1010</v>
          </cell>
          <cell r="R572">
            <v>0</v>
          </cell>
          <cell r="S572">
            <v>0</v>
          </cell>
        </row>
        <row r="573">
          <cell r="A573" t="str">
            <v>Y005-178</v>
          </cell>
          <cell r="B573">
            <v>0</v>
          </cell>
          <cell r="C573" t="str">
            <v>Y005</v>
          </cell>
          <cell r="D573" t="str">
            <v>#282-75/78</v>
          </cell>
          <cell r="E573" t="str">
            <v>hoa poly 饰花</v>
          </cell>
          <cell r="F573" t="str">
            <v>226*52*13</v>
          </cell>
          <cell r="G573">
            <v>226</v>
          </cell>
          <cell r="H573">
            <v>52</v>
          </cell>
          <cell r="I573">
            <v>13</v>
          </cell>
          <cell r="J573">
            <v>145</v>
          </cell>
          <cell r="K573">
            <v>0</v>
          </cell>
          <cell r="L573">
            <v>0.42</v>
          </cell>
          <cell r="M573">
            <v>0</v>
          </cell>
          <cell r="N573">
            <v>0</v>
          </cell>
          <cell r="O573">
            <v>0</v>
          </cell>
          <cell r="P573" t="str">
            <v>1010</v>
          </cell>
          <cell r="Q573" t="str">
            <v>1010</v>
          </cell>
          <cell r="R573">
            <v>0</v>
          </cell>
          <cell r="S573">
            <v>0</v>
          </cell>
        </row>
        <row r="574">
          <cell r="A574" t="str">
            <v>Y005-179</v>
          </cell>
          <cell r="B574">
            <v>0</v>
          </cell>
          <cell r="C574" t="str">
            <v>Y005</v>
          </cell>
          <cell r="D574" t="str">
            <v>#287-75</v>
          </cell>
          <cell r="E574" t="str">
            <v>Hoa poly Trái 花左</v>
          </cell>
          <cell r="F574" t="str">
            <v>240*80*9</v>
          </cell>
          <cell r="G574">
            <v>240</v>
          </cell>
          <cell r="H574">
            <v>80</v>
          </cell>
          <cell r="I574">
            <v>9</v>
          </cell>
          <cell r="J574">
            <v>0</v>
          </cell>
          <cell r="K574">
            <v>0</v>
          </cell>
          <cell r="L574">
            <v>0.25</v>
          </cell>
          <cell r="M574">
            <v>0</v>
          </cell>
          <cell r="N574">
            <v>0</v>
          </cell>
          <cell r="O574">
            <v>0</v>
          </cell>
          <cell r="P574" t="str">
            <v>1010</v>
          </cell>
          <cell r="Q574" t="str">
            <v>1010</v>
          </cell>
          <cell r="R574">
            <v>0</v>
          </cell>
          <cell r="S574">
            <v>0</v>
          </cell>
        </row>
        <row r="575">
          <cell r="A575" t="str">
            <v>Y005-180</v>
          </cell>
          <cell r="B575">
            <v>0</v>
          </cell>
          <cell r="C575" t="str">
            <v>Y005</v>
          </cell>
          <cell r="D575" t="str">
            <v>#287-75</v>
          </cell>
          <cell r="E575" t="str">
            <v>Hoa poly Phải 花右</v>
          </cell>
          <cell r="F575" t="str">
            <v>240*80*9</v>
          </cell>
          <cell r="G575">
            <v>240</v>
          </cell>
          <cell r="H575">
            <v>80</v>
          </cell>
          <cell r="I575">
            <v>9</v>
          </cell>
          <cell r="J575">
            <v>0</v>
          </cell>
          <cell r="K575">
            <v>0</v>
          </cell>
          <cell r="L575">
            <v>0.25</v>
          </cell>
          <cell r="M575">
            <v>0</v>
          </cell>
          <cell r="N575">
            <v>0</v>
          </cell>
          <cell r="O575">
            <v>0</v>
          </cell>
          <cell r="P575" t="str">
            <v>1010</v>
          </cell>
          <cell r="Q575" t="str">
            <v>1010</v>
          </cell>
          <cell r="R575">
            <v>0</v>
          </cell>
          <cell r="S575">
            <v>0</v>
          </cell>
        </row>
        <row r="576">
          <cell r="A576" t="str">
            <v>Y005-181</v>
          </cell>
          <cell r="B576">
            <v>0</v>
          </cell>
          <cell r="C576" t="str">
            <v>Y005</v>
          </cell>
          <cell r="D576" t="str">
            <v>#287-75</v>
          </cell>
          <cell r="E576" t="str">
            <v>hoa poly 饰花</v>
          </cell>
          <cell r="F576" t="str">
            <v>800*161*9</v>
          </cell>
          <cell r="G576">
            <v>800</v>
          </cell>
          <cell r="H576">
            <v>161</v>
          </cell>
          <cell r="I576">
            <v>9</v>
          </cell>
          <cell r="J576">
            <v>0</v>
          </cell>
          <cell r="K576">
            <v>0</v>
          </cell>
          <cell r="L576">
            <v>2.06</v>
          </cell>
          <cell r="M576">
            <v>0</v>
          </cell>
          <cell r="N576">
            <v>0</v>
          </cell>
          <cell r="O576">
            <v>0</v>
          </cell>
          <cell r="P576" t="str">
            <v>1010</v>
          </cell>
          <cell r="Q576" t="str">
            <v>1010</v>
          </cell>
          <cell r="R576">
            <v>0</v>
          </cell>
          <cell r="S576">
            <v>0</v>
          </cell>
        </row>
        <row r="577">
          <cell r="A577" t="str">
            <v>Y005-182</v>
          </cell>
          <cell r="B577">
            <v>0</v>
          </cell>
          <cell r="C577" t="str">
            <v>Y005</v>
          </cell>
          <cell r="D577" t="str">
            <v>#287-78</v>
          </cell>
          <cell r="E577" t="str">
            <v>hoa poly 饰花</v>
          </cell>
          <cell r="F577" t="str">
            <v>214*80*9</v>
          </cell>
          <cell r="G577">
            <v>214</v>
          </cell>
          <cell r="H577">
            <v>80</v>
          </cell>
          <cell r="I577">
            <v>9</v>
          </cell>
          <cell r="J577">
            <v>0</v>
          </cell>
          <cell r="K577">
            <v>0</v>
          </cell>
          <cell r="L577">
            <v>0.32</v>
          </cell>
          <cell r="M577">
            <v>0</v>
          </cell>
          <cell r="N577">
            <v>0</v>
          </cell>
          <cell r="O577">
            <v>0</v>
          </cell>
          <cell r="P577" t="str">
            <v>1010</v>
          </cell>
          <cell r="Q577" t="str">
            <v>1010</v>
          </cell>
          <cell r="R577">
            <v>0</v>
          </cell>
          <cell r="S577">
            <v>0</v>
          </cell>
        </row>
        <row r="578">
          <cell r="A578" t="str">
            <v>Y005-183</v>
          </cell>
          <cell r="B578">
            <v>0</v>
          </cell>
          <cell r="C578" t="str">
            <v>Y005</v>
          </cell>
          <cell r="D578" t="str">
            <v>#287-78</v>
          </cell>
          <cell r="E578" t="str">
            <v>hoa poly 饰花</v>
          </cell>
          <cell r="F578" t="str">
            <v>640*192*9</v>
          </cell>
          <cell r="G578">
            <v>640</v>
          </cell>
          <cell r="H578">
            <v>192</v>
          </cell>
          <cell r="I578">
            <v>9</v>
          </cell>
          <cell r="J578">
            <v>0</v>
          </cell>
          <cell r="K578">
            <v>0</v>
          </cell>
          <cell r="L578">
            <v>1.18</v>
          </cell>
          <cell r="M578">
            <v>0</v>
          </cell>
          <cell r="N578">
            <v>0</v>
          </cell>
          <cell r="O578">
            <v>0</v>
          </cell>
          <cell r="P578" t="str">
            <v>1010</v>
          </cell>
          <cell r="Q578" t="str">
            <v>1010</v>
          </cell>
          <cell r="R578">
            <v>0</v>
          </cell>
          <cell r="S578">
            <v>0</v>
          </cell>
        </row>
        <row r="579">
          <cell r="A579" t="str">
            <v>Y005-184</v>
          </cell>
          <cell r="B579">
            <v>0</v>
          </cell>
          <cell r="C579" t="str">
            <v>Y005</v>
          </cell>
          <cell r="D579" t="str">
            <v>#287-71</v>
          </cell>
          <cell r="E579" t="str">
            <v>hoa poly 饰花</v>
          </cell>
          <cell r="F579" t="str">
            <v>495*187*9</v>
          </cell>
          <cell r="G579">
            <v>495</v>
          </cell>
          <cell r="H579">
            <v>187</v>
          </cell>
          <cell r="I579">
            <v>9</v>
          </cell>
          <cell r="J579">
            <v>0</v>
          </cell>
          <cell r="K579">
            <v>0</v>
          </cell>
          <cell r="L579">
            <v>0.97</v>
          </cell>
          <cell r="M579">
            <v>0</v>
          </cell>
          <cell r="N579">
            <v>0</v>
          </cell>
          <cell r="O579">
            <v>0</v>
          </cell>
          <cell r="P579" t="str">
            <v>1010</v>
          </cell>
          <cell r="Q579" t="str">
            <v>1010</v>
          </cell>
          <cell r="R579">
            <v>0</v>
          </cell>
          <cell r="S579">
            <v>0</v>
          </cell>
        </row>
        <row r="580">
          <cell r="A580" t="str">
            <v>Y005-185</v>
          </cell>
          <cell r="B580">
            <v>0</v>
          </cell>
          <cell r="C580" t="str">
            <v>Y005</v>
          </cell>
          <cell r="D580">
            <v>0</v>
          </cell>
          <cell r="E580" t="str">
            <v>hoa poly 饰花</v>
          </cell>
          <cell r="F580" t="str">
            <v>137*62*15</v>
          </cell>
          <cell r="G580">
            <v>137</v>
          </cell>
          <cell r="H580">
            <v>62</v>
          </cell>
          <cell r="I580">
            <v>15</v>
          </cell>
          <cell r="J580">
            <v>108</v>
          </cell>
          <cell r="K580">
            <v>0</v>
          </cell>
          <cell r="L580">
            <v>0.3</v>
          </cell>
          <cell r="M580">
            <v>0</v>
          </cell>
          <cell r="N580">
            <v>0</v>
          </cell>
          <cell r="O580">
            <v>0</v>
          </cell>
          <cell r="P580" t="str">
            <v>1010</v>
          </cell>
          <cell r="Q580" t="str">
            <v>1010</v>
          </cell>
          <cell r="R580">
            <v>0</v>
          </cell>
          <cell r="S580">
            <v>0</v>
          </cell>
        </row>
        <row r="581">
          <cell r="A581" t="str">
            <v>Y005-186</v>
          </cell>
          <cell r="B581">
            <v>0</v>
          </cell>
          <cell r="C581" t="str">
            <v>Y005</v>
          </cell>
          <cell r="D581">
            <v>0</v>
          </cell>
          <cell r="E581" t="str">
            <v>dây poly 饰条</v>
          </cell>
          <cell r="F581" t="str">
            <v>900*67*35</v>
          </cell>
          <cell r="G581">
            <v>900</v>
          </cell>
          <cell r="H581">
            <v>67</v>
          </cell>
          <cell r="I581">
            <v>35</v>
          </cell>
          <cell r="J581">
            <v>0</v>
          </cell>
          <cell r="K581">
            <v>0</v>
          </cell>
          <cell r="L581">
            <v>3.8</v>
          </cell>
          <cell r="M581">
            <v>0</v>
          </cell>
          <cell r="N581">
            <v>0</v>
          </cell>
          <cell r="O581">
            <v>0</v>
          </cell>
          <cell r="P581" t="str">
            <v>1010</v>
          </cell>
          <cell r="Q581" t="str">
            <v>1010</v>
          </cell>
          <cell r="R581">
            <v>0</v>
          </cell>
          <cell r="S581">
            <v>0</v>
          </cell>
        </row>
        <row r="582">
          <cell r="A582" t="str">
            <v>Y005-187</v>
          </cell>
          <cell r="B582">
            <v>0</v>
          </cell>
          <cell r="C582" t="str">
            <v>Y005</v>
          </cell>
          <cell r="D582">
            <v>0</v>
          </cell>
          <cell r="E582" t="str">
            <v>dây poly 饰条</v>
          </cell>
          <cell r="F582" t="str">
            <v>605*43*17</v>
          </cell>
          <cell r="G582">
            <v>605</v>
          </cell>
          <cell r="H582">
            <v>43</v>
          </cell>
          <cell r="I582">
            <v>17</v>
          </cell>
          <cell r="J582">
            <v>437</v>
          </cell>
          <cell r="K582">
            <v>0</v>
          </cell>
          <cell r="L582">
            <v>1.18</v>
          </cell>
          <cell r="M582">
            <v>0</v>
          </cell>
          <cell r="N582">
            <v>0</v>
          </cell>
          <cell r="O582">
            <v>0</v>
          </cell>
          <cell r="P582" t="str">
            <v>1010</v>
          </cell>
          <cell r="Q582" t="str">
            <v>1010</v>
          </cell>
          <cell r="R582">
            <v>0</v>
          </cell>
          <cell r="S582">
            <v>0</v>
          </cell>
        </row>
        <row r="583">
          <cell r="A583" t="str">
            <v>Y005-188</v>
          </cell>
          <cell r="B583">
            <v>0</v>
          </cell>
          <cell r="C583" t="str">
            <v>Y005</v>
          </cell>
          <cell r="D583">
            <v>0</v>
          </cell>
          <cell r="E583" t="str">
            <v>hoa poly 饰花</v>
          </cell>
          <cell r="F583" t="str">
            <v>612*88*9</v>
          </cell>
          <cell r="G583">
            <v>612</v>
          </cell>
          <cell r="H583">
            <v>88</v>
          </cell>
          <cell r="I583">
            <v>9</v>
          </cell>
          <cell r="J583">
            <v>0</v>
          </cell>
          <cell r="K583">
            <v>0</v>
          </cell>
          <cell r="L583">
            <v>0.97</v>
          </cell>
          <cell r="M583">
            <v>0</v>
          </cell>
          <cell r="N583">
            <v>0</v>
          </cell>
          <cell r="O583">
            <v>0</v>
          </cell>
          <cell r="P583" t="str">
            <v>1010</v>
          </cell>
          <cell r="Q583" t="str">
            <v>1010</v>
          </cell>
          <cell r="R583">
            <v>0</v>
          </cell>
          <cell r="S583">
            <v>0</v>
          </cell>
        </row>
        <row r="584">
          <cell r="A584" t="str">
            <v>Y005-189</v>
          </cell>
          <cell r="B584">
            <v>0</v>
          </cell>
          <cell r="C584" t="str">
            <v>Y005</v>
          </cell>
          <cell r="D584">
            <v>0</v>
          </cell>
          <cell r="E584" t="str">
            <v>poly cap tru</v>
          </cell>
          <cell r="F584" t="str">
            <v>612*88*9</v>
          </cell>
          <cell r="G584">
            <v>612</v>
          </cell>
          <cell r="H584">
            <v>88</v>
          </cell>
          <cell r="I584">
            <v>8</v>
          </cell>
          <cell r="J584">
            <v>0</v>
          </cell>
          <cell r="K584">
            <v>0</v>
          </cell>
          <cell r="L584">
            <v>0.97</v>
          </cell>
          <cell r="M584">
            <v>0</v>
          </cell>
          <cell r="N584">
            <v>0</v>
          </cell>
          <cell r="O584">
            <v>0</v>
          </cell>
          <cell r="P584" t="str">
            <v>1010</v>
          </cell>
          <cell r="Q584" t="str">
            <v>1010</v>
          </cell>
          <cell r="R584">
            <v>0</v>
          </cell>
          <cell r="S584">
            <v>0</v>
          </cell>
        </row>
        <row r="585">
          <cell r="A585" t="str">
            <v>Y005-190</v>
          </cell>
          <cell r="B585">
            <v>0</v>
          </cell>
          <cell r="C585" t="str">
            <v>Y005</v>
          </cell>
          <cell r="D585">
            <v>0</v>
          </cell>
          <cell r="E585" t="str">
            <v>poly cap tru</v>
          </cell>
          <cell r="F585" t="str">
            <v>65*13*11</v>
          </cell>
          <cell r="G585">
            <v>65</v>
          </cell>
          <cell r="H585">
            <v>13</v>
          </cell>
          <cell r="I585">
            <v>11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 t="str">
            <v>1010</v>
          </cell>
          <cell r="Q585" t="str">
            <v>1010</v>
          </cell>
          <cell r="R585">
            <v>0</v>
          </cell>
          <cell r="S585">
            <v>0</v>
          </cell>
        </row>
        <row r="586">
          <cell r="A586" t="str">
            <v>Y005-191</v>
          </cell>
          <cell r="B586">
            <v>0</v>
          </cell>
          <cell r="C586" t="str">
            <v>Y005</v>
          </cell>
          <cell r="D586">
            <v>0</v>
          </cell>
          <cell r="E586" t="str">
            <v>poly cap MH</v>
          </cell>
          <cell r="F586" t="str">
            <v>562*88*9</v>
          </cell>
          <cell r="G586">
            <v>562</v>
          </cell>
          <cell r="H586">
            <v>88</v>
          </cell>
          <cell r="I586">
            <v>9</v>
          </cell>
          <cell r="J586">
            <v>0</v>
          </cell>
          <cell r="K586">
            <v>0</v>
          </cell>
          <cell r="L586">
            <v>0.85</v>
          </cell>
          <cell r="M586">
            <v>0</v>
          </cell>
          <cell r="N586">
            <v>0</v>
          </cell>
          <cell r="O586">
            <v>0</v>
          </cell>
          <cell r="P586" t="str">
            <v>1010</v>
          </cell>
          <cell r="Q586" t="str">
            <v>1010</v>
          </cell>
          <cell r="R586">
            <v>0</v>
          </cell>
          <cell r="S586">
            <v>0</v>
          </cell>
        </row>
        <row r="587">
          <cell r="A587" t="str">
            <v>Y005-192</v>
          </cell>
          <cell r="B587">
            <v>0</v>
          </cell>
          <cell r="C587" t="str">
            <v>Y005</v>
          </cell>
          <cell r="D587" t="str">
            <v>402-54/55F</v>
          </cell>
          <cell r="E587" t="str">
            <v>Poly trái 左</v>
          </cell>
          <cell r="F587" t="str">
            <v>396*102*6</v>
          </cell>
          <cell r="G587">
            <v>396</v>
          </cell>
          <cell r="H587">
            <v>102</v>
          </cell>
          <cell r="I587">
            <v>6</v>
          </cell>
          <cell r="J587">
            <v>0</v>
          </cell>
          <cell r="K587">
            <v>0</v>
          </cell>
          <cell r="L587">
            <v>0.3</v>
          </cell>
          <cell r="M587">
            <v>0</v>
          </cell>
          <cell r="N587">
            <v>0</v>
          </cell>
          <cell r="O587">
            <v>0</v>
          </cell>
          <cell r="P587" t="str">
            <v>1010</v>
          </cell>
          <cell r="Q587" t="str">
            <v>1010</v>
          </cell>
          <cell r="R587">
            <v>0</v>
          </cell>
          <cell r="S587">
            <v>0</v>
          </cell>
        </row>
        <row r="588">
          <cell r="A588" t="str">
            <v>Y005-193</v>
          </cell>
          <cell r="B588">
            <v>0</v>
          </cell>
          <cell r="C588" t="str">
            <v>Y005</v>
          </cell>
          <cell r="D588" t="str">
            <v>402-54/55F</v>
          </cell>
          <cell r="E588" t="str">
            <v>POLY PHẢI 右</v>
          </cell>
          <cell r="F588" t="str">
            <v>396*102*6</v>
          </cell>
          <cell r="G588">
            <v>396</v>
          </cell>
          <cell r="H588">
            <v>102</v>
          </cell>
          <cell r="I588">
            <v>6</v>
          </cell>
          <cell r="J588">
            <v>0</v>
          </cell>
          <cell r="K588">
            <v>0</v>
          </cell>
          <cell r="L588">
            <v>0.3</v>
          </cell>
          <cell r="M588">
            <v>0</v>
          </cell>
          <cell r="N588">
            <v>0</v>
          </cell>
          <cell r="O588">
            <v>0</v>
          </cell>
          <cell r="P588" t="str">
            <v>1010</v>
          </cell>
          <cell r="Q588" t="str">
            <v>1010</v>
          </cell>
          <cell r="R588">
            <v>0</v>
          </cell>
          <cell r="S588">
            <v>0</v>
          </cell>
        </row>
        <row r="589">
          <cell r="A589" t="str">
            <v>Y005-194</v>
          </cell>
          <cell r="B589">
            <v>0</v>
          </cell>
          <cell r="C589" t="str">
            <v>Y005</v>
          </cell>
          <cell r="D589" t="str">
            <v>#8237-71/73/75/78/08</v>
          </cell>
          <cell r="E589" t="str">
            <v>gót chân tủ</v>
          </cell>
          <cell r="F589" t="str">
            <v>140*140*49</v>
          </cell>
          <cell r="G589">
            <v>140</v>
          </cell>
          <cell r="H589">
            <v>140</v>
          </cell>
          <cell r="I589">
            <v>49</v>
          </cell>
          <cell r="J589">
            <v>0</v>
          </cell>
          <cell r="K589">
            <v>0</v>
          </cell>
          <cell r="L589">
            <v>1.1000000000000001</v>
          </cell>
          <cell r="M589">
            <v>0</v>
          </cell>
          <cell r="N589">
            <v>0</v>
          </cell>
          <cell r="O589">
            <v>0</v>
          </cell>
          <cell r="P589" t="str">
            <v>1010</v>
          </cell>
          <cell r="Q589" t="str">
            <v>1010</v>
          </cell>
          <cell r="R589">
            <v>0</v>
          </cell>
          <cell r="S589">
            <v>0</v>
          </cell>
        </row>
        <row r="590">
          <cell r="A590" t="str">
            <v>Y005-195</v>
          </cell>
          <cell r="B590">
            <v>0</v>
          </cell>
          <cell r="C590" t="str">
            <v>Y005</v>
          </cell>
          <cell r="D590" t="str">
            <v>#8237-64/65F</v>
          </cell>
          <cell r="E590" t="str">
            <v>gót chân giường</v>
          </cell>
          <cell r="F590" t="str">
            <v>153*153*54</v>
          </cell>
          <cell r="G590">
            <v>153</v>
          </cell>
          <cell r="H590">
            <v>153</v>
          </cell>
          <cell r="I590">
            <v>54</v>
          </cell>
          <cell r="J590">
            <v>0</v>
          </cell>
          <cell r="K590">
            <v>0</v>
          </cell>
          <cell r="L590">
            <v>1.1000000000000001</v>
          </cell>
          <cell r="M590">
            <v>0</v>
          </cell>
          <cell r="N590">
            <v>0</v>
          </cell>
          <cell r="O590">
            <v>0</v>
          </cell>
          <cell r="P590" t="str">
            <v>1010</v>
          </cell>
          <cell r="Q590" t="str">
            <v>1010</v>
          </cell>
          <cell r="R590">
            <v>0</v>
          </cell>
          <cell r="S590">
            <v>0</v>
          </cell>
        </row>
        <row r="591">
          <cell r="A591" t="str">
            <v>Y005-196</v>
          </cell>
          <cell r="B591">
            <v>0</v>
          </cell>
          <cell r="C591" t="str">
            <v>Y005</v>
          </cell>
          <cell r="D591" t="str">
            <v>#8237-75</v>
          </cell>
          <cell r="E591" t="str">
            <v>khung poly 框 poly</v>
          </cell>
          <cell r="F591" t="str">
            <v>298*217*8</v>
          </cell>
          <cell r="G591">
            <v>298</v>
          </cell>
          <cell r="H591">
            <v>217</v>
          </cell>
          <cell r="I591">
            <v>8</v>
          </cell>
          <cell r="J591">
            <v>0</v>
          </cell>
          <cell r="K591">
            <v>0</v>
          </cell>
          <cell r="L591">
            <v>0.25</v>
          </cell>
          <cell r="M591">
            <v>0</v>
          </cell>
          <cell r="N591">
            <v>0</v>
          </cell>
          <cell r="O591">
            <v>0</v>
          </cell>
          <cell r="P591" t="str">
            <v>1010</v>
          </cell>
          <cell r="Q591" t="str">
            <v>1010</v>
          </cell>
          <cell r="R591">
            <v>0</v>
          </cell>
          <cell r="S591">
            <v>0</v>
          </cell>
        </row>
        <row r="592">
          <cell r="A592" t="str">
            <v>Y005-197</v>
          </cell>
          <cell r="B592">
            <v>0</v>
          </cell>
          <cell r="C592" t="str">
            <v>Y005</v>
          </cell>
          <cell r="D592" t="str">
            <v>#8237-75</v>
          </cell>
          <cell r="E592" t="str">
            <v>khung poly 框 poly</v>
          </cell>
          <cell r="F592" t="str">
            <v>370*180*6</v>
          </cell>
          <cell r="G592">
            <v>370</v>
          </cell>
          <cell r="H592">
            <v>180</v>
          </cell>
          <cell r="I592">
            <v>6</v>
          </cell>
          <cell r="J592">
            <v>0</v>
          </cell>
          <cell r="K592">
            <v>0</v>
          </cell>
          <cell r="L592">
            <v>0.23</v>
          </cell>
          <cell r="M592">
            <v>0</v>
          </cell>
          <cell r="N592">
            <v>0</v>
          </cell>
          <cell r="O592">
            <v>0</v>
          </cell>
          <cell r="P592" t="str">
            <v>1010</v>
          </cell>
          <cell r="Q592" t="str">
            <v>1010</v>
          </cell>
          <cell r="R592">
            <v>0</v>
          </cell>
          <cell r="S592">
            <v>0</v>
          </cell>
        </row>
        <row r="593">
          <cell r="A593" t="str">
            <v>Y005-198</v>
          </cell>
          <cell r="B593">
            <v>0</v>
          </cell>
          <cell r="C593" t="str">
            <v>Y005</v>
          </cell>
          <cell r="D593" t="str">
            <v>#8237-75</v>
          </cell>
          <cell r="E593" t="str">
            <v>khung poly 框 poly</v>
          </cell>
          <cell r="F593" t="str">
            <v>269*122*4</v>
          </cell>
          <cell r="G593">
            <v>269</v>
          </cell>
          <cell r="H593">
            <v>122</v>
          </cell>
          <cell r="I593">
            <v>4</v>
          </cell>
          <cell r="J593">
            <v>0</v>
          </cell>
          <cell r="K593">
            <v>0</v>
          </cell>
          <cell r="L593">
            <v>0.43</v>
          </cell>
          <cell r="M593">
            <v>0</v>
          </cell>
          <cell r="N593">
            <v>0</v>
          </cell>
          <cell r="O593">
            <v>0</v>
          </cell>
          <cell r="P593" t="str">
            <v>1010</v>
          </cell>
          <cell r="Q593" t="str">
            <v>1010</v>
          </cell>
          <cell r="R593">
            <v>0</v>
          </cell>
          <cell r="S593">
            <v>0</v>
          </cell>
        </row>
        <row r="594">
          <cell r="A594" t="str">
            <v>Y005-199</v>
          </cell>
          <cell r="B594">
            <v>0</v>
          </cell>
          <cell r="C594" t="str">
            <v>Y005</v>
          </cell>
          <cell r="D594" t="str">
            <v>#8237-75</v>
          </cell>
          <cell r="E594" t="str">
            <v>khung poly 框 poly</v>
          </cell>
          <cell r="F594" t="str">
            <v>1306*299*8</v>
          </cell>
          <cell r="G594">
            <v>1306</v>
          </cell>
          <cell r="H594">
            <v>299</v>
          </cell>
          <cell r="I594">
            <v>8</v>
          </cell>
          <cell r="J594">
            <v>0</v>
          </cell>
          <cell r="K594">
            <v>0</v>
          </cell>
          <cell r="L594">
            <v>0.88</v>
          </cell>
          <cell r="M594">
            <v>0</v>
          </cell>
          <cell r="N594">
            <v>0</v>
          </cell>
          <cell r="O594">
            <v>0</v>
          </cell>
          <cell r="P594" t="str">
            <v>1010</v>
          </cell>
          <cell r="Q594" t="str">
            <v>1010</v>
          </cell>
          <cell r="R594">
            <v>0</v>
          </cell>
          <cell r="S594">
            <v>0</v>
          </cell>
        </row>
        <row r="595">
          <cell r="A595" t="str">
            <v>Y005-200</v>
          </cell>
          <cell r="B595">
            <v>0</v>
          </cell>
          <cell r="C595" t="str">
            <v>Y005</v>
          </cell>
          <cell r="D595" t="str">
            <v>#8237-75</v>
          </cell>
          <cell r="E595" t="str">
            <v>khung poly 框 poly</v>
          </cell>
          <cell r="F595" t="str">
            <v>1287*69*4</v>
          </cell>
          <cell r="G595">
            <v>1287</v>
          </cell>
          <cell r="H595">
            <v>69</v>
          </cell>
          <cell r="I595">
            <v>4</v>
          </cell>
          <cell r="J595">
            <v>0</v>
          </cell>
          <cell r="K595">
            <v>0</v>
          </cell>
          <cell r="L595">
            <v>0.51</v>
          </cell>
          <cell r="M595">
            <v>0</v>
          </cell>
          <cell r="N595">
            <v>0</v>
          </cell>
          <cell r="O595">
            <v>0</v>
          </cell>
          <cell r="P595" t="str">
            <v>1010</v>
          </cell>
          <cell r="Q595" t="str">
            <v>1010</v>
          </cell>
          <cell r="R595">
            <v>0</v>
          </cell>
          <cell r="S595">
            <v>0</v>
          </cell>
        </row>
        <row r="596">
          <cell r="A596" t="str">
            <v>Y005-201</v>
          </cell>
          <cell r="B596">
            <v>0</v>
          </cell>
          <cell r="C596" t="str">
            <v>Y005</v>
          </cell>
          <cell r="D596" t="str">
            <v>#8237-73</v>
          </cell>
          <cell r="E596" t="str">
            <v>khung poly 框 poly</v>
          </cell>
          <cell r="F596" t="str">
            <v>153*173*8</v>
          </cell>
          <cell r="G596">
            <v>153</v>
          </cell>
          <cell r="H596">
            <v>173</v>
          </cell>
          <cell r="I596">
            <v>8</v>
          </cell>
          <cell r="J596">
            <v>0</v>
          </cell>
          <cell r="K596">
            <v>0</v>
          </cell>
          <cell r="L596">
            <v>0.16</v>
          </cell>
          <cell r="M596">
            <v>0</v>
          </cell>
          <cell r="N596">
            <v>0</v>
          </cell>
          <cell r="O596">
            <v>0</v>
          </cell>
          <cell r="P596" t="str">
            <v>1010</v>
          </cell>
          <cell r="Q596" t="str">
            <v>1010</v>
          </cell>
          <cell r="R596">
            <v>0</v>
          </cell>
          <cell r="S596">
            <v>0</v>
          </cell>
        </row>
        <row r="597">
          <cell r="A597" t="str">
            <v>Y005-202</v>
          </cell>
          <cell r="B597">
            <v>0</v>
          </cell>
          <cell r="C597" t="str">
            <v>Y005</v>
          </cell>
          <cell r="D597" t="str">
            <v>#8237-73</v>
          </cell>
          <cell r="E597" t="str">
            <v>khung poly 框 poly</v>
          </cell>
          <cell r="F597" t="str">
            <v>229*116*6</v>
          </cell>
          <cell r="G597">
            <v>229</v>
          </cell>
          <cell r="H597">
            <v>116</v>
          </cell>
          <cell r="I597">
            <v>6</v>
          </cell>
          <cell r="J597">
            <v>0</v>
          </cell>
          <cell r="K597">
            <v>0</v>
          </cell>
          <cell r="L597">
            <v>0.15</v>
          </cell>
          <cell r="M597">
            <v>0</v>
          </cell>
          <cell r="N597">
            <v>0</v>
          </cell>
          <cell r="O597">
            <v>0</v>
          </cell>
          <cell r="P597" t="str">
            <v>1010</v>
          </cell>
          <cell r="Q597" t="str">
            <v>1010</v>
          </cell>
          <cell r="R597">
            <v>0</v>
          </cell>
          <cell r="S597">
            <v>0</v>
          </cell>
        </row>
        <row r="598">
          <cell r="A598" t="str">
            <v>Y005-203</v>
          </cell>
          <cell r="B598">
            <v>0</v>
          </cell>
          <cell r="C598" t="str">
            <v>Y005</v>
          </cell>
          <cell r="D598" t="str">
            <v>#8237-73</v>
          </cell>
          <cell r="E598" t="str">
            <v>khung poly 框 poly</v>
          </cell>
          <cell r="F598" t="str">
            <v>175*79*4</v>
          </cell>
          <cell r="G598">
            <v>175</v>
          </cell>
          <cell r="H598">
            <v>79</v>
          </cell>
          <cell r="I598">
            <v>4</v>
          </cell>
          <cell r="J598">
            <v>0</v>
          </cell>
          <cell r="K598">
            <v>0</v>
          </cell>
          <cell r="L598">
            <v>0.22</v>
          </cell>
          <cell r="M598">
            <v>0</v>
          </cell>
          <cell r="N598">
            <v>0</v>
          </cell>
          <cell r="O598">
            <v>0</v>
          </cell>
          <cell r="P598" t="str">
            <v>1010</v>
          </cell>
          <cell r="Q598" t="str">
            <v>1010</v>
          </cell>
          <cell r="R598">
            <v>0</v>
          </cell>
          <cell r="S598">
            <v>0</v>
          </cell>
        </row>
        <row r="599">
          <cell r="A599" t="str">
            <v>Y005-204</v>
          </cell>
          <cell r="B599">
            <v>0</v>
          </cell>
          <cell r="C599" t="str">
            <v>Y005</v>
          </cell>
          <cell r="D599" t="str">
            <v>#8237-73</v>
          </cell>
          <cell r="E599" t="str">
            <v>khung poly 框 poly</v>
          </cell>
          <cell r="F599" t="str">
            <v>560*357*8</v>
          </cell>
          <cell r="G599">
            <v>560</v>
          </cell>
          <cell r="H599">
            <v>357</v>
          </cell>
          <cell r="I599">
            <v>8</v>
          </cell>
          <cell r="J599">
            <v>0</v>
          </cell>
          <cell r="K599">
            <v>0</v>
          </cell>
          <cell r="L599">
            <v>0.52</v>
          </cell>
          <cell r="M599">
            <v>0</v>
          </cell>
          <cell r="N599">
            <v>0</v>
          </cell>
          <cell r="O599">
            <v>0</v>
          </cell>
          <cell r="P599" t="str">
            <v>1010</v>
          </cell>
          <cell r="Q599" t="str">
            <v>1010</v>
          </cell>
          <cell r="R599">
            <v>0</v>
          </cell>
          <cell r="S599">
            <v>0</v>
          </cell>
        </row>
        <row r="600">
          <cell r="A600" t="str">
            <v>Y005-205</v>
          </cell>
          <cell r="B600">
            <v>0</v>
          </cell>
          <cell r="C600" t="str">
            <v>Y005</v>
          </cell>
          <cell r="D600" t="str">
            <v>#8237-73</v>
          </cell>
          <cell r="E600" t="str">
            <v>khung poly 框 poly</v>
          </cell>
          <cell r="F600" t="str">
            <v>557*69*4</v>
          </cell>
          <cell r="G600">
            <v>557</v>
          </cell>
          <cell r="H600">
            <v>69</v>
          </cell>
          <cell r="I600">
            <v>4</v>
          </cell>
          <cell r="J600">
            <v>0</v>
          </cell>
          <cell r="K600">
            <v>0</v>
          </cell>
          <cell r="L600">
            <v>0.26</v>
          </cell>
          <cell r="M600">
            <v>0</v>
          </cell>
          <cell r="N600">
            <v>0</v>
          </cell>
          <cell r="O600">
            <v>0</v>
          </cell>
          <cell r="P600" t="str">
            <v>1010</v>
          </cell>
          <cell r="Q600" t="str">
            <v>1010</v>
          </cell>
          <cell r="R600">
            <v>0</v>
          </cell>
          <cell r="S600">
            <v>0</v>
          </cell>
        </row>
        <row r="601">
          <cell r="A601" t="str">
            <v>Y005-206</v>
          </cell>
          <cell r="B601">
            <v>0</v>
          </cell>
          <cell r="C601" t="str">
            <v>Y005</v>
          </cell>
          <cell r="D601" t="str">
            <v>#8237-08</v>
          </cell>
          <cell r="E601" t="str">
            <v>khung poly 框 poly</v>
          </cell>
          <cell r="F601" t="str">
            <v>222*137*6</v>
          </cell>
          <cell r="G601">
            <v>222</v>
          </cell>
          <cell r="H601">
            <v>137</v>
          </cell>
          <cell r="I601">
            <v>6</v>
          </cell>
          <cell r="J601">
            <v>0</v>
          </cell>
          <cell r="K601">
            <v>0</v>
          </cell>
          <cell r="L601">
            <v>0.16</v>
          </cell>
          <cell r="M601">
            <v>0</v>
          </cell>
          <cell r="N601">
            <v>0</v>
          </cell>
          <cell r="O601">
            <v>0</v>
          </cell>
          <cell r="P601" t="str">
            <v>1010</v>
          </cell>
          <cell r="Q601" t="str">
            <v>1010</v>
          </cell>
          <cell r="R601">
            <v>0</v>
          </cell>
          <cell r="S601">
            <v>0</v>
          </cell>
        </row>
        <row r="602">
          <cell r="A602" t="str">
            <v>Y005-207</v>
          </cell>
          <cell r="B602">
            <v>0</v>
          </cell>
          <cell r="C602" t="str">
            <v>Y005</v>
          </cell>
          <cell r="D602" t="str">
            <v>#8237-08</v>
          </cell>
          <cell r="E602" t="str">
            <v>khung poly 框 poly</v>
          </cell>
          <cell r="F602" t="str">
            <v>193*108*4</v>
          </cell>
          <cell r="G602">
            <v>193</v>
          </cell>
          <cell r="H602">
            <v>108</v>
          </cell>
          <cell r="I602">
            <v>4</v>
          </cell>
          <cell r="J602">
            <v>0</v>
          </cell>
          <cell r="K602">
            <v>0</v>
          </cell>
          <cell r="L602">
            <v>0.39</v>
          </cell>
          <cell r="M602">
            <v>0</v>
          </cell>
          <cell r="N602">
            <v>0</v>
          </cell>
          <cell r="O602">
            <v>0</v>
          </cell>
          <cell r="P602" t="str">
            <v>1010</v>
          </cell>
          <cell r="Q602" t="str">
            <v>1010</v>
          </cell>
          <cell r="R602">
            <v>0</v>
          </cell>
          <cell r="S602">
            <v>0</v>
          </cell>
        </row>
        <row r="603">
          <cell r="A603" t="str">
            <v>Y005-208</v>
          </cell>
          <cell r="B603">
            <v>0</v>
          </cell>
          <cell r="C603" t="str">
            <v>Y005</v>
          </cell>
          <cell r="D603" t="str">
            <v>#8237-08</v>
          </cell>
          <cell r="E603" t="str">
            <v>khung poly 框 poly</v>
          </cell>
          <cell r="F603" t="str">
            <v>500*174*8</v>
          </cell>
          <cell r="G603">
            <v>500</v>
          </cell>
          <cell r="H603">
            <v>174</v>
          </cell>
          <cell r="I603">
            <v>8</v>
          </cell>
          <cell r="J603">
            <v>0</v>
          </cell>
          <cell r="K603">
            <v>0</v>
          </cell>
          <cell r="L603">
            <v>0.31</v>
          </cell>
          <cell r="M603">
            <v>0</v>
          </cell>
          <cell r="N603">
            <v>0</v>
          </cell>
          <cell r="O603">
            <v>0</v>
          </cell>
          <cell r="P603" t="str">
            <v>1010</v>
          </cell>
          <cell r="Q603" t="str">
            <v>1010</v>
          </cell>
          <cell r="R603">
            <v>0</v>
          </cell>
          <cell r="S603">
            <v>0</v>
          </cell>
        </row>
        <row r="604">
          <cell r="A604" t="str">
            <v>Y005-209</v>
          </cell>
          <cell r="B604">
            <v>0</v>
          </cell>
          <cell r="C604" t="str">
            <v>Y005</v>
          </cell>
          <cell r="D604" t="str">
            <v>#8237-08</v>
          </cell>
          <cell r="E604" t="str">
            <v>khung poly 框 poly</v>
          </cell>
          <cell r="F604" t="str">
            <v>815*285*8</v>
          </cell>
          <cell r="G604">
            <v>815</v>
          </cell>
          <cell r="H604">
            <v>285</v>
          </cell>
          <cell r="I604">
            <v>8</v>
          </cell>
          <cell r="J604">
            <v>0</v>
          </cell>
          <cell r="K604">
            <v>0</v>
          </cell>
          <cell r="L604">
            <v>0.6</v>
          </cell>
          <cell r="M604">
            <v>0</v>
          </cell>
          <cell r="N604">
            <v>0</v>
          </cell>
          <cell r="O604">
            <v>0</v>
          </cell>
          <cell r="P604" t="str">
            <v>1010</v>
          </cell>
          <cell r="Q604" t="str">
            <v>1010</v>
          </cell>
          <cell r="R604">
            <v>0</v>
          </cell>
          <cell r="S604">
            <v>0</v>
          </cell>
        </row>
        <row r="605">
          <cell r="A605" t="str">
            <v>Y005-210</v>
          </cell>
          <cell r="B605">
            <v>0</v>
          </cell>
          <cell r="C605" t="str">
            <v>Y005</v>
          </cell>
          <cell r="D605" t="str">
            <v>#8237-08</v>
          </cell>
          <cell r="E605" t="str">
            <v>khung poly 框 poly</v>
          </cell>
          <cell r="F605" t="str">
            <v>796*69*4</v>
          </cell>
          <cell r="G605">
            <v>796</v>
          </cell>
          <cell r="H605">
            <v>69</v>
          </cell>
          <cell r="I605">
            <v>4</v>
          </cell>
          <cell r="J605">
            <v>0</v>
          </cell>
          <cell r="K605">
            <v>0</v>
          </cell>
          <cell r="L605">
            <v>0.35</v>
          </cell>
          <cell r="M605">
            <v>0</v>
          </cell>
          <cell r="N605">
            <v>0</v>
          </cell>
          <cell r="O605">
            <v>0</v>
          </cell>
          <cell r="P605" t="str">
            <v>1010</v>
          </cell>
          <cell r="Q605" t="str">
            <v>1010</v>
          </cell>
          <cell r="R605">
            <v>0</v>
          </cell>
          <cell r="S605">
            <v>0</v>
          </cell>
        </row>
        <row r="606">
          <cell r="A606" t="str">
            <v>Y005-211</v>
          </cell>
          <cell r="B606">
            <v>0</v>
          </cell>
          <cell r="C606" t="str">
            <v>Y005</v>
          </cell>
          <cell r="D606" t="str">
            <v>#8237-78</v>
          </cell>
          <cell r="E606" t="str">
            <v>khung poly 框 poly</v>
          </cell>
          <cell r="F606" t="str">
            <v>382*217*8</v>
          </cell>
          <cell r="G606">
            <v>382</v>
          </cell>
          <cell r="H606">
            <v>217</v>
          </cell>
          <cell r="I606">
            <v>8</v>
          </cell>
          <cell r="J606">
            <v>0</v>
          </cell>
          <cell r="K606">
            <v>0</v>
          </cell>
          <cell r="L606">
            <v>0.28999999999999998</v>
          </cell>
          <cell r="M606">
            <v>0</v>
          </cell>
          <cell r="N606">
            <v>0</v>
          </cell>
          <cell r="O606">
            <v>0</v>
          </cell>
          <cell r="P606" t="str">
            <v>1010</v>
          </cell>
          <cell r="Q606" t="str">
            <v>1010</v>
          </cell>
          <cell r="R606">
            <v>0</v>
          </cell>
          <cell r="S606">
            <v>0</v>
          </cell>
        </row>
        <row r="607">
          <cell r="A607" t="str">
            <v>Y005-212</v>
          </cell>
          <cell r="B607">
            <v>0</v>
          </cell>
          <cell r="C607" t="str">
            <v>Y005</v>
          </cell>
          <cell r="D607" t="str">
            <v>#8237-78</v>
          </cell>
          <cell r="E607" t="str">
            <v>khung poly 框 poly</v>
          </cell>
          <cell r="F607" t="str">
            <v>165*217*8</v>
          </cell>
          <cell r="G607">
            <v>165</v>
          </cell>
          <cell r="H607">
            <v>217</v>
          </cell>
          <cell r="I607">
            <v>8</v>
          </cell>
          <cell r="J607">
            <v>0</v>
          </cell>
          <cell r="K607">
            <v>0</v>
          </cell>
          <cell r="L607">
            <v>0.2</v>
          </cell>
          <cell r="M607">
            <v>0</v>
          </cell>
          <cell r="N607">
            <v>0</v>
          </cell>
          <cell r="O607">
            <v>0</v>
          </cell>
          <cell r="P607" t="str">
            <v>1010</v>
          </cell>
          <cell r="Q607" t="str">
            <v>1010</v>
          </cell>
          <cell r="R607">
            <v>0</v>
          </cell>
          <cell r="S607">
            <v>0</v>
          </cell>
        </row>
        <row r="608">
          <cell r="A608" t="str">
            <v>Y005-213</v>
          </cell>
          <cell r="B608">
            <v>0</v>
          </cell>
          <cell r="C608" t="str">
            <v>Y005</v>
          </cell>
          <cell r="D608" t="str">
            <v>#8237-78</v>
          </cell>
          <cell r="E608" t="str">
            <v>khung poly 框 poly</v>
          </cell>
          <cell r="F608" t="str">
            <v>370*180*6</v>
          </cell>
          <cell r="G608">
            <v>370</v>
          </cell>
          <cell r="H608">
            <v>180</v>
          </cell>
          <cell r="I608">
            <v>6</v>
          </cell>
          <cell r="J608">
            <v>0</v>
          </cell>
          <cell r="K608">
            <v>0</v>
          </cell>
          <cell r="L608">
            <v>0.23</v>
          </cell>
          <cell r="M608">
            <v>0</v>
          </cell>
          <cell r="N608">
            <v>0</v>
          </cell>
          <cell r="O608">
            <v>0</v>
          </cell>
          <cell r="P608" t="str">
            <v>1010</v>
          </cell>
          <cell r="Q608" t="str">
            <v>1010</v>
          </cell>
          <cell r="R608">
            <v>0</v>
          </cell>
          <cell r="S608">
            <v>0</v>
          </cell>
        </row>
        <row r="609">
          <cell r="A609" t="str">
            <v>Y005-214</v>
          </cell>
          <cell r="B609">
            <v>0</v>
          </cell>
          <cell r="C609" t="str">
            <v>Y005</v>
          </cell>
          <cell r="D609" t="str">
            <v>#8237-78</v>
          </cell>
          <cell r="E609" t="str">
            <v>khung poly 框 poly</v>
          </cell>
          <cell r="F609" t="str">
            <v>269*122*4</v>
          </cell>
          <cell r="G609">
            <v>269</v>
          </cell>
          <cell r="H609">
            <v>122</v>
          </cell>
          <cell r="I609">
            <v>4</v>
          </cell>
          <cell r="J609">
            <v>0</v>
          </cell>
          <cell r="K609">
            <v>0</v>
          </cell>
          <cell r="L609">
            <v>0.43</v>
          </cell>
          <cell r="M609">
            <v>0</v>
          </cell>
          <cell r="N609">
            <v>0</v>
          </cell>
          <cell r="O609">
            <v>0</v>
          </cell>
          <cell r="P609" t="str">
            <v>1010</v>
          </cell>
          <cell r="Q609" t="str">
            <v>1010</v>
          </cell>
          <cell r="R609">
            <v>0</v>
          </cell>
          <cell r="S609">
            <v>0</v>
          </cell>
        </row>
        <row r="610">
          <cell r="A610" t="str">
            <v>Y005-215</v>
          </cell>
          <cell r="B610">
            <v>0</v>
          </cell>
          <cell r="C610" t="str">
            <v>Y005</v>
          </cell>
          <cell r="D610" t="str">
            <v>#8237-78</v>
          </cell>
          <cell r="E610" t="str">
            <v>khung poly 框 poly</v>
          </cell>
          <cell r="F610" t="str">
            <v>770*270*8</v>
          </cell>
          <cell r="G610">
            <v>770</v>
          </cell>
          <cell r="H610">
            <v>270</v>
          </cell>
          <cell r="I610">
            <v>8</v>
          </cell>
          <cell r="J610">
            <v>0</v>
          </cell>
          <cell r="K610">
            <v>0</v>
          </cell>
          <cell r="L610">
            <v>0.51</v>
          </cell>
          <cell r="M610">
            <v>0</v>
          </cell>
          <cell r="N610">
            <v>0</v>
          </cell>
          <cell r="O610">
            <v>0</v>
          </cell>
          <cell r="P610" t="str">
            <v>1010</v>
          </cell>
          <cell r="Q610" t="str">
            <v>1010</v>
          </cell>
          <cell r="R610">
            <v>0</v>
          </cell>
          <cell r="S610">
            <v>0</v>
          </cell>
        </row>
        <row r="611">
          <cell r="A611" t="str">
            <v>Y005-216</v>
          </cell>
          <cell r="B611">
            <v>0</v>
          </cell>
          <cell r="C611" t="str">
            <v>Y005</v>
          </cell>
          <cell r="D611" t="str">
            <v>#8237-78</v>
          </cell>
          <cell r="E611" t="str">
            <v>khung poly 框 poly</v>
          </cell>
          <cell r="F611" t="str">
            <v>751*68*4</v>
          </cell>
          <cell r="G611">
            <v>751</v>
          </cell>
          <cell r="H611">
            <v>68</v>
          </cell>
          <cell r="I611">
            <v>4</v>
          </cell>
          <cell r="J611">
            <v>0</v>
          </cell>
          <cell r="K611">
            <v>0</v>
          </cell>
          <cell r="L611">
            <v>0.33</v>
          </cell>
          <cell r="M611">
            <v>0</v>
          </cell>
          <cell r="N611">
            <v>0</v>
          </cell>
          <cell r="O611">
            <v>0</v>
          </cell>
          <cell r="P611" t="str">
            <v>1010</v>
          </cell>
          <cell r="Q611" t="str">
            <v>1010</v>
          </cell>
          <cell r="R611">
            <v>0</v>
          </cell>
          <cell r="S611">
            <v>0</v>
          </cell>
        </row>
        <row r="612">
          <cell r="A612" t="str">
            <v>Y005-217</v>
          </cell>
          <cell r="B612">
            <v>0</v>
          </cell>
          <cell r="C612" t="str">
            <v>Y005</v>
          </cell>
          <cell r="D612" t="str">
            <v>#8237-71</v>
          </cell>
          <cell r="E612" t="str">
            <v>khung poly 框 poly</v>
          </cell>
          <cell r="F612" t="str">
            <v>183*144*8</v>
          </cell>
          <cell r="G612">
            <v>183</v>
          </cell>
          <cell r="H612">
            <v>144</v>
          </cell>
          <cell r="I612">
            <v>8</v>
          </cell>
          <cell r="J612">
            <v>0</v>
          </cell>
          <cell r="K612">
            <v>0</v>
          </cell>
          <cell r="L612">
            <v>0.15</v>
          </cell>
          <cell r="M612">
            <v>0</v>
          </cell>
          <cell r="N612">
            <v>0</v>
          </cell>
          <cell r="O612">
            <v>0</v>
          </cell>
          <cell r="P612" t="str">
            <v>1010</v>
          </cell>
          <cell r="Q612" t="str">
            <v>1010</v>
          </cell>
          <cell r="R612">
            <v>0</v>
          </cell>
          <cell r="S612">
            <v>0</v>
          </cell>
        </row>
        <row r="613">
          <cell r="A613" t="str">
            <v>Y005-218</v>
          </cell>
          <cell r="B613">
            <v>0</v>
          </cell>
          <cell r="C613" t="str">
            <v>Y005</v>
          </cell>
          <cell r="D613" t="str">
            <v>#8237-71</v>
          </cell>
          <cell r="E613" t="str">
            <v>khung poly 框 poly</v>
          </cell>
          <cell r="F613" t="str">
            <v>229*107*6</v>
          </cell>
          <cell r="G613">
            <v>229</v>
          </cell>
          <cell r="H613">
            <v>107</v>
          </cell>
          <cell r="I613">
            <v>6</v>
          </cell>
          <cell r="J613">
            <v>0</v>
          </cell>
          <cell r="K613">
            <v>0</v>
          </cell>
          <cell r="L613">
            <v>0.14000000000000001</v>
          </cell>
          <cell r="M613">
            <v>0</v>
          </cell>
          <cell r="N613">
            <v>0</v>
          </cell>
          <cell r="O613">
            <v>0</v>
          </cell>
          <cell r="P613" t="str">
            <v>1010</v>
          </cell>
          <cell r="Q613" t="str">
            <v>1010</v>
          </cell>
          <cell r="R613">
            <v>0</v>
          </cell>
          <cell r="S613">
            <v>0</v>
          </cell>
        </row>
        <row r="614">
          <cell r="A614" t="str">
            <v>Y005-219</v>
          </cell>
          <cell r="B614">
            <v>0</v>
          </cell>
          <cell r="C614" t="str">
            <v>Y005</v>
          </cell>
          <cell r="D614" t="str">
            <v>#8237-71</v>
          </cell>
          <cell r="E614" t="str">
            <v>khung poly 框 poly</v>
          </cell>
          <cell r="F614" t="str">
            <v>175*80*4</v>
          </cell>
          <cell r="G614">
            <v>175</v>
          </cell>
          <cell r="H614">
            <v>80</v>
          </cell>
          <cell r="I614">
            <v>4</v>
          </cell>
          <cell r="J614">
            <v>0</v>
          </cell>
          <cell r="K614">
            <v>0</v>
          </cell>
          <cell r="L614">
            <v>0.22</v>
          </cell>
          <cell r="M614">
            <v>0</v>
          </cell>
          <cell r="N614">
            <v>0</v>
          </cell>
          <cell r="O614">
            <v>0</v>
          </cell>
          <cell r="P614" t="str">
            <v>1010</v>
          </cell>
          <cell r="Q614" t="str">
            <v>1010</v>
          </cell>
          <cell r="R614">
            <v>0</v>
          </cell>
          <cell r="S614">
            <v>0</v>
          </cell>
        </row>
        <row r="615">
          <cell r="A615" t="str">
            <v>Y005-220</v>
          </cell>
          <cell r="B615">
            <v>0</v>
          </cell>
          <cell r="C615" t="str">
            <v>Y005</v>
          </cell>
          <cell r="D615" t="str">
            <v>#8237-71</v>
          </cell>
          <cell r="E615" t="str">
            <v>khung poly 框 poly</v>
          </cell>
          <cell r="F615" t="str">
            <v>500*325*8</v>
          </cell>
          <cell r="G615">
            <v>500</v>
          </cell>
          <cell r="H615">
            <v>325</v>
          </cell>
          <cell r="I615">
            <v>8</v>
          </cell>
          <cell r="J615">
            <v>0</v>
          </cell>
          <cell r="K615">
            <v>0</v>
          </cell>
          <cell r="L615">
            <v>0.42</v>
          </cell>
          <cell r="M615">
            <v>0</v>
          </cell>
          <cell r="N615">
            <v>0</v>
          </cell>
          <cell r="O615">
            <v>0</v>
          </cell>
          <cell r="P615" t="str">
            <v>1010</v>
          </cell>
          <cell r="Q615" t="str">
            <v>1010</v>
          </cell>
          <cell r="R615">
            <v>0</v>
          </cell>
          <cell r="S615">
            <v>0</v>
          </cell>
        </row>
        <row r="616">
          <cell r="A616" t="str">
            <v>Y005-221</v>
          </cell>
          <cell r="B616">
            <v>0</v>
          </cell>
          <cell r="C616" t="str">
            <v>Y005</v>
          </cell>
          <cell r="D616" t="str">
            <v>#8237-71</v>
          </cell>
          <cell r="E616" t="str">
            <v>khung poly 框 poly</v>
          </cell>
          <cell r="F616" t="str">
            <v>481*69*4</v>
          </cell>
          <cell r="G616">
            <v>481</v>
          </cell>
          <cell r="H616">
            <v>69</v>
          </cell>
          <cell r="I616">
            <v>4</v>
          </cell>
          <cell r="J616">
            <v>0</v>
          </cell>
          <cell r="K616">
            <v>0</v>
          </cell>
          <cell r="L616">
            <v>0.22</v>
          </cell>
          <cell r="M616">
            <v>0</v>
          </cell>
          <cell r="N616">
            <v>0</v>
          </cell>
          <cell r="O616">
            <v>0</v>
          </cell>
          <cell r="P616" t="str">
            <v>1010</v>
          </cell>
          <cell r="Q616" t="str">
            <v>1010</v>
          </cell>
          <cell r="R616">
            <v>0</v>
          </cell>
          <cell r="S616">
            <v>0</v>
          </cell>
        </row>
        <row r="617">
          <cell r="A617" t="str">
            <v>Y005-222</v>
          </cell>
          <cell r="B617">
            <v>0</v>
          </cell>
          <cell r="C617" t="str">
            <v>Y005</v>
          </cell>
          <cell r="D617" t="str">
            <v>#8237-65H</v>
          </cell>
          <cell r="E617" t="str">
            <v>hoa poly</v>
          </cell>
          <cell r="F617" t="str">
            <v>188*85*8</v>
          </cell>
          <cell r="G617">
            <v>188</v>
          </cell>
          <cell r="H617">
            <v>85</v>
          </cell>
          <cell r="I617">
            <v>8</v>
          </cell>
          <cell r="J617">
            <v>0</v>
          </cell>
          <cell r="K617">
            <v>0</v>
          </cell>
          <cell r="L617">
            <v>0.25</v>
          </cell>
          <cell r="M617">
            <v>0</v>
          </cell>
          <cell r="N617">
            <v>0</v>
          </cell>
          <cell r="O617">
            <v>0</v>
          </cell>
          <cell r="P617" t="str">
            <v>1010</v>
          </cell>
          <cell r="Q617" t="str">
            <v>1010</v>
          </cell>
          <cell r="R617">
            <v>0</v>
          </cell>
          <cell r="S617">
            <v>0</v>
          </cell>
        </row>
        <row r="618">
          <cell r="A618" t="str">
            <v>Y005-223</v>
          </cell>
          <cell r="B618">
            <v>0</v>
          </cell>
          <cell r="C618" t="str">
            <v>Y005</v>
          </cell>
          <cell r="D618" t="str">
            <v>#8237-64H</v>
          </cell>
          <cell r="E618" t="str">
            <v>hoa poly</v>
          </cell>
          <cell r="F618" t="str">
            <v>237*108*8</v>
          </cell>
          <cell r="G618">
            <v>237</v>
          </cell>
          <cell r="H618">
            <v>108</v>
          </cell>
          <cell r="I618">
            <v>8</v>
          </cell>
          <cell r="J618">
            <v>0</v>
          </cell>
          <cell r="K618">
            <v>0</v>
          </cell>
          <cell r="L618">
            <v>0.42</v>
          </cell>
          <cell r="M618">
            <v>0</v>
          </cell>
          <cell r="N618">
            <v>0</v>
          </cell>
          <cell r="O618">
            <v>0</v>
          </cell>
          <cell r="P618" t="str">
            <v>1010</v>
          </cell>
          <cell r="Q618" t="str">
            <v>1010</v>
          </cell>
          <cell r="R618">
            <v>0</v>
          </cell>
          <cell r="S618">
            <v>0</v>
          </cell>
        </row>
        <row r="619">
          <cell r="A619" t="str">
            <v>Y005-224</v>
          </cell>
          <cell r="B619">
            <v>0</v>
          </cell>
          <cell r="C619" t="str">
            <v>Y005</v>
          </cell>
          <cell r="D619" t="str">
            <v>#8237-64/65F</v>
          </cell>
          <cell r="E619" t="str">
            <v>hoa poly</v>
          </cell>
          <cell r="F619" t="str">
            <v>340*98*6</v>
          </cell>
          <cell r="G619">
            <v>340</v>
          </cell>
          <cell r="H619">
            <v>98</v>
          </cell>
          <cell r="I619">
            <v>6</v>
          </cell>
          <cell r="J619">
            <v>0</v>
          </cell>
          <cell r="K619">
            <v>0</v>
          </cell>
          <cell r="L619">
            <v>0.20399999999999999</v>
          </cell>
          <cell r="M619">
            <v>0</v>
          </cell>
          <cell r="N619">
            <v>0</v>
          </cell>
          <cell r="O619">
            <v>0</v>
          </cell>
          <cell r="P619" t="str">
            <v>1010</v>
          </cell>
          <cell r="Q619" t="str">
            <v>1010</v>
          </cell>
          <cell r="R619">
            <v>0</v>
          </cell>
          <cell r="S619">
            <v>0</v>
          </cell>
        </row>
        <row r="620">
          <cell r="A620" t="str">
            <v>Y005-225</v>
          </cell>
          <cell r="B620">
            <v>0</v>
          </cell>
          <cell r="C620" t="str">
            <v>Y005</v>
          </cell>
          <cell r="D620">
            <v>0</v>
          </cell>
          <cell r="E620">
            <v>0</v>
          </cell>
          <cell r="F620" t="str">
            <v>850*83*7</v>
          </cell>
          <cell r="G620">
            <v>850</v>
          </cell>
          <cell r="H620">
            <v>83</v>
          </cell>
          <cell r="I620">
            <v>7</v>
          </cell>
          <cell r="J620">
            <v>0</v>
          </cell>
          <cell r="K620">
            <v>0</v>
          </cell>
          <cell r="L620">
            <v>1.89</v>
          </cell>
          <cell r="M620">
            <v>0</v>
          </cell>
          <cell r="N620">
            <v>0</v>
          </cell>
          <cell r="O620">
            <v>0</v>
          </cell>
          <cell r="P620" t="str">
            <v>1010</v>
          </cell>
          <cell r="Q620" t="str">
            <v>1010</v>
          </cell>
          <cell r="R620">
            <v>0</v>
          </cell>
          <cell r="S620">
            <v>0</v>
          </cell>
        </row>
        <row r="621">
          <cell r="A621" t="str">
            <v>Y005-226</v>
          </cell>
          <cell r="B621">
            <v>0</v>
          </cell>
          <cell r="C621" t="str">
            <v>Y005</v>
          </cell>
          <cell r="D621">
            <v>0</v>
          </cell>
          <cell r="E621">
            <v>0</v>
          </cell>
          <cell r="F621" t="str">
            <v>850*90*7</v>
          </cell>
          <cell r="G621">
            <v>850</v>
          </cell>
          <cell r="H621">
            <v>90</v>
          </cell>
          <cell r="I621">
            <v>7</v>
          </cell>
          <cell r="J621">
            <v>0</v>
          </cell>
          <cell r="K621">
            <v>0</v>
          </cell>
          <cell r="L621">
            <v>2.2200000000000002</v>
          </cell>
          <cell r="M621">
            <v>0</v>
          </cell>
          <cell r="N621">
            <v>0</v>
          </cell>
          <cell r="O621">
            <v>0</v>
          </cell>
          <cell r="P621" t="str">
            <v>1010</v>
          </cell>
          <cell r="Q621" t="str">
            <v>1010</v>
          </cell>
          <cell r="R621">
            <v>0</v>
          </cell>
          <cell r="S621">
            <v>0</v>
          </cell>
        </row>
        <row r="622">
          <cell r="A622" t="str">
            <v>Y005-227</v>
          </cell>
          <cell r="B622">
            <v>0</v>
          </cell>
          <cell r="C622" t="str">
            <v>Y005</v>
          </cell>
          <cell r="D622">
            <v>0</v>
          </cell>
          <cell r="E622">
            <v>0</v>
          </cell>
          <cell r="F622" t="str">
            <v>1300*10*8</v>
          </cell>
          <cell r="G622">
            <v>1300</v>
          </cell>
          <cell r="H622">
            <v>10</v>
          </cell>
          <cell r="I622">
            <v>8</v>
          </cell>
          <cell r="J622">
            <v>0</v>
          </cell>
          <cell r="K622">
            <v>0</v>
          </cell>
          <cell r="L622">
            <v>0.4</v>
          </cell>
          <cell r="M622">
            <v>0</v>
          </cell>
          <cell r="N622">
            <v>0</v>
          </cell>
          <cell r="O622">
            <v>0</v>
          </cell>
          <cell r="P622" t="str">
            <v>1010</v>
          </cell>
          <cell r="Q622" t="str">
            <v>1010</v>
          </cell>
          <cell r="R622">
            <v>0</v>
          </cell>
          <cell r="S622">
            <v>0</v>
          </cell>
        </row>
        <row r="623">
          <cell r="A623" t="str">
            <v>Y005-228</v>
          </cell>
          <cell r="B623">
            <v>0</v>
          </cell>
          <cell r="C623" t="str">
            <v>Y005</v>
          </cell>
          <cell r="D623">
            <v>0</v>
          </cell>
          <cell r="E623">
            <v>0</v>
          </cell>
          <cell r="F623" t="str">
            <v>780*12*6</v>
          </cell>
          <cell r="G623">
            <v>780</v>
          </cell>
          <cell r="H623">
            <v>12</v>
          </cell>
          <cell r="I623">
            <v>6</v>
          </cell>
          <cell r="J623">
            <v>0</v>
          </cell>
          <cell r="K623">
            <v>0</v>
          </cell>
          <cell r="L623">
            <v>0.23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 t="str">
            <v>1010</v>
          </cell>
          <cell r="R623">
            <v>0</v>
          </cell>
          <cell r="S623">
            <v>0</v>
          </cell>
        </row>
        <row r="624">
          <cell r="A624" t="str">
            <v>Y005-229</v>
          </cell>
          <cell r="B624">
            <v>0</v>
          </cell>
          <cell r="C624" t="str">
            <v>Y005</v>
          </cell>
          <cell r="D624">
            <v>0</v>
          </cell>
          <cell r="E624" t="str">
            <v>飾條</v>
          </cell>
          <cell r="F624" t="str">
            <v>800*25*9</v>
          </cell>
          <cell r="G624">
            <v>800</v>
          </cell>
          <cell r="H624">
            <v>25</v>
          </cell>
          <cell r="I624">
            <v>9</v>
          </cell>
          <cell r="J624">
            <v>0</v>
          </cell>
          <cell r="K624">
            <v>0</v>
          </cell>
          <cell r="L624">
            <v>0.57999999999999996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</row>
        <row r="625">
          <cell r="A625" t="str">
            <v>Y005-230</v>
          </cell>
          <cell r="B625">
            <v>0</v>
          </cell>
          <cell r="C625" t="str">
            <v>Y005</v>
          </cell>
          <cell r="D625">
            <v>0</v>
          </cell>
          <cell r="E625" t="str">
            <v>飾條</v>
          </cell>
          <cell r="F625" t="str">
            <v>800*13*8</v>
          </cell>
          <cell r="G625">
            <v>800</v>
          </cell>
          <cell r="H625">
            <v>13</v>
          </cell>
          <cell r="I625">
            <v>8</v>
          </cell>
          <cell r="J625">
            <v>0</v>
          </cell>
          <cell r="K625">
            <v>0</v>
          </cell>
          <cell r="L625">
            <v>0.38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</row>
        <row r="626">
          <cell r="A626" t="str">
            <v>Y005-231</v>
          </cell>
          <cell r="B626" t="str">
            <v>Y010-050</v>
          </cell>
          <cell r="C626" t="str">
            <v>Y005</v>
          </cell>
          <cell r="D626" t="str">
            <v>1694-63H</v>
          </cell>
          <cell r="E626" t="str">
            <v>Lỗ tai</v>
          </cell>
          <cell r="F626" t="str">
            <v>16*44*44</v>
          </cell>
          <cell r="G626">
            <v>16</v>
          </cell>
          <cell r="H626">
            <v>44</v>
          </cell>
          <cell r="I626">
            <v>44</v>
          </cell>
          <cell r="J626">
            <v>0</v>
          </cell>
          <cell r="K626">
            <v>0</v>
          </cell>
          <cell r="L626">
            <v>0.14000000000000001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</row>
        <row r="627">
          <cell r="A627" t="str">
            <v>Y005-232</v>
          </cell>
          <cell r="B627">
            <v>0</v>
          </cell>
          <cell r="C627" t="str">
            <v>Y005</v>
          </cell>
          <cell r="D627">
            <v>0</v>
          </cell>
          <cell r="E627">
            <v>0</v>
          </cell>
          <cell r="F627" t="str">
            <v>1000*25*16</v>
          </cell>
          <cell r="G627">
            <v>1000</v>
          </cell>
          <cell r="H627">
            <v>25</v>
          </cell>
          <cell r="I627">
            <v>16</v>
          </cell>
          <cell r="J627">
            <v>0</v>
          </cell>
          <cell r="K627">
            <v>0</v>
          </cell>
          <cell r="L627">
            <v>1.25</v>
          </cell>
          <cell r="M627">
            <v>0</v>
          </cell>
          <cell r="N627">
            <v>0</v>
          </cell>
          <cell r="O627">
            <v>0</v>
          </cell>
          <cell r="P627" t="str">
            <v>1010</v>
          </cell>
          <cell r="Q627">
            <v>1010</v>
          </cell>
          <cell r="R627">
            <v>0</v>
          </cell>
          <cell r="S627">
            <v>0</v>
          </cell>
        </row>
        <row r="628">
          <cell r="A628" t="str">
            <v>Y005-233</v>
          </cell>
          <cell r="B628">
            <v>0</v>
          </cell>
          <cell r="C628" t="str">
            <v>Y005</v>
          </cell>
          <cell r="D628">
            <v>0</v>
          </cell>
          <cell r="E628">
            <v>0</v>
          </cell>
          <cell r="F628" t="str">
            <v>1000*13*10</v>
          </cell>
          <cell r="G628">
            <v>1000</v>
          </cell>
          <cell r="H628">
            <v>13</v>
          </cell>
          <cell r="I628">
            <v>10</v>
          </cell>
          <cell r="J628">
            <v>0</v>
          </cell>
          <cell r="K628">
            <v>0</v>
          </cell>
          <cell r="L628">
            <v>0.46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1010</v>
          </cell>
          <cell r="R628">
            <v>0</v>
          </cell>
          <cell r="S628">
            <v>0</v>
          </cell>
        </row>
        <row r="629">
          <cell r="A629" t="str">
            <v>Y005-234</v>
          </cell>
          <cell r="B629">
            <v>0</v>
          </cell>
          <cell r="C629" t="str">
            <v>Y005</v>
          </cell>
          <cell r="D629">
            <v>0</v>
          </cell>
          <cell r="E629" t="str">
            <v>飾條</v>
          </cell>
          <cell r="F629" t="str">
            <v>1500*8*4</v>
          </cell>
          <cell r="G629">
            <v>1500</v>
          </cell>
          <cell r="H629">
            <v>8</v>
          </cell>
          <cell r="I629">
            <v>4</v>
          </cell>
          <cell r="J629">
            <v>0</v>
          </cell>
          <cell r="K629">
            <v>0</v>
          </cell>
          <cell r="L629">
            <v>0.25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</row>
        <row r="630">
          <cell r="A630" t="str">
            <v>Y005-235</v>
          </cell>
          <cell r="B630" t="str">
            <v>取消</v>
          </cell>
          <cell r="C630" t="str">
            <v>Y005</v>
          </cell>
          <cell r="D630" t="str">
            <v>#T 1434-04R</v>
          </cell>
          <cell r="E630" t="str">
            <v>飾條</v>
          </cell>
          <cell r="F630" t="str">
            <v>410*11*6</v>
          </cell>
          <cell r="G630">
            <v>410</v>
          </cell>
          <cell r="H630">
            <v>11</v>
          </cell>
          <cell r="I630">
            <v>6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</row>
        <row r="631">
          <cell r="A631" t="str">
            <v>Y005-236</v>
          </cell>
          <cell r="B631" t="str">
            <v>取消</v>
          </cell>
          <cell r="C631" t="str">
            <v>Y005</v>
          </cell>
          <cell r="D631" t="str">
            <v>#T 1434-04R</v>
          </cell>
          <cell r="E631" t="str">
            <v>飾條</v>
          </cell>
          <cell r="F631" t="str">
            <v>420*22*14</v>
          </cell>
          <cell r="G631">
            <v>420</v>
          </cell>
          <cell r="H631">
            <v>22</v>
          </cell>
          <cell r="I631">
            <v>14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A632" t="str">
            <v>Y005-237</v>
          </cell>
          <cell r="B632" t="str">
            <v>取消</v>
          </cell>
          <cell r="C632" t="str">
            <v>Y005</v>
          </cell>
          <cell r="D632" t="str">
            <v>#T 1434-05R</v>
          </cell>
          <cell r="E632" t="str">
            <v>飾條</v>
          </cell>
          <cell r="F632" t="str">
            <v>780*11*6</v>
          </cell>
          <cell r="G632">
            <v>780</v>
          </cell>
          <cell r="H632">
            <v>11</v>
          </cell>
          <cell r="I632">
            <v>6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</row>
        <row r="633">
          <cell r="A633" t="str">
            <v>Y005-238</v>
          </cell>
          <cell r="B633" t="str">
            <v>取消</v>
          </cell>
          <cell r="C633" t="str">
            <v>Y005</v>
          </cell>
          <cell r="D633" t="str">
            <v>#T 1434-05R</v>
          </cell>
          <cell r="E633" t="str">
            <v>飾條</v>
          </cell>
          <cell r="F633" t="str">
            <v>790*22*14</v>
          </cell>
          <cell r="G633">
            <v>790</v>
          </cell>
          <cell r="H633">
            <v>22</v>
          </cell>
          <cell r="I633">
            <v>14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</row>
        <row r="634">
          <cell r="A634" t="str">
            <v>Y005-239</v>
          </cell>
          <cell r="B634">
            <v>0</v>
          </cell>
          <cell r="C634" t="str">
            <v>Y005</v>
          </cell>
          <cell r="D634">
            <v>0</v>
          </cell>
          <cell r="E634" t="str">
            <v>飾條</v>
          </cell>
          <cell r="F634" t="str">
            <v>1200*38*19</v>
          </cell>
          <cell r="G634">
            <v>1200</v>
          </cell>
          <cell r="H634">
            <v>38</v>
          </cell>
          <cell r="I634">
            <v>19</v>
          </cell>
          <cell r="J634">
            <v>0</v>
          </cell>
          <cell r="K634">
            <v>0</v>
          </cell>
          <cell r="L634">
            <v>2.7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</row>
        <row r="635">
          <cell r="A635" t="str">
            <v>Y005-240</v>
          </cell>
          <cell r="B635">
            <v>0</v>
          </cell>
          <cell r="C635" t="str">
            <v>Y005</v>
          </cell>
          <cell r="D635">
            <v>0</v>
          </cell>
          <cell r="E635" t="str">
            <v>飾條</v>
          </cell>
          <cell r="F635" t="str">
            <v>1200*45*19</v>
          </cell>
          <cell r="G635">
            <v>1200</v>
          </cell>
          <cell r="H635">
            <v>45</v>
          </cell>
          <cell r="I635">
            <v>19</v>
          </cell>
          <cell r="J635">
            <v>0</v>
          </cell>
          <cell r="K635">
            <v>0</v>
          </cell>
          <cell r="L635">
            <v>3.1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</row>
        <row r="636">
          <cell r="A636" t="str">
            <v>Y005-241</v>
          </cell>
          <cell r="B636">
            <v>0</v>
          </cell>
          <cell r="C636" t="str">
            <v>Y005</v>
          </cell>
          <cell r="D636">
            <v>0</v>
          </cell>
          <cell r="E636" t="str">
            <v>飾條</v>
          </cell>
          <cell r="F636" t="str">
            <v>1200*13*10</v>
          </cell>
          <cell r="G636">
            <v>1200</v>
          </cell>
          <cell r="H636">
            <v>13</v>
          </cell>
          <cell r="I636">
            <v>10</v>
          </cell>
          <cell r="J636">
            <v>0</v>
          </cell>
          <cell r="K636">
            <v>0</v>
          </cell>
          <cell r="L636">
            <v>0.63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A637" t="str">
            <v>Y005-242</v>
          </cell>
          <cell r="B637">
            <v>0</v>
          </cell>
          <cell r="C637" t="str">
            <v>Y005</v>
          </cell>
          <cell r="D637">
            <v>0</v>
          </cell>
          <cell r="E637" t="str">
            <v>飾條</v>
          </cell>
          <cell r="F637" t="str">
            <v>140*108*10</v>
          </cell>
          <cell r="G637">
            <v>140</v>
          </cell>
          <cell r="H637">
            <v>108</v>
          </cell>
          <cell r="I637">
            <v>10</v>
          </cell>
          <cell r="J637">
            <v>0</v>
          </cell>
          <cell r="K637">
            <v>0</v>
          </cell>
          <cell r="L637">
            <v>0.38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A638" t="str">
            <v>Y005-243</v>
          </cell>
          <cell r="B638">
            <v>0</v>
          </cell>
          <cell r="C638" t="str">
            <v>Y005</v>
          </cell>
          <cell r="D638">
            <v>0</v>
          </cell>
          <cell r="E638" t="str">
            <v xml:space="preserve">飾條 </v>
          </cell>
          <cell r="F638" t="str">
            <v>140*76*10</v>
          </cell>
          <cell r="G638">
            <v>140</v>
          </cell>
          <cell r="H638">
            <v>76</v>
          </cell>
          <cell r="I638">
            <v>10</v>
          </cell>
          <cell r="J638">
            <v>0</v>
          </cell>
          <cell r="K638">
            <v>0</v>
          </cell>
          <cell r="L638">
            <v>0.31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</row>
        <row r="639">
          <cell r="A639" t="str">
            <v>Y005-244</v>
          </cell>
          <cell r="B639">
            <v>0</v>
          </cell>
          <cell r="C639" t="str">
            <v>Y005</v>
          </cell>
          <cell r="D639">
            <v>0</v>
          </cell>
          <cell r="E639" t="str">
            <v>飾花 （左）R</v>
          </cell>
          <cell r="F639" t="str">
            <v>130*60*10</v>
          </cell>
          <cell r="G639">
            <v>130</v>
          </cell>
          <cell r="H639">
            <v>60</v>
          </cell>
          <cell r="I639">
            <v>10</v>
          </cell>
          <cell r="J639">
            <v>0</v>
          </cell>
          <cell r="K639">
            <v>0</v>
          </cell>
          <cell r="L639">
            <v>0.15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A640" t="str">
            <v>Y005-245</v>
          </cell>
          <cell r="B640">
            <v>0</v>
          </cell>
          <cell r="C640" t="str">
            <v>Y005</v>
          </cell>
          <cell r="D640">
            <v>0</v>
          </cell>
          <cell r="E640" t="str">
            <v>飾花 （右）L</v>
          </cell>
          <cell r="F640" t="str">
            <v>130*60*10</v>
          </cell>
          <cell r="G640">
            <v>130</v>
          </cell>
          <cell r="H640">
            <v>60</v>
          </cell>
          <cell r="I640">
            <v>10</v>
          </cell>
          <cell r="J640">
            <v>0</v>
          </cell>
          <cell r="K640">
            <v>0</v>
          </cell>
          <cell r="L640">
            <v>0.15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A641" t="str">
            <v>Y005-246</v>
          </cell>
          <cell r="B641">
            <v>0</v>
          </cell>
          <cell r="C641" t="str">
            <v>Y005</v>
          </cell>
          <cell r="D641">
            <v>0</v>
          </cell>
          <cell r="E641" t="str">
            <v xml:space="preserve">飾條 </v>
          </cell>
          <cell r="F641" t="str">
            <v>1270*38*19</v>
          </cell>
          <cell r="G641">
            <v>1270</v>
          </cell>
          <cell r="H641">
            <v>38</v>
          </cell>
          <cell r="I641">
            <v>19</v>
          </cell>
          <cell r="J641">
            <v>0</v>
          </cell>
          <cell r="K641">
            <v>0</v>
          </cell>
          <cell r="L641">
            <v>2.46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A642" t="str">
            <v>Y005-247</v>
          </cell>
          <cell r="B642">
            <v>0</v>
          </cell>
          <cell r="C642" t="str">
            <v>Y005</v>
          </cell>
          <cell r="D642">
            <v>0</v>
          </cell>
          <cell r="E642" t="str">
            <v xml:space="preserve">飾條 </v>
          </cell>
          <cell r="F642" t="str">
            <v>1170*13*12</v>
          </cell>
          <cell r="G642">
            <v>1170</v>
          </cell>
          <cell r="H642">
            <v>13</v>
          </cell>
          <cell r="I642">
            <v>12</v>
          </cell>
          <cell r="J642">
            <v>0</v>
          </cell>
          <cell r="K642">
            <v>0</v>
          </cell>
          <cell r="L642">
            <v>0.69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</row>
        <row r="643">
          <cell r="A643" t="str">
            <v>Y005-248</v>
          </cell>
          <cell r="B643" t="str">
            <v>Y010-050</v>
          </cell>
          <cell r="C643" t="str">
            <v>Y005</v>
          </cell>
          <cell r="D643" t="str">
            <v>1874/5/6-70</v>
          </cell>
          <cell r="E643" t="str">
            <v>Lỗ tai</v>
          </cell>
          <cell r="F643" t="str">
            <v>16*44*44</v>
          </cell>
          <cell r="G643">
            <v>16</v>
          </cell>
          <cell r="H643">
            <v>44</v>
          </cell>
          <cell r="I643">
            <v>44</v>
          </cell>
          <cell r="J643">
            <v>0</v>
          </cell>
          <cell r="K643">
            <v>0</v>
          </cell>
          <cell r="L643">
            <v>0.14000000000000001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</row>
        <row r="644">
          <cell r="A644" t="str">
            <v>Y005-249</v>
          </cell>
          <cell r="B644">
            <v>0</v>
          </cell>
          <cell r="C644" t="str">
            <v>Y005</v>
          </cell>
          <cell r="D644" t="str">
            <v>3101-01</v>
          </cell>
          <cell r="E644" t="str">
            <v>Góc trang trí</v>
          </cell>
          <cell r="F644" t="str">
            <v>10*39*83</v>
          </cell>
          <cell r="G644">
            <v>10</v>
          </cell>
          <cell r="H644">
            <v>39</v>
          </cell>
          <cell r="I644">
            <v>83</v>
          </cell>
          <cell r="J644">
            <v>0</v>
          </cell>
          <cell r="K644">
            <v>0</v>
          </cell>
          <cell r="L644">
            <v>0.2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</row>
        <row r="645">
          <cell r="A645" t="str">
            <v>Y005-250</v>
          </cell>
          <cell r="B645">
            <v>0</v>
          </cell>
          <cell r="C645" t="str">
            <v>Y005</v>
          </cell>
          <cell r="D645">
            <v>0</v>
          </cell>
          <cell r="E645" t="str">
            <v>饰条</v>
          </cell>
          <cell r="F645" t="str">
            <v>6*10*1520</v>
          </cell>
          <cell r="G645">
            <v>6</v>
          </cell>
          <cell r="H645">
            <v>10</v>
          </cell>
          <cell r="I645">
            <v>1520</v>
          </cell>
          <cell r="J645">
            <v>0</v>
          </cell>
          <cell r="K645" t="str">
            <v>未確認</v>
          </cell>
          <cell r="L645">
            <v>0.33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</row>
        <row r="646">
          <cell r="A646" t="str">
            <v>Y005-251</v>
          </cell>
          <cell r="B646">
            <v>0</v>
          </cell>
          <cell r="C646" t="str">
            <v>Y005</v>
          </cell>
          <cell r="D646">
            <v>0</v>
          </cell>
          <cell r="E646">
            <v>0</v>
          </cell>
          <cell r="F646" t="str">
            <v>4*8*1200</v>
          </cell>
          <cell r="G646">
            <v>4</v>
          </cell>
          <cell r="H646">
            <v>8</v>
          </cell>
          <cell r="I646">
            <v>1200</v>
          </cell>
          <cell r="J646">
            <v>0</v>
          </cell>
          <cell r="K646" t="str">
            <v>未確認</v>
          </cell>
          <cell r="L646">
            <v>0.23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</row>
        <row r="647">
          <cell r="A647" t="str">
            <v>Y005-252</v>
          </cell>
          <cell r="B647" t="str">
            <v>LCT010-098</v>
          </cell>
          <cell r="C647" t="str">
            <v>Y005</v>
          </cell>
          <cell r="D647" t="str">
            <v>1648-04</v>
          </cell>
          <cell r="E647" t="str">
            <v xml:space="preserve">caäp laäp thuûy </v>
          </cell>
          <cell r="F647" t="str">
            <v>8*13*510</v>
          </cell>
          <cell r="G647">
            <v>8</v>
          </cell>
          <cell r="H647">
            <v>13</v>
          </cell>
          <cell r="I647">
            <v>510</v>
          </cell>
          <cell r="J647">
            <v>70</v>
          </cell>
          <cell r="K647">
            <v>0</v>
          </cell>
          <cell r="L647">
            <v>0.19</v>
          </cell>
          <cell r="M647">
            <v>0</v>
          </cell>
          <cell r="N647">
            <v>0</v>
          </cell>
          <cell r="O647" t="str">
            <v>40V</v>
          </cell>
          <cell r="P647" t="str">
            <v>1010</v>
          </cell>
          <cell r="Q647" t="str">
            <v>1010</v>
          </cell>
          <cell r="R647">
            <v>2.714285714285714</v>
          </cell>
          <cell r="S647">
            <v>0</v>
          </cell>
          <cell r="T647">
            <v>0</v>
          </cell>
        </row>
        <row r="648">
          <cell r="A648" t="str">
            <v>Y005-253</v>
          </cell>
          <cell r="B648" t="str">
            <v>LCT010-098</v>
          </cell>
          <cell r="C648" t="str">
            <v>Y005</v>
          </cell>
          <cell r="D648" t="str">
            <v>1648-04</v>
          </cell>
          <cell r="E648" t="str">
            <v>caäp laäp thuûy đế</v>
          </cell>
          <cell r="F648" t="str">
            <v>8*13*510</v>
          </cell>
          <cell r="G648">
            <v>8</v>
          </cell>
          <cell r="H648">
            <v>13</v>
          </cell>
          <cell r="I648">
            <v>510</v>
          </cell>
          <cell r="J648">
            <v>70</v>
          </cell>
          <cell r="K648">
            <v>0</v>
          </cell>
          <cell r="L648">
            <v>0.19</v>
          </cell>
          <cell r="M648">
            <v>0</v>
          </cell>
          <cell r="N648">
            <v>0</v>
          </cell>
          <cell r="O648" t="str">
            <v>40V</v>
          </cell>
          <cell r="P648" t="str">
            <v>1010</v>
          </cell>
          <cell r="Q648" t="str">
            <v>1010</v>
          </cell>
          <cell r="R648">
            <v>2.714285714285714</v>
          </cell>
          <cell r="S648">
            <v>0</v>
          </cell>
          <cell r="T648">
            <v>0</v>
          </cell>
        </row>
        <row r="649">
          <cell r="A649" t="str">
            <v>Y005-254</v>
          </cell>
          <cell r="B649" t="str">
            <v>LCT010-096</v>
          </cell>
          <cell r="C649" t="str">
            <v>Y005</v>
          </cell>
          <cell r="D649" t="str">
            <v>1648-05</v>
          </cell>
          <cell r="E649" t="str">
            <v xml:space="preserve">caäp laäp thuûy </v>
          </cell>
          <cell r="F649" t="str">
            <v>8*13*700</v>
          </cell>
          <cell r="G649">
            <v>8</v>
          </cell>
          <cell r="H649">
            <v>13</v>
          </cell>
          <cell r="I649">
            <v>700</v>
          </cell>
          <cell r="J649">
            <v>95</v>
          </cell>
          <cell r="K649">
            <v>0</v>
          </cell>
          <cell r="L649">
            <v>0.26</v>
          </cell>
          <cell r="M649">
            <v>0</v>
          </cell>
          <cell r="N649">
            <v>0</v>
          </cell>
          <cell r="O649" t="str">
            <v>40V</v>
          </cell>
          <cell r="P649" t="str">
            <v>1010</v>
          </cell>
          <cell r="Q649" t="str">
            <v>1010</v>
          </cell>
          <cell r="R649">
            <v>2.736842105263158</v>
          </cell>
          <cell r="S649">
            <v>0</v>
          </cell>
          <cell r="T649">
            <v>0</v>
          </cell>
        </row>
        <row r="650">
          <cell r="A650" t="str">
            <v>Y005-255</v>
          </cell>
          <cell r="B650" t="str">
            <v>LCT010-096</v>
          </cell>
          <cell r="C650" t="str">
            <v>Y005</v>
          </cell>
          <cell r="D650" t="str">
            <v>1648-05</v>
          </cell>
          <cell r="E650" t="str">
            <v>caäp laäp thuûy đế</v>
          </cell>
          <cell r="F650" t="str">
            <v>8*13*700</v>
          </cell>
          <cell r="G650">
            <v>8</v>
          </cell>
          <cell r="H650">
            <v>13</v>
          </cell>
          <cell r="I650">
            <v>700</v>
          </cell>
          <cell r="J650">
            <v>95</v>
          </cell>
          <cell r="K650">
            <v>0</v>
          </cell>
          <cell r="L650">
            <v>0.26</v>
          </cell>
          <cell r="M650">
            <v>0</v>
          </cell>
          <cell r="N650">
            <v>0</v>
          </cell>
          <cell r="O650" t="str">
            <v>40V</v>
          </cell>
          <cell r="P650" t="str">
            <v>1010</v>
          </cell>
          <cell r="Q650" t="str">
            <v>1010</v>
          </cell>
          <cell r="R650">
            <v>2.736842105263158</v>
          </cell>
          <cell r="S650">
            <v>0</v>
          </cell>
          <cell r="T650">
            <v>0</v>
          </cell>
        </row>
        <row r="651">
          <cell r="A651" t="str">
            <v>Y005-256</v>
          </cell>
          <cell r="B651" t="str">
            <v>LCT010-082</v>
          </cell>
          <cell r="C651" t="str">
            <v>Y005</v>
          </cell>
          <cell r="D651" t="str">
            <v>1758-06</v>
          </cell>
          <cell r="E651" t="str">
            <v>chæ caäp Lthuûy</v>
          </cell>
          <cell r="F651" t="str">
            <v>8*13*810</v>
          </cell>
          <cell r="G651">
            <v>8</v>
          </cell>
          <cell r="H651">
            <v>13</v>
          </cell>
          <cell r="I651">
            <v>810</v>
          </cell>
          <cell r="J651">
            <v>110</v>
          </cell>
          <cell r="K651">
            <v>0</v>
          </cell>
          <cell r="L651">
            <v>0.28000000000000003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2.5454545454545459</v>
          </cell>
          <cell r="S651">
            <v>0</v>
          </cell>
          <cell r="T651">
            <v>0</v>
          </cell>
        </row>
        <row r="652">
          <cell r="A652" t="str">
            <v>Y005-257</v>
          </cell>
          <cell r="B652" t="str">
            <v>LCT010-083</v>
          </cell>
          <cell r="C652" t="str">
            <v>Y005</v>
          </cell>
          <cell r="D652" t="str">
            <v>1758-06</v>
          </cell>
          <cell r="E652" t="str">
            <v>caäp laäp thuûy đế</v>
          </cell>
          <cell r="F652" t="str">
            <v>8*13*810</v>
          </cell>
          <cell r="G652">
            <v>8</v>
          </cell>
          <cell r="H652">
            <v>13</v>
          </cell>
          <cell r="I652">
            <v>810</v>
          </cell>
          <cell r="J652">
            <v>110</v>
          </cell>
          <cell r="K652">
            <v>0</v>
          </cell>
          <cell r="L652">
            <v>0.28000000000000003</v>
          </cell>
          <cell r="M652">
            <v>0</v>
          </cell>
          <cell r="N652">
            <v>0</v>
          </cell>
          <cell r="O652" t="str">
            <v>40V</v>
          </cell>
          <cell r="P652" t="str">
            <v>1010</v>
          </cell>
          <cell r="Q652" t="str">
            <v>1010</v>
          </cell>
          <cell r="R652">
            <v>2.5454545454545459</v>
          </cell>
          <cell r="S652">
            <v>0</v>
          </cell>
          <cell r="T652">
            <v>0</v>
          </cell>
        </row>
        <row r="653">
          <cell r="A653" t="str">
            <v>Y005-258</v>
          </cell>
          <cell r="B653">
            <v>0</v>
          </cell>
          <cell r="C653" t="str">
            <v>Y005</v>
          </cell>
          <cell r="D653">
            <v>0</v>
          </cell>
          <cell r="E653" t="str">
            <v>Thanh poly</v>
          </cell>
          <cell r="F653" t="str">
            <v>1000*38*19</v>
          </cell>
          <cell r="G653">
            <v>1000</v>
          </cell>
          <cell r="H653">
            <v>38</v>
          </cell>
          <cell r="I653">
            <v>19</v>
          </cell>
          <cell r="J653">
            <v>0</v>
          </cell>
          <cell r="K653">
            <v>0</v>
          </cell>
          <cell r="L653">
            <v>2.2000000000000002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</row>
        <row r="654">
          <cell r="A654" t="str">
            <v>Y005-259</v>
          </cell>
          <cell r="B654">
            <v>0</v>
          </cell>
          <cell r="C654" t="str">
            <v>Y005</v>
          </cell>
          <cell r="D654">
            <v>0</v>
          </cell>
          <cell r="E654" t="str">
            <v>Thanh poly</v>
          </cell>
          <cell r="F654" t="str">
            <v>1000*10*5</v>
          </cell>
          <cell r="G654">
            <v>1000</v>
          </cell>
          <cell r="H654">
            <v>10</v>
          </cell>
          <cell r="I654">
            <v>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</row>
        <row r="655">
          <cell r="A655" t="str">
            <v>Y005-2001</v>
          </cell>
          <cell r="B655" t="str">
            <v>打樣號</v>
          </cell>
          <cell r="C655" t="str">
            <v>Y005</v>
          </cell>
          <cell r="D655">
            <v>0</v>
          </cell>
          <cell r="E655" t="str">
            <v>飾花</v>
          </cell>
          <cell r="F655" t="str">
            <v>1000*12*7</v>
          </cell>
          <cell r="G655">
            <v>1000</v>
          </cell>
          <cell r="H655">
            <v>12</v>
          </cell>
          <cell r="I655">
            <v>7</v>
          </cell>
          <cell r="J655">
            <v>0</v>
          </cell>
          <cell r="K655">
            <v>0</v>
          </cell>
          <cell r="L655">
            <v>0.35</v>
          </cell>
          <cell r="M655">
            <v>0</v>
          </cell>
          <cell r="N655">
            <v>0</v>
          </cell>
          <cell r="O655">
            <v>0</v>
          </cell>
          <cell r="P655" t="str">
            <v>1010</v>
          </cell>
          <cell r="Q655" t="str">
            <v>1010</v>
          </cell>
          <cell r="R655" t="e">
            <v>#DIV/0!</v>
          </cell>
          <cell r="S655">
            <v>0</v>
          </cell>
        </row>
        <row r="656">
          <cell r="A656" t="str">
            <v>Y005-2002</v>
          </cell>
          <cell r="B656" t="str">
            <v>打樣號</v>
          </cell>
          <cell r="C656" t="str">
            <v>Y005</v>
          </cell>
          <cell r="D656" t="str">
            <v xml:space="preserve">Hoa poly </v>
          </cell>
          <cell r="E656" t="str">
            <v>飾花</v>
          </cell>
          <cell r="F656" t="str">
            <v>97*58*7</v>
          </cell>
          <cell r="G656">
            <v>97</v>
          </cell>
          <cell r="H656">
            <v>58</v>
          </cell>
          <cell r="I656">
            <v>7</v>
          </cell>
          <cell r="J656">
            <v>33</v>
          </cell>
          <cell r="K656">
            <v>0</v>
          </cell>
          <cell r="L656">
            <v>0.12</v>
          </cell>
          <cell r="M656">
            <v>0</v>
          </cell>
          <cell r="N656">
            <v>0</v>
          </cell>
          <cell r="O656">
            <v>0</v>
          </cell>
          <cell r="P656" t="str">
            <v>1010</v>
          </cell>
          <cell r="Q656" t="str">
            <v>1010</v>
          </cell>
          <cell r="R656">
            <v>3.6363636363636362</v>
          </cell>
          <cell r="S656">
            <v>0</v>
          </cell>
        </row>
        <row r="657">
          <cell r="A657" t="str">
            <v>Y005-2003</v>
          </cell>
          <cell r="B657" t="str">
            <v>打樣號</v>
          </cell>
          <cell r="C657" t="str">
            <v>Y005</v>
          </cell>
          <cell r="D657" t="str">
            <v>Hoa poly  trái</v>
          </cell>
          <cell r="E657" t="str">
            <v>飾花左</v>
          </cell>
          <cell r="F657" t="str">
            <v>100*107*8</v>
          </cell>
          <cell r="G657">
            <v>100</v>
          </cell>
          <cell r="H657">
            <v>107</v>
          </cell>
          <cell r="I657">
            <v>8</v>
          </cell>
          <cell r="J657">
            <v>35</v>
          </cell>
          <cell r="K657">
            <v>0</v>
          </cell>
          <cell r="L657">
            <v>0.13</v>
          </cell>
          <cell r="M657">
            <v>0</v>
          </cell>
          <cell r="N657">
            <v>0</v>
          </cell>
          <cell r="O657">
            <v>0</v>
          </cell>
          <cell r="P657" t="str">
            <v>1010</v>
          </cell>
          <cell r="Q657" t="str">
            <v>1010</v>
          </cell>
          <cell r="R657">
            <v>3.714285714285714</v>
          </cell>
          <cell r="S657">
            <v>0</v>
          </cell>
        </row>
        <row r="658">
          <cell r="A658" t="str">
            <v>Y005-2004</v>
          </cell>
          <cell r="B658" t="str">
            <v>打樣號</v>
          </cell>
          <cell r="C658" t="str">
            <v>Y005</v>
          </cell>
          <cell r="D658" t="str">
            <v>Hoa poly  phải</v>
          </cell>
          <cell r="E658" t="str">
            <v>飾花右</v>
          </cell>
          <cell r="F658" t="str">
            <v>100*107*8</v>
          </cell>
          <cell r="G658">
            <v>100</v>
          </cell>
          <cell r="H658">
            <v>107</v>
          </cell>
          <cell r="I658">
            <v>8</v>
          </cell>
          <cell r="J658">
            <v>35</v>
          </cell>
          <cell r="K658">
            <v>0</v>
          </cell>
          <cell r="L658">
            <v>0.13</v>
          </cell>
          <cell r="M658">
            <v>0</v>
          </cell>
          <cell r="N658">
            <v>0</v>
          </cell>
          <cell r="O658">
            <v>0</v>
          </cell>
          <cell r="P658" t="str">
            <v>1010</v>
          </cell>
          <cell r="Q658" t="str">
            <v>1010</v>
          </cell>
          <cell r="R658">
            <v>3.714285714285714</v>
          </cell>
          <cell r="S658">
            <v>0</v>
          </cell>
        </row>
        <row r="659">
          <cell r="A659" t="str">
            <v>Y005-2005</v>
          </cell>
          <cell r="B659" t="str">
            <v>打樣號</v>
          </cell>
          <cell r="C659" t="str">
            <v>Y005</v>
          </cell>
          <cell r="D659" t="str">
            <v xml:space="preserve">Hoa poly </v>
          </cell>
          <cell r="E659" t="str">
            <v>飾花</v>
          </cell>
          <cell r="F659" t="str">
            <v>46*46*9</v>
          </cell>
          <cell r="G659">
            <v>46</v>
          </cell>
          <cell r="H659">
            <v>46</v>
          </cell>
          <cell r="I659">
            <v>9</v>
          </cell>
          <cell r="J659">
            <v>10</v>
          </cell>
          <cell r="K659">
            <v>0</v>
          </cell>
          <cell r="L659">
            <v>0.04</v>
          </cell>
          <cell r="M659">
            <v>0</v>
          </cell>
          <cell r="N659">
            <v>0</v>
          </cell>
          <cell r="O659">
            <v>0</v>
          </cell>
          <cell r="P659" t="str">
            <v>1010</v>
          </cell>
          <cell r="Q659" t="str">
            <v>1010</v>
          </cell>
          <cell r="R659">
            <v>4</v>
          </cell>
          <cell r="S659">
            <v>0</v>
          </cell>
        </row>
        <row r="660">
          <cell r="A660" t="str">
            <v>Y005-2006</v>
          </cell>
          <cell r="B660" t="str">
            <v>打樣號</v>
          </cell>
          <cell r="C660" t="str">
            <v>Y005</v>
          </cell>
          <cell r="D660">
            <v>0</v>
          </cell>
          <cell r="E660" t="str">
            <v>飾條</v>
          </cell>
          <cell r="F660" t="str">
            <v>1035*19*16</v>
          </cell>
          <cell r="G660">
            <v>1050</v>
          </cell>
          <cell r="H660">
            <v>19</v>
          </cell>
          <cell r="I660">
            <v>16</v>
          </cell>
          <cell r="J660">
            <v>444</v>
          </cell>
          <cell r="K660">
            <v>0</v>
          </cell>
          <cell r="L660">
            <v>1.32</v>
          </cell>
          <cell r="M660">
            <v>0</v>
          </cell>
          <cell r="N660">
            <v>0</v>
          </cell>
          <cell r="O660">
            <v>0</v>
          </cell>
          <cell r="P660" t="str">
            <v>1010</v>
          </cell>
          <cell r="Q660" t="str">
            <v>1010</v>
          </cell>
          <cell r="R660">
            <v>2.9729729729729732</v>
          </cell>
          <cell r="S660">
            <v>0</v>
          </cell>
        </row>
        <row r="661">
          <cell r="A661" t="str">
            <v>Y005-2007</v>
          </cell>
          <cell r="B661" t="str">
            <v>打樣號</v>
          </cell>
          <cell r="C661" t="str">
            <v>Y005</v>
          </cell>
          <cell r="D661">
            <v>0</v>
          </cell>
          <cell r="E661" t="str">
            <v>飾條</v>
          </cell>
          <cell r="F661" t="str">
            <v>1032*29*16</v>
          </cell>
          <cell r="G661">
            <v>1050</v>
          </cell>
          <cell r="H661">
            <v>29</v>
          </cell>
          <cell r="I661">
            <v>16</v>
          </cell>
          <cell r="J661">
            <v>547</v>
          </cell>
          <cell r="K661">
            <v>0</v>
          </cell>
          <cell r="L661">
            <v>1.66</v>
          </cell>
          <cell r="M661">
            <v>0</v>
          </cell>
          <cell r="N661">
            <v>0</v>
          </cell>
          <cell r="O661">
            <v>0</v>
          </cell>
          <cell r="P661" t="str">
            <v>1010</v>
          </cell>
          <cell r="Q661" t="str">
            <v>1010</v>
          </cell>
          <cell r="R661">
            <v>3.0347349177330893</v>
          </cell>
          <cell r="S661">
            <v>0</v>
          </cell>
        </row>
        <row r="662">
          <cell r="A662" t="str">
            <v>Y005-2008</v>
          </cell>
          <cell r="B662" t="str">
            <v>打樣號</v>
          </cell>
          <cell r="C662" t="str">
            <v>Y005</v>
          </cell>
          <cell r="D662">
            <v>0</v>
          </cell>
          <cell r="E662" t="str">
            <v>飾條</v>
          </cell>
          <cell r="F662" t="str">
            <v>1000*44*25</v>
          </cell>
          <cell r="G662">
            <v>983</v>
          </cell>
          <cell r="H662">
            <v>44</v>
          </cell>
          <cell r="I662">
            <v>25</v>
          </cell>
          <cell r="J662">
            <v>1040</v>
          </cell>
          <cell r="K662">
            <v>0</v>
          </cell>
          <cell r="L662">
            <v>3.2</v>
          </cell>
          <cell r="M662">
            <v>0</v>
          </cell>
          <cell r="N662">
            <v>0</v>
          </cell>
          <cell r="O662">
            <v>0</v>
          </cell>
          <cell r="P662" t="str">
            <v>1010</v>
          </cell>
          <cell r="Q662" t="str">
            <v>1010</v>
          </cell>
          <cell r="R662">
            <v>3.0769230769230771</v>
          </cell>
          <cell r="S662">
            <v>0</v>
          </cell>
        </row>
        <row r="663">
          <cell r="A663" t="str">
            <v>Y005-2009</v>
          </cell>
          <cell r="B663" t="str">
            <v>打樣號</v>
          </cell>
          <cell r="C663" t="str">
            <v>Y005</v>
          </cell>
          <cell r="D663">
            <v>0</v>
          </cell>
          <cell r="E663" t="str">
            <v>飾條</v>
          </cell>
          <cell r="F663" t="str">
            <v>1000*22*14</v>
          </cell>
          <cell r="G663">
            <v>980</v>
          </cell>
          <cell r="H663">
            <v>22</v>
          </cell>
          <cell r="I663">
            <v>14</v>
          </cell>
          <cell r="J663">
            <v>452</v>
          </cell>
          <cell r="K663">
            <v>0</v>
          </cell>
          <cell r="L663">
            <v>1.34</v>
          </cell>
          <cell r="M663">
            <v>0</v>
          </cell>
          <cell r="N663">
            <v>0</v>
          </cell>
          <cell r="O663">
            <v>0</v>
          </cell>
          <cell r="P663" t="str">
            <v>1010</v>
          </cell>
          <cell r="Q663" t="str">
            <v>1010</v>
          </cell>
          <cell r="R663">
            <v>2.9646017699115044</v>
          </cell>
          <cell r="S663">
            <v>0</v>
          </cell>
        </row>
        <row r="664">
          <cell r="A664" t="str">
            <v>Y005-2010</v>
          </cell>
          <cell r="B664" t="str">
            <v>打樣號</v>
          </cell>
          <cell r="C664" t="str">
            <v>Y005</v>
          </cell>
          <cell r="D664">
            <v>0</v>
          </cell>
          <cell r="E664" t="str">
            <v>飾條</v>
          </cell>
          <cell r="F664" t="str">
            <v>1000*22*17</v>
          </cell>
          <cell r="G664">
            <v>983</v>
          </cell>
          <cell r="H664">
            <v>22</v>
          </cell>
          <cell r="I664">
            <v>17</v>
          </cell>
          <cell r="J664">
            <v>469</v>
          </cell>
          <cell r="K664">
            <v>0</v>
          </cell>
          <cell r="L664">
            <v>1.4</v>
          </cell>
          <cell r="M664">
            <v>0</v>
          </cell>
          <cell r="N664">
            <v>0</v>
          </cell>
          <cell r="O664">
            <v>0</v>
          </cell>
          <cell r="P664" t="str">
            <v>1010</v>
          </cell>
          <cell r="Q664" t="str">
            <v>1010</v>
          </cell>
          <cell r="R664">
            <v>2.9850746268656718</v>
          </cell>
          <cell r="S664">
            <v>0</v>
          </cell>
        </row>
        <row r="665">
          <cell r="A665" t="str">
            <v>Y005-2011</v>
          </cell>
          <cell r="B665" t="str">
            <v>打樣號</v>
          </cell>
          <cell r="C665" t="str">
            <v>Y005</v>
          </cell>
          <cell r="D665">
            <v>0</v>
          </cell>
          <cell r="E665" t="str">
            <v>飾條</v>
          </cell>
          <cell r="F665" t="str">
            <v>1300*32*19</v>
          </cell>
          <cell r="G665">
            <v>1300</v>
          </cell>
          <cell r="H665">
            <v>32</v>
          </cell>
          <cell r="I665">
            <v>19</v>
          </cell>
          <cell r="J665">
            <v>0</v>
          </cell>
          <cell r="K665">
            <v>0</v>
          </cell>
          <cell r="L665">
            <v>3.38</v>
          </cell>
          <cell r="M665">
            <v>0</v>
          </cell>
          <cell r="N665">
            <v>0</v>
          </cell>
          <cell r="O665">
            <v>0</v>
          </cell>
          <cell r="P665" t="str">
            <v>1010</v>
          </cell>
          <cell r="Q665" t="str">
            <v>1010</v>
          </cell>
          <cell r="R665" t="e">
            <v>#DIV/0!</v>
          </cell>
          <cell r="S665">
            <v>0</v>
          </cell>
        </row>
        <row r="666">
          <cell r="A666" t="str">
            <v>Y005-2012</v>
          </cell>
          <cell r="B666" t="str">
            <v>打樣號</v>
          </cell>
          <cell r="C666" t="str">
            <v>Y005</v>
          </cell>
          <cell r="D666">
            <v>0</v>
          </cell>
          <cell r="E666" t="str">
            <v>飾條</v>
          </cell>
          <cell r="F666" t="str">
            <v>1000*16*11</v>
          </cell>
          <cell r="G666">
            <v>1000</v>
          </cell>
          <cell r="H666">
            <v>16</v>
          </cell>
          <cell r="I666">
            <v>11</v>
          </cell>
          <cell r="J666">
            <v>210</v>
          </cell>
          <cell r="K666">
            <v>0</v>
          </cell>
          <cell r="L666">
            <v>0.65</v>
          </cell>
          <cell r="M666">
            <v>0</v>
          </cell>
          <cell r="N666">
            <v>0</v>
          </cell>
          <cell r="O666">
            <v>0</v>
          </cell>
          <cell r="P666" t="str">
            <v>1010</v>
          </cell>
          <cell r="Q666" t="str">
            <v>1010</v>
          </cell>
          <cell r="R666">
            <v>3.0952380952380953</v>
          </cell>
          <cell r="S666">
            <v>0</v>
          </cell>
        </row>
        <row r="667">
          <cell r="A667" t="str">
            <v>Y005-2013</v>
          </cell>
          <cell r="B667" t="str">
            <v>打樣號</v>
          </cell>
          <cell r="C667" t="str">
            <v>Y005</v>
          </cell>
          <cell r="D667">
            <v>0</v>
          </cell>
          <cell r="E667" t="str">
            <v>飾條</v>
          </cell>
          <cell r="F667" t="str">
            <v>1000*30*22</v>
          </cell>
          <cell r="G667">
            <v>1000</v>
          </cell>
          <cell r="H667">
            <v>30</v>
          </cell>
          <cell r="I667">
            <v>22</v>
          </cell>
          <cell r="J667">
            <v>740</v>
          </cell>
          <cell r="K667">
            <v>0</v>
          </cell>
          <cell r="L667">
            <v>2.8</v>
          </cell>
          <cell r="M667">
            <v>0</v>
          </cell>
          <cell r="N667">
            <v>0</v>
          </cell>
          <cell r="O667">
            <v>0</v>
          </cell>
          <cell r="P667" t="str">
            <v>1010</v>
          </cell>
          <cell r="Q667" t="str">
            <v>1010</v>
          </cell>
          <cell r="R667">
            <v>3.7837837837837838</v>
          </cell>
          <cell r="S667">
            <v>0</v>
          </cell>
        </row>
        <row r="668">
          <cell r="A668" t="str">
            <v>Y005-2014</v>
          </cell>
          <cell r="B668" t="str">
            <v>打樣號</v>
          </cell>
          <cell r="C668" t="str">
            <v>Y005</v>
          </cell>
          <cell r="D668">
            <v>0</v>
          </cell>
          <cell r="E668" t="str">
            <v>飾條</v>
          </cell>
          <cell r="F668" t="str">
            <v>1000*19*10</v>
          </cell>
          <cell r="G668">
            <v>1000</v>
          </cell>
          <cell r="H668">
            <v>19</v>
          </cell>
          <cell r="I668">
            <v>10</v>
          </cell>
          <cell r="J668">
            <v>220</v>
          </cell>
          <cell r="K668">
            <v>0</v>
          </cell>
          <cell r="L668">
            <v>0.68</v>
          </cell>
          <cell r="M668">
            <v>0</v>
          </cell>
          <cell r="N668">
            <v>0</v>
          </cell>
          <cell r="O668">
            <v>0</v>
          </cell>
          <cell r="P668" t="str">
            <v>1010</v>
          </cell>
          <cell r="Q668" t="str">
            <v>1010</v>
          </cell>
          <cell r="R668">
            <v>3.0909090909090913</v>
          </cell>
          <cell r="S668">
            <v>0</v>
          </cell>
        </row>
        <row r="669">
          <cell r="A669" t="str">
            <v>Y005-2015</v>
          </cell>
          <cell r="B669" t="str">
            <v>打樣號</v>
          </cell>
          <cell r="C669" t="str">
            <v>Y005</v>
          </cell>
          <cell r="D669">
            <v>0</v>
          </cell>
          <cell r="E669" t="str">
            <v>飾條</v>
          </cell>
          <cell r="F669" t="str">
            <v>1055*185*5</v>
          </cell>
          <cell r="G669">
            <v>1055</v>
          </cell>
          <cell r="H669">
            <v>185</v>
          </cell>
          <cell r="I669">
            <v>5</v>
          </cell>
          <cell r="J669">
            <v>0</v>
          </cell>
          <cell r="K669">
            <v>0</v>
          </cell>
          <cell r="L669">
            <v>3.8</v>
          </cell>
          <cell r="M669">
            <v>0</v>
          </cell>
          <cell r="N669">
            <v>0</v>
          </cell>
          <cell r="O669">
            <v>0</v>
          </cell>
          <cell r="P669" t="str">
            <v>1010</v>
          </cell>
          <cell r="Q669" t="str">
            <v>1010</v>
          </cell>
          <cell r="R669" t="e">
            <v>#DIV/0!</v>
          </cell>
          <cell r="S669">
            <v>0</v>
          </cell>
        </row>
        <row r="670">
          <cell r="A670" t="str">
            <v>Y005-2016</v>
          </cell>
          <cell r="B670" t="str">
            <v>打樣號</v>
          </cell>
          <cell r="C670" t="str">
            <v>Y005</v>
          </cell>
          <cell r="D670">
            <v>0</v>
          </cell>
          <cell r="E670" t="str">
            <v>飾條</v>
          </cell>
          <cell r="F670" t="str">
            <v>1000*10*6</v>
          </cell>
          <cell r="G670">
            <v>1000</v>
          </cell>
          <cell r="H670">
            <v>10</v>
          </cell>
          <cell r="I670">
            <v>6</v>
          </cell>
          <cell r="J670">
            <v>0</v>
          </cell>
          <cell r="K670">
            <v>0</v>
          </cell>
          <cell r="L670">
            <v>0.27</v>
          </cell>
          <cell r="M670">
            <v>0</v>
          </cell>
          <cell r="N670">
            <v>0</v>
          </cell>
          <cell r="O670">
            <v>0</v>
          </cell>
          <cell r="P670" t="str">
            <v>1010</v>
          </cell>
          <cell r="Q670" t="str">
            <v>1010</v>
          </cell>
          <cell r="R670" t="e">
            <v>#DIV/0!</v>
          </cell>
          <cell r="S670">
            <v>0</v>
          </cell>
        </row>
        <row r="671">
          <cell r="A671" t="str">
            <v>Y005-2017</v>
          </cell>
          <cell r="B671" t="str">
            <v>打樣號</v>
          </cell>
          <cell r="C671" t="str">
            <v>Y005</v>
          </cell>
          <cell r="D671">
            <v>0</v>
          </cell>
          <cell r="E671" t="str">
            <v>花左</v>
          </cell>
          <cell r="F671" t="str">
            <v>70*50*7</v>
          </cell>
          <cell r="G671">
            <v>70</v>
          </cell>
          <cell r="H671">
            <v>50</v>
          </cell>
          <cell r="I671">
            <v>7</v>
          </cell>
          <cell r="J671">
            <v>0</v>
          </cell>
          <cell r="K671">
            <v>0</v>
          </cell>
          <cell r="L671">
            <v>0.04</v>
          </cell>
          <cell r="M671">
            <v>0</v>
          </cell>
          <cell r="N671">
            <v>0</v>
          </cell>
          <cell r="O671">
            <v>0</v>
          </cell>
          <cell r="P671" t="str">
            <v>1010</v>
          </cell>
          <cell r="Q671" t="str">
            <v>1010</v>
          </cell>
          <cell r="R671" t="e">
            <v>#DIV/0!</v>
          </cell>
          <cell r="S671">
            <v>0</v>
          </cell>
        </row>
        <row r="672">
          <cell r="A672" t="str">
            <v>Y005-2018</v>
          </cell>
          <cell r="B672" t="str">
            <v>打樣號</v>
          </cell>
          <cell r="C672" t="str">
            <v>Y005</v>
          </cell>
          <cell r="D672">
            <v>0</v>
          </cell>
          <cell r="E672" t="str">
            <v>花右</v>
          </cell>
          <cell r="F672" t="str">
            <v>70*50*7</v>
          </cell>
          <cell r="G672">
            <v>70</v>
          </cell>
          <cell r="H672">
            <v>50</v>
          </cell>
          <cell r="I672">
            <v>7</v>
          </cell>
          <cell r="J672">
            <v>0</v>
          </cell>
          <cell r="K672">
            <v>0</v>
          </cell>
          <cell r="L672">
            <v>0.04</v>
          </cell>
          <cell r="M672">
            <v>0</v>
          </cell>
          <cell r="N672">
            <v>0</v>
          </cell>
          <cell r="O672">
            <v>0</v>
          </cell>
          <cell r="P672" t="str">
            <v>1010</v>
          </cell>
          <cell r="Q672" t="str">
            <v>1010</v>
          </cell>
          <cell r="R672" t="e">
            <v>#DIV/0!</v>
          </cell>
          <cell r="S672">
            <v>0</v>
          </cell>
        </row>
        <row r="673">
          <cell r="A673" t="str">
            <v>Y005-2019</v>
          </cell>
          <cell r="B673" t="str">
            <v>打樣號</v>
          </cell>
          <cell r="C673" t="str">
            <v>Y005</v>
          </cell>
          <cell r="D673" t="str">
            <v xml:space="preserve">thanh poly </v>
          </cell>
          <cell r="E673" t="str">
            <v>飾條</v>
          </cell>
          <cell r="F673" t="str">
            <v>1800*19*10</v>
          </cell>
          <cell r="G673">
            <v>1800</v>
          </cell>
          <cell r="H673">
            <v>19</v>
          </cell>
          <cell r="I673">
            <v>10</v>
          </cell>
          <cell r="J673">
            <v>410</v>
          </cell>
          <cell r="K673">
            <v>0</v>
          </cell>
          <cell r="L673">
            <v>1.22</v>
          </cell>
          <cell r="M673">
            <v>0</v>
          </cell>
          <cell r="N673">
            <v>0</v>
          </cell>
          <cell r="O673">
            <v>0</v>
          </cell>
          <cell r="P673" t="str">
            <v>1010</v>
          </cell>
          <cell r="Q673" t="str">
            <v>1010</v>
          </cell>
          <cell r="R673">
            <v>2.975609756097561</v>
          </cell>
          <cell r="S673">
            <v>0</v>
          </cell>
        </row>
        <row r="674">
          <cell r="A674" t="str">
            <v>Y005-2020</v>
          </cell>
          <cell r="B674" t="str">
            <v>打樣號</v>
          </cell>
          <cell r="C674" t="str">
            <v>Y005</v>
          </cell>
          <cell r="D674" t="str">
            <v xml:space="preserve">thanh poly </v>
          </cell>
          <cell r="E674" t="str">
            <v>飾條</v>
          </cell>
          <cell r="F674" t="str">
            <v>1000*29*16</v>
          </cell>
          <cell r="G674">
            <v>1000</v>
          </cell>
          <cell r="H674">
            <v>29</v>
          </cell>
          <cell r="I674">
            <v>16</v>
          </cell>
          <cell r="J674">
            <v>465</v>
          </cell>
          <cell r="K674">
            <v>0</v>
          </cell>
          <cell r="L674">
            <v>1.38</v>
          </cell>
          <cell r="M674">
            <v>0</v>
          </cell>
          <cell r="N674">
            <v>0</v>
          </cell>
          <cell r="O674">
            <v>0</v>
          </cell>
          <cell r="P674" t="str">
            <v>1010</v>
          </cell>
          <cell r="Q674" t="str">
            <v>1010</v>
          </cell>
          <cell r="R674">
            <v>2.9677419354838706</v>
          </cell>
          <cell r="S674">
            <v>0</v>
          </cell>
        </row>
        <row r="675">
          <cell r="A675" t="str">
            <v>Y005-2021</v>
          </cell>
          <cell r="B675" t="str">
            <v>打樣號</v>
          </cell>
          <cell r="C675" t="str">
            <v>Y005</v>
          </cell>
          <cell r="D675" t="str">
            <v xml:space="preserve">chỉ poly </v>
          </cell>
          <cell r="E675" t="str">
            <v>飾條</v>
          </cell>
          <cell r="F675" t="str">
            <v>1000*13*7</v>
          </cell>
          <cell r="G675">
            <v>1000</v>
          </cell>
          <cell r="H675">
            <v>13</v>
          </cell>
          <cell r="I675">
            <v>7</v>
          </cell>
          <cell r="J675">
            <v>0</v>
          </cell>
          <cell r="K675">
            <v>0</v>
          </cell>
          <cell r="L675">
            <v>0.36</v>
          </cell>
          <cell r="M675">
            <v>0</v>
          </cell>
          <cell r="N675">
            <v>0</v>
          </cell>
          <cell r="O675">
            <v>0</v>
          </cell>
          <cell r="P675" t="str">
            <v>1010</v>
          </cell>
          <cell r="Q675" t="str">
            <v>1010</v>
          </cell>
          <cell r="R675" t="e">
            <v>#DIV/0!</v>
          </cell>
          <cell r="S675">
            <v>0</v>
          </cell>
        </row>
        <row r="676">
          <cell r="A676" t="str">
            <v>Y005-2022</v>
          </cell>
          <cell r="B676" t="str">
            <v>打樣號</v>
          </cell>
          <cell r="C676" t="str">
            <v>Y005</v>
          </cell>
          <cell r="D676" t="str">
            <v xml:space="preserve">chỉ poly </v>
          </cell>
          <cell r="E676" t="str">
            <v>飾條</v>
          </cell>
          <cell r="F676" t="str">
            <v>1035*28*16</v>
          </cell>
          <cell r="G676">
            <v>1035</v>
          </cell>
          <cell r="H676">
            <v>28</v>
          </cell>
          <cell r="I676">
            <v>16</v>
          </cell>
          <cell r="J676">
            <v>547</v>
          </cell>
          <cell r="K676">
            <v>0</v>
          </cell>
          <cell r="L676">
            <v>1.59</v>
          </cell>
          <cell r="M676">
            <v>0</v>
          </cell>
          <cell r="N676">
            <v>0</v>
          </cell>
          <cell r="O676">
            <v>0</v>
          </cell>
          <cell r="P676" t="str">
            <v>1010</v>
          </cell>
          <cell r="Q676" t="str">
            <v>1010</v>
          </cell>
          <cell r="R676">
            <v>2.906764168190128</v>
          </cell>
          <cell r="S676">
            <v>0</v>
          </cell>
        </row>
        <row r="677">
          <cell r="A677" t="str">
            <v>Y005-2023</v>
          </cell>
          <cell r="B677" t="str">
            <v>打樣號</v>
          </cell>
          <cell r="C677" t="str">
            <v>Y005</v>
          </cell>
          <cell r="D677" t="str">
            <v xml:space="preserve">chỉ poly </v>
          </cell>
          <cell r="E677" t="str">
            <v>飾條</v>
          </cell>
          <cell r="F677" t="str">
            <v>1000*19*16</v>
          </cell>
          <cell r="G677">
            <v>1000</v>
          </cell>
          <cell r="H677">
            <v>19</v>
          </cell>
          <cell r="I677">
            <v>16</v>
          </cell>
          <cell r="J677">
            <v>436</v>
          </cell>
          <cell r="K677">
            <v>0</v>
          </cell>
          <cell r="L677">
            <v>1.27</v>
          </cell>
          <cell r="M677">
            <v>0</v>
          </cell>
          <cell r="N677">
            <v>0</v>
          </cell>
          <cell r="O677">
            <v>0</v>
          </cell>
          <cell r="P677" t="str">
            <v>1010</v>
          </cell>
          <cell r="Q677" t="str">
            <v>1010</v>
          </cell>
          <cell r="R677">
            <v>2.9128440366972477</v>
          </cell>
          <cell r="S677">
            <v>0</v>
          </cell>
        </row>
        <row r="678">
          <cell r="A678" t="str">
            <v>Y005-2024</v>
          </cell>
          <cell r="B678" t="str">
            <v>打樣號</v>
          </cell>
          <cell r="C678" t="str">
            <v>Y005</v>
          </cell>
          <cell r="D678" t="str">
            <v xml:space="preserve">thanh poly </v>
          </cell>
          <cell r="E678" t="str">
            <v>飾條</v>
          </cell>
          <cell r="F678" t="str">
            <v>611*88*9</v>
          </cell>
          <cell r="G678">
            <v>611</v>
          </cell>
          <cell r="H678">
            <v>88</v>
          </cell>
          <cell r="I678">
            <v>9</v>
          </cell>
          <cell r="J678">
            <v>342</v>
          </cell>
          <cell r="K678">
            <v>0</v>
          </cell>
          <cell r="L678">
            <v>0.97</v>
          </cell>
          <cell r="M678">
            <v>0</v>
          </cell>
          <cell r="N678">
            <v>0</v>
          </cell>
          <cell r="O678">
            <v>0</v>
          </cell>
          <cell r="P678" t="str">
            <v>1010</v>
          </cell>
          <cell r="Q678" t="str">
            <v>1010</v>
          </cell>
          <cell r="R678">
            <v>2.8362573099415203</v>
          </cell>
          <cell r="S678">
            <v>0</v>
          </cell>
        </row>
        <row r="679">
          <cell r="A679" t="str">
            <v>Y005-2025</v>
          </cell>
          <cell r="B679" t="str">
            <v>打樣號</v>
          </cell>
          <cell r="C679" t="str">
            <v>Y005</v>
          </cell>
          <cell r="D679" t="str">
            <v xml:space="preserve">thanh poly </v>
          </cell>
          <cell r="E679" t="str">
            <v>飾條</v>
          </cell>
          <cell r="F679" t="str">
            <v>565*88*9</v>
          </cell>
          <cell r="G679">
            <v>565</v>
          </cell>
          <cell r="H679">
            <v>88</v>
          </cell>
          <cell r="I679">
            <v>9</v>
          </cell>
          <cell r="J679">
            <v>301</v>
          </cell>
          <cell r="K679">
            <v>0</v>
          </cell>
          <cell r="L679">
            <v>0.85</v>
          </cell>
          <cell r="M679">
            <v>0</v>
          </cell>
          <cell r="N679">
            <v>0</v>
          </cell>
          <cell r="O679">
            <v>0</v>
          </cell>
          <cell r="P679" t="str">
            <v>1010</v>
          </cell>
          <cell r="Q679" t="str">
            <v>1010</v>
          </cell>
          <cell r="R679">
            <v>2.823920265780731</v>
          </cell>
          <cell r="S679">
            <v>0</v>
          </cell>
        </row>
        <row r="680">
          <cell r="A680" t="str">
            <v>Y005-2026</v>
          </cell>
          <cell r="B680">
            <v>0</v>
          </cell>
          <cell r="C680" t="str">
            <v>Y005</v>
          </cell>
          <cell r="D680">
            <v>0</v>
          </cell>
          <cell r="E680">
            <v>0</v>
          </cell>
          <cell r="F680" t="str">
            <v>423*369*14</v>
          </cell>
          <cell r="G680">
            <v>423</v>
          </cell>
          <cell r="H680">
            <v>369</v>
          </cell>
          <cell r="I680">
            <v>14</v>
          </cell>
          <cell r="J680">
            <v>0</v>
          </cell>
          <cell r="K680">
            <v>0</v>
          </cell>
          <cell r="L680">
            <v>6.1</v>
          </cell>
          <cell r="M680">
            <v>0</v>
          </cell>
          <cell r="N680">
            <v>0</v>
          </cell>
          <cell r="O680">
            <v>0</v>
          </cell>
          <cell r="P680" t="str">
            <v>1010</v>
          </cell>
          <cell r="Q680" t="str">
            <v>1010</v>
          </cell>
          <cell r="R680" t="e">
            <v>#DIV/0!</v>
          </cell>
          <cell r="S680">
            <v>0</v>
          </cell>
        </row>
        <row r="681">
          <cell r="A681" t="str">
            <v>Y005-2027</v>
          </cell>
          <cell r="B681">
            <v>0</v>
          </cell>
          <cell r="C681" t="str">
            <v>Y005</v>
          </cell>
          <cell r="D681">
            <v>0</v>
          </cell>
          <cell r="E681">
            <v>0</v>
          </cell>
          <cell r="F681" t="str">
            <v>424*370*16</v>
          </cell>
          <cell r="G681">
            <v>424</v>
          </cell>
          <cell r="H681">
            <v>370</v>
          </cell>
          <cell r="I681">
            <v>16</v>
          </cell>
          <cell r="J681">
            <v>0</v>
          </cell>
          <cell r="K681">
            <v>0</v>
          </cell>
          <cell r="L681">
            <v>6.2</v>
          </cell>
          <cell r="M681">
            <v>0</v>
          </cell>
          <cell r="N681">
            <v>0</v>
          </cell>
          <cell r="O681">
            <v>0</v>
          </cell>
          <cell r="P681" t="str">
            <v>1010</v>
          </cell>
          <cell r="Q681" t="str">
            <v>1010</v>
          </cell>
          <cell r="R681" t="e">
            <v>#DIV/0!</v>
          </cell>
          <cell r="S681">
            <v>0</v>
          </cell>
        </row>
        <row r="682">
          <cell r="A682" t="str">
            <v>Y005-2028</v>
          </cell>
          <cell r="B682">
            <v>0</v>
          </cell>
          <cell r="C682" t="str">
            <v>Y005</v>
          </cell>
          <cell r="D682">
            <v>0</v>
          </cell>
          <cell r="E682">
            <v>0</v>
          </cell>
          <cell r="F682" t="str">
            <v>1110*16*9</v>
          </cell>
          <cell r="G682">
            <v>1110</v>
          </cell>
          <cell r="H682">
            <v>16</v>
          </cell>
          <cell r="I682">
            <v>9</v>
          </cell>
          <cell r="J682">
            <v>205</v>
          </cell>
          <cell r="K682">
            <v>0</v>
          </cell>
          <cell r="L682">
            <v>0.65</v>
          </cell>
          <cell r="M682">
            <v>0</v>
          </cell>
          <cell r="N682">
            <v>0</v>
          </cell>
          <cell r="O682">
            <v>0</v>
          </cell>
          <cell r="P682" t="str">
            <v>1010</v>
          </cell>
          <cell r="Q682" t="str">
            <v>1010</v>
          </cell>
          <cell r="R682">
            <v>3.1707317073170733</v>
          </cell>
          <cell r="S682">
            <v>0</v>
          </cell>
        </row>
        <row r="683">
          <cell r="A683" t="str">
            <v>Y005-2029</v>
          </cell>
          <cell r="B683">
            <v>0</v>
          </cell>
          <cell r="C683" t="str">
            <v>Y005</v>
          </cell>
          <cell r="D683">
            <v>0</v>
          </cell>
          <cell r="E683" t="str">
            <v>CHỈ POLY</v>
          </cell>
          <cell r="F683" t="str">
            <v>985*8*8</v>
          </cell>
          <cell r="G683">
            <v>985</v>
          </cell>
          <cell r="H683">
            <v>8</v>
          </cell>
          <cell r="I683">
            <v>8</v>
          </cell>
          <cell r="J683">
            <v>101</v>
          </cell>
          <cell r="K683">
            <v>0</v>
          </cell>
          <cell r="L683">
            <v>0.28000000000000003</v>
          </cell>
          <cell r="M683">
            <v>0</v>
          </cell>
          <cell r="N683">
            <v>0</v>
          </cell>
          <cell r="O683">
            <v>0</v>
          </cell>
          <cell r="P683" t="str">
            <v>1010</v>
          </cell>
          <cell r="Q683" t="str">
            <v>1010</v>
          </cell>
          <cell r="R683">
            <v>2.7722772277227725</v>
          </cell>
          <cell r="S683">
            <v>0</v>
          </cell>
        </row>
        <row r="684">
          <cell r="A684" t="str">
            <v>Y006-001</v>
          </cell>
          <cell r="B684" t="str">
            <v>LCT006-162</v>
          </cell>
          <cell r="C684" t="str">
            <v>Y006-BD</v>
          </cell>
          <cell r="D684">
            <v>58090016</v>
          </cell>
          <cell r="E684" t="str">
            <v>POLY補土</v>
          </cell>
          <cell r="F684" t="str">
            <v>KG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63000</v>
          </cell>
          <cell r="N684">
            <v>0</v>
          </cell>
          <cell r="O684">
            <v>0</v>
          </cell>
          <cell r="P684" t="str">
            <v>1010</v>
          </cell>
          <cell r="Q684" t="str">
            <v>1010</v>
          </cell>
          <cell r="R684" t="e">
            <v>#DIV/0!</v>
          </cell>
        </row>
        <row r="685">
          <cell r="A685" t="str">
            <v>Y006-002</v>
          </cell>
          <cell r="B685" t="str">
            <v>LCT006-163</v>
          </cell>
          <cell r="C685" t="str">
            <v>Y006-BD</v>
          </cell>
          <cell r="D685">
            <v>58090017</v>
          </cell>
          <cell r="E685" t="str">
            <v>補土用硬化劑</v>
          </cell>
          <cell r="F685" t="str">
            <v>KG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45000</v>
          </cell>
          <cell r="N685">
            <v>0</v>
          </cell>
          <cell r="O685">
            <v>0</v>
          </cell>
          <cell r="P685" t="str">
            <v>1010</v>
          </cell>
          <cell r="Q685" t="str">
            <v>1010</v>
          </cell>
          <cell r="R685" t="e">
            <v>#DIV/0!</v>
          </cell>
        </row>
        <row r="686">
          <cell r="A686" t="str">
            <v>Y006-003</v>
          </cell>
          <cell r="B686" t="str">
            <v>LCT006-482</v>
          </cell>
          <cell r="C686" t="str">
            <v>Y006-DN</v>
          </cell>
          <cell r="D686" t="str">
            <v>B1011-112PHBI7</v>
          </cell>
          <cell r="E686" t="str">
            <v>B1011-701Q POLY</v>
          </cell>
          <cell r="F686" t="str">
            <v>190*18*14</v>
          </cell>
          <cell r="G686">
            <v>190</v>
          </cell>
          <cell r="H686">
            <v>18</v>
          </cell>
          <cell r="I686">
            <v>14</v>
          </cell>
          <cell r="J686">
            <v>75</v>
          </cell>
          <cell r="K686">
            <v>0</v>
          </cell>
          <cell r="L686">
            <v>0</v>
          </cell>
          <cell r="M686">
            <v>4300</v>
          </cell>
          <cell r="N686">
            <v>0</v>
          </cell>
          <cell r="O686" t="str">
            <v>40V</v>
          </cell>
          <cell r="P686" t="str">
            <v>1010</v>
          </cell>
          <cell r="Q686" t="str">
            <v>1010</v>
          </cell>
          <cell r="R686">
            <v>2.7301587301587302</v>
          </cell>
        </row>
        <row r="687">
          <cell r="A687" t="str">
            <v>Y006-004</v>
          </cell>
          <cell r="B687" t="str">
            <v>LCT006-483</v>
          </cell>
          <cell r="C687" t="str">
            <v>Y006-DN</v>
          </cell>
          <cell r="D687" t="str">
            <v>B1012-112PHBI7</v>
          </cell>
          <cell r="E687" t="str">
            <v>B1012-701Q POLY</v>
          </cell>
          <cell r="F687" t="str">
            <v>190*18*14</v>
          </cell>
          <cell r="G687">
            <v>190</v>
          </cell>
          <cell r="H687">
            <v>18</v>
          </cell>
          <cell r="I687">
            <v>14</v>
          </cell>
          <cell r="J687">
            <v>75</v>
          </cell>
          <cell r="K687">
            <v>0</v>
          </cell>
          <cell r="L687">
            <v>0</v>
          </cell>
          <cell r="M687">
            <v>4300</v>
          </cell>
          <cell r="N687">
            <v>0</v>
          </cell>
          <cell r="O687" t="str">
            <v>40V</v>
          </cell>
          <cell r="P687" t="str">
            <v>1010</v>
          </cell>
          <cell r="Q687" t="str">
            <v>1010</v>
          </cell>
          <cell r="R687">
            <v>2.7301587301587302</v>
          </cell>
        </row>
        <row r="688">
          <cell r="A688" t="str">
            <v>Y006-005</v>
          </cell>
          <cell r="B688" t="str">
            <v>LCT006-484</v>
          </cell>
          <cell r="C688" t="str">
            <v>Y006-BD</v>
          </cell>
          <cell r="D688" t="str">
            <v>EOIMR -714ps217</v>
          </cell>
          <cell r="E688" t="str">
            <v>IMR-1645 77</v>
          </cell>
          <cell r="F688" t="str">
            <v>10*10*10</v>
          </cell>
          <cell r="G688">
            <v>10</v>
          </cell>
          <cell r="H688">
            <v>10</v>
          </cell>
          <cell r="I688">
            <v>10</v>
          </cell>
          <cell r="J688">
            <v>3</v>
          </cell>
          <cell r="K688">
            <v>0</v>
          </cell>
          <cell r="L688">
            <v>0</v>
          </cell>
          <cell r="M688">
            <v>500</v>
          </cell>
          <cell r="N688">
            <v>0</v>
          </cell>
          <cell r="O688" t="str">
            <v>40V</v>
          </cell>
          <cell r="P688" t="str">
            <v>1010</v>
          </cell>
          <cell r="Q688" t="str">
            <v>1010</v>
          </cell>
          <cell r="R688">
            <v>7.9365079365079358</v>
          </cell>
        </row>
        <row r="689">
          <cell r="A689" t="str">
            <v>Y006-006</v>
          </cell>
          <cell r="B689" t="str">
            <v>LCT006-485</v>
          </cell>
          <cell r="C689" t="str">
            <v>Y006-BD</v>
          </cell>
          <cell r="D689" t="str">
            <v>KOIMR -10834897</v>
          </cell>
          <cell r="E689" t="str">
            <v>IMR-3064-64</v>
          </cell>
          <cell r="F689" t="str">
            <v>10*10*10</v>
          </cell>
          <cell r="G689">
            <v>10</v>
          </cell>
          <cell r="H689">
            <v>10</v>
          </cell>
          <cell r="I689">
            <v>10</v>
          </cell>
          <cell r="J689">
            <v>3</v>
          </cell>
          <cell r="K689">
            <v>0</v>
          </cell>
          <cell r="L689">
            <v>0</v>
          </cell>
          <cell r="M689">
            <v>500</v>
          </cell>
          <cell r="N689">
            <v>0</v>
          </cell>
          <cell r="O689" t="str">
            <v>40V</v>
          </cell>
          <cell r="P689" t="str">
            <v>1010</v>
          </cell>
          <cell r="Q689" t="str">
            <v>1010</v>
          </cell>
          <cell r="R689">
            <v>7.9365079365079358</v>
          </cell>
        </row>
        <row r="690">
          <cell r="A690" t="str">
            <v>Y006-007</v>
          </cell>
          <cell r="B690" t="str">
            <v>LCT006-486</v>
          </cell>
          <cell r="C690" t="str">
            <v>Y006-BD</v>
          </cell>
          <cell r="D690" t="str">
            <v>KOIMR -204ps217</v>
          </cell>
          <cell r="E690" t="str">
            <v>IMR-316-68</v>
          </cell>
          <cell r="F690" t="str">
            <v>10*10*10</v>
          </cell>
          <cell r="G690">
            <v>10</v>
          </cell>
          <cell r="H690">
            <v>10</v>
          </cell>
          <cell r="I690">
            <v>10</v>
          </cell>
          <cell r="J690">
            <v>3</v>
          </cell>
          <cell r="K690">
            <v>0</v>
          </cell>
          <cell r="L690">
            <v>0</v>
          </cell>
          <cell r="M690">
            <v>500</v>
          </cell>
          <cell r="N690">
            <v>0</v>
          </cell>
          <cell r="O690" t="str">
            <v>40V</v>
          </cell>
          <cell r="P690" t="str">
            <v>1010</v>
          </cell>
          <cell r="Q690" t="str">
            <v>1010</v>
          </cell>
          <cell r="R690">
            <v>7.9365079365079358</v>
          </cell>
        </row>
        <row r="691">
          <cell r="A691" t="str">
            <v>Y006-008</v>
          </cell>
          <cell r="B691" t="str">
            <v>LCT006-487</v>
          </cell>
          <cell r="C691" t="str">
            <v>Y006-BD</v>
          </cell>
          <cell r="D691" t="str">
            <v>KOIMR -230ps217</v>
          </cell>
          <cell r="E691" t="str">
            <v>IMR-303</v>
          </cell>
          <cell r="F691" t="str">
            <v>10*10*10</v>
          </cell>
          <cell r="G691">
            <v>10</v>
          </cell>
          <cell r="H691">
            <v>10</v>
          </cell>
          <cell r="I691">
            <v>10</v>
          </cell>
          <cell r="J691">
            <v>3</v>
          </cell>
          <cell r="K691">
            <v>0</v>
          </cell>
          <cell r="L691">
            <v>0</v>
          </cell>
          <cell r="M691">
            <v>500</v>
          </cell>
          <cell r="N691">
            <v>0</v>
          </cell>
          <cell r="O691" t="str">
            <v>40V</v>
          </cell>
          <cell r="P691" t="str">
            <v>1010</v>
          </cell>
          <cell r="Q691" t="str">
            <v>1010</v>
          </cell>
          <cell r="R691">
            <v>7.9365079365079358</v>
          </cell>
        </row>
        <row r="692">
          <cell r="A692" t="str">
            <v>Y006-009</v>
          </cell>
          <cell r="B692" t="str">
            <v>LCT006-488</v>
          </cell>
          <cell r="C692" t="str">
            <v>Y006-BD</v>
          </cell>
          <cell r="D692" t="str">
            <v>KOIMR -303ps217</v>
          </cell>
          <cell r="E692" t="str">
            <v>IMR-317-68</v>
          </cell>
          <cell r="F692" t="str">
            <v>10*10*10</v>
          </cell>
          <cell r="G692">
            <v>10</v>
          </cell>
          <cell r="H692">
            <v>10</v>
          </cell>
          <cell r="I692">
            <v>10</v>
          </cell>
          <cell r="J692">
            <v>3</v>
          </cell>
          <cell r="K692">
            <v>0</v>
          </cell>
          <cell r="L692">
            <v>0</v>
          </cell>
          <cell r="M692">
            <v>500</v>
          </cell>
          <cell r="N692">
            <v>0</v>
          </cell>
          <cell r="O692" t="str">
            <v>40V</v>
          </cell>
          <cell r="P692" t="str">
            <v>1010</v>
          </cell>
          <cell r="Q692" t="str">
            <v>1010</v>
          </cell>
          <cell r="R692">
            <v>7.9365079365079358</v>
          </cell>
        </row>
        <row r="693">
          <cell r="A693" t="str">
            <v>Y006-010</v>
          </cell>
          <cell r="B693" t="str">
            <v>LCT006-548</v>
          </cell>
          <cell r="C693" t="str">
            <v>Y006-BD</v>
          </cell>
          <cell r="D693" t="str">
            <v>BPR54-112PP717</v>
          </cell>
          <cell r="E693" t="str">
            <v>PR-BR-5450Q MBN</v>
          </cell>
          <cell r="F693" t="str">
            <v>89*19*8</v>
          </cell>
          <cell r="G693">
            <v>89</v>
          </cell>
          <cell r="H693">
            <v>19</v>
          </cell>
          <cell r="I693">
            <v>8</v>
          </cell>
          <cell r="J693">
            <v>30</v>
          </cell>
          <cell r="K693">
            <v>0</v>
          </cell>
          <cell r="L693">
            <v>0</v>
          </cell>
          <cell r="M693">
            <v>2300</v>
          </cell>
          <cell r="N693">
            <v>0</v>
          </cell>
          <cell r="O693" t="str">
            <v>40V</v>
          </cell>
          <cell r="P693" t="str">
            <v>1010</v>
          </cell>
          <cell r="Q693" t="str">
            <v>1010</v>
          </cell>
          <cell r="R693">
            <v>3.6507936507936511</v>
          </cell>
        </row>
        <row r="694">
          <cell r="A694" t="str">
            <v>Y006-011</v>
          </cell>
          <cell r="B694" t="str">
            <v>LCT006-549</v>
          </cell>
          <cell r="C694" t="str">
            <v>Y006-BD</v>
          </cell>
          <cell r="D694" t="str">
            <v>BPR54-102PP717</v>
          </cell>
          <cell r="E694" t="str">
            <v>PR-BR-5402 MBN-C2</v>
          </cell>
          <cell r="F694" t="str">
            <v>64*19*8</v>
          </cell>
          <cell r="G694">
            <v>64</v>
          </cell>
          <cell r="H694">
            <v>19</v>
          </cell>
          <cell r="I694">
            <v>8</v>
          </cell>
          <cell r="J694">
            <v>22</v>
          </cell>
          <cell r="K694">
            <v>0</v>
          </cell>
          <cell r="L694">
            <v>0</v>
          </cell>
          <cell r="M694">
            <v>1550</v>
          </cell>
          <cell r="N694">
            <v>0</v>
          </cell>
          <cell r="O694" t="str">
            <v>40V</v>
          </cell>
          <cell r="P694" t="str">
            <v>1010</v>
          </cell>
          <cell r="Q694" t="str">
            <v>1010</v>
          </cell>
          <cell r="R694">
            <v>3.3549783549783552</v>
          </cell>
        </row>
        <row r="695">
          <cell r="A695" t="str">
            <v>Y006-012</v>
          </cell>
          <cell r="B695" t="str">
            <v>LCT006-550</v>
          </cell>
          <cell r="C695" t="str">
            <v>Y006-DN</v>
          </cell>
          <cell r="D695" t="str">
            <v>D1128-007PAL17</v>
          </cell>
          <cell r="E695" t="str">
            <v>B1128-351</v>
          </cell>
          <cell r="F695" t="str">
            <v>1604*11*5.5</v>
          </cell>
          <cell r="G695">
            <v>1604</v>
          </cell>
          <cell r="H695">
            <v>11</v>
          </cell>
          <cell r="I695">
            <v>5.5</v>
          </cell>
          <cell r="J695">
            <v>120</v>
          </cell>
          <cell r="K695">
            <v>0</v>
          </cell>
          <cell r="L695">
            <v>0</v>
          </cell>
          <cell r="M695">
            <v>15600</v>
          </cell>
          <cell r="N695">
            <v>0</v>
          </cell>
          <cell r="O695" t="str">
            <v>40V</v>
          </cell>
          <cell r="P695" t="str">
            <v>1010</v>
          </cell>
          <cell r="Q695" t="str">
            <v>1010</v>
          </cell>
          <cell r="R695">
            <v>6.1904761904761907</v>
          </cell>
        </row>
        <row r="696">
          <cell r="A696" t="str">
            <v>Y006-013</v>
          </cell>
          <cell r="B696" t="str">
            <v>LCT006-551</v>
          </cell>
          <cell r="C696" t="str">
            <v>Y006-DN</v>
          </cell>
          <cell r="D696" t="str">
            <v>D1128-007PC517</v>
          </cell>
          <cell r="E696" t="str">
            <v>B1128-351</v>
          </cell>
          <cell r="F696" t="str">
            <v>434*11*5.5</v>
          </cell>
          <cell r="G696">
            <v>434</v>
          </cell>
          <cell r="H696">
            <v>11</v>
          </cell>
          <cell r="I696">
            <v>5.5</v>
          </cell>
          <cell r="J696">
            <v>42</v>
          </cell>
          <cell r="K696">
            <v>0</v>
          </cell>
          <cell r="L696">
            <v>0</v>
          </cell>
          <cell r="M696">
            <v>3900</v>
          </cell>
          <cell r="N696">
            <v>0</v>
          </cell>
          <cell r="O696" t="str">
            <v>40V</v>
          </cell>
          <cell r="P696" t="str">
            <v>1010</v>
          </cell>
          <cell r="Q696" t="str">
            <v>1010</v>
          </cell>
          <cell r="R696">
            <v>4.4217687074829932</v>
          </cell>
        </row>
        <row r="697">
          <cell r="A697" t="str">
            <v>Y006-014</v>
          </cell>
          <cell r="B697" t="str">
            <v>LCT006-552</v>
          </cell>
          <cell r="C697" t="str">
            <v>Y006-DN</v>
          </cell>
          <cell r="D697" t="str">
            <v>D1128-102PAL17</v>
          </cell>
          <cell r="E697" t="str">
            <v>B1128-402</v>
          </cell>
          <cell r="F697" t="str">
            <v>692*11*5.5</v>
          </cell>
          <cell r="G697">
            <v>692</v>
          </cell>
          <cell r="H697">
            <v>11</v>
          </cell>
          <cell r="I697">
            <v>5.5</v>
          </cell>
          <cell r="J697">
            <v>50</v>
          </cell>
          <cell r="K697">
            <v>0</v>
          </cell>
          <cell r="L697">
            <v>0</v>
          </cell>
          <cell r="M697">
            <v>6800</v>
          </cell>
          <cell r="N697">
            <v>0</v>
          </cell>
          <cell r="O697" t="str">
            <v>40V</v>
          </cell>
          <cell r="P697" t="str">
            <v>1010</v>
          </cell>
          <cell r="Q697" t="str">
            <v>1010</v>
          </cell>
          <cell r="R697">
            <v>6.4761904761904763</v>
          </cell>
        </row>
        <row r="698">
          <cell r="A698" t="str">
            <v>Y006-015</v>
          </cell>
          <cell r="B698" t="str">
            <v>LCT006-553</v>
          </cell>
          <cell r="C698" t="str">
            <v>Y006-DN</v>
          </cell>
          <cell r="D698" t="str">
            <v>D1128-102PC517</v>
          </cell>
          <cell r="E698" t="str">
            <v>B1128-402</v>
          </cell>
          <cell r="F698" t="str">
            <v>416*11*5.5</v>
          </cell>
          <cell r="G698">
            <v>416</v>
          </cell>
          <cell r="H698">
            <v>11</v>
          </cell>
          <cell r="I698">
            <v>5.5</v>
          </cell>
          <cell r="J698">
            <v>37</v>
          </cell>
          <cell r="K698">
            <v>0</v>
          </cell>
          <cell r="L698">
            <v>0</v>
          </cell>
          <cell r="M698">
            <v>3700</v>
          </cell>
          <cell r="N698">
            <v>0</v>
          </cell>
          <cell r="O698" t="str">
            <v>40V</v>
          </cell>
          <cell r="P698" t="str">
            <v>1010</v>
          </cell>
          <cell r="Q698" t="str">
            <v>1010</v>
          </cell>
          <cell r="R698">
            <v>4.7619047619047619</v>
          </cell>
        </row>
        <row r="699">
          <cell r="A699" t="str">
            <v>Y006-016</v>
          </cell>
          <cell r="B699" t="str">
            <v>LCT006-554</v>
          </cell>
          <cell r="C699" t="str">
            <v>Y006</v>
          </cell>
          <cell r="D699" t="str">
            <v>D1128-903PAL17</v>
          </cell>
          <cell r="E699" t="str">
            <v>B1128-393</v>
          </cell>
          <cell r="F699" t="str">
            <v>1096*11*5.5</v>
          </cell>
          <cell r="G699">
            <v>1096</v>
          </cell>
          <cell r="H699">
            <v>11</v>
          </cell>
          <cell r="I699">
            <v>5.5</v>
          </cell>
          <cell r="J699">
            <v>0</v>
          </cell>
          <cell r="K699">
            <v>0</v>
          </cell>
          <cell r="L699">
            <v>0</v>
          </cell>
          <cell r="M699">
            <v>10500</v>
          </cell>
          <cell r="N699">
            <v>0</v>
          </cell>
          <cell r="O699" t="str">
            <v>40V</v>
          </cell>
          <cell r="P699" t="str">
            <v>1010</v>
          </cell>
          <cell r="Q699" t="str">
            <v>1010</v>
          </cell>
          <cell r="R699" t="e">
            <v>#DIV/0!</v>
          </cell>
        </row>
        <row r="700">
          <cell r="A700" t="str">
            <v>Y006-017</v>
          </cell>
          <cell r="B700" t="str">
            <v>LCT006-619</v>
          </cell>
          <cell r="C700" t="str">
            <v>Y006-BD</v>
          </cell>
          <cell r="D700" t="str">
            <v>FOIMR-11034897</v>
          </cell>
          <cell r="E700" t="str">
            <v>IMR-910</v>
          </cell>
          <cell r="F700" t="str">
            <v>10*10*10</v>
          </cell>
          <cell r="G700">
            <v>10</v>
          </cell>
          <cell r="H700">
            <v>10</v>
          </cell>
          <cell r="I700">
            <v>10</v>
          </cell>
          <cell r="J700">
            <v>3</v>
          </cell>
          <cell r="K700">
            <v>0</v>
          </cell>
          <cell r="L700">
            <v>0</v>
          </cell>
          <cell r="M700">
            <v>500</v>
          </cell>
          <cell r="N700">
            <v>0</v>
          </cell>
          <cell r="O700" t="str">
            <v>40V</v>
          </cell>
          <cell r="P700" t="str">
            <v>1010</v>
          </cell>
          <cell r="Q700" t="str">
            <v>1010</v>
          </cell>
          <cell r="R700">
            <v>7.9365079365079358</v>
          </cell>
        </row>
        <row r="701">
          <cell r="A701" t="str">
            <v>Y006-018</v>
          </cell>
          <cell r="B701" t="str">
            <v>LCT006-620</v>
          </cell>
          <cell r="C701" t="str">
            <v>Y006-BD</v>
          </cell>
          <cell r="D701" t="str">
            <v>NIA50-103PS217</v>
          </cell>
          <cell r="E701" t="str">
            <v>IA500-451</v>
          </cell>
          <cell r="F701" t="str">
            <v>10*10*10</v>
          </cell>
          <cell r="G701">
            <v>10</v>
          </cell>
          <cell r="H701">
            <v>10</v>
          </cell>
          <cell r="I701">
            <v>10</v>
          </cell>
          <cell r="J701">
            <v>3</v>
          </cell>
          <cell r="K701">
            <v>0</v>
          </cell>
          <cell r="L701">
            <v>0</v>
          </cell>
          <cell r="M701">
            <v>500</v>
          </cell>
          <cell r="N701">
            <v>0</v>
          </cell>
          <cell r="O701" t="str">
            <v>40V</v>
          </cell>
          <cell r="P701" t="str">
            <v>1010</v>
          </cell>
          <cell r="Q701" t="str">
            <v>1010</v>
          </cell>
          <cell r="R701">
            <v>7.9365079365079358</v>
          </cell>
        </row>
        <row r="702">
          <cell r="A702" t="str">
            <v>Y006-019</v>
          </cell>
          <cell r="B702" t="str">
            <v>LCT006-621</v>
          </cell>
          <cell r="C702" t="str">
            <v>Y006-BD</v>
          </cell>
          <cell r="D702" t="str">
            <v>BOIMR-21234897</v>
          </cell>
          <cell r="E702" t="str">
            <v>IMR-400</v>
          </cell>
          <cell r="F702" t="str">
            <v>10*10*10</v>
          </cell>
          <cell r="G702">
            <v>10</v>
          </cell>
          <cell r="H702">
            <v>10</v>
          </cell>
          <cell r="I702">
            <v>10</v>
          </cell>
          <cell r="J702">
            <v>3</v>
          </cell>
          <cell r="K702">
            <v>0</v>
          </cell>
          <cell r="L702">
            <v>0</v>
          </cell>
          <cell r="M702">
            <v>500</v>
          </cell>
          <cell r="N702">
            <v>0</v>
          </cell>
          <cell r="O702" t="str">
            <v>40V</v>
          </cell>
          <cell r="P702" t="str">
            <v>1010</v>
          </cell>
          <cell r="Q702" t="str">
            <v>1010</v>
          </cell>
          <cell r="R702">
            <v>7.9365079365079358</v>
          </cell>
        </row>
        <row r="703">
          <cell r="A703" t="str">
            <v>Y006-020</v>
          </cell>
          <cell r="B703" t="str">
            <v>LCT006-622</v>
          </cell>
          <cell r="C703" t="str">
            <v>Y006-BD</v>
          </cell>
          <cell r="D703" t="str">
            <v>BOIIMR-22334897</v>
          </cell>
          <cell r="E703" t="str">
            <v>IMR-500</v>
          </cell>
          <cell r="F703" t="str">
            <v>10*10*10</v>
          </cell>
          <cell r="G703">
            <v>10</v>
          </cell>
          <cell r="H703">
            <v>10</v>
          </cell>
          <cell r="I703">
            <v>10</v>
          </cell>
          <cell r="J703">
            <v>3</v>
          </cell>
          <cell r="K703">
            <v>0</v>
          </cell>
          <cell r="L703">
            <v>0</v>
          </cell>
          <cell r="M703">
            <v>500</v>
          </cell>
          <cell r="N703">
            <v>0</v>
          </cell>
          <cell r="O703" t="str">
            <v>40V</v>
          </cell>
          <cell r="P703" t="str">
            <v>1010</v>
          </cell>
          <cell r="Q703" t="str">
            <v>1010</v>
          </cell>
          <cell r="R703">
            <v>7.9365079365079358</v>
          </cell>
        </row>
        <row r="704">
          <cell r="A704" t="str">
            <v>Y006-021</v>
          </cell>
          <cell r="B704" t="str">
            <v>LCT006-623</v>
          </cell>
          <cell r="C704" t="str">
            <v>Y006-BD</v>
          </cell>
          <cell r="D704" t="str">
            <v>EOIMR-70934897</v>
          </cell>
          <cell r="E704" t="str">
            <v>IMR-1645 48</v>
          </cell>
          <cell r="F704" t="str">
            <v>10*10*10</v>
          </cell>
          <cell r="G704">
            <v>10</v>
          </cell>
          <cell r="H704">
            <v>10</v>
          </cell>
          <cell r="I704">
            <v>10</v>
          </cell>
          <cell r="J704">
            <v>3</v>
          </cell>
          <cell r="K704">
            <v>0</v>
          </cell>
          <cell r="L704">
            <v>0</v>
          </cell>
          <cell r="M704">
            <v>500</v>
          </cell>
          <cell r="N704">
            <v>0</v>
          </cell>
          <cell r="O704" t="str">
            <v>40V</v>
          </cell>
          <cell r="P704" t="str">
            <v>1010</v>
          </cell>
          <cell r="Q704" t="str">
            <v>1010</v>
          </cell>
          <cell r="R704">
            <v>7.9365079365079358</v>
          </cell>
        </row>
        <row r="705">
          <cell r="A705" t="str">
            <v>Y006-022</v>
          </cell>
          <cell r="B705" t="str">
            <v>LCT006-521</v>
          </cell>
          <cell r="C705" t="str">
            <v>Y006-DN</v>
          </cell>
          <cell r="D705" t="str">
            <v>B0620-212PP717</v>
          </cell>
          <cell r="E705" t="str">
            <v>620-BR21H</v>
          </cell>
          <cell r="F705" t="str">
            <v>418*41*4</v>
          </cell>
          <cell r="G705">
            <v>418</v>
          </cell>
          <cell r="H705">
            <v>41</v>
          </cell>
          <cell r="I705">
            <v>4</v>
          </cell>
          <cell r="J705">
            <v>95</v>
          </cell>
          <cell r="K705">
            <v>0</v>
          </cell>
          <cell r="L705">
            <v>0</v>
          </cell>
          <cell r="M705">
            <v>6925</v>
          </cell>
          <cell r="N705">
            <v>0</v>
          </cell>
          <cell r="O705" t="str">
            <v>40V</v>
          </cell>
          <cell r="P705" t="str">
            <v>1010</v>
          </cell>
          <cell r="Q705" t="str">
            <v>1010</v>
          </cell>
          <cell r="R705">
            <v>3.4711779448621556</v>
          </cell>
        </row>
        <row r="706">
          <cell r="A706" t="str">
            <v>Y006-023</v>
          </cell>
          <cell r="B706" t="str">
            <v>LCT006-522</v>
          </cell>
          <cell r="C706" t="str">
            <v>Y006-DN</v>
          </cell>
          <cell r="D706" t="str">
            <v>B0620-213PP717</v>
          </cell>
          <cell r="E706" t="str">
            <v>620-BR21F</v>
          </cell>
          <cell r="F706" t="str">
            <v>300*41*4</v>
          </cell>
          <cell r="G706">
            <v>300</v>
          </cell>
          <cell r="H706">
            <v>41</v>
          </cell>
          <cell r="I706">
            <v>4</v>
          </cell>
          <cell r="J706">
            <v>60</v>
          </cell>
          <cell r="K706">
            <v>0</v>
          </cell>
          <cell r="L706">
            <v>0</v>
          </cell>
          <cell r="M706">
            <v>4545</v>
          </cell>
          <cell r="N706">
            <v>0</v>
          </cell>
          <cell r="O706" t="str">
            <v>40V</v>
          </cell>
          <cell r="P706" t="str">
            <v>1010</v>
          </cell>
          <cell r="Q706" t="str">
            <v>1010</v>
          </cell>
          <cell r="R706">
            <v>3.6071428571428572</v>
          </cell>
        </row>
        <row r="707">
          <cell r="A707" t="str">
            <v>Y006-024</v>
          </cell>
          <cell r="B707" t="str">
            <v>LCT006-523</v>
          </cell>
          <cell r="C707" t="str">
            <v>Y006-DN</v>
          </cell>
          <cell r="D707" t="str">
            <v>B0620-213PPM17</v>
          </cell>
          <cell r="E707" t="str">
            <v>620-BR21F -L</v>
          </cell>
          <cell r="F707" t="str">
            <v>176*100*10</v>
          </cell>
          <cell r="G707">
            <v>176</v>
          </cell>
          <cell r="H707">
            <v>100</v>
          </cell>
          <cell r="I707">
            <v>10</v>
          </cell>
          <cell r="J707">
            <v>100</v>
          </cell>
          <cell r="K707">
            <v>0</v>
          </cell>
          <cell r="L707">
            <v>0</v>
          </cell>
          <cell r="M707">
            <v>6634</v>
          </cell>
          <cell r="N707">
            <v>0</v>
          </cell>
          <cell r="O707" t="str">
            <v>40V</v>
          </cell>
          <cell r="P707" t="str">
            <v>1010</v>
          </cell>
          <cell r="Q707" t="str">
            <v>1010</v>
          </cell>
          <cell r="R707">
            <v>3.1590476190476191</v>
          </cell>
        </row>
        <row r="708">
          <cell r="A708" t="str">
            <v>Y006-025</v>
          </cell>
          <cell r="B708" t="str">
            <v>LCT006-524</v>
          </cell>
          <cell r="C708" t="str">
            <v>Y006-DN</v>
          </cell>
          <cell r="D708" t="str">
            <v>B0620-213PPN17</v>
          </cell>
          <cell r="E708" t="str">
            <v>620-BR21F -R</v>
          </cell>
          <cell r="F708" t="str">
            <v>176*100*10</v>
          </cell>
          <cell r="G708">
            <v>176</v>
          </cell>
          <cell r="H708">
            <v>100</v>
          </cell>
          <cell r="I708">
            <v>10</v>
          </cell>
          <cell r="J708">
            <v>100</v>
          </cell>
          <cell r="K708">
            <v>0</v>
          </cell>
          <cell r="L708">
            <v>0</v>
          </cell>
          <cell r="M708">
            <v>6634</v>
          </cell>
          <cell r="N708">
            <v>0</v>
          </cell>
          <cell r="O708" t="str">
            <v>40V</v>
          </cell>
          <cell r="P708" t="str">
            <v>1010</v>
          </cell>
          <cell r="Q708" t="str">
            <v>1010</v>
          </cell>
          <cell r="R708">
            <v>3.1590476190476191</v>
          </cell>
        </row>
        <row r="709">
          <cell r="A709" t="str">
            <v>Y006-026</v>
          </cell>
          <cell r="B709" t="str">
            <v>LCT006-525</v>
          </cell>
          <cell r="C709" t="str">
            <v>Y006-DN</v>
          </cell>
          <cell r="D709" t="str">
            <v>D0620-007P1417</v>
          </cell>
          <cell r="E709" t="str">
            <v>620-BR317</v>
          </cell>
          <cell r="F709" t="str">
            <v>186*74*28</v>
          </cell>
          <cell r="G709">
            <v>186</v>
          </cell>
          <cell r="H709">
            <v>74</v>
          </cell>
          <cell r="I709">
            <v>28</v>
          </cell>
          <cell r="J709">
            <v>270</v>
          </cell>
          <cell r="K709">
            <v>0</v>
          </cell>
          <cell r="L709">
            <v>0</v>
          </cell>
          <cell r="M709">
            <v>16339</v>
          </cell>
          <cell r="N709">
            <v>70</v>
          </cell>
          <cell r="O709" t="str">
            <v>40V</v>
          </cell>
          <cell r="P709" t="str">
            <v>1010</v>
          </cell>
          <cell r="Q709" t="str">
            <v>1010</v>
          </cell>
          <cell r="R709">
            <v>2.8816578483245148</v>
          </cell>
        </row>
        <row r="710">
          <cell r="A710" t="str">
            <v>Y006-027</v>
          </cell>
          <cell r="B710" t="str">
            <v>LCT006-526</v>
          </cell>
          <cell r="C710" t="str">
            <v>Y006-DN</v>
          </cell>
          <cell r="D710" t="str">
            <v>D0620-007P1617</v>
          </cell>
          <cell r="E710" t="str">
            <v>620-BR317</v>
          </cell>
          <cell r="F710" t="str">
            <v>543*80*53.5</v>
          </cell>
          <cell r="G710">
            <v>543</v>
          </cell>
          <cell r="H710">
            <v>80</v>
          </cell>
          <cell r="I710">
            <v>53.5</v>
          </cell>
          <cell r="J710">
            <v>1168</v>
          </cell>
          <cell r="K710">
            <v>0</v>
          </cell>
          <cell r="L710">
            <v>0</v>
          </cell>
          <cell r="M710">
            <v>71744</v>
          </cell>
          <cell r="N710">
            <v>455</v>
          </cell>
          <cell r="O710" t="str">
            <v>40V</v>
          </cell>
          <cell r="P710" t="str">
            <v>1010</v>
          </cell>
          <cell r="Q710" t="str">
            <v>1010</v>
          </cell>
          <cell r="R710">
            <v>2.9249836921069798</v>
          </cell>
        </row>
        <row r="711">
          <cell r="A711" t="str">
            <v>Y006-028</v>
          </cell>
          <cell r="B711" t="str">
            <v>LCT006-527</v>
          </cell>
          <cell r="C711" t="str">
            <v>Y006-DN</v>
          </cell>
          <cell r="D711" t="str">
            <v>D0620-505P1417</v>
          </cell>
          <cell r="E711" t="str">
            <v>620-BR415</v>
          </cell>
          <cell r="F711" t="str">
            <v>616*74*28</v>
          </cell>
          <cell r="G711">
            <v>616</v>
          </cell>
          <cell r="H711">
            <v>74</v>
          </cell>
          <cell r="I711">
            <v>28</v>
          </cell>
          <cell r="J711">
            <v>740</v>
          </cell>
          <cell r="K711">
            <v>0</v>
          </cell>
          <cell r="L711">
            <v>0</v>
          </cell>
          <cell r="M711">
            <v>40602</v>
          </cell>
          <cell r="N711">
            <v>230</v>
          </cell>
          <cell r="O711" t="str">
            <v>40V</v>
          </cell>
          <cell r="P711" t="str">
            <v>1010</v>
          </cell>
          <cell r="Q711" t="str">
            <v>1010</v>
          </cell>
          <cell r="R711">
            <v>2.6127413127413126</v>
          </cell>
        </row>
        <row r="712">
          <cell r="A712" t="str">
            <v>Y006-029</v>
          </cell>
          <cell r="B712" t="str">
            <v>LCT006-528</v>
          </cell>
          <cell r="C712" t="str">
            <v>Y006-DN</v>
          </cell>
          <cell r="D712" t="str">
            <v>D0620-505P1617</v>
          </cell>
          <cell r="E712" t="str">
            <v>620-BR415</v>
          </cell>
          <cell r="F712" t="str">
            <v>543*80*53.5</v>
          </cell>
          <cell r="G712">
            <v>543</v>
          </cell>
          <cell r="H712">
            <v>80</v>
          </cell>
          <cell r="I712">
            <v>53.5</v>
          </cell>
          <cell r="J712">
            <v>1168</v>
          </cell>
          <cell r="K712">
            <v>0</v>
          </cell>
          <cell r="L712">
            <v>0</v>
          </cell>
          <cell r="M712">
            <v>71744</v>
          </cell>
          <cell r="N712">
            <v>455</v>
          </cell>
          <cell r="O712" t="str">
            <v>40V</v>
          </cell>
          <cell r="P712" t="str">
            <v>1010</v>
          </cell>
          <cell r="Q712" t="str">
            <v>1010</v>
          </cell>
          <cell r="R712">
            <v>2.9249836921069798</v>
          </cell>
        </row>
        <row r="713">
          <cell r="A713" t="str">
            <v>Y006-030</v>
          </cell>
          <cell r="B713" t="str">
            <v>LCT006-529</v>
          </cell>
          <cell r="C713" t="str">
            <v>Y006-DN</v>
          </cell>
          <cell r="D713" t="str">
            <v>D0620-903P1417</v>
          </cell>
          <cell r="E713" t="str">
            <v>620-BR45</v>
          </cell>
          <cell r="F713" t="str">
            <v>186*74*28</v>
          </cell>
          <cell r="G713">
            <v>186</v>
          </cell>
          <cell r="H713">
            <v>74</v>
          </cell>
          <cell r="I713">
            <v>28</v>
          </cell>
          <cell r="J713">
            <v>270</v>
          </cell>
          <cell r="K713">
            <v>0</v>
          </cell>
          <cell r="L713">
            <v>0</v>
          </cell>
          <cell r="M713">
            <v>16339</v>
          </cell>
          <cell r="N713">
            <v>70</v>
          </cell>
          <cell r="O713" t="str">
            <v>40V</v>
          </cell>
          <cell r="P713" t="str">
            <v>1010</v>
          </cell>
          <cell r="Q713" t="str">
            <v>1010</v>
          </cell>
          <cell r="R713">
            <v>2.8816578483245148</v>
          </cell>
        </row>
        <row r="714">
          <cell r="A714" t="str">
            <v>Y006-031</v>
          </cell>
          <cell r="B714" t="str">
            <v>LCT006-530</v>
          </cell>
          <cell r="C714" t="str">
            <v>Y006</v>
          </cell>
          <cell r="D714" t="str">
            <v>D0620-903P1617</v>
          </cell>
          <cell r="E714" t="str">
            <v>620-BR45</v>
          </cell>
          <cell r="F714" t="str">
            <v>543*80*53.5</v>
          </cell>
          <cell r="G714">
            <v>543</v>
          </cell>
          <cell r="H714">
            <v>80</v>
          </cell>
          <cell r="I714">
            <v>53.5</v>
          </cell>
          <cell r="J714">
            <v>1168</v>
          </cell>
          <cell r="K714">
            <v>0</v>
          </cell>
          <cell r="L714">
            <v>0</v>
          </cell>
          <cell r="M714">
            <v>71744</v>
          </cell>
          <cell r="N714">
            <v>455</v>
          </cell>
          <cell r="O714" t="str">
            <v>40V</v>
          </cell>
          <cell r="P714" t="str">
            <v>1010</v>
          </cell>
          <cell r="Q714" t="str">
            <v>1010</v>
          </cell>
          <cell r="R714">
            <v>2.9249836921069798</v>
          </cell>
        </row>
        <row r="715">
          <cell r="A715" t="str">
            <v>Y006-032</v>
          </cell>
          <cell r="B715" t="str">
            <v>LCT006-531</v>
          </cell>
          <cell r="C715" t="str">
            <v>Y006-DN</v>
          </cell>
          <cell r="D715" t="str">
            <v>M0620-302M072P</v>
          </cell>
          <cell r="E715" t="str">
            <v>620-BR51</v>
          </cell>
          <cell r="F715" t="str">
            <v>673*19*10.5</v>
          </cell>
          <cell r="G715">
            <v>673</v>
          </cell>
          <cell r="H715">
            <v>19</v>
          </cell>
          <cell r="I715">
            <v>10.5</v>
          </cell>
          <cell r="J715">
            <v>140</v>
          </cell>
          <cell r="K715">
            <v>0</v>
          </cell>
          <cell r="L715">
            <v>0</v>
          </cell>
          <cell r="M715">
            <v>9521</v>
          </cell>
          <cell r="N715">
            <v>0</v>
          </cell>
          <cell r="O715" t="str">
            <v>40V</v>
          </cell>
          <cell r="P715" t="str">
            <v>1010</v>
          </cell>
          <cell r="Q715" t="str">
            <v>1010</v>
          </cell>
          <cell r="R715">
            <v>3.2384353741496597</v>
          </cell>
        </row>
        <row r="716">
          <cell r="A716" t="str">
            <v>Y006-033</v>
          </cell>
          <cell r="B716" t="str">
            <v>LCT006-532</v>
          </cell>
          <cell r="C716" t="str">
            <v>Y006-DN</v>
          </cell>
          <cell r="D716" t="str">
            <v>M0620-302M092P</v>
          </cell>
          <cell r="E716" t="str">
            <v>620-BR51</v>
          </cell>
          <cell r="F716" t="str">
            <v>1047*19*10.5</v>
          </cell>
          <cell r="G716">
            <v>1047</v>
          </cell>
          <cell r="H716">
            <v>19</v>
          </cell>
          <cell r="I716">
            <v>10.5</v>
          </cell>
          <cell r="J716">
            <v>210</v>
          </cell>
          <cell r="K716">
            <v>0</v>
          </cell>
          <cell r="L716">
            <v>0</v>
          </cell>
          <cell r="M716">
            <v>15233</v>
          </cell>
          <cell r="N716">
            <v>0</v>
          </cell>
          <cell r="O716" t="str">
            <v>40V</v>
          </cell>
          <cell r="P716" t="str">
            <v>1010</v>
          </cell>
          <cell r="Q716" t="str">
            <v>1010</v>
          </cell>
          <cell r="R716">
            <v>3.4541950113378683</v>
          </cell>
        </row>
        <row r="717">
          <cell r="A717" t="str">
            <v>Y006-034</v>
          </cell>
          <cell r="B717" t="str">
            <v>LCT006-533</v>
          </cell>
          <cell r="C717" t="str">
            <v>Y006-DN</v>
          </cell>
          <cell r="D717" t="str">
            <v>N0620-102P1617</v>
          </cell>
          <cell r="E717" t="str">
            <v>620-BR61</v>
          </cell>
          <cell r="F717" t="str">
            <v>543*80*53.5</v>
          </cell>
          <cell r="G717">
            <v>543</v>
          </cell>
          <cell r="H717">
            <v>80</v>
          </cell>
          <cell r="I717">
            <v>53.5</v>
          </cell>
          <cell r="J717">
            <v>1168</v>
          </cell>
          <cell r="K717">
            <v>0</v>
          </cell>
          <cell r="L717">
            <v>0</v>
          </cell>
          <cell r="M717">
            <v>71744</v>
          </cell>
          <cell r="N717">
            <v>455</v>
          </cell>
          <cell r="O717" t="str">
            <v>40V</v>
          </cell>
          <cell r="P717" t="str">
            <v>1010</v>
          </cell>
          <cell r="Q717" t="str">
            <v>1010</v>
          </cell>
          <cell r="R717">
            <v>2.9249836921069798</v>
          </cell>
        </row>
        <row r="718">
          <cell r="A718" t="str">
            <v>Y006-035</v>
          </cell>
          <cell r="B718" t="str">
            <v>LCT006-534</v>
          </cell>
          <cell r="C718" t="str">
            <v>Y006-DN</v>
          </cell>
          <cell r="D718" t="str">
            <v>B0620-212PHB17</v>
          </cell>
          <cell r="E718" t="str">
            <v>620-BR21H -L</v>
          </cell>
          <cell r="F718" t="str">
            <v>664*581*14</v>
          </cell>
          <cell r="G718">
            <v>664</v>
          </cell>
          <cell r="H718">
            <v>581</v>
          </cell>
          <cell r="I718">
            <v>14</v>
          </cell>
          <cell r="J718">
            <v>1200</v>
          </cell>
          <cell r="K718">
            <v>0</v>
          </cell>
          <cell r="L718">
            <v>0</v>
          </cell>
          <cell r="M718">
            <v>72236</v>
          </cell>
          <cell r="N718">
            <v>0</v>
          </cell>
          <cell r="O718" t="str">
            <v>40V</v>
          </cell>
          <cell r="P718" t="str">
            <v>1010</v>
          </cell>
          <cell r="Q718" t="str">
            <v>1010</v>
          </cell>
          <cell r="R718">
            <v>2.8665079365079369</v>
          </cell>
        </row>
        <row r="719">
          <cell r="A719" t="str">
            <v>Y006-036</v>
          </cell>
          <cell r="B719" t="str">
            <v>LCT006-535</v>
          </cell>
          <cell r="C719" t="str">
            <v>Y006-DN</v>
          </cell>
          <cell r="D719" t="str">
            <v>B0620-212PHC17</v>
          </cell>
          <cell r="E719" t="str">
            <v>620-BR21H -R</v>
          </cell>
          <cell r="F719" t="str">
            <v>664*581*14</v>
          </cell>
          <cell r="G719">
            <v>664</v>
          </cell>
          <cell r="H719">
            <v>581</v>
          </cell>
          <cell r="I719">
            <v>14</v>
          </cell>
          <cell r="J719">
            <v>1200</v>
          </cell>
          <cell r="K719">
            <v>0</v>
          </cell>
          <cell r="L719">
            <v>0</v>
          </cell>
          <cell r="M719">
            <v>72236</v>
          </cell>
          <cell r="N719">
            <v>0</v>
          </cell>
          <cell r="O719" t="str">
            <v>40V</v>
          </cell>
          <cell r="P719" t="str">
            <v>1010</v>
          </cell>
          <cell r="Q719" t="str">
            <v>1010</v>
          </cell>
          <cell r="R719">
            <v>2.8665079365079369</v>
          </cell>
        </row>
        <row r="720">
          <cell r="A720" t="str">
            <v>Y006-037</v>
          </cell>
          <cell r="B720" t="str">
            <v>LCT006-536</v>
          </cell>
          <cell r="C720" t="str">
            <v>Y006-DN</v>
          </cell>
          <cell r="D720" t="str">
            <v>B0620-213PHB17</v>
          </cell>
          <cell r="E720" t="str">
            <v>620-BR21F</v>
          </cell>
          <cell r="F720" t="str">
            <v>664*398*14</v>
          </cell>
          <cell r="G720">
            <v>664</v>
          </cell>
          <cell r="H720">
            <v>398</v>
          </cell>
          <cell r="I720">
            <v>14</v>
          </cell>
          <cell r="J720">
            <v>1110</v>
          </cell>
          <cell r="K720">
            <v>0</v>
          </cell>
          <cell r="L720">
            <v>0</v>
          </cell>
          <cell r="M720">
            <v>66796</v>
          </cell>
          <cell r="N720">
            <v>0</v>
          </cell>
          <cell r="O720" t="str">
            <v>40V</v>
          </cell>
          <cell r="P720" t="str">
            <v>1010</v>
          </cell>
          <cell r="Q720" t="str">
            <v>1010</v>
          </cell>
          <cell r="R720">
            <v>2.8655512655512649</v>
          </cell>
        </row>
        <row r="721">
          <cell r="A721" t="str">
            <v>Y006-038</v>
          </cell>
          <cell r="B721" t="str">
            <v>LCT006-537</v>
          </cell>
          <cell r="C721" t="str">
            <v>Y006-DN</v>
          </cell>
          <cell r="D721" t="str">
            <v>B0620-222PHB17</v>
          </cell>
          <cell r="E721" t="str">
            <v>620-BR22H-L</v>
          </cell>
          <cell r="F721" t="str">
            <v>867*642*14</v>
          </cell>
          <cell r="G721">
            <v>867</v>
          </cell>
          <cell r="H721">
            <v>642</v>
          </cell>
          <cell r="I721">
            <v>14</v>
          </cell>
          <cell r="J721">
            <v>1360</v>
          </cell>
          <cell r="K721">
            <v>0</v>
          </cell>
          <cell r="L721">
            <v>0</v>
          </cell>
          <cell r="M721">
            <v>81081</v>
          </cell>
          <cell r="N721">
            <v>0</v>
          </cell>
          <cell r="O721" t="str">
            <v>40V</v>
          </cell>
          <cell r="P721" t="str">
            <v>1010</v>
          </cell>
          <cell r="Q721" t="str">
            <v>1010</v>
          </cell>
          <cell r="R721">
            <v>2.838970588235294</v>
          </cell>
        </row>
        <row r="722">
          <cell r="A722" t="str">
            <v>Y006-039</v>
          </cell>
          <cell r="B722" t="str">
            <v>LCT006-538</v>
          </cell>
          <cell r="C722" t="str">
            <v>Y006-DN</v>
          </cell>
          <cell r="D722" t="str">
            <v>B0620-222PHC17</v>
          </cell>
          <cell r="E722" t="str">
            <v>620-BR22H-R</v>
          </cell>
          <cell r="F722" t="str">
            <v>867*642*14</v>
          </cell>
          <cell r="G722">
            <v>867</v>
          </cell>
          <cell r="H722">
            <v>642</v>
          </cell>
          <cell r="I722">
            <v>14</v>
          </cell>
          <cell r="J722">
            <v>1360</v>
          </cell>
          <cell r="K722">
            <v>0</v>
          </cell>
          <cell r="L722">
            <v>0</v>
          </cell>
          <cell r="M722">
            <v>81081</v>
          </cell>
          <cell r="N722">
            <v>0</v>
          </cell>
          <cell r="O722" t="str">
            <v>40V</v>
          </cell>
          <cell r="P722" t="str">
            <v>1010</v>
          </cell>
          <cell r="Q722" t="str">
            <v>1010</v>
          </cell>
          <cell r="R722">
            <v>2.838970588235294</v>
          </cell>
        </row>
        <row r="723">
          <cell r="A723" t="str">
            <v>Y006-040</v>
          </cell>
          <cell r="B723" t="str">
            <v>LCT006-539</v>
          </cell>
          <cell r="C723" t="str">
            <v>Y006-DN</v>
          </cell>
          <cell r="D723" t="str">
            <v>B0620-223PHB17</v>
          </cell>
          <cell r="E723" t="str">
            <v>620-BR22F</v>
          </cell>
          <cell r="F723" t="str">
            <v>867*398*14</v>
          </cell>
          <cell r="G723">
            <v>867</v>
          </cell>
          <cell r="H723">
            <v>398</v>
          </cell>
          <cell r="I723">
            <v>14</v>
          </cell>
          <cell r="J723">
            <v>1310</v>
          </cell>
          <cell r="K723">
            <v>0</v>
          </cell>
          <cell r="L723">
            <v>0</v>
          </cell>
          <cell r="M723">
            <v>74447</v>
          </cell>
          <cell r="N723">
            <v>0</v>
          </cell>
          <cell r="O723" t="str">
            <v>40V</v>
          </cell>
          <cell r="P723" t="str">
            <v>1010</v>
          </cell>
          <cell r="Q723" t="str">
            <v>1010</v>
          </cell>
          <cell r="R723">
            <v>2.7061795710650669</v>
          </cell>
        </row>
        <row r="724">
          <cell r="A724" t="str">
            <v>Y006-041</v>
          </cell>
          <cell r="B724" t="str">
            <v>LCT006-540</v>
          </cell>
          <cell r="C724" t="str">
            <v>Y006</v>
          </cell>
          <cell r="D724" t="str">
            <v>B1121-102pp717</v>
          </cell>
          <cell r="E724" t="str">
            <v>1121-402-小方块</v>
          </cell>
          <cell r="F724" t="str">
            <v>57*19*6</v>
          </cell>
          <cell r="G724">
            <v>57</v>
          </cell>
          <cell r="H724">
            <v>19</v>
          </cell>
          <cell r="I724">
            <v>6</v>
          </cell>
          <cell r="J724">
            <v>10</v>
          </cell>
          <cell r="K724">
            <v>0</v>
          </cell>
          <cell r="L724">
            <v>0</v>
          </cell>
          <cell r="M724">
            <v>594</v>
          </cell>
          <cell r="N724">
            <v>0</v>
          </cell>
          <cell r="O724" t="str">
            <v>40V</v>
          </cell>
          <cell r="P724" t="str">
            <v>1010</v>
          </cell>
          <cell r="Q724" t="str">
            <v>1010</v>
          </cell>
          <cell r="R724">
            <v>2.8285714285714287</v>
          </cell>
        </row>
        <row r="725">
          <cell r="A725" t="str">
            <v>Y006-042</v>
          </cell>
          <cell r="B725" t="str">
            <v>LCT006-541</v>
          </cell>
          <cell r="C725" t="str">
            <v>Y006</v>
          </cell>
          <cell r="D725" t="str">
            <v>B0600-112PHB17</v>
          </cell>
          <cell r="E725" t="str">
            <v>CN600QH</v>
          </cell>
          <cell r="F725" t="str">
            <v>190*18*14</v>
          </cell>
          <cell r="G725">
            <v>190</v>
          </cell>
          <cell r="H725">
            <v>18</v>
          </cell>
          <cell r="I725">
            <v>14</v>
          </cell>
          <cell r="J725">
            <v>25</v>
          </cell>
          <cell r="K725">
            <v>0</v>
          </cell>
          <cell r="L725">
            <v>0</v>
          </cell>
          <cell r="M725">
            <v>4300</v>
          </cell>
          <cell r="N725">
            <v>0</v>
          </cell>
          <cell r="O725" t="str">
            <v>40V</v>
          </cell>
          <cell r="P725" t="str">
            <v>1010</v>
          </cell>
          <cell r="Q725" t="str">
            <v>1010</v>
          </cell>
          <cell r="R725">
            <v>8.1904761904761898</v>
          </cell>
        </row>
        <row r="726">
          <cell r="A726" t="str">
            <v>Y006-043</v>
          </cell>
          <cell r="B726" t="str">
            <v>LCT006-542</v>
          </cell>
          <cell r="C726" t="str">
            <v>Y006</v>
          </cell>
          <cell r="D726" t="str">
            <v>N0480-102PP717</v>
          </cell>
          <cell r="E726">
            <v>0</v>
          </cell>
          <cell r="F726" t="str">
            <v>44*16*8</v>
          </cell>
          <cell r="G726">
            <v>44</v>
          </cell>
          <cell r="H726">
            <v>16</v>
          </cell>
          <cell r="I726">
            <v>8</v>
          </cell>
          <cell r="J726">
            <v>10</v>
          </cell>
          <cell r="K726">
            <v>0</v>
          </cell>
          <cell r="L726">
            <v>0</v>
          </cell>
          <cell r="M726">
            <v>850</v>
          </cell>
          <cell r="N726">
            <v>0</v>
          </cell>
          <cell r="O726" t="str">
            <v>40V</v>
          </cell>
          <cell r="P726" t="str">
            <v>1010</v>
          </cell>
          <cell r="Q726" t="str">
            <v>1010</v>
          </cell>
          <cell r="R726">
            <v>4.0476190476190474</v>
          </cell>
        </row>
        <row r="727">
          <cell r="A727" t="str">
            <v>Y006-044</v>
          </cell>
          <cell r="B727" t="str">
            <v>LCT006-598</v>
          </cell>
          <cell r="C727" t="str">
            <v>Y006</v>
          </cell>
          <cell r="D727" t="str">
            <v>D2486</v>
          </cell>
          <cell r="E727" t="str">
            <v>2486-356</v>
          </cell>
          <cell r="F727" t="str">
            <v>515*328*13</v>
          </cell>
          <cell r="G727">
            <v>515</v>
          </cell>
          <cell r="H727">
            <v>328</v>
          </cell>
          <cell r="I727">
            <v>13</v>
          </cell>
          <cell r="J727">
            <v>940</v>
          </cell>
          <cell r="K727">
            <v>0</v>
          </cell>
          <cell r="L727">
            <v>0</v>
          </cell>
          <cell r="M727">
            <v>57036</v>
          </cell>
          <cell r="N727">
            <v>0</v>
          </cell>
          <cell r="O727" t="str">
            <v>T</v>
          </cell>
          <cell r="P727" t="str">
            <v>1010</v>
          </cell>
          <cell r="Q727" t="str">
            <v>1010</v>
          </cell>
          <cell r="R727">
            <v>2.8893617021276596</v>
          </cell>
        </row>
        <row r="728">
          <cell r="A728" t="str">
            <v>Y006-045</v>
          </cell>
          <cell r="B728" t="str">
            <v>LCT006-609</v>
          </cell>
          <cell r="C728" t="str">
            <v>Y006</v>
          </cell>
          <cell r="D728" t="str">
            <v>D2486</v>
          </cell>
          <cell r="E728" t="str">
            <v>2486-423</v>
          </cell>
          <cell r="F728" t="str">
            <v>360*10*5</v>
          </cell>
          <cell r="G728">
            <v>360</v>
          </cell>
          <cell r="H728">
            <v>10</v>
          </cell>
          <cell r="I728">
            <v>5</v>
          </cell>
          <cell r="J728">
            <v>40</v>
          </cell>
          <cell r="K728">
            <v>0</v>
          </cell>
          <cell r="L728">
            <v>0</v>
          </cell>
          <cell r="M728">
            <v>2851</v>
          </cell>
          <cell r="N728">
            <v>0</v>
          </cell>
          <cell r="O728" t="str">
            <v>T</v>
          </cell>
          <cell r="P728" t="str">
            <v>1010</v>
          </cell>
          <cell r="Q728" t="str">
            <v>1010</v>
          </cell>
          <cell r="R728">
            <v>3.394047619047619</v>
          </cell>
        </row>
        <row r="729">
          <cell r="A729" t="str">
            <v>Y006-046</v>
          </cell>
          <cell r="B729" t="str">
            <v>LCT006-547</v>
          </cell>
          <cell r="C729" t="str">
            <v>Y006-DN</v>
          </cell>
          <cell r="D729" t="str">
            <v>D1118-505NI1A7</v>
          </cell>
          <cell r="E729" t="str">
            <v>1118-391</v>
          </cell>
          <cell r="F729" t="str">
            <v>1000*6*6</v>
          </cell>
          <cell r="G729">
            <v>1000</v>
          </cell>
          <cell r="H729">
            <v>6</v>
          </cell>
          <cell r="I729">
            <v>6</v>
          </cell>
          <cell r="J729">
            <v>50</v>
          </cell>
          <cell r="K729">
            <v>0</v>
          </cell>
          <cell r="L729">
            <v>0</v>
          </cell>
          <cell r="M729">
            <v>6500</v>
          </cell>
          <cell r="N729">
            <v>0</v>
          </cell>
          <cell r="O729" t="str">
            <v>40V</v>
          </cell>
          <cell r="P729" t="str">
            <v>1010</v>
          </cell>
          <cell r="Q729" t="str">
            <v>1010</v>
          </cell>
          <cell r="R729">
            <v>6.1904761904761907</v>
          </cell>
        </row>
        <row r="730">
          <cell r="A730" t="str">
            <v>Y006-047</v>
          </cell>
          <cell r="B730" t="str">
            <v>LCT006-295</v>
          </cell>
          <cell r="C730" t="str">
            <v>Y006</v>
          </cell>
          <cell r="D730" t="str">
            <v>D3486-10821587</v>
          </cell>
          <cell r="E730" t="str">
            <v>3486-356</v>
          </cell>
          <cell r="F730" t="str">
            <v>515*328*13</v>
          </cell>
          <cell r="G730">
            <v>515</v>
          </cell>
          <cell r="H730">
            <v>328</v>
          </cell>
          <cell r="I730">
            <v>13</v>
          </cell>
          <cell r="J730">
            <v>940</v>
          </cell>
          <cell r="K730">
            <v>0</v>
          </cell>
          <cell r="L730">
            <v>0</v>
          </cell>
          <cell r="M730">
            <v>38710</v>
          </cell>
          <cell r="N730">
            <v>0</v>
          </cell>
          <cell r="O730" t="str">
            <v>40V</v>
          </cell>
          <cell r="P730" t="str">
            <v>1010</v>
          </cell>
          <cell r="Q730" t="str">
            <v>1010</v>
          </cell>
          <cell r="R730">
            <v>1.9609929078014185</v>
          </cell>
        </row>
        <row r="731">
          <cell r="A731" t="str">
            <v>Y006-048</v>
          </cell>
          <cell r="B731" t="str">
            <v>LCT006-296</v>
          </cell>
          <cell r="C731" t="str">
            <v>Y006</v>
          </cell>
          <cell r="D731" t="str">
            <v>M3486-10433907</v>
          </cell>
          <cell r="E731" t="str">
            <v>3486-423</v>
          </cell>
          <cell r="F731" t="str">
            <v>750*10*5</v>
          </cell>
          <cell r="G731">
            <v>750</v>
          </cell>
          <cell r="H731">
            <v>10</v>
          </cell>
          <cell r="I731">
            <v>5</v>
          </cell>
          <cell r="J731">
            <v>50</v>
          </cell>
          <cell r="K731">
            <v>0</v>
          </cell>
          <cell r="L731">
            <v>0</v>
          </cell>
          <cell r="M731">
            <v>5619</v>
          </cell>
          <cell r="N731">
            <v>0</v>
          </cell>
          <cell r="O731" t="str">
            <v>40V</v>
          </cell>
          <cell r="P731" t="str">
            <v>1010</v>
          </cell>
          <cell r="Q731" t="str">
            <v>1010</v>
          </cell>
          <cell r="R731">
            <v>5.3514285714285714</v>
          </cell>
        </row>
        <row r="732">
          <cell r="A732" t="str">
            <v>Y006-049</v>
          </cell>
          <cell r="B732" t="str">
            <v>LCT006-297</v>
          </cell>
          <cell r="C732" t="str">
            <v>Y006</v>
          </cell>
          <cell r="D732" t="str">
            <v>M3486-30433757</v>
          </cell>
          <cell r="E732" t="str">
            <v>3486-422</v>
          </cell>
          <cell r="F732" t="str">
            <v>800*8*4</v>
          </cell>
          <cell r="G732">
            <v>800</v>
          </cell>
          <cell r="H732">
            <v>8</v>
          </cell>
          <cell r="I732">
            <v>4</v>
          </cell>
          <cell r="J732">
            <v>60</v>
          </cell>
          <cell r="K732">
            <v>0</v>
          </cell>
          <cell r="L732">
            <v>0</v>
          </cell>
          <cell r="M732">
            <v>3477</v>
          </cell>
          <cell r="N732">
            <v>0</v>
          </cell>
          <cell r="O732" t="str">
            <v>40V</v>
          </cell>
          <cell r="P732" t="str">
            <v>1010</v>
          </cell>
          <cell r="Q732" t="str">
            <v>1010</v>
          </cell>
          <cell r="R732">
            <v>2.7595238095238095</v>
          </cell>
        </row>
        <row r="733">
          <cell r="A733" t="str">
            <v>Y006-050</v>
          </cell>
          <cell r="B733" t="str">
            <v>LCT006-310</v>
          </cell>
          <cell r="C733" t="str">
            <v>Y006</v>
          </cell>
          <cell r="D733" t="str">
            <v>M3486-40424557</v>
          </cell>
          <cell r="E733" t="str">
            <v>3486-430-橢圓鏡框</v>
          </cell>
          <cell r="F733" t="str">
            <v>970*711*40</v>
          </cell>
          <cell r="G733">
            <v>970</v>
          </cell>
          <cell r="H733">
            <v>711</v>
          </cell>
          <cell r="I733">
            <v>40</v>
          </cell>
          <cell r="J733">
            <v>3660</v>
          </cell>
          <cell r="K733">
            <v>0</v>
          </cell>
          <cell r="L733">
            <v>0</v>
          </cell>
          <cell r="M733">
            <v>172257</v>
          </cell>
          <cell r="N733">
            <v>840</v>
          </cell>
          <cell r="O733" t="str">
            <v>40V</v>
          </cell>
          <cell r="P733" t="str">
            <v>1010</v>
          </cell>
          <cell r="Q733" t="str">
            <v>1010</v>
          </cell>
          <cell r="R733">
            <v>2.2411787665886025</v>
          </cell>
        </row>
        <row r="734">
          <cell r="A734" t="str">
            <v>Y006-051</v>
          </cell>
          <cell r="B734" t="str">
            <v>LCT006-311</v>
          </cell>
          <cell r="C734" t="str">
            <v>Y006</v>
          </cell>
          <cell r="D734" t="str">
            <v>A3486-20121727</v>
          </cell>
          <cell r="E734" t="str">
            <v>3486-412-佛珠飾框</v>
          </cell>
          <cell r="F734" t="str">
            <v>880*335*13</v>
          </cell>
          <cell r="G734">
            <v>880</v>
          </cell>
          <cell r="H734">
            <v>335</v>
          </cell>
          <cell r="I734">
            <v>13</v>
          </cell>
          <cell r="J734">
            <v>1400</v>
          </cell>
          <cell r="K734">
            <v>0</v>
          </cell>
          <cell r="L734">
            <v>0</v>
          </cell>
          <cell r="M734">
            <v>57481</v>
          </cell>
          <cell r="N734">
            <v>0</v>
          </cell>
          <cell r="O734" t="str">
            <v>40V</v>
          </cell>
          <cell r="P734" t="str">
            <v>1010</v>
          </cell>
          <cell r="Q734" t="str">
            <v>1010</v>
          </cell>
          <cell r="R734">
            <v>1.9551360544217689</v>
          </cell>
        </row>
        <row r="735">
          <cell r="A735" t="str">
            <v>Y006-052</v>
          </cell>
          <cell r="B735" t="str">
            <v>LCT006-452</v>
          </cell>
          <cell r="C735" t="str">
            <v>Y006</v>
          </cell>
          <cell r="D735" t="str">
            <v>H0577-63033837</v>
          </cell>
          <cell r="E735" t="str">
            <v>577-SB5645</v>
          </cell>
          <cell r="F735" t="str">
            <v>270*10*5</v>
          </cell>
          <cell r="G735">
            <v>270</v>
          </cell>
          <cell r="H735">
            <v>10</v>
          </cell>
          <cell r="I735">
            <v>5</v>
          </cell>
          <cell r="J735">
            <v>30</v>
          </cell>
          <cell r="K735">
            <v>0</v>
          </cell>
          <cell r="L735">
            <v>0</v>
          </cell>
          <cell r="M735">
            <v>1613</v>
          </cell>
          <cell r="N735">
            <v>0</v>
          </cell>
          <cell r="O735" t="str">
            <v>40V</v>
          </cell>
          <cell r="P735" t="str">
            <v>1010</v>
          </cell>
          <cell r="Q735" t="str">
            <v>1010</v>
          </cell>
          <cell r="R735">
            <v>2.5603174603174605</v>
          </cell>
        </row>
        <row r="736">
          <cell r="A736" t="str">
            <v>Y006-053</v>
          </cell>
          <cell r="B736" t="str">
            <v>LCT006-453</v>
          </cell>
          <cell r="C736" t="str">
            <v>Y006</v>
          </cell>
          <cell r="D736" t="str">
            <v>H0577-63033927</v>
          </cell>
          <cell r="E736" t="str">
            <v>577-SB5645</v>
          </cell>
          <cell r="F736" t="str">
            <v>282*10*5</v>
          </cell>
          <cell r="G736">
            <v>282</v>
          </cell>
          <cell r="H736">
            <v>10</v>
          </cell>
          <cell r="I736">
            <v>5</v>
          </cell>
          <cell r="J736">
            <v>30</v>
          </cell>
          <cell r="K736">
            <v>0</v>
          </cell>
          <cell r="L736">
            <v>0</v>
          </cell>
          <cell r="M736">
            <v>1613</v>
          </cell>
          <cell r="N736">
            <v>0</v>
          </cell>
          <cell r="O736" t="str">
            <v>40V</v>
          </cell>
          <cell r="P736" t="str">
            <v>1010</v>
          </cell>
          <cell r="Q736" t="str">
            <v>1010</v>
          </cell>
          <cell r="R736">
            <v>2.5603174603174605</v>
          </cell>
        </row>
        <row r="737">
          <cell r="A737" t="str">
            <v>Y006-054</v>
          </cell>
          <cell r="B737" t="str">
            <v>LCT006-511</v>
          </cell>
          <cell r="C737" t="str">
            <v>Y006</v>
          </cell>
          <cell r="D737" t="str">
            <v>H0577-63033977</v>
          </cell>
          <cell r="E737" t="str">
            <v>577-SB5645</v>
          </cell>
          <cell r="F737" t="str">
            <v>282*10*5</v>
          </cell>
          <cell r="G737">
            <v>282</v>
          </cell>
          <cell r="H737">
            <v>10</v>
          </cell>
          <cell r="I737">
            <v>5</v>
          </cell>
          <cell r="J737">
            <v>30</v>
          </cell>
          <cell r="K737">
            <v>0</v>
          </cell>
          <cell r="L737">
            <v>0</v>
          </cell>
          <cell r="M737">
            <v>1613</v>
          </cell>
          <cell r="N737">
            <v>0</v>
          </cell>
          <cell r="O737" t="str">
            <v>40V</v>
          </cell>
          <cell r="P737" t="str">
            <v>1010</v>
          </cell>
          <cell r="Q737" t="str">
            <v>1010</v>
          </cell>
          <cell r="R737">
            <v>2.5603174603174605</v>
          </cell>
        </row>
        <row r="738">
          <cell r="A738" t="str">
            <v>Y006-055</v>
          </cell>
          <cell r="B738" t="str">
            <v>LCT006-454</v>
          </cell>
          <cell r="C738" t="str">
            <v>Y006</v>
          </cell>
          <cell r="D738" t="str">
            <v>T0577-63033807</v>
          </cell>
          <cell r="E738" t="str">
            <v>577-T7070</v>
          </cell>
          <cell r="F738" t="str">
            <v>2044*10*5</v>
          </cell>
          <cell r="G738">
            <v>2044</v>
          </cell>
          <cell r="H738">
            <v>10</v>
          </cell>
          <cell r="I738">
            <v>5</v>
          </cell>
          <cell r="J738">
            <v>150</v>
          </cell>
          <cell r="K738">
            <v>0</v>
          </cell>
          <cell r="L738">
            <v>0</v>
          </cell>
          <cell r="M738">
            <v>12578</v>
          </cell>
          <cell r="N738">
            <v>0</v>
          </cell>
          <cell r="O738" t="str">
            <v>40V</v>
          </cell>
          <cell r="P738" t="str">
            <v>1010</v>
          </cell>
          <cell r="Q738" t="str">
            <v>1010</v>
          </cell>
          <cell r="R738">
            <v>3.9930158730158736</v>
          </cell>
        </row>
        <row r="739">
          <cell r="A739" t="str">
            <v>Y006-056</v>
          </cell>
          <cell r="B739" t="str">
            <v>LCT006-455</v>
          </cell>
          <cell r="C739" t="str">
            <v>Y006</v>
          </cell>
          <cell r="D739" t="str">
            <v>T0577-63033887</v>
          </cell>
          <cell r="E739" t="str">
            <v>577-T4490</v>
          </cell>
          <cell r="F739" t="str">
            <v>856*10*5</v>
          </cell>
          <cell r="G739">
            <v>856</v>
          </cell>
          <cell r="H739">
            <v>10</v>
          </cell>
          <cell r="I739">
            <v>5</v>
          </cell>
          <cell r="J739">
            <v>85</v>
          </cell>
          <cell r="K739">
            <v>0</v>
          </cell>
          <cell r="L739">
            <v>0</v>
          </cell>
          <cell r="M739">
            <v>3763</v>
          </cell>
          <cell r="N739">
            <v>0</v>
          </cell>
          <cell r="O739" t="str">
            <v>40V</v>
          </cell>
          <cell r="P739" t="str">
            <v>1010</v>
          </cell>
          <cell r="Q739" t="str">
            <v>1010</v>
          </cell>
          <cell r="R739">
            <v>2.1081232492997195</v>
          </cell>
        </row>
        <row r="740">
          <cell r="A740" t="str">
            <v>Y006-057</v>
          </cell>
          <cell r="B740" t="str">
            <v>LCT006-456</v>
          </cell>
          <cell r="C740" t="str">
            <v>Y006</v>
          </cell>
          <cell r="D740" t="str">
            <v>T0577-63033927</v>
          </cell>
          <cell r="E740" t="str">
            <v>577-T4490</v>
          </cell>
          <cell r="F740" t="str">
            <v>798*10*5</v>
          </cell>
          <cell r="G740">
            <v>798</v>
          </cell>
          <cell r="H740">
            <v>10</v>
          </cell>
          <cell r="I740">
            <v>5</v>
          </cell>
          <cell r="J740">
            <v>60</v>
          </cell>
          <cell r="K740">
            <v>0</v>
          </cell>
          <cell r="L740">
            <v>0</v>
          </cell>
          <cell r="M740">
            <v>3440</v>
          </cell>
          <cell r="N740">
            <v>0</v>
          </cell>
          <cell r="O740" t="str">
            <v>40V</v>
          </cell>
          <cell r="P740" t="str">
            <v>1010</v>
          </cell>
          <cell r="Q740" t="str">
            <v>1010</v>
          </cell>
          <cell r="R740">
            <v>2.7301587301587302</v>
          </cell>
        </row>
        <row r="741">
          <cell r="A741" t="str">
            <v>Y006-058</v>
          </cell>
          <cell r="B741" t="str">
            <v>LCT006-510</v>
          </cell>
          <cell r="C741" t="str">
            <v>Y006</v>
          </cell>
          <cell r="D741" t="str">
            <v>T0577-50133977</v>
          </cell>
          <cell r="E741" t="str">
            <v>577-T4490</v>
          </cell>
          <cell r="F741" t="str">
            <v>798*10*5</v>
          </cell>
          <cell r="G741">
            <v>798</v>
          </cell>
          <cell r="H741">
            <v>10</v>
          </cell>
          <cell r="I741">
            <v>5</v>
          </cell>
          <cell r="J741">
            <v>3</v>
          </cell>
          <cell r="K741">
            <v>0</v>
          </cell>
          <cell r="L741">
            <v>0</v>
          </cell>
          <cell r="M741">
            <v>3440</v>
          </cell>
          <cell r="N741">
            <v>0</v>
          </cell>
          <cell r="O741" t="str">
            <v>40V</v>
          </cell>
          <cell r="P741" t="str">
            <v>1010</v>
          </cell>
          <cell r="Q741" t="str">
            <v>1010</v>
          </cell>
          <cell r="R741">
            <v>54.603174603174608</v>
          </cell>
        </row>
        <row r="742">
          <cell r="A742" t="str">
            <v>Y006-059</v>
          </cell>
          <cell r="B742" t="str">
            <v>LCT006-625</v>
          </cell>
          <cell r="C742" t="str">
            <v>Y006-DN</v>
          </cell>
          <cell r="D742" t="str">
            <v>B0644-342PPC17</v>
          </cell>
          <cell r="E742" t="str">
            <v>644-BR11</v>
          </cell>
          <cell r="F742" t="str">
            <v>517*36436</v>
          </cell>
          <cell r="G742">
            <v>517</v>
          </cell>
          <cell r="H742">
            <v>364</v>
          </cell>
          <cell r="I742">
            <v>6</v>
          </cell>
          <cell r="J742">
            <v>320</v>
          </cell>
          <cell r="K742">
            <v>0</v>
          </cell>
          <cell r="L742">
            <v>0</v>
          </cell>
          <cell r="M742">
            <v>20500</v>
          </cell>
          <cell r="N742">
            <v>0</v>
          </cell>
          <cell r="O742" t="str">
            <v>40V</v>
          </cell>
          <cell r="P742" t="str">
            <v>1010</v>
          </cell>
          <cell r="Q742" t="str">
            <v>1010</v>
          </cell>
          <cell r="R742">
            <v>3.0505952380952381</v>
          </cell>
        </row>
        <row r="743">
          <cell r="A743" t="str">
            <v>Y006-060</v>
          </cell>
          <cell r="B743" t="str">
            <v>LCT006-626</v>
          </cell>
          <cell r="C743" t="str">
            <v>Y006-DN</v>
          </cell>
          <cell r="D743" t="str">
            <v>B0644-353PPC17</v>
          </cell>
          <cell r="E743" t="str">
            <v>644-BR18</v>
          </cell>
          <cell r="F743" t="str">
            <v>276*50*6</v>
          </cell>
          <cell r="G743">
            <v>276</v>
          </cell>
          <cell r="H743">
            <v>50</v>
          </cell>
          <cell r="I743">
            <v>6</v>
          </cell>
          <cell r="J743">
            <v>50</v>
          </cell>
          <cell r="K743">
            <v>0</v>
          </cell>
          <cell r="L743">
            <v>0</v>
          </cell>
          <cell r="M743">
            <v>6000</v>
          </cell>
          <cell r="N743">
            <v>0</v>
          </cell>
          <cell r="O743" t="str">
            <v>40V</v>
          </cell>
          <cell r="P743" t="str">
            <v>1010</v>
          </cell>
          <cell r="Q743" t="str">
            <v>1010</v>
          </cell>
          <cell r="R743">
            <v>5.7142857142857144</v>
          </cell>
        </row>
        <row r="744">
          <cell r="A744" t="str">
            <v>Y006-061</v>
          </cell>
          <cell r="B744" t="str">
            <v>LCT006-627</v>
          </cell>
          <cell r="C744" t="str">
            <v>Y006-DN</v>
          </cell>
          <cell r="D744" t="str">
            <v>D0644-006PP717</v>
          </cell>
          <cell r="E744" t="str">
            <v>644-BR30</v>
          </cell>
          <cell r="F744" t="str">
            <v>103*49*6</v>
          </cell>
          <cell r="G744">
            <v>103</v>
          </cell>
          <cell r="H744">
            <v>49</v>
          </cell>
          <cell r="I744">
            <v>6</v>
          </cell>
          <cell r="J744">
            <v>40</v>
          </cell>
          <cell r="K744">
            <v>0</v>
          </cell>
          <cell r="L744">
            <v>0</v>
          </cell>
          <cell r="M744">
            <v>5000</v>
          </cell>
          <cell r="N744">
            <v>0</v>
          </cell>
          <cell r="O744" t="str">
            <v>40V</v>
          </cell>
          <cell r="P744" t="str">
            <v>1010</v>
          </cell>
          <cell r="Q744" t="str">
            <v>1010</v>
          </cell>
          <cell r="R744">
            <v>5.9523809523809526</v>
          </cell>
        </row>
        <row r="745">
          <cell r="A745" t="str">
            <v>Y006-062</v>
          </cell>
          <cell r="B745" t="str">
            <v>LCT006-628</v>
          </cell>
          <cell r="C745" t="str">
            <v>Y006-DN</v>
          </cell>
          <cell r="D745" t="str">
            <v>D0644-006PPC17</v>
          </cell>
          <cell r="E745" t="str">
            <v>644-BR30</v>
          </cell>
          <cell r="F745" t="str">
            <v>476*49*6</v>
          </cell>
          <cell r="G745">
            <v>476</v>
          </cell>
          <cell r="H745">
            <v>49</v>
          </cell>
          <cell r="I745">
            <v>6</v>
          </cell>
          <cell r="J745">
            <v>90</v>
          </cell>
          <cell r="K745">
            <v>0</v>
          </cell>
          <cell r="L745">
            <v>0</v>
          </cell>
          <cell r="M745">
            <v>11500</v>
          </cell>
          <cell r="N745">
            <v>0</v>
          </cell>
          <cell r="O745" t="str">
            <v>40V</v>
          </cell>
          <cell r="P745" t="str">
            <v>1010</v>
          </cell>
          <cell r="Q745" t="str">
            <v>1010</v>
          </cell>
          <cell r="R745">
            <v>6.0846560846560847</v>
          </cell>
        </row>
        <row r="746">
          <cell r="A746" t="str">
            <v>Y006-063</v>
          </cell>
          <cell r="B746" t="str">
            <v>LCT006-629</v>
          </cell>
          <cell r="C746" t="str">
            <v>Y006-DN</v>
          </cell>
          <cell r="D746" t="str">
            <v>M0644-202PAN17</v>
          </cell>
          <cell r="E746" t="str">
            <v>644-BR55</v>
          </cell>
          <cell r="F746" t="str">
            <v>237*116*6</v>
          </cell>
          <cell r="G746">
            <v>237</v>
          </cell>
          <cell r="H746">
            <v>116</v>
          </cell>
          <cell r="I746">
            <v>6</v>
          </cell>
          <cell r="J746">
            <v>80</v>
          </cell>
          <cell r="K746">
            <v>0</v>
          </cell>
          <cell r="L746">
            <v>0</v>
          </cell>
          <cell r="M746">
            <v>10500</v>
          </cell>
          <cell r="N746">
            <v>0</v>
          </cell>
          <cell r="O746" t="str">
            <v>40V</v>
          </cell>
          <cell r="P746" t="str">
            <v>1010</v>
          </cell>
          <cell r="Q746" t="str">
            <v>1010</v>
          </cell>
          <cell r="R746">
            <v>6.25</v>
          </cell>
        </row>
        <row r="747">
          <cell r="A747" t="str">
            <v>Y006-064</v>
          </cell>
          <cell r="B747" t="str">
            <v>LCT006-630</v>
          </cell>
          <cell r="C747" t="str">
            <v>Y006-DN</v>
          </cell>
          <cell r="D747" t="str">
            <v>M0644-202PAN27</v>
          </cell>
          <cell r="E747" t="str">
            <v>644-BR55</v>
          </cell>
          <cell r="F747" t="str">
            <v>237*116*6</v>
          </cell>
          <cell r="G747">
            <v>237</v>
          </cell>
          <cell r="H747">
            <v>116</v>
          </cell>
          <cell r="I747">
            <v>6</v>
          </cell>
          <cell r="J747">
            <v>80</v>
          </cell>
          <cell r="K747">
            <v>0</v>
          </cell>
          <cell r="L747">
            <v>0</v>
          </cell>
          <cell r="M747">
            <v>10500</v>
          </cell>
          <cell r="N747">
            <v>0</v>
          </cell>
          <cell r="O747" t="str">
            <v>40V</v>
          </cell>
          <cell r="P747" t="str">
            <v>1010</v>
          </cell>
          <cell r="Q747" t="str">
            <v>1010</v>
          </cell>
          <cell r="R747">
            <v>6.25</v>
          </cell>
        </row>
        <row r="748">
          <cell r="A748" t="str">
            <v>Y006-065</v>
          </cell>
          <cell r="B748" t="str">
            <v>LCT006-631</v>
          </cell>
          <cell r="C748" t="str">
            <v>Y006-DN</v>
          </cell>
          <cell r="D748" t="str">
            <v>B0644-342PA217</v>
          </cell>
          <cell r="E748" t="str">
            <v>644-BR11</v>
          </cell>
          <cell r="F748" t="str">
            <v>346*72*6</v>
          </cell>
          <cell r="G748">
            <v>346</v>
          </cell>
          <cell r="H748">
            <v>72</v>
          </cell>
          <cell r="I748">
            <v>6</v>
          </cell>
          <cell r="J748">
            <v>60</v>
          </cell>
          <cell r="K748">
            <v>0</v>
          </cell>
          <cell r="L748">
            <v>0</v>
          </cell>
          <cell r="M748">
            <v>8000</v>
          </cell>
          <cell r="N748">
            <v>0</v>
          </cell>
          <cell r="O748" t="str">
            <v>40V</v>
          </cell>
          <cell r="P748" t="str">
            <v>1010</v>
          </cell>
          <cell r="Q748" t="str">
            <v>1010</v>
          </cell>
          <cell r="R748">
            <v>6.3492063492063497</v>
          </cell>
        </row>
        <row r="749">
          <cell r="A749" t="str">
            <v>Y006-066</v>
          </cell>
          <cell r="B749" t="str">
            <v>LCT006-632</v>
          </cell>
          <cell r="C749" t="str">
            <v>Y006-DN</v>
          </cell>
          <cell r="D749" t="str">
            <v>B0644-342PA317</v>
          </cell>
          <cell r="E749" t="str">
            <v>644-BR11</v>
          </cell>
          <cell r="F749" t="str">
            <v>346*72*6</v>
          </cell>
          <cell r="G749">
            <v>346</v>
          </cell>
          <cell r="H749">
            <v>72</v>
          </cell>
          <cell r="I749">
            <v>6</v>
          </cell>
          <cell r="J749">
            <v>60</v>
          </cell>
          <cell r="K749">
            <v>0</v>
          </cell>
          <cell r="L749">
            <v>0</v>
          </cell>
          <cell r="M749">
            <v>8000</v>
          </cell>
          <cell r="N749">
            <v>0</v>
          </cell>
          <cell r="O749" t="str">
            <v>40V</v>
          </cell>
          <cell r="P749" t="str">
            <v>1010</v>
          </cell>
          <cell r="Q749" t="str">
            <v>1010</v>
          </cell>
          <cell r="R749">
            <v>6.3492063492063497</v>
          </cell>
        </row>
        <row r="750">
          <cell r="A750" t="str">
            <v>Y006-067</v>
          </cell>
          <cell r="B750" t="str">
            <v>LCT006-633</v>
          </cell>
          <cell r="C750" t="str">
            <v>Y006-DN</v>
          </cell>
          <cell r="D750" t="str">
            <v>B0644-345PA217</v>
          </cell>
          <cell r="E750" t="str">
            <v>644-BR09BRS</v>
          </cell>
          <cell r="F750" t="str">
            <v>518*78*6</v>
          </cell>
          <cell r="G750">
            <v>518</v>
          </cell>
          <cell r="H750">
            <v>78</v>
          </cell>
          <cell r="I750">
            <v>6</v>
          </cell>
          <cell r="J750">
            <v>80</v>
          </cell>
          <cell r="K750">
            <v>0</v>
          </cell>
          <cell r="L750">
            <v>0</v>
          </cell>
          <cell r="M750">
            <v>10000</v>
          </cell>
          <cell r="N750">
            <v>0</v>
          </cell>
          <cell r="O750" t="str">
            <v>40V</v>
          </cell>
          <cell r="P750" t="str">
            <v>1010</v>
          </cell>
          <cell r="Q750" t="str">
            <v>1010</v>
          </cell>
          <cell r="R750">
            <v>5.9523809523809526</v>
          </cell>
        </row>
        <row r="751">
          <cell r="A751" t="str">
            <v>Y006-068</v>
          </cell>
          <cell r="B751" t="str">
            <v>LCT006-634</v>
          </cell>
          <cell r="C751" t="str">
            <v>Y006-DN</v>
          </cell>
          <cell r="D751" t="str">
            <v>B0644-345PA317</v>
          </cell>
          <cell r="E751" t="str">
            <v>644-BR09BRS</v>
          </cell>
          <cell r="F751" t="str">
            <v>518*78*6</v>
          </cell>
          <cell r="G751">
            <v>518</v>
          </cell>
          <cell r="H751">
            <v>78</v>
          </cell>
          <cell r="I751">
            <v>6</v>
          </cell>
          <cell r="J751">
            <v>80</v>
          </cell>
          <cell r="K751">
            <v>0</v>
          </cell>
          <cell r="L751">
            <v>0</v>
          </cell>
          <cell r="M751">
            <v>10000</v>
          </cell>
          <cell r="N751">
            <v>0</v>
          </cell>
          <cell r="O751" t="str">
            <v>40V</v>
          </cell>
          <cell r="P751" t="str">
            <v>1010</v>
          </cell>
          <cell r="Q751" t="str">
            <v>1010</v>
          </cell>
          <cell r="R751">
            <v>5.9523809523809526</v>
          </cell>
        </row>
        <row r="752">
          <cell r="A752" t="str">
            <v>Y006-069</v>
          </cell>
          <cell r="B752" t="str">
            <v>LCT006-635</v>
          </cell>
          <cell r="C752" t="str">
            <v>Y006-DN</v>
          </cell>
          <cell r="D752" t="str">
            <v>B0644-345PPC17</v>
          </cell>
          <cell r="E752" t="str">
            <v>644-BR09BRS</v>
          </cell>
          <cell r="F752" t="str">
            <v>434*405*6</v>
          </cell>
          <cell r="G752">
            <v>434</v>
          </cell>
          <cell r="H752">
            <v>405</v>
          </cell>
          <cell r="I752">
            <v>6</v>
          </cell>
          <cell r="J752">
            <v>250</v>
          </cell>
          <cell r="K752">
            <v>0</v>
          </cell>
          <cell r="L752">
            <v>0</v>
          </cell>
          <cell r="M752">
            <v>16000</v>
          </cell>
          <cell r="N752">
            <v>0</v>
          </cell>
          <cell r="O752" t="str">
            <v>40V</v>
          </cell>
          <cell r="P752" t="str">
            <v>1010</v>
          </cell>
          <cell r="Q752" t="str">
            <v>1010</v>
          </cell>
          <cell r="R752">
            <v>3.0476190476190474</v>
          </cell>
        </row>
        <row r="753">
          <cell r="A753" t="str">
            <v>Y006-070</v>
          </cell>
          <cell r="B753" t="str">
            <v>LCT006-636</v>
          </cell>
          <cell r="C753" t="str">
            <v>Y006-DN</v>
          </cell>
          <cell r="D753" t="str">
            <v>B0644-345PPD17</v>
          </cell>
          <cell r="E753" t="str">
            <v>644-BR09BRS</v>
          </cell>
          <cell r="F753" t="str">
            <v>434*405*6</v>
          </cell>
          <cell r="G753">
            <v>434</v>
          </cell>
          <cell r="H753">
            <v>405</v>
          </cell>
          <cell r="I753">
            <v>6</v>
          </cell>
          <cell r="J753">
            <v>250</v>
          </cell>
          <cell r="K753">
            <v>0</v>
          </cell>
          <cell r="L753">
            <v>0</v>
          </cell>
          <cell r="M753">
            <v>16000</v>
          </cell>
          <cell r="N753">
            <v>0</v>
          </cell>
          <cell r="O753" t="str">
            <v>40V</v>
          </cell>
          <cell r="P753" t="str">
            <v>1010</v>
          </cell>
          <cell r="Q753" t="str">
            <v>1010</v>
          </cell>
          <cell r="R753">
            <v>3.0476190476190474</v>
          </cell>
        </row>
        <row r="754">
          <cell r="A754" t="str">
            <v>Y006-071</v>
          </cell>
          <cell r="B754" t="str">
            <v>LCT006-637</v>
          </cell>
          <cell r="C754" t="str">
            <v>Y006-DN</v>
          </cell>
          <cell r="D754" t="str">
            <v>B0644-345PPE17</v>
          </cell>
          <cell r="E754" t="str">
            <v>644-BR09BRS</v>
          </cell>
          <cell r="F754" t="str">
            <v>161*102*6</v>
          </cell>
          <cell r="G754">
            <v>161</v>
          </cell>
          <cell r="H754">
            <v>102</v>
          </cell>
          <cell r="I754">
            <v>6</v>
          </cell>
          <cell r="J754">
            <v>60</v>
          </cell>
          <cell r="K754">
            <v>0</v>
          </cell>
          <cell r="L754">
            <v>0</v>
          </cell>
          <cell r="M754">
            <v>8000</v>
          </cell>
          <cell r="N754">
            <v>0</v>
          </cell>
          <cell r="O754" t="str">
            <v>40V</v>
          </cell>
          <cell r="P754" t="str">
            <v>1010</v>
          </cell>
          <cell r="Q754" t="str">
            <v>1010</v>
          </cell>
          <cell r="R754">
            <v>6.3492063492063497</v>
          </cell>
        </row>
        <row r="755">
          <cell r="A755" t="str">
            <v>Y006-072</v>
          </cell>
          <cell r="B755" t="str">
            <v>LCT006-610</v>
          </cell>
          <cell r="C755" t="str">
            <v>Y006</v>
          </cell>
          <cell r="D755" t="str">
            <v>D2486</v>
          </cell>
          <cell r="E755" t="str">
            <v>2486-422</v>
          </cell>
          <cell r="F755" t="str">
            <v>1092*8*4</v>
          </cell>
          <cell r="G755">
            <v>1092</v>
          </cell>
          <cell r="H755">
            <v>8</v>
          </cell>
          <cell r="I755">
            <v>4</v>
          </cell>
          <cell r="J755">
            <v>90</v>
          </cell>
          <cell r="K755">
            <v>0</v>
          </cell>
          <cell r="L755">
            <v>0</v>
          </cell>
          <cell r="M755">
            <v>6111</v>
          </cell>
          <cell r="N755">
            <v>0</v>
          </cell>
          <cell r="O755" t="str">
            <v>T</v>
          </cell>
          <cell r="P755" t="str">
            <v>1010</v>
          </cell>
          <cell r="Q755" t="str">
            <v>1010</v>
          </cell>
          <cell r="R755">
            <v>3.2333333333333334</v>
          </cell>
        </row>
        <row r="756">
          <cell r="A756" t="str">
            <v>Y006-073</v>
          </cell>
          <cell r="B756" t="str">
            <v>LCT006-611</v>
          </cell>
          <cell r="C756" t="str">
            <v>Y006</v>
          </cell>
          <cell r="D756" t="str">
            <v>D2486</v>
          </cell>
          <cell r="E756" t="str">
            <v>2486-422</v>
          </cell>
          <cell r="F756" t="str">
            <v>726*8*4</v>
          </cell>
          <cell r="G756">
            <v>726</v>
          </cell>
          <cell r="H756">
            <v>8</v>
          </cell>
          <cell r="I756">
            <v>4</v>
          </cell>
          <cell r="J756">
            <v>63</v>
          </cell>
          <cell r="K756">
            <v>0</v>
          </cell>
          <cell r="L756">
            <v>0</v>
          </cell>
          <cell r="M756">
            <v>4074</v>
          </cell>
          <cell r="N756">
            <v>0</v>
          </cell>
          <cell r="O756" t="str">
            <v>T</v>
          </cell>
          <cell r="P756" t="str">
            <v>1010</v>
          </cell>
          <cell r="Q756" t="str">
            <v>1010</v>
          </cell>
          <cell r="R756">
            <v>3.0793650793650791</v>
          </cell>
        </row>
        <row r="757">
          <cell r="A757" t="str">
            <v>Y006-074</v>
          </cell>
          <cell r="B757" t="str">
            <v>LCT006-612</v>
          </cell>
          <cell r="C757" t="str">
            <v>Y006</v>
          </cell>
          <cell r="D757" t="str">
            <v>D2486</v>
          </cell>
          <cell r="E757" t="str">
            <v>2486-422</v>
          </cell>
          <cell r="F757" t="str">
            <v>994*8*4</v>
          </cell>
          <cell r="G757">
            <v>994</v>
          </cell>
          <cell r="H757">
            <v>8</v>
          </cell>
          <cell r="I757">
            <v>4</v>
          </cell>
          <cell r="J757">
            <v>84</v>
          </cell>
          <cell r="K757">
            <v>0</v>
          </cell>
          <cell r="L757">
            <v>0</v>
          </cell>
          <cell r="M757">
            <v>5499</v>
          </cell>
          <cell r="N757">
            <v>0</v>
          </cell>
          <cell r="O757" t="str">
            <v>T</v>
          </cell>
          <cell r="P757" t="str">
            <v>1010</v>
          </cell>
          <cell r="Q757" t="str">
            <v>1010</v>
          </cell>
          <cell r="R757">
            <v>3.1173469387755102</v>
          </cell>
        </row>
        <row r="758">
          <cell r="A758" t="str">
            <v>Y006-075</v>
          </cell>
          <cell r="B758" t="str">
            <v>LCT006-613</v>
          </cell>
          <cell r="C758" t="str">
            <v>Y006</v>
          </cell>
          <cell r="D758" t="str">
            <v>D2486</v>
          </cell>
          <cell r="E758" t="str">
            <v>2486-430</v>
          </cell>
          <cell r="F758" t="str">
            <v>970*712*40</v>
          </cell>
          <cell r="G758">
            <v>970</v>
          </cell>
          <cell r="H758">
            <v>712</v>
          </cell>
          <cell r="I758">
            <v>40</v>
          </cell>
          <cell r="J758">
            <v>3660</v>
          </cell>
          <cell r="K758">
            <v>0</v>
          </cell>
          <cell r="L758">
            <v>0</v>
          </cell>
          <cell r="M758">
            <v>172257</v>
          </cell>
          <cell r="N758">
            <v>840</v>
          </cell>
          <cell r="O758" t="str">
            <v>T</v>
          </cell>
          <cell r="P758" t="str">
            <v>9110</v>
          </cell>
          <cell r="Q758" t="str">
            <v>9110</v>
          </cell>
          <cell r="R758">
            <v>2.2411787665886025</v>
          </cell>
        </row>
        <row r="759">
          <cell r="A759" t="str">
            <v>Y006-076</v>
          </cell>
          <cell r="B759" t="str">
            <v>LCT006-614</v>
          </cell>
          <cell r="C759" t="str">
            <v>Y006</v>
          </cell>
          <cell r="D759" t="str">
            <v>D2486</v>
          </cell>
          <cell r="E759" t="str">
            <v>2486-402</v>
          </cell>
          <cell r="F759" t="str">
            <v>648*8*4</v>
          </cell>
          <cell r="G759">
            <v>648</v>
          </cell>
          <cell r="H759">
            <v>8</v>
          </cell>
          <cell r="I759">
            <v>4</v>
          </cell>
          <cell r="J759">
            <v>55</v>
          </cell>
          <cell r="K759">
            <v>0</v>
          </cell>
          <cell r="L759">
            <v>0</v>
          </cell>
          <cell r="M759">
            <v>3666</v>
          </cell>
          <cell r="N759">
            <v>0</v>
          </cell>
          <cell r="O759" t="str">
            <v>T</v>
          </cell>
          <cell r="P759" t="str">
            <v>1010</v>
          </cell>
          <cell r="Q759" t="str">
            <v>1010</v>
          </cell>
          <cell r="R759">
            <v>3.174025974025974</v>
          </cell>
        </row>
        <row r="760">
          <cell r="A760" t="str">
            <v>Y006-077</v>
          </cell>
          <cell r="B760" t="str">
            <v>LCT006-615</v>
          </cell>
          <cell r="C760" t="str">
            <v>Y006</v>
          </cell>
          <cell r="D760" t="str">
            <v>D2486</v>
          </cell>
          <cell r="E760" t="str">
            <v>2486-402</v>
          </cell>
          <cell r="F760" t="str">
            <v>403*8*4</v>
          </cell>
          <cell r="G760">
            <v>403</v>
          </cell>
          <cell r="H760">
            <v>8</v>
          </cell>
          <cell r="I760">
            <v>4</v>
          </cell>
          <cell r="J760">
            <v>38</v>
          </cell>
          <cell r="K760">
            <v>0</v>
          </cell>
          <cell r="L760">
            <v>0</v>
          </cell>
          <cell r="M760">
            <v>2240</v>
          </cell>
          <cell r="N760">
            <v>0</v>
          </cell>
          <cell r="O760" t="str">
            <v>T</v>
          </cell>
          <cell r="P760" t="str">
            <v>1010</v>
          </cell>
          <cell r="Q760" t="str">
            <v>1010</v>
          </cell>
          <cell r="R760">
            <v>2.8070175438596494</v>
          </cell>
        </row>
        <row r="761">
          <cell r="A761" t="str">
            <v>Y006-078</v>
          </cell>
          <cell r="B761" t="str">
            <v>LCT006-596</v>
          </cell>
          <cell r="C761" t="str">
            <v>Y006</v>
          </cell>
          <cell r="D761" t="str">
            <v>D2486</v>
          </cell>
          <cell r="E761" t="str">
            <v>2486-351</v>
          </cell>
          <cell r="F761" t="str">
            <v>709*8*4</v>
          </cell>
          <cell r="G761">
            <v>709</v>
          </cell>
          <cell r="H761">
            <v>8</v>
          </cell>
          <cell r="I761">
            <v>4</v>
          </cell>
          <cell r="J761">
            <v>60</v>
          </cell>
          <cell r="K761">
            <v>0</v>
          </cell>
          <cell r="L761">
            <v>0</v>
          </cell>
          <cell r="M761">
            <v>3870</v>
          </cell>
          <cell r="N761">
            <v>0</v>
          </cell>
          <cell r="O761" t="str">
            <v>T</v>
          </cell>
          <cell r="P761" t="str">
            <v>1010</v>
          </cell>
          <cell r="Q761" t="str">
            <v>1010</v>
          </cell>
          <cell r="R761">
            <v>3.0714285714285716</v>
          </cell>
        </row>
        <row r="762">
          <cell r="A762" t="str">
            <v>Y006-079</v>
          </cell>
          <cell r="B762" t="str">
            <v>LCT006-597</v>
          </cell>
          <cell r="C762" t="str">
            <v>Y006</v>
          </cell>
          <cell r="D762" t="str">
            <v>D2486</v>
          </cell>
          <cell r="E762" t="str">
            <v>2486-351</v>
          </cell>
          <cell r="F762" t="str">
            <v>431*8*4</v>
          </cell>
          <cell r="G762">
            <v>431</v>
          </cell>
          <cell r="H762">
            <v>8</v>
          </cell>
          <cell r="I762">
            <v>4</v>
          </cell>
          <cell r="J762">
            <v>43</v>
          </cell>
          <cell r="K762">
            <v>0</v>
          </cell>
          <cell r="L762">
            <v>0</v>
          </cell>
          <cell r="M762">
            <v>2244</v>
          </cell>
          <cell r="N762">
            <v>0</v>
          </cell>
          <cell r="O762" t="str">
            <v>T</v>
          </cell>
          <cell r="P762" t="str">
            <v>1010</v>
          </cell>
          <cell r="Q762" t="str">
            <v>1010</v>
          </cell>
          <cell r="R762">
            <v>2.485049833887043</v>
          </cell>
        </row>
        <row r="763">
          <cell r="A763" t="str">
            <v>Y006-080</v>
          </cell>
          <cell r="B763" t="str">
            <v>LCT006-590</v>
          </cell>
          <cell r="C763" t="str">
            <v>Y006</v>
          </cell>
          <cell r="D763" t="str">
            <v>D2486</v>
          </cell>
          <cell r="E763" t="str">
            <v>2486-394</v>
          </cell>
          <cell r="F763" t="str">
            <v>441*8*4</v>
          </cell>
          <cell r="G763">
            <v>441</v>
          </cell>
          <cell r="H763">
            <v>8</v>
          </cell>
          <cell r="I763">
            <v>4</v>
          </cell>
          <cell r="J763">
            <v>45</v>
          </cell>
          <cell r="K763">
            <v>0</v>
          </cell>
          <cell r="L763">
            <v>0</v>
          </cell>
          <cell r="M763">
            <v>2444</v>
          </cell>
          <cell r="N763">
            <v>0</v>
          </cell>
          <cell r="O763" t="str">
            <v>T</v>
          </cell>
          <cell r="P763" t="str">
            <v>1010</v>
          </cell>
          <cell r="Q763" t="str">
            <v>1010</v>
          </cell>
          <cell r="R763">
            <v>2.5862433862433862</v>
          </cell>
        </row>
        <row r="764">
          <cell r="A764" t="str">
            <v>Y006-081</v>
          </cell>
          <cell r="B764" t="str">
            <v>LCT006-591</v>
          </cell>
          <cell r="C764" t="str">
            <v>Y006</v>
          </cell>
          <cell r="D764" t="str">
            <v>D2486</v>
          </cell>
          <cell r="E764" t="str">
            <v>2486-394</v>
          </cell>
          <cell r="F764" t="str">
            <v>123*8*4</v>
          </cell>
          <cell r="G764">
            <v>123</v>
          </cell>
          <cell r="H764">
            <v>8</v>
          </cell>
          <cell r="I764">
            <v>4</v>
          </cell>
          <cell r="J764">
            <v>10</v>
          </cell>
          <cell r="K764">
            <v>0</v>
          </cell>
          <cell r="L764">
            <v>0</v>
          </cell>
          <cell r="M764">
            <v>611</v>
          </cell>
          <cell r="N764">
            <v>0</v>
          </cell>
          <cell r="O764" t="str">
            <v>T</v>
          </cell>
          <cell r="P764" t="str">
            <v>1010</v>
          </cell>
          <cell r="Q764" t="str">
            <v>1010</v>
          </cell>
          <cell r="R764">
            <v>2.9095238095238094</v>
          </cell>
        </row>
        <row r="765">
          <cell r="A765" t="str">
            <v>Y006-082</v>
          </cell>
          <cell r="B765" t="str">
            <v>LCT006-592</v>
          </cell>
          <cell r="C765" t="str">
            <v>Y006</v>
          </cell>
          <cell r="D765" t="str">
            <v>D2486</v>
          </cell>
          <cell r="E765" t="str">
            <v>2486-394</v>
          </cell>
          <cell r="F765" t="str">
            <v>431*8*4</v>
          </cell>
          <cell r="G765">
            <v>431</v>
          </cell>
          <cell r="H765">
            <v>8</v>
          </cell>
          <cell r="I765">
            <v>4</v>
          </cell>
          <cell r="J765">
            <v>43</v>
          </cell>
          <cell r="K765">
            <v>0</v>
          </cell>
          <cell r="L765">
            <v>0</v>
          </cell>
          <cell r="M765">
            <v>2444</v>
          </cell>
          <cell r="N765">
            <v>0</v>
          </cell>
          <cell r="O765" t="str">
            <v>T</v>
          </cell>
          <cell r="P765" t="str">
            <v>1010</v>
          </cell>
          <cell r="Q765" t="str">
            <v>1010</v>
          </cell>
          <cell r="R765">
            <v>2.7065337763012183</v>
          </cell>
        </row>
        <row r="766">
          <cell r="A766" t="str">
            <v>Y006-083</v>
          </cell>
          <cell r="B766" t="str">
            <v>LCT006-593</v>
          </cell>
          <cell r="C766" t="str">
            <v>Y006</v>
          </cell>
          <cell r="D766" t="str">
            <v>D2486</v>
          </cell>
          <cell r="E766" t="str">
            <v>2486-394</v>
          </cell>
          <cell r="F766" t="str">
            <v>401*8*4</v>
          </cell>
          <cell r="G766">
            <v>401</v>
          </cell>
          <cell r="H766">
            <v>8</v>
          </cell>
          <cell r="I766">
            <v>4</v>
          </cell>
          <cell r="J766">
            <v>38</v>
          </cell>
          <cell r="K766">
            <v>0</v>
          </cell>
          <cell r="L766">
            <v>0</v>
          </cell>
          <cell r="M766">
            <v>2240</v>
          </cell>
          <cell r="N766">
            <v>0</v>
          </cell>
          <cell r="O766" t="str">
            <v>T</v>
          </cell>
          <cell r="P766" t="str">
            <v>1010</v>
          </cell>
          <cell r="Q766" t="str">
            <v>1010</v>
          </cell>
          <cell r="R766">
            <v>2.8070175438596494</v>
          </cell>
        </row>
        <row r="767">
          <cell r="A767" t="str">
            <v>Y006-084</v>
          </cell>
          <cell r="B767" t="str">
            <v>LCT006-594</v>
          </cell>
          <cell r="C767" t="str">
            <v>Y006</v>
          </cell>
          <cell r="D767" t="str">
            <v>D2486</v>
          </cell>
          <cell r="E767" t="str">
            <v>2486-394</v>
          </cell>
          <cell r="F767" t="str">
            <v>260*8*4</v>
          </cell>
          <cell r="G767">
            <v>260</v>
          </cell>
          <cell r="H767">
            <v>8</v>
          </cell>
          <cell r="I767">
            <v>4</v>
          </cell>
          <cell r="J767">
            <v>27</v>
          </cell>
          <cell r="K767">
            <v>0</v>
          </cell>
          <cell r="L767">
            <v>0</v>
          </cell>
          <cell r="M767">
            <v>1425</v>
          </cell>
          <cell r="N767">
            <v>0</v>
          </cell>
          <cell r="O767" t="str">
            <v>T</v>
          </cell>
          <cell r="P767" t="str">
            <v>1010</v>
          </cell>
          <cell r="Q767" t="str">
            <v>1010</v>
          </cell>
          <cell r="R767">
            <v>2.5132275132275135</v>
          </cell>
        </row>
        <row r="768">
          <cell r="A768" t="str">
            <v>Y006-085</v>
          </cell>
          <cell r="B768" t="str">
            <v>LCT006-595</v>
          </cell>
          <cell r="C768" t="str">
            <v>Y006</v>
          </cell>
          <cell r="D768" t="str">
            <v>D2486</v>
          </cell>
          <cell r="E768" t="str">
            <v>2486-394</v>
          </cell>
          <cell r="F768" t="str">
            <v>323*8*4</v>
          </cell>
          <cell r="G768">
            <v>323</v>
          </cell>
          <cell r="H768">
            <v>8</v>
          </cell>
          <cell r="I768">
            <v>4</v>
          </cell>
          <cell r="J768">
            <v>30</v>
          </cell>
          <cell r="K768">
            <v>0</v>
          </cell>
          <cell r="L768">
            <v>0</v>
          </cell>
          <cell r="M768">
            <v>1833</v>
          </cell>
          <cell r="N768">
            <v>0</v>
          </cell>
          <cell r="O768" t="str">
            <v>T</v>
          </cell>
          <cell r="P768" t="str">
            <v>1010</v>
          </cell>
          <cell r="Q768" t="str">
            <v>1010</v>
          </cell>
          <cell r="R768">
            <v>2.9095238095238094</v>
          </cell>
        </row>
        <row r="769">
          <cell r="A769" t="str">
            <v>Y006-086</v>
          </cell>
          <cell r="B769" t="str">
            <v>LCT006-599</v>
          </cell>
          <cell r="C769" t="str">
            <v>Y006</v>
          </cell>
          <cell r="D769" t="str">
            <v>D2486</v>
          </cell>
          <cell r="E769" t="str">
            <v>2486-356</v>
          </cell>
          <cell r="F769" t="str">
            <v>814*8*4</v>
          </cell>
          <cell r="G769">
            <v>814</v>
          </cell>
          <cell r="H769">
            <v>8</v>
          </cell>
          <cell r="I769">
            <v>4</v>
          </cell>
          <cell r="J769">
            <v>70</v>
          </cell>
          <cell r="K769">
            <v>0</v>
          </cell>
          <cell r="L769">
            <v>0</v>
          </cell>
          <cell r="M769">
            <v>3899</v>
          </cell>
          <cell r="N769">
            <v>0</v>
          </cell>
          <cell r="O769" t="str">
            <v>T</v>
          </cell>
          <cell r="P769" t="str">
            <v>1010</v>
          </cell>
          <cell r="Q769" t="str">
            <v>1010</v>
          </cell>
          <cell r="R769">
            <v>2.6523809523809518</v>
          </cell>
        </row>
        <row r="770">
          <cell r="A770" t="str">
            <v>Y006-087</v>
          </cell>
          <cell r="B770" t="str">
            <v>LCT006-600</v>
          </cell>
          <cell r="C770" t="str">
            <v>Y006</v>
          </cell>
          <cell r="D770" t="str">
            <v>D2486</v>
          </cell>
          <cell r="E770" t="str">
            <v>2486-356</v>
          </cell>
          <cell r="F770" t="str">
            <v>431*8*4</v>
          </cell>
          <cell r="G770">
            <v>431</v>
          </cell>
          <cell r="H770">
            <v>8</v>
          </cell>
          <cell r="I770">
            <v>4</v>
          </cell>
          <cell r="J770">
            <v>43</v>
          </cell>
          <cell r="K770">
            <v>0</v>
          </cell>
          <cell r="L770">
            <v>0</v>
          </cell>
          <cell r="M770">
            <v>2444</v>
          </cell>
          <cell r="N770">
            <v>0</v>
          </cell>
          <cell r="O770" t="str">
            <v>T</v>
          </cell>
          <cell r="P770" t="str">
            <v>1010</v>
          </cell>
          <cell r="Q770" t="str">
            <v>1010</v>
          </cell>
          <cell r="R770">
            <v>2.7065337763012183</v>
          </cell>
        </row>
        <row r="771">
          <cell r="A771" t="str">
            <v>Y006-088</v>
          </cell>
          <cell r="B771" t="str">
            <v>LCT006-601</v>
          </cell>
          <cell r="C771" t="str">
            <v>Y006</v>
          </cell>
          <cell r="D771" t="str">
            <v>D2486</v>
          </cell>
          <cell r="E771" t="str">
            <v>2486-396</v>
          </cell>
          <cell r="F771" t="str">
            <v>582*8*4</v>
          </cell>
          <cell r="G771">
            <v>582</v>
          </cell>
          <cell r="H771">
            <v>8</v>
          </cell>
          <cell r="I771">
            <v>4</v>
          </cell>
          <cell r="J771">
            <v>0</v>
          </cell>
          <cell r="K771">
            <v>0</v>
          </cell>
          <cell r="L771">
            <v>0</v>
          </cell>
          <cell r="M771">
            <v>3259</v>
          </cell>
          <cell r="N771">
            <v>0</v>
          </cell>
          <cell r="O771" t="str">
            <v>T</v>
          </cell>
          <cell r="P771" t="str">
            <v>1010</v>
          </cell>
          <cell r="Q771" t="str">
            <v>1010</v>
          </cell>
          <cell r="R771" t="e">
            <v>#DIV/0!</v>
          </cell>
        </row>
        <row r="772">
          <cell r="A772" t="str">
            <v>Y006-089</v>
          </cell>
          <cell r="B772" t="str">
            <v>LCT006-602</v>
          </cell>
          <cell r="C772" t="str">
            <v>Y006</v>
          </cell>
          <cell r="D772" t="str">
            <v>D2486</v>
          </cell>
          <cell r="E772" t="str">
            <v>2486-396</v>
          </cell>
          <cell r="F772" t="str">
            <v>403*8*4</v>
          </cell>
          <cell r="G772">
            <v>403</v>
          </cell>
          <cell r="H772">
            <v>8</v>
          </cell>
          <cell r="I772">
            <v>4</v>
          </cell>
          <cell r="J772">
            <v>38</v>
          </cell>
          <cell r="K772">
            <v>0</v>
          </cell>
          <cell r="L772">
            <v>0</v>
          </cell>
          <cell r="M772">
            <v>2240</v>
          </cell>
          <cell r="N772">
            <v>0</v>
          </cell>
          <cell r="O772" t="str">
            <v>T</v>
          </cell>
          <cell r="P772" t="str">
            <v>1010</v>
          </cell>
          <cell r="Q772" t="str">
            <v>1010</v>
          </cell>
          <cell r="R772">
            <v>2.8070175438596494</v>
          </cell>
        </row>
        <row r="773">
          <cell r="A773" t="str">
            <v>Y006-090</v>
          </cell>
          <cell r="B773" t="str">
            <v>LCT006-603</v>
          </cell>
          <cell r="C773" t="str">
            <v>Y006</v>
          </cell>
          <cell r="D773" t="str">
            <v>D2486</v>
          </cell>
          <cell r="E773" t="str">
            <v>2486-392</v>
          </cell>
          <cell r="F773" t="str">
            <v>950*8*4</v>
          </cell>
          <cell r="G773">
            <v>950</v>
          </cell>
          <cell r="H773">
            <v>8</v>
          </cell>
          <cell r="I773">
            <v>4</v>
          </cell>
          <cell r="J773">
            <v>80</v>
          </cell>
          <cell r="K773">
            <v>0</v>
          </cell>
          <cell r="L773">
            <v>0</v>
          </cell>
          <cell r="M773">
            <v>5296</v>
          </cell>
          <cell r="N773">
            <v>0</v>
          </cell>
          <cell r="O773" t="str">
            <v>T</v>
          </cell>
          <cell r="P773" t="str">
            <v>1010</v>
          </cell>
          <cell r="Q773" t="str">
            <v>1010</v>
          </cell>
          <cell r="R773">
            <v>3.1523809523809523</v>
          </cell>
        </row>
        <row r="774">
          <cell r="A774" t="str">
            <v>Y006-091</v>
          </cell>
          <cell r="B774" t="str">
            <v>LCT006-604</v>
          </cell>
          <cell r="C774" t="str">
            <v>Y006</v>
          </cell>
          <cell r="D774" t="str">
            <v>D2486</v>
          </cell>
          <cell r="E774" t="str">
            <v>2486-392</v>
          </cell>
          <cell r="F774" t="str">
            <v>431*8*4</v>
          </cell>
          <cell r="G774">
            <v>431</v>
          </cell>
          <cell r="H774">
            <v>8</v>
          </cell>
          <cell r="I774">
            <v>4</v>
          </cell>
          <cell r="J774">
            <v>43</v>
          </cell>
          <cell r="K774">
            <v>0</v>
          </cell>
          <cell r="L774">
            <v>0</v>
          </cell>
          <cell r="M774">
            <v>2444</v>
          </cell>
          <cell r="N774">
            <v>0</v>
          </cell>
          <cell r="O774" t="str">
            <v>T</v>
          </cell>
          <cell r="P774" t="str">
            <v>1010</v>
          </cell>
          <cell r="Q774" t="str">
            <v>1010</v>
          </cell>
          <cell r="R774">
            <v>2.7065337763012183</v>
          </cell>
        </row>
        <row r="775">
          <cell r="A775" t="str">
            <v>Y006-092</v>
          </cell>
          <cell r="B775" t="str">
            <v>LCT006-605</v>
          </cell>
          <cell r="C775" t="str">
            <v>Y006</v>
          </cell>
          <cell r="D775" t="str">
            <v>D2486</v>
          </cell>
          <cell r="E775" t="str">
            <v>2486-271</v>
          </cell>
          <cell r="F775" t="str">
            <v>788*8*4</v>
          </cell>
          <cell r="G775">
            <v>788</v>
          </cell>
          <cell r="H775">
            <v>8</v>
          </cell>
          <cell r="I775">
            <v>4</v>
          </cell>
          <cell r="J775">
            <v>68</v>
          </cell>
          <cell r="K775">
            <v>0</v>
          </cell>
          <cell r="L775">
            <v>0</v>
          </cell>
          <cell r="M775">
            <v>4277</v>
          </cell>
          <cell r="N775">
            <v>0</v>
          </cell>
          <cell r="O775" t="str">
            <v>T</v>
          </cell>
          <cell r="P775" t="str">
            <v>1010</v>
          </cell>
          <cell r="Q775" t="str">
            <v>1010</v>
          </cell>
          <cell r="R775">
            <v>2.9950980392156858</v>
          </cell>
        </row>
        <row r="776">
          <cell r="A776" t="str">
            <v>Y006-093</v>
          </cell>
          <cell r="B776" t="str">
            <v>LCT006-606</v>
          </cell>
          <cell r="C776" t="str">
            <v>Y006</v>
          </cell>
          <cell r="D776" t="str">
            <v>D2486</v>
          </cell>
          <cell r="E776" t="str">
            <v>2486-271</v>
          </cell>
          <cell r="F776" t="str">
            <v>218*8*4</v>
          </cell>
          <cell r="G776">
            <v>218</v>
          </cell>
          <cell r="H776">
            <v>8</v>
          </cell>
          <cell r="I776">
            <v>4</v>
          </cell>
          <cell r="J776">
            <v>20</v>
          </cell>
          <cell r="K776">
            <v>0</v>
          </cell>
          <cell r="L776">
            <v>0</v>
          </cell>
          <cell r="M776">
            <v>1164</v>
          </cell>
          <cell r="N776">
            <v>0</v>
          </cell>
          <cell r="O776" t="str">
            <v>T</v>
          </cell>
          <cell r="P776" t="str">
            <v>1010</v>
          </cell>
          <cell r="Q776" t="str">
            <v>1010</v>
          </cell>
          <cell r="R776">
            <v>2.7714285714285714</v>
          </cell>
        </row>
        <row r="777">
          <cell r="A777" t="str">
            <v>Y006-094</v>
          </cell>
          <cell r="B777" t="str">
            <v>LCT006-607</v>
          </cell>
          <cell r="C777" t="str">
            <v>Y006</v>
          </cell>
          <cell r="D777" t="str">
            <v>D2486</v>
          </cell>
          <cell r="E777" t="str">
            <v>2486-271</v>
          </cell>
          <cell r="F777" t="str">
            <v>552*8*4</v>
          </cell>
          <cell r="G777">
            <v>552</v>
          </cell>
          <cell r="H777">
            <v>8</v>
          </cell>
          <cell r="I777">
            <v>4</v>
          </cell>
          <cell r="J777">
            <v>50</v>
          </cell>
          <cell r="K777">
            <v>0</v>
          </cell>
          <cell r="L777">
            <v>0</v>
          </cell>
          <cell r="M777">
            <v>3055</v>
          </cell>
          <cell r="N777">
            <v>0</v>
          </cell>
          <cell r="O777" t="str">
            <v>T</v>
          </cell>
          <cell r="P777" t="str">
            <v>1010</v>
          </cell>
          <cell r="Q777" t="str">
            <v>1010</v>
          </cell>
          <cell r="R777">
            <v>2.9095238095238094</v>
          </cell>
        </row>
        <row r="778">
          <cell r="A778" t="str">
            <v>Y006-095</v>
          </cell>
          <cell r="B778" t="str">
            <v>LCT006-608</v>
          </cell>
          <cell r="C778" t="str">
            <v>Y006</v>
          </cell>
          <cell r="D778" t="str">
            <v>D2486</v>
          </cell>
          <cell r="E778" t="str">
            <v>2486-271</v>
          </cell>
          <cell r="F778" t="str">
            <v>1204*8*4</v>
          </cell>
          <cell r="G778">
            <v>1204</v>
          </cell>
          <cell r="H778">
            <v>8</v>
          </cell>
          <cell r="I778">
            <v>4</v>
          </cell>
          <cell r="J778">
            <v>105</v>
          </cell>
          <cell r="K778">
            <v>0</v>
          </cell>
          <cell r="L778">
            <v>0</v>
          </cell>
          <cell r="M778">
            <v>6722</v>
          </cell>
          <cell r="N778">
            <v>0</v>
          </cell>
          <cell r="O778" t="str">
            <v>T</v>
          </cell>
          <cell r="P778" t="str">
            <v>1010</v>
          </cell>
          <cell r="Q778" t="str">
            <v>1010</v>
          </cell>
          <cell r="R778">
            <v>3.0485260770975056</v>
          </cell>
        </row>
        <row r="779">
          <cell r="A779" t="str">
            <v>Y006-096</v>
          </cell>
          <cell r="B779" t="str">
            <v>LCT006-562</v>
          </cell>
          <cell r="C779" t="str">
            <v>Y006-BD</v>
          </cell>
          <cell r="D779" t="str">
            <v>B1233-122P1217</v>
          </cell>
          <cell r="E779" t="str">
            <v>B1233-701Q</v>
          </cell>
          <cell r="F779" t="str">
            <v>718*98*58</v>
          </cell>
          <cell r="G779">
            <v>718</v>
          </cell>
          <cell r="H779">
            <v>98</v>
          </cell>
          <cell r="I779">
            <v>58</v>
          </cell>
          <cell r="J779">
            <v>2200</v>
          </cell>
          <cell r="K779">
            <v>0</v>
          </cell>
          <cell r="L779">
            <v>0</v>
          </cell>
          <cell r="M779">
            <v>88000</v>
          </cell>
          <cell r="N779">
            <v>620</v>
          </cell>
          <cell r="O779">
            <v>60</v>
          </cell>
          <cell r="P779" t="str">
            <v>1910</v>
          </cell>
          <cell r="Q779" t="str">
            <v>1910</v>
          </cell>
          <cell r="R779">
            <v>1.9047619047619047</v>
          </cell>
        </row>
        <row r="780">
          <cell r="A780" t="str">
            <v>Y006-097</v>
          </cell>
          <cell r="B780" t="str">
            <v>LCT006-563</v>
          </cell>
          <cell r="C780" t="str">
            <v>Y006-BD</v>
          </cell>
          <cell r="D780" t="str">
            <v>B1233-122P1317</v>
          </cell>
          <cell r="E780" t="str">
            <v>B1233-701Q</v>
          </cell>
          <cell r="F780" t="str">
            <v>718*98*58</v>
          </cell>
          <cell r="G780">
            <v>718</v>
          </cell>
          <cell r="H780">
            <v>98</v>
          </cell>
          <cell r="I780">
            <v>58</v>
          </cell>
          <cell r="J780">
            <v>2200</v>
          </cell>
          <cell r="K780">
            <v>0</v>
          </cell>
          <cell r="L780">
            <v>0</v>
          </cell>
          <cell r="M780">
            <v>88000</v>
          </cell>
          <cell r="N780">
            <v>620</v>
          </cell>
          <cell r="O780">
            <v>60</v>
          </cell>
          <cell r="P780" t="str">
            <v>1910</v>
          </cell>
          <cell r="Q780" t="str">
            <v>1910</v>
          </cell>
          <cell r="R780">
            <v>1.9047619047619047</v>
          </cell>
        </row>
        <row r="781">
          <cell r="A781" t="str">
            <v>Y006-098</v>
          </cell>
          <cell r="B781" t="str">
            <v>LCT006-564</v>
          </cell>
          <cell r="C781" t="str">
            <v>Y006-BD</v>
          </cell>
          <cell r="D781" t="str">
            <v>B1233-122P1717</v>
          </cell>
          <cell r="E781" t="str">
            <v>B1233-701Q</v>
          </cell>
          <cell r="F781" t="str">
            <v>126*126*44</v>
          </cell>
          <cell r="G781">
            <v>126</v>
          </cell>
          <cell r="H781">
            <v>126</v>
          </cell>
          <cell r="I781">
            <v>44</v>
          </cell>
          <cell r="J781">
            <v>415</v>
          </cell>
          <cell r="K781">
            <v>0</v>
          </cell>
          <cell r="L781">
            <v>0</v>
          </cell>
          <cell r="M781">
            <v>19950</v>
          </cell>
          <cell r="N781">
            <v>80</v>
          </cell>
          <cell r="O781">
            <v>60</v>
          </cell>
          <cell r="P781" t="str">
            <v>1910</v>
          </cell>
          <cell r="Q781" t="str">
            <v>1910</v>
          </cell>
          <cell r="R781">
            <v>2.2891566265060241</v>
          </cell>
        </row>
        <row r="782">
          <cell r="A782" t="str">
            <v>Y006-099</v>
          </cell>
          <cell r="B782" t="str">
            <v>LCT006-565</v>
          </cell>
          <cell r="C782" t="str">
            <v>Y006-BD</v>
          </cell>
          <cell r="D782" t="str">
            <v>B1233-122P1217</v>
          </cell>
          <cell r="E782" t="str">
            <v>B1233-701K</v>
          </cell>
          <cell r="F782" t="str">
            <v>718*98*58</v>
          </cell>
          <cell r="G782">
            <v>718</v>
          </cell>
          <cell r="H782">
            <v>98</v>
          </cell>
          <cell r="I782">
            <v>58</v>
          </cell>
          <cell r="J782">
            <v>2200</v>
          </cell>
          <cell r="K782">
            <v>0</v>
          </cell>
          <cell r="L782">
            <v>0</v>
          </cell>
          <cell r="M782">
            <v>88000</v>
          </cell>
          <cell r="N782">
            <v>0</v>
          </cell>
          <cell r="O782">
            <v>60</v>
          </cell>
          <cell r="P782">
            <v>3710</v>
          </cell>
          <cell r="Q782">
            <v>3710</v>
          </cell>
          <cell r="R782">
            <v>1.9047619047619047</v>
          </cell>
        </row>
        <row r="783">
          <cell r="A783" t="str">
            <v>Y006-100</v>
          </cell>
          <cell r="B783" t="str">
            <v>LCT006-566</v>
          </cell>
          <cell r="C783" t="str">
            <v>Y006-BD</v>
          </cell>
          <cell r="D783" t="str">
            <v>B1233-122P1317</v>
          </cell>
          <cell r="E783" t="str">
            <v>B1233-701K</v>
          </cell>
          <cell r="F783" t="str">
            <v>718*98*58</v>
          </cell>
          <cell r="G783">
            <v>718</v>
          </cell>
          <cell r="H783">
            <v>98</v>
          </cell>
          <cell r="I783">
            <v>58</v>
          </cell>
          <cell r="J783">
            <v>2200</v>
          </cell>
          <cell r="K783">
            <v>0</v>
          </cell>
          <cell r="L783">
            <v>0</v>
          </cell>
          <cell r="M783">
            <v>88000</v>
          </cell>
          <cell r="N783">
            <v>0</v>
          </cell>
          <cell r="O783">
            <v>60</v>
          </cell>
          <cell r="P783">
            <v>3710</v>
          </cell>
          <cell r="Q783">
            <v>3710</v>
          </cell>
          <cell r="R783">
            <v>1.9047619047619047</v>
          </cell>
        </row>
        <row r="784">
          <cell r="A784" t="str">
            <v>Y006-101</v>
          </cell>
          <cell r="B784" t="str">
            <v>LCT006-567</v>
          </cell>
          <cell r="C784" t="str">
            <v>Y006-BD</v>
          </cell>
          <cell r="D784" t="str">
            <v>B1233-122PP717</v>
          </cell>
          <cell r="E784" t="str">
            <v>B1233-701K</v>
          </cell>
          <cell r="F784" t="str">
            <v>126*126*44</v>
          </cell>
          <cell r="G784">
            <v>126</v>
          </cell>
          <cell r="H784">
            <v>126</v>
          </cell>
          <cell r="I784">
            <v>44</v>
          </cell>
          <cell r="J784">
            <v>0</v>
          </cell>
          <cell r="K784">
            <v>0</v>
          </cell>
          <cell r="L784">
            <v>0</v>
          </cell>
          <cell r="M784">
            <v>19950</v>
          </cell>
          <cell r="N784">
            <v>0</v>
          </cell>
          <cell r="O784">
            <v>60</v>
          </cell>
          <cell r="P784">
            <v>1010</v>
          </cell>
          <cell r="Q784">
            <v>1010</v>
          </cell>
          <cell r="R784" t="e">
            <v>#DIV/0!</v>
          </cell>
        </row>
        <row r="785">
          <cell r="A785" t="str">
            <v>Y006-102</v>
          </cell>
          <cell r="B785" t="str">
            <v>LCT006-568</v>
          </cell>
          <cell r="C785" t="str">
            <v>Y006-BD</v>
          </cell>
          <cell r="D785" t="str">
            <v>B1233-713P1517</v>
          </cell>
          <cell r="E785" t="str">
            <v>B1233-601QS</v>
          </cell>
          <cell r="F785" t="str">
            <v>314*76*58</v>
          </cell>
          <cell r="G785">
            <v>314</v>
          </cell>
          <cell r="H785">
            <v>76</v>
          </cell>
          <cell r="I785">
            <v>58</v>
          </cell>
          <cell r="J785">
            <v>990</v>
          </cell>
          <cell r="K785">
            <v>0</v>
          </cell>
          <cell r="L785">
            <v>0</v>
          </cell>
          <cell r="M785">
            <v>37000</v>
          </cell>
          <cell r="N785">
            <v>310</v>
          </cell>
          <cell r="O785">
            <v>60</v>
          </cell>
          <cell r="P785" t="str">
            <v>1910</v>
          </cell>
          <cell r="Q785" t="str">
            <v>1910</v>
          </cell>
          <cell r="R785">
            <v>1.7797017797017796</v>
          </cell>
        </row>
        <row r="786">
          <cell r="A786" t="str">
            <v>Y006-103</v>
          </cell>
          <cell r="B786" t="str">
            <v>LCT006-569</v>
          </cell>
          <cell r="C786" t="str">
            <v>Y006-BD</v>
          </cell>
          <cell r="D786" t="str">
            <v>B1233-723P1517</v>
          </cell>
          <cell r="E786" t="str">
            <v>B1233-601KS</v>
          </cell>
          <cell r="F786" t="str">
            <v>314*76*58</v>
          </cell>
          <cell r="G786">
            <v>314</v>
          </cell>
          <cell r="H786">
            <v>76</v>
          </cell>
          <cell r="I786">
            <v>58</v>
          </cell>
          <cell r="J786">
            <v>990</v>
          </cell>
          <cell r="K786">
            <v>0</v>
          </cell>
          <cell r="L786">
            <v>0</v>
          </cell>
          <cell r="M786">
            <v>37000</v>
          </cell>
          <cell r="N786">
            <v>310</v>
          </cell>
          <cell r="O786">
            <v>60</v>
          </cell>
          <cell r="P786" t="str">
            <v>1910</v>
          </cell>
          <cell r="Q786" t="str">
            <v>1910</v>
          </cell>
          <cell r="R786">
            <v>1.7797017797017796</v>
          </cell>
        </row>
        <row r="787">
          <cell r="A787" t="str">
            <v>Y006-104</v>
          </cell>
          <cell r="B787" t="str">
            <v>LCT006-570</v>
          </cell>
          <cell r="C787" t="str">
            <v>Y006-BD</v>
          </cell>
          <cell r="D787" t="str">
            <v>B1233-109NI177</v>
          </cell>
          <cell r="E787" t="str">
            <v>B1233-352</v>
          </cell>
          <cell r="F787" t="str">
            <v>66*66*4</v>
          </cell>
          <cell r="G787">
            <v>66</v>
          </cell>
          <cell r="H787">
            <v>66</v>
          </cell>
          <cell r="I787">
            <v>4</v>
          </cell>
          <cell r="J787">
            <v>0</v>
          </cell>
          <cell r="K787">
            <v>0</v>
          </cell>
          <cell r="L787">
            <v>0</v>
          </cell>
          <cell r="M787">
            <v>4200</v>
          </cell>
          <cell r="N787">
            <v>0</v>
          </cell>
          <cell r="O787">
            <v>60</v>
          </cell>
          <cell r="P787">
            <v>1010</v>
          </cell>
          <cell r="Q787">
            <v>1010</v>
          </cell>
          <cell r="R787" t="e">
            <v>#DIV/0!</v>
          </cell>
        </row>
        <row r="788">
          <cell r="A788" t="str">
            <v>Y006-105</v>
          </cell>
          <cell r="B788" t="str">
            <v>LCT006-571</v>
          </cell>
          <cell r="C788" t="str">
            <v>Y006-BD</v>
          </cell>
          <cell r="D788" t="str">
            <v>B1233-109NI15717</v>
          </cell>
          <cell r="E788" t="str">
            <v>B1233-352</v>
          </cell>
          <cell r="F788" t="str">
            <v>614*76*58</v>
          </cell>
          <cell r="G788">
            <v>614</v>
          </cell>
          <cell r="H788">
            <v>76</v>
          </cell>
          <cell r="I788">
            <v>58</v>
          </cell>
          <cell r="J788">
            <v>1580</v>
          </cell>
          <cell r="K788">
            <v>0</v>
          </cell>
          <cell r="L788">
            <v>0</v>
          </cell>
          <cell r="M788">
            <v>64000</v>
          </cell>
          <cell r="N788">
            <v>620</v>
          </cell>
          <cell r="O788">
            <v>60</v>
          </cell>
          <cell r="P788" t="str">
            <v>1910</v>
          </cell>
          <cell r="Q788" t="str">
            <v>1910</v>
          </cell>
          <cell r="R788">
            <v>1.9288728149487642</v>
          </cell>
        </row>
        <row r="789">
          <cell r="A789" t="str">
            <v>Y006-106</v>
          </cell>
          <cell r="B789" t="str">
            <v>LCT006-572</v>
          </cell>
          <cell r="C789" t="str">
            <v>Y006-BD</v>
          </cell>
          <cell r="D789" t="str">
            <v>B1233-109PP717</v>
          </cell>
          <cell r="E789" t="str">
            <v>B1233-352</v>
          </cell>
          <cell r="F789" t="str">
            <v>88*59*11</v>
          </cell>
          <cell r="G789">
            <v>88</v>
          </cell>
          <cell r="H789">
            <v>59</v>
          </cell>
          <cell r="I789">
            <v>11</v>
          </cell>
          <cell r="J789">
            <v>60</v>
          </cell>
          <cell r="K789">
            <v>0</v>
          </cell>
          <cell r="L789">
            <v>0</v>
          </cell>
          <cell r="M789">
            <v>6300</v>
          </cell>
          <cell r="N789">
            <v>0</v>
          </cell>
          <cell r="O789">
            <v>60</v>
          </cell>
          <cell r="P789">
            <v>1010</v>
          </cell>
          <cell r="Q789">
            <v>1010</v>
          </cell>
          <cell r="R789">
            <v>5</v>
          </cell>
        </row>
        <row r="790">
          <cell r="A790" t="str">
            <v>Y006-107</v>
          </cell>
          <cell r="B790" t="str">
            <v>LCT006-573</v>
          </cell>
          <cell r="C790" t="str">
            <v>Y006-BD</v>
          </cell>
          <cell r="D790" t="str">
            <v>B1233-560NI177</v>
          </cell>
          <cell r="E790" t="str">
            <v>B1233-391</v>
          </cell>
          <cell r="F790" t="str">
            <v>66*66*4</v>
          </cell>
          <cell r="G790">
            <v>66</v>
          </cell>
          <cell r="H790">
            <v>66</v>
          </cell>
          <cell r="I790">
            <v>4</v>
          </cell>
          <cell r="J790">
            <v>0</v>
          </cell>
          <cell r="K790">
            <v>0</v>
          </cell>
          <cell r="L790">
            <v>0</v>
          </cell>
          <cell r="M790">
            <v>4200</v>
          </cell>
          <cell r="N790">
            <v>0</v>
          </cell>
          <cell r="O790">
            <v>60</v>
          </cell>
          <cell r="P790">
            <v>1010</v>
          </cell>
          <cell r="Q790">
            <v>1010</v>
          </cell>
          <cell r="R790" t="e">
            <v>#DIV/0!</v>
          </cell>
        </row>
        <row r="791">
          <cell r="A791" t="str">
            <v>Y006-108</v>
          </cell>
          <cell r="B791" t="str">
            <v>LCT006-574</v>
          </cell>
          <cell r="C791" t="str">
            <v>Y006-BD</v>
          </cell>
          <cell r="D791" t="str">
            <v>B1233-560P1517</v>
          </cell>
          <cell r="E791" t="str">
            <v>B1233-391</v>
          </cell>
          <cell r="F791" t="str">
            <v>1071*76*58</v>
          </cell>
          <cell r="G791">
            <v>1071</v>
          </cell>
          <cell r="H791">
            <v>76</v>
          </cell>
          <cell r="I791">
            <v>58</v>
          </cell>
          <cell r="J791">
            <v>2260</v>
          </cell>
          <cell r="K791">
            <v>0</v>
          </cell>
          <cell r="L791">
            <v>0</v>
          </cell>
          <cell r="M791">
            <v>106000</v>
          </cell>
          <cell r="N791">
            <v>900</v>
          </cell>
          <cell r="O791">
            <v>60</v>
          </cell>
          <cell r="P791" t="str">
            <v>1910</v>
          </cell>
          <cell r="Q791" t="str">
            <v>1910</v>
          </cell>
          <cell r="R791">
            <v>2.2334597555836497</v>
          </cell>
        </row>
        <row r="792">
          <cell r="A792" t="str">
            <v>Y006-109</v>
          </cell>
          <cell r="B792" t="str">
            <v>LCT006-575</v>
          </cell>
          <cell r="C792" t="str">
            <v>Y006-BD</v>
          </cell>
          <cell r="D792" t="str">
            <v>B1233-560PP717</v>
          </cell>
          <cell r="E792" t="str">
            <v>B1233-391</v>
          </cell>
          <cell r="F792" t="str">
            <v>88*59*11</v>
          </cell>
          <cell r="G792">
            <v>88</v>
          </cell>
          <cell r="H792">
            <v>59</v>
          </cell>
          <cell r="I792">
            <v>11</v>
          </cell>
          <cell r="J792">
            <v>60</v>
          </cell>
          <cell r="K792">
            <v>0</v>
          </cell>
          <cell r="L792">
            <v>0</v>
          </cell>
          <cell r="M792">
            <v>6300</v>
          </cell>
          <cell r="N792">
            <v>0</v>
          </cell>
          <cell r="O792">
            <v>60</v>
          </cell>
          <cell r="P792">
            <v>1010</v>
          </cell>
          <cell r="Q792">
            <v>1010</v>
          </cell>
          <cell r="R792">
            <v>5</v>
          </cell>
        </row>
        <row r="793">
          <cell r="A793" t="str">
            <v>Y006-110</v>
          </cell>
          <cell r="B793" t="str">
            <v>LCT006-576</v>
          </cell>
          <cell r="C793" t="str">
            <v>Y006-BD</v>
          </cell>
          <cell r="D793" t="str">
            <v>B1233-902P1517</v>
          </cell>
          <cell r="E793" t="str">
            <v>B1233-392</v>
          </cell>
          <cell r="F793" t="str">
            <v>708*76*58</v>
          </cell>
          <cell r="G793">
            <v>708</v>
          </cell>
          <cell r="H793">
            <v>76</v>
          </cell>
          <cell r="I793">
            <v>58</v>
          </cell>
          <cell r="J793">
            <v>1740</v>
          </cell>
          <cell r="K793">
            <v>0</v>
          </cell>
          <cell r="L793">
            <v>0</v>
          </cell>
          <cell r="M793">
            <v>75000</v>
          </cell>
          <cell r="N793">
            <v>680</v>
          </cell>
          <cell r="O793">
            <v>60</v>
          </cell>
          <cell r="P793" t="str">
            <v>1910</v>
          </cell>
          <cell r="Q793" t="str">
            <v>1910</v>
          </cell>
          <cell r="R793">
            <v>2.0525451559934322</v>
          </cell>
        </row>
        <row r="794">
          <cell r="A794" t="str">
            <v>Y006-111</v>
          </cell>
          <cell r="B794" t="str">
            <v>LCT006-577</v>
          </cell>
          <cell r="C794" t="str">
            <v>Y006-BD</v>
          </cell>
          <cell r="D794" t="str">
            <v>B1233-902PP717</v>
          </cell>
          <cell r="E794" t="str">
            <v>B1233-392</v>
          </cell>
          <cell r="F794" t="str">
            <v>125*59*11</v>
          </cell>
          <cell r="G794">
            <v>125</v>
          </cell>
          <cell r="H794">
            <v>59</v>
          </cell>
          <cell r="I794">
            <v>11</v>
          </cell>
          <cell r="J794">
            <v>80</v>
          </cell>
          <cell r="K794">
            <v>0</v>
          </cell>
          <cell r="L794">
            <v>0</v>
          </cell>
          <cell r="M794">
            <v>9450</v>
          </cell>
          <cell r="N794">
            <v>0</v>
          </cell>
          <cell r="O794">
            <v>60</v>
          </cell>
          <cell r="P794">
            <v>1010</v>
          </cell>
          <cell r="Q794">
            <v>1010</v>
          </cell>
          <cell r="R794">
            <v>5.625</v>
          </cell>
        </row>
        <row r="795">
          <cell r="A795" t="str">
            <v>Y006-112</v>
          </cell>
          <cell r="B795" t="str">
            <v>LCT006-589</v>
          </cell>
          <cell r="C795" t="str">
            <v>Y006-BD</v>
          </cell>
          <cell r="D795" t="str">
            <v>B1233-502PP717</v>
          </cell>
          <cell r="E795" t="str">
            <v>B1233-402</v>
          </cell>
          <cell r="F795" t="str">
            <v>74*74*4</v>
          </cell>
          <cell r="G795">
            <v>74</v>
          </cell>
          <cell r="H795">
            <v>74</v>
          </cell>
          <cell r="I795">
            <v>4</v>
          </cell>
          <cell r="J795">
            <v>30</v>
          </cell>
          <cell r="K795">
            <v>0</v>
          </cell>
          <cell r="L795">
            <v>0</v>
          </cell>
          <cell r="M795">
            <v>4200</v>
          </cell>
          <cell r="N795">
            <v>0</v>
          </cell>
          <cell r="O795">
            <v>0</v>
          </cell>
          <cell r="P795">
            <v>1010</v>
          </cell>
          <cell r="Q795">
            <v>1010</v>
          </cell>
          <cell r="R795">
            <v>6.666666666666667</v>
          </cell>
        </row>
        <row r="796">
          <cell r="A796" t="str">
            <v>Y006-113</v>
          </cell>
          <cell r="B796" t="str">
            <v>LCT006-578</v>
          </cell>
          <cell r="C796" t="str">
            <v>Y006</v>
          </cell>
          <cell r="D796" t="str">
            <v>B1233-502PP717</v>
          </cell>
          <cell r="E796" t="str">
            <v>B1233-422</v>
          </cell>
          <cell r="F796" t="str">
            <v>66*66*4</v>
          </cell>
          <cell r="G796">
            <v>66</v>
          </cell>
          <cell r="H796">
            <v>66</v>
          </cell>
          <cell r="I796">
            <v>4</v>
          </cell>
          <cell r="J796">
            <v>0</v>
          </cell>
          <cell r="K796">
            <v>0</v>
          </cell>
          <cell r="L796">
            <v>0</v>
          </cell>
          <cell r="M796">
            <v>4200</v>
          </cell>
          <cell r="N796">
            <v>0</v>
          </cell>
          <cell r="O796">
            <v>60</v>
          </cell>
          <cell r="P796">
            <v>1010</v>
          </cell>
          <cell r="Q796">
            <v>1010</v>
          </cell>
          <cell r="R796" t="e">
            <v>#DIV/0!</v>
          </cell>
        </row>
        <row r="797">
          <cell r="A797" t="str">
            <v>Y006-114</v>
          </cell>
          <cell r="B797" t="str">
            <v>LCT006-579</v>
          </cell>
          <cell r="C797" t="str">
            <v>Y006</v>
          </cell>
          <cell r="D797" t="str">
            <v>B1233-102NI177</v>
          </cell>
          <cell r="E797" t="str">
            <v>B1233-402</v>
          </cell>
          <cell r="F797" t="str">
            <v>66*66*4</v>
          </cell>
          <cell r="G797">
            <v>66</v>
          </cell>
          <cell r="H797">
            <v>66</v>
          </cell>
          <cell r="I797">
            <v>4</v>
          </cell>
          <cell r="J797">
            <v>0</v>
          </cell>
          <cell r="K797">
            <v>0</v>
          </cell>
          <cell r="L797">
            <v>0</v>
          </cell>
          <cell r="M797">
            <v>4200</v>
          </cell>
          <cell r="N797">
            <v>0</v>
          </cell>
          <cell r="O797">
            <v>60</v>
          </cell>
          <cell r="P797">
            <v>1010</v>
          </cell>
          <cell r="Q797">
            <v>1010</v>
          </cell>
          <cell r="R797" t="e">
            <v>#DIV/0!</v>
          </cell>
        </row>
        <row r="798">
          <cell r="A798" t="str">
            <v>Y006-115</v>
          </cell>
          <cell r="B798" t="str">
            <v>LCT006-580</v>
          </cell>
          <cell r="C798" t="str">
            <v>Y006-BD</v>
          </cell>
          <cell r="D798" t="str">
            <v>B1233-102P1517</v>
          </cell>
          <cell r="E798" t="str">
            <v>B1233-402</v>
          </cell>
          <cell r="F798" t="str">
            <v>485*76*58</v>
          </cell>
          <cell r="G798">
            <v>485</v>
          </cell>
          <cell r="H798">
            <v>76</v>
          </cell>
          <cell r="I798">
            <v>58</v>
          </cell>
          <cell r="J798">
            <v>1340</v>
          </cell>
          <cell r="K798">
            <v>0</v>
          </cell>
          <cell r="L798">
            <v>0</v>
          </cell>
          <cell r="M798">
            <v>52000</v>
          </cell>
          <cell r="N798">
            <v>510</v>
          </cell>
          <cell r="O798">
            <v>60</v>
          </cell>
          <cell r="P798" t="str">
            <v>1910</v>
          </cell>
          <cell r="Q798" t="str">
            <v>1910</v>
          </cell>
          <cell r="R798">
            <v>1.8479033404406537</v>
          </cell>
        </row>
        <row r="799">
          <cell r="A799" t="str">
            <v>Y006-116</v>
          </cell>
          <cell r="B799" t="str">
            <v>LCT006-581</v>
          </cell>
          <cell r="C799" t="str">
            <v>Y006-BD</v>
          </cell>
          <cell r="D799" t="str">
            <v>B1233-102PP717</v>
          </cell>
          <cell r="E799" t="str">
            <v>B1233-402</v>
          </cell>
          <cell r="F799" t="str">
            <v>88*59*11</v>
          </cell>
          <cell r="G799">
            <v>88</v>
          </cell>
          <cell r="H799">
            <v>59</v>
          </cell>
          <cell r="I799">
            <v>11</v>
          </cell>
          <cell r="J799">
            <v>60</v>
          </cell>
          <cell r="K799">
            <v>0</v>
          </cell>
          <cell r="L799">
            <v>0</v>
          </cell>
          <cell r="M799">
            <v>6300</v>
          </cell>
          <cell r="N799">
            <v>0</v>
          </cell>
          <cell r="O799">
            <v>60</v>
          </cell>
          <cell r="P799" t="str">
            <v>1910</v>
          </cell>
          <cell r="Q799" t="str">
            <v>1910</v>
          </cell>
          <cell r="R799">
            <v>5</v>
          </cell>
        </row>
        <row r="800">
          <cell r="A800" t="str">
            <v>Y006-117</v>
          </cell>
          <cell r="B800" t="str">
            <v>LCT006-638</v>
          </cell>
          <cell r="C800" t="str">
            <v>Y006</v>
          </cell>
          <cell r="D800">
            <v>0</v>
          </cell>
          <cell r="E800">
            <v>0</v>
          </cell>
          <cell r="F800" t="str">
            <v>920*6*3.5</v>
          </cell>
          <cell r="G800">
            <v>920</v>
          </cell>
          <cell r="H800">
            <v>6</v>
          </cell>
          <cell r="I800">
            <v>3.5</v>
          </cell>
          <cell r="J800">
            <v>30</v>
          </cell>
          <cell r="K800">
            <v>0</v>
          </cell>
          <cell r="L800">
            <v>0</v>
          </cell>
          <cell r="M800">
            <v>5000</v>
          </cell>
          <cell r="N800">
            <v>0</v>
          </cell>
          <cell r="O800" t="str">
            <v>40V</v>
          </cell>
          <cell r="P800" t="str">
            <v>1010</v>
          </cell>
          <cell r="Q800" t="str">
            <v>1010</v>
          </cell>
          <cell r="R800">
            <v>7.9365079365079376</v>
          </cell>
        </row>
        <row r="801">
          <cell r="A801" t="str">
            <v>Y006-118</v>
          </cell>
          <cell r="B801">
            <v>0</v>
          </cell>
          <cell r="C801" t="str">
            <v>Y006-DN</v>
          </cell>
          <cell r="D801" t="str">
            <v>H2003-519PF117</v>
          </cell>
          <cell r="E801">
            <v>0</v>
          </cell>
          <cell r="F801" t="str">
            <v>1416*17*6</v>
          </cell>
          <cell r="G801">
            <v>1416</v>
          </cell>
          <cell r="H801">
            <v>17</v>
          </cell>
          <cell r="I801">
            <v>6</v>
          </cell>
          <cell r="J801">
            <v>220</v>
          </cell>
          <cell r="K801">
            <v>0</v>
          </cell>
          <cell r="L801">
            <v>0</v>
          </cell>
          <cell r="M801">
            <v>11715</v>
          </cell>
          <cell r="N801">
            <v>0</v>
          </cell>
          <cell r="O801" t="str">
            <v>40V</v>
          </cell>
          <cell r="P801" t="str">
            <v>1010</v>
          </cell>
          <cell r="Q801" t="str">
            <v>1010</v>
          </cell>
          <cell r="R801">
            <v>2.5357142857142856</v>
          </cell>
        </row>
        <row r="802">
          <cell r="A802" t="str">
            <v>Y006-119</v>
          </cell>
          <cell r="B802">
            <v>0</v>
          </cell>
          <cell r="C802" t="str">
            <v>Y006</v>
          </cell>
          <cell r="D802" t="str">
            <v>H1384-519PE117</v>
          </cell>
          <cell r="E802" t="str">
            <v>21384-SIDE</v>
          </cell>
          <cell r="F802" t="str">
            <v>101*27*12</v>
          </cell>
          <cell r="G802">
            <v>101</v>
          </cell>
          <cell r="H802">
            <v>27</v>
          </cell>
          <cell r="I802">
            <v>12</v>
          </cell>
          <cell r="J802">
            <v>0</v>
          </cell>
          <cell r="K802">
            <v>0</v>
          </cell>
          <cell r="L802">
            <v>0</v>
          </cell>
          <cell r="M802">
            <v>2556</v>
          </cell>
          <cell r="N802">
            <v>0</v>
          </cell>
          <cell r="O802" t="str">
            <v>40V</v>
          </cell>
          <cell r="P802" t="str">
            <v>1010</v>
          </cell>
          <cell r="Q802" t="str">
            <v>1010</v>
          </cell>
          <cell r="R802" t="e">
            <v>#DIV/0!</v>
          </cell>
        </row>
        <row r="803">
          <cell r="A803" t="str">
            <v>Y006-120</v>
          </cell>
          <cell r="B803">
            <v>0</v>
          </cell>
          <cell r="C803" t="str">
            <v>Y006</v>
          </cell>
          <cell r="D803" t="str">
            <v>H0877-519PR917</v>
          </cell>
          <cell r="E803" t="str">
            <v>20877-MANTEL</v>
          </cell>
          <cell r="F803" t="str">
            <v>109*85*51</v>
          </cell>
          <cell r="G803">
            <v>109</v>
          </cell>
          <cell r="H803">
            <v>85</v>
          </cell>
          <cell r="I803">
            <v>51</v>
          </cell>
          <cell r="J803">
            <v>260</v>
          </cell>
          <cell r="K803">
            <v>0</v>
          </cell>
          <cell r="L803">
            <v>0</v>
          </cell>
          <cell r="M803">
            <v>15000</v>
          </cell>
          <cell r="N803">
            <v>0</v>
          </cell>
          <cell r="O803" t="str">
            <v>40V</v>
          </cell>
          <cell r="P803" t="str">
            <v>1010</v>
          </cell>
          <cell r="Q803" t="str">
            <v>1010</v>
          </cell>
          <cell r="R803">
            <v>2.7472527472527468</v>
          </cell>
        </row>
        <row r="804">
          <cell r="A804" t="str">
            <v>Y006-121</v>
          </cell>
          <cell r="B804">
            <v>0</v>
          </cell>
          <cell r="C804" t="str">
            <v>Y006-BD</v>
          </cell>
          <cell r="D804" t="str">
            <v>B8920-312PH417</v>
          </cell>
          <cell r="E804" t="str">
            <v>8920-250</v>
          </cell>
          <cell r="F804" t="str">
            <v>1538*19*8</v>
          </cell>
          <cell r="G804">
            <v>1538</v>
          </cell>
          <cell r="H804">
            <v>19</v>
          </cell>
          <cell r="I804">
            <v>8</v>
          </cell>
          <cell r="J804">
            <v>324</v>
          </cell>
          <cell r="K804">
            <v>0</v>
          </cell>
          <cell r="L804">
            <v>0</v>
          </cell>
          <cell r="M804">
            <v>17500</v>
          </cell>
          <cell r="N804">
            <v>0</v>
          </cell>
          <cell r="O804" t="str">
            <v>40V</v>
          </cell>
          <cell r="P804" t="str">
            <v>1010</v>
          </cell>
          <cell r="Q804" t="str">
            <v>1010</v>
          </cell>
          <cell r="R804">
            <v>2.57201646090535</v>
          </cell>
        </row>
        <row r="805">
          <cell r="A805" t="str">
            <v>Y006-122</v>
          </cell>
          <cell r="B805">
            <v>0</v>
          </cell>
          <cell r="C805" t="str">
            <v>Y006-BD</v>
          </cell>
          <cell r="D805" t="str">
            <v>B8920-313PH417</v>
          </cell>
          <cell r="E805" t="str">
            <v>8920-251</v>
          </cell>
          <cell r="F805" t="str">
            <v>1538*19*8</v>
          </cell>
          <cell r="G805">
            <v>1538</v>
          </cell>
          <cell r="H805">
            <v>19</v>
          </cell>
          <cell r="I805">
            <v>8</v>
          </cell>
          <cell r="J805">
            <v>324</v>
          </cell>
          <cell r="K805">
            <v>0</v>
          </cell>
          <cell r="L805">
            <v>0</v>
          </cell>
          <cell r="M805">
            <v>17500</v>
          </cell>
          <cell r="N805">
            <v>0</v>
          </cell>
          <cell r="O805" t="str">
            <v>40V</v>
          </cell>
          <cell r="P805" t="str">
            <v>1010</v>
          </cell>
          <cell r="Q805" t="str">
            <v>1010</v>
          </cell>
          <cell r="R805">
            <v>2.57201646090535</v>
          </cell>
        </row>
        <row r="806">
          <cell r="A806" t="str">
            <v>Y006-123</v>
          </cell>
          <cell r="B806" t="str">
            <v>下單後取消</v>
          </cell>
          <cell r="C806" t="str">
            <v>Y006-BD</v>
          </cell>
          <cell r="D806" t="str">
            <v>B8920-313PR916</v>
          </cell>
          <cell r="E806" t="str">
            <v>8920*251</v>
          </cell>
          <cell r="F806" t="str">
            <v>67*139*139</v>
          </cell>
          <cell r="G806">
            <v>67</v>
          </cell>
          <cell r="H806">
            <v>139</v>
          </cell>
          <cell r="I806">
            <v>139</v>
          </cell>
          <cell r="J806">
            <v>110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 t="str">
            <v>40V</v>
          </cell>
          <cell r="P806" t="str">
            <v>1010</v>
          </cell>
          <cell r="Q806" t="str">
            <v>1010</v>
          </cell>
          <cell r="R806">
            <v>0</v>
          </cell>
        </row>
        <row r="807">
          <cell r="A807" t="str">
            <v>Y006-124</v>
          </cell>
          <cell r="B807">
            <v>0</v>
          </cell>
          <cell r="C807" t="str">
            <v>Y006-BD</v>
          </cell>
          <cell r="D807" t="str">
            <v>B8920-322PH41P</v>
          </cell>
          <cell r="E807" t="str">
            <v>8920*270</v>
          </cell>
          <cell r="F807" t="str">
            <v>1954*19*8</v>
          </cell>
          <cell r="G807">
            <v>1954</v>
          </cell>
          <cell r="H807">
            <v>19</v>
          </cell>
          <cell r="I807">
            <v>8</v>
          </cell>
          <cell r="J807">
            <v>382</v>
          </cell>
          <cell r="K807">
            <v>0</v>
          </cell>
          <cell r="L807">
            <v>0</v>
          </cell>
          <cell r="M807">
            <v>20600</v>
          </cell>
          <cell r="N807">
            <v>0</v>
          </cell>
          <cell r="O807" t="str">
            <v>40V</v>
          </cell>
          <cell r="P807" t="str">
            <v>1010</v>
          </cell>
          <cell r="Q807" t="str">
            <v>1010</v>
          </cell>
          <cell r="R807">
            <v>2.5679381700324106</v>
          </cell>
        </row>
        <row r="808">
          <cell r="A808" t="str">
            <v>Y006-125</v>
          </cell>
          <cell r="B808">
            <v>0</v>
          </cell>
          <cell r="C808" t="str">
            <v>Y006-BD</v>
          </cell>
          <cell r="D808" t="str">
            <v>B8920-323PH417</v>
          </cell>
          <cell r="E808" t="str">
            <v>8920*271</v>
          </cell>
          <cell r="F808" t="str">
            <v>1954*19*8</v>
          </cell>
          <cell r="G808">
            <v>1954</v>
          </cell>
          <cell r="H808">
            <v>19</v>
          </cell>
          <cell r="I808">
            <v>8</v>
          </cell>
          <cell r="J808">
            <v>382</v>
          </cell>
          <cell r="K808">
            <v>0</v>
          </cell>
          <cell r="L808">
            <v>0</v>
          </cell>
          <cell r="M808">
            <v>20600</v>
          </cell>
          <cell r="N808">
            <v>0</v>
          </cell>
          <cell r="O808" t="str">
            <v>40V</v>
          </cell>
          <cell r="P808" t="str">
            <v>1010</v>
          </cell>
          <cell r="Q808" t="str">
            <v>1010</v>
          </cell>
          <cell r="R808">
            <v>2.5679381700324106</v>
          </cell>
        </row>
        <row r="809">
          <cell r="A809" t="str">
            <v>Y006-126</v>
          </cell>
          <cell r="B809" t="str">
            <v>下單後取消</v>
          </cell>
          <cell r="C809" t="str">
            <v>Y006-BD</v>
          </cell>
          <cell r="D809" t="str">
            <v>B8920-323PR916</v>
          </cell>
          <cell r="E809" t="str">
            <v>8920*271</v>
          </cell>
          <cell r="F809" t="str">
            <v>67*139*139</v>
          </cell>
          <cell r="G809">
            <v>67</v>
          </cell>
          <cell r="H809">
            <v>139</v>
          </cell>
          <cell r="I809">
            <v>139</v>
          </cell>
          <cell r="J809">
            <v>110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 t="str">
            <v>40V</v>
          </cell>
          <cell r="P809" t="str">
            <v>1010</v>
          </cell>
          <cell r="Q809" t="str">
            <v>1010</v>
          </cell>
          <cell r="R809">
            <v>0</v>
          </cell>
        </row>
        <row r="810">
          <cell r="A810" t="str">
            <v>Y006-127</v>
          </cell>
          <cell r="B810">
            <v>0</v>
          </cell>
          <cell r="C810" t="str">
            <v>Y006-BD</v>
          </cell>
          <cell r="D810" t="str">
            <v>D8920-007PH117</v>
          </cell>
          <cell r="E810" t="str">
            <v>8920-010</v>
          </cell>
          <cell r="F810" t="str">
            <v>1502*19*8</v>
          </cell>
          <cell r="G810">
            <v>1502</v>
          </cell>
          <cell r="H810">
            <v>19</v>
          </cell>
          <cell r="I810">
            <v>8</v>
          </cell>
          <cell r="J810">
            <v>309</v>
          </cell>
          <cell r="K810">
            <v>0</v>
          </cell>
          <cell r="L810">
            <v>0</v>
          </cell>
          <cell r="M810">
            <v>16700</v>
          </cell>
          <cell r="N810">
            <v>0</v>
          </cell>
          <cell r="O810" t="str">
            <v>40V</v>
          </cell>
          <cell r="P810" t="str">
            <v>1010</v>
          </cell>
          <cell r="Q810" t="str">
            <v>1010</v>
          </cell>
          <cell r="R810">
            <v>2.5735860687316996</v>
          </cell>
        </row>
        <row r="811">
          <cell r="A811" t="str">
            <v>Y006-128</v>
          </cell>
          <cell r="B811">
            <v>0</v>
          </cell>
          <cell r="C811" t="str">
            <v>Y006-BD</v>
          </cell>
          <cell r="D811" t="str">
            <v>D8920-506PH117</v>
          </cell>
          <cell r="E811" t="str">
            <v>8920-040</v>
          </cell>
          <cell r="F811" t="str">
            <v>886*19*8</v>
          </cell>
          <cell r="G811">
            <v>886</v>
          </cell>
          <cell r="H811">
            <v>19</v>
          </cell>
          <cell r="I811">
            <v>8</v>
          </cell>
          <cell r="J811">
            <v>183</v>
          </cell>
          <cell r="K811">
            <v>0</v>
          </cell>
          <cell r="L811">
            <v>0</v>
          </cell>
          <cell r="M811">
            <v>9900</v>
          </cell>
          <cell r="N811">
            <v>0</v>
          </cell>
          <cell r="O811" t="str">
            <v>40V</v>
          </cell>
          <cell r="P811" t="str">
            <v>1010</v>
          </cell>
          <cell r="Q811" t="str">
            <v>1010</v>
          </cell>
          <cell r="R811">
            <v>2.5761124121779861</v>
          </cell>
        </row>
        <row r="812">
          <cell r="A812" t="str">
            <v>Y006-129</v>
          </cell>
          <cell r="B812">
            <v>0</v>
          </cell>
          <cell r="C812" t="str">
            <v>Y006-BD</v>
          </cell>
          <cell r="D812" t="str">
            <v>D8920-902PH117</v>
          </cell>
          <cell r="E812" t="str">
            <v>8920-160</v>
          </cell>
          <cell r="F812" t="str">
            <v>1141*19*8</v>
          </cell>
          <cell r="G812">
            <v>1141</v>
          </cell>
          <cell r="H812">
            <v>19</v>
          </cell>
          <cell r="I812">
            <v>8</v>
          </cell>
          <cell r="J812">
            <v>226</v>
          </cell>
          <cell r="K812">
            <v>0</v>
          </cell>
          <cell r="L812">
            <v>0</v>
          </cell>
          <cell r="M812">
            <v>12200</v>
          </cell>
          <cell r="N812">
            <v>0</v>
          </cell>
          <cell r="O812" t="str">
            <v>40V</v>
          </cell>
          <cell r="P812" t="str">
            <v>1010</v>
          </cell>
          <cell r="Q812" t="str">
            <v>1010</v>
          </cell>
          <cell r="R812">
            <v>2.5705857564264645</v>
          </cell>
        </row>
        <row r="813">
          <cell r="A813" t="str">
            <v>Y006-130</v>
          </cell>
          <cell r="B813">
            <v>0</v>
          </cell>
          <cell r="C813" t="str">
            <v>Y006-BD</v>
          </cell>
          <cell r="D813" t="str">
            <v>M8920-502PH117</v>
          </cell>
          <cell r="E813" t="str">
            <v>8920-030</v>
          </cell>
          <cell r="F813" t="str">
            <v>1014*19*8</v>
          </cell>
          <cell r="G813">
            <v>1014</v>
          </cell>
          <cell r="H813">
            <v>19</v>
          </cell>
          <cell r="I813">
            <v>8</v>
          </cell>
          <cell r="J813">
            <v>203</v>
          </cell>
          <cell r="K813">
            <v>0</v>
          </cell>
          <cell r="L813">
            <v>0</v>
          </cell>
          <cell r="M813">
            <v>10960</v>
          </cell>
          <cell r="N813">
            <v>0</v>
          </cell>
          <cell r="O813" t="str">
            <v>40V</v>
          </cell>
          <cell r="P813" t="str">
            <v>1010</v>
          </cell>
          <cell r="Q813" t="str">
            <v>1010</v>
          </cell>
          <cell r="R813">
            <v>2.5709594182500584</v>
          </cell>
        </row>
        <row r="814">
          <cell r="A814" t="str">
            <v>Y006-131</v>
          </cell>
          <cell r="B814">
            <v>0</v>
          </cell>
          <cell r="C814" t="str">
            <v>Y006-BD</v>
          </cell>
          <cell r="D814" t="str">
            <v>N8920-102PH112</v>
          </cell>
          <cell r="E814" t="str">
            <v>8920-050</v>
          </cell>
          <cell r="F814" t="str">
            <v>576*19*8</v>
          </cell>
          <cell r="G814">
            <v>576</v>
          </cell>
          <cell r="H814">
            <v>19</v>
          </cell>
          <cell r="I814">
            <v>8</v>
          </cell>
          <cell r="J814">
            <v>120</v>
          </cell>
          <cell r="K814">
            <v>0</v>
          </cell>
          <cell r="L814">
            <v>0</v>
          </cell>
          <cell r="M814">
            <v>6500</v>
          </cell>
          <cell r="N814">
            <v>0</v>
          </cell>
          <cell r="O814" t="str">
            <v>40V</v>
          </cell>
          <cell r="P814" t="str">
            <v>1010</v>
          </cell>
          <cell r="Q814" t="str">
            <v>1010</v>
          </cell>
          <cell r="R814">
            <v>2.5793650793650795</v>
          </cell>
        </row>
        <row r="815">
          <cell r="A815" t="str">
            <v>Y006-132</v>
          </cell>
          <cell r="B815" t="str">
            <v>下單後取消</v>
          </cell>
          <cell r="C815" t="str">
            <v>Y006</v>
          </cell>
          <cell r="D815" t="str">
            <v>N8920-102PR916</v>
          </cell>
          <cell r="E815" t="str">
            <v>8920-050</v>
          </cell>
          <cell r="F815" t="str">
            <v>67*127*127</v>
          </cell>
          <cell r="G815">
            <v>67</v>
          </cell>
          <cell r="H815">
            <v>127</v>
          </cell>
          <cell r="I815">
            <v>127</v>
          </cell>
          <cell r="J815">
            <v>100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 t="str">
            <v>40V</v>
          </cell>
          <cell r="P815" t="str">
            <v>1010</v>
          </cell>
          <cell r="Q815" t="str">
            <v>1010</v>
          </cell>
          <cell r="R815">
            <v>0</v>
          </cell>
        </row>
        <row r="816">
          <cell r="A816" t="str">
            <v>Y006-133</v>
          </cell>
          <cell r="B816">
            <v>0</v>
          </cell>
          <cell r="C816" t="str">
            <v>Y006-DN</v>
          </cell>
          <cell r="D816" t="str">
            <v>H1457-519PP717</v>
          </cell>
          <cell r="E816" t="str">
            <v>2147-Curio T BLOCK-1</v>
          </cell>
          <cell r="F816" t="str">
            <v>84*53*14</v>
          </cell>
          <cell r="G816">
            <v>84</v>
          </cell>
          <cell r="H816">
            <v>53</v>
          </cell>
          <cell r="I816">
            <v>14</v>
          </cell>
          <cell r="J816">
            <v>0</v>
          </cell>
          <cell r="K816">
            <v>0</v>
          </cell>
          <cell r="L816">
            <v>0</v>
          </cell>
          <cell r="M816">
            <v>2300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#DIV/0!</v>
          </cell>
        </row>
        <row r="817">
          <cell r="A817" t="str">
            <v>Y006-134</v>
          </cell>
          <cell r="B817">
            <v>0</v>
          </cell>
          <cell r="C817" t="str">
            <v>Y006-DN</v>
          </cell>
          <cell r="D817" t="str">
            <v>D1325-006ND1A7</v>
          </cell>
          <cell r="E817" t="str">
            <v>1325-DR 半圆饰条(木紋)</v>
          </cell>
          <cell r="F817" t="str">
            <v>800*10*5</v>
          </cell>
          <cell r="G817">
            <v>800</v>
          </cell>
          <cell r="H817">
            <v>10</v>
          </cell>
          <cell r="I817">
            <v>5</v>
          </cell>
          <cell r="J817">
            <v>0</v>
          </cell>
          <cell r="K817">
            <v>0</v>
          </cell>
          <cell r="L817">
            <v>0</v>
          </cell>
          <cell r="M817">
            <v>4700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#DIV/0!</v>
          </cell>
        </row>
        <row r="818">
          <cell r="A818" t="str">
            <v>Y006-135</v>
          </cell>
          <cell r="B818">
            <v>0</v>
          </cell>
          <cell r="C818" t="str">
            <v>Y006-DN</v>
          </cell>
          <cell r="D818" t="str">
            <v>D1325-504NI1A7</v>
          </cell>
          <cell r="E818" t="str">
            <v>1325-CH 半圆饰条(木紋)</v>
          </cell>
          <cell r="F818" t="str">
            <v>1100*10*5</v>
          </cell>
          <cell r="G818">
            <v>1100</v>
          </cell>
          <cell r="H818">
            <v>10</v>
          </cell>
          <cell r="I818">
            <v>5</v>
          </cell>
          <cell r="J818">
            <v>0</v>
          </cell>
          <cell r="K818">
            <v>0</v>
          </cell>
          <cell r="L818">
            <v>0</v>
          </cell>
          <cell r="M818">
            <v>6100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#DIV/0!</v>
          </cell>
        </row>
        <row r="819">
          <cell r="A819" t="str">
            <v>Y006-136</v>
          </cell>
          <cell r="B819">
            <v>0</v>
          </cell>
          <cell r="C819" t="str">
            <v>Y006-DN</v>
          </cell>
          <cell r="D819" t="str">
            <v>N1325-102NI1A7</v>
          </cell>
          <cell r="E819" t="str">
            <v>1325-NS 半圆饰条(木紋)</v>
          </cell>
          <cell r="F819" t="str">
            <v>800*10*5</v>
          </cell>
          <cell r="G819">
            <v>800</v>
          </cell>
          <cell r="H819">
            <v>10</v>
          </cell>
          <cell r="I819">
            <v>5</v>
          </cell>
          <cell r="J819">
            <v>0</v>
          </cell>
          <cell r="K819">
            <v>0</v>
          </cell>
          <cell r="L819">
            <v>0</v>
          </cell>
          <cell r="M819">
            <v>4700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#DIV/0!</v>
          </cell>
        </row>
        <row r="820">
          <cell r="A820" t="str">
            <v>Y006-137</v>
          </cell>
          <cell r="B820">
            <v>0</v>
          </cell>
          <cell r="C820" t="str">
            <v>Y006-DN</v>
          </cell>
          <cell r="D820" t="str">
            <v>B1506-312PA117</v>
          </cell>
          <cell r="E820" t="str">
            <v xml:space="preserve">1506HB DIAMOND QUEEN PANEL HEADBOARD F T LIN </v>
          </cell>
          <cell r="F820" t="str">
            <v>1692*30*12</v>
          </cell>
          <cell r="G820">
            <v>1692</v>
          </cell>
          <cell r="H820">
            <v>30</v>
          </cell>
          <cell r="I820">
            <v>12</v>
          </cell>
          <cell r="J820">
            <v>0</v>
          </cell>
          <cell r="K820">
            <v>0</v>
          </cell>
          <cell r="L820">
            <v>0</v>
          </cell>
          <cell r="M820">
            <v>54600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#DIV/0!</v>
          </cell>
        </row>
        <row r="821">
          <cell r="A821" t="str">
            <v>Y006-138</v>
          </cell>
          <cell r="B821">
            <v>0</v>
          </cell>
          <cell r="C821" t="str">
            <v>Y006-DN</v>
          </cell>
          <cell r="D821" t="str">
            <v>BS005-912PPC17</v>
          </cell>
          <cell r="E821" t="str">
            <v>S005-250 5/0  UPH HEASBOARD CEN BLOCK1 POLY</v>
          </cell>
          <cell r="F821" t="str">
            <v>1538*933*4</v>
          </cell>
          <cell r="G821">
            <v>1538</v>
          </cell>
          <cell r="H821">
            <v>993</v>
          </cell>
          <cell r="I821">
            <v>4</v>
          </cell>
          <cell r="J821">
            <v>0</v>
          </cell>
          <cell r="K821">
            <v>0</v>
          </cell>
          <cell r="L821">
            <v>0</v>
          </cell>
          <cell r="M821">
            <v>38220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#DIV/0!</v>
          </cell>
        </row>
        <row r="822">
          <cell r="A822" t="str">
            <v>Y006-139</v>
          </cell>
          <cell r="B822">
            <v>0</v>
          </cell>
          <cell r="C822" t="str">
            <v>Y006-DN</v>
          </cell>
          <cell r="D822" t="str">
            <v>BS005-922PPC17</v>
          </cell>
          <cell r="E822" t="str">
            <v>S005-270 6/6-6/0 UPH HEASBOARD CEN BLOCK1 POLY</v>
          </cell>
          <cell r="F822" t="str">
            <v>1945*930*4</v>
          </cell>
          <cell r="G822">
            <v>1945</v>
          </cell>
          <cell r="H822">
            <v>930</v>
          </cell>
          <cell r="I822">
            <v>4</v>
          </cell>
          <cell r="J822">
            <v>0</v>
          </cell>
          <cell r="K822">
            <v>0</v>
          </cell>
          <cell r="L822">
            <v>0</v>
          </cell>
          <cell r="M822">
            <v>42685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#DIV/0!</v>
          </cell>
        </row>
        <row r="823">
          <cell r="A823" t="str">
            <v>Y006-140</v>
          </cell>
          <cell r="B823">
            <v>0</v>
          </cell>
          <cell r="C823" t="str">
            <v>Y006-DN</v>
          </cell>
          <cell r="D823" t="str">
            <v>BS005-502PPC17</v>
          </cell>
          <cell r="E823" t="str">
            <v>S005-030 LANDSCAPE MIRROR CEN BLOCK1 POLY</v>
          </cell>
          <cell r="F823" t="str">
            <v>999*878*4</v>
          </cell>
          <cell r="G823">
            <v>999</v>
          </cell>
          <cell r="H823">
            <v>878</v>
          </cell>
          <cell r="I823">
            <v>4</v>
          </cell>
          <cell r="J823">
            <v>0</v>
          </cell>
          <cell r="K823">
            <v>0</v>
          </cell>
          <cell r="L823">
            <v>0</v>
          </cell>
          <cell r="M823">
            <v>41035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#DIV/0!</v>
          </cell>
        </row>
        <row r="824">
          <cell r="A824" t="str">
            <v>Y006-141</v>
          </cell>
          <cell r="B824">
            <v>0</v>
          </cell>
          <cell r="C824" t="str">
            <v>Y006-BD</v>
          </cell>
          <cell r="D824" t="str">
            <v>D0843-007CH127</v>
          </cell>
          <cell r="E824" t="str">
            <v>843-BR31 7 Drawer dressr F FM Ver Ra Lin-1</v>
          </cell>
          <cell r="F824" t="str">
            <v>764*58*5.5</v>
          </cell>
          <cell r="G824">
            <v>764</v>
          </cell>
          <cell r="H824">
            <v>58</v>
          </cell>
          <cell r="I824">
            <v>5.5</v>
          </cell>
          <cell r="J824">
            <v>138</v>
          </cell>
          <cell r="K824">
            <v>0</v>
          </cell>
          <cell r="L824">
            <v>0</v>
          </cell>
          <cell r="M824">
            <v>7800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2.691511387163561</v>
          </cell>
        </row>
        <row r="825">
          <cell r="A825" t="str">
            <v>Y006-142</v>
          </cell>
          <cell r="B825">
            <v>0</v>
          </cell>
          <cell r="C825" t="str">
            <v>Y006-BD</v>
          </cell>
          <cell r="D825" t="str">
            <v>D0843-305CH127</v>
          </cell>
          <cell r="E825" t="str">
            <v>843-BR46 Lingeie chest F FM S Ver Ra Lin-1</v>
          </cell>
          <cell r="F825" t="str">
            <v>1133*58*5.5</v>
          </cell>
          <cell r="G825">
            <v>1133</v>
          </cell>
          <cell r="H825">
            <v>58</v>
          </cell>
          <cell r="I825">
            <v>5.5</v>
          </cell>
          <cell r="J825">
            <v>200</v>
          </cell>
          <cell r="K825">
            <v>0</v>
          </cell>
          <cell r="L825">
            <v>0</v>
          </cell>
          <cell r="M825">
            <v>11400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2.7142857142857144</v>
          </cell>
        </row>
        <row r="826">
          <cell r="A826" t="str">
            <v>Y006-143</v>
          </cell>
          <cell r="B826">
            <v>0</v>
          </cell>
          <cell r="C826" t="str">
            <v>Y006-BD</v>
          </cell>
          <cell r="D826" t="str">
            <v>D0843-505CH127</v>
          </cell>
          <cell r="E826" t="str">
            <v>843-BR41 6 Drawer chest F FM S Ver Ra Lin-1</v>
          </cell>
          <cell r="F826" t="str">
            <v>1171*58*5.5</v>
          </cell>
          <cell r="G826">
            <v>1171</v>
          </cell>
          <cell r="H826">
            <v>58</v>
          </cell>
          <cell r="I826">
            <v>5.5</v>
          </cell>
          <cell r="J826">
            <v>210</v>
          </cell>
          <cell r="K826">
            <v>0</v>
          </cell>
          <cell r="L826">
            <v>0</v>
          </cell>
          <cell r="M826">
            <v>11900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2.6984126984126986</v>
          </cell>
        </row>
        <row r="827">
          <cell r="A827" t="str">
            <v>Y006-144</v>
          </cell>
          <cell r="B827">
            <v>0</v>
          </cell>
          <cell r="C827" t="str">
            <v>Y006-BD</v>
          </cell>
          <cell r="D827" t="str">
            <v>D0843-202CH127</v>
          </cell>
          <cell r="E827" t="str">
            <v>843-BR61 2 Drawer Nightstand  F FM S Ver Ra Lin-1</v>
          </cell>
          <cell r="F827" t="str">
            <v>472*58*5.5</v>
          </cell>
          <cell r="G827">
            <v>472</v>
          </cell>
          <cell r="H827">
            <v>58</v>
          </cell>
          <cell r="I827">
            <v>5.5</v>
          </cell>
          <cell r="J827">
            <v>86</v>
          </cell>
          <cell r="K827">
            <v>0</v>
          </cell>
          <cell r="L827">
            <v>0</v>
          </cell>
          <cell r="M827">
            <v>4900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2.7131782945736438</v>
          </cell>
        </row>
        <row r="828">
          <cell r="A828" t="str">
            <v>Y006-145</v>
          </cell>
          <cell r="B828">
            <v>0</v>
          </cell>
          <cell r="C828" t="str">
            <v>Y006-DN</v>
          </cell>
          <cell r="D828" t="str">
            <v>D0215-505NI 1E7</v>
          </cell>
          <cell r="E828" t="str">
            <v>215-BR41 5 Darawer chest T DAR CEN LIN-1 (POLY)</v>
          </cell>
          <cell r="F828" t="str">
            <v>191*52*4</v>
          </cell>
          <cell r="G828">
            <v>191</v>
          </cell>
          <cell r="H828">
            <v>52</v>
          </cell>
          <cell r="I828">
            <v>4</v>
          </cell>
          <cell r="J828">
            <v>25</v>
          </cell>
          <cell r="K828">
            <v>22</v>
          </cell>
          <cell r="L828">
            <v>0</v>
          </cell>
          <cell r="M828">
            <v>1450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2.7619047619047619</v>
          </cell>
        </row>
        <row r="829">
          <cell r="A829" t="str">
            <v>Y006-146</v>
          </cell>
          <cell r="B829">
            <v>0</v>
          </cell>
          <cell r="C829" t="str">
            <v>Y006-DN</v>
          </cell>
          <cell r="D829" t="str">
            <v>N0215-102CH127</v>
          </cell>
          <cell r="E829" t="str">
            <v>215 BR61 2 DrawerNightstand F FM S Ver Ra LIN-1 (POLY)</v>
          </cell>
          <cell r="F829" t="str">
            <v>154*87.5*4</v>
          </cell>
          <cell r="G829">
            <v>154</v>
          </cell>
          <cell r="H829">
            <v>87.5</v>
          </cell>
          <cell r="I829">
            <v>4</v>
          </cell>
          <cell r="J829">
            <v>25</v>
          </cell>
          <cell r="K829">
            <v>22</v>
          </cell>
          <cell r="L829">
            <v>0</v>
          </cell>
          <cell r="M829">
            <v>1450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2.7619047619047619</v>
          </cell>
        </row>
        <row r="830">
          <cell r="A830" t="str">
            <v>Y006-147</v>
          </cell>
          <cell r="B830">
            <v>0</v>
          </cell>
          <cell r="C830" t="str">
            <v>Y006-DN</v>
          </cell>
          <cell r="D830" t="str">
            <v>N0215-102CH137</v>
          </cell>
          <cell r="E830" t="str">
            <v>215 BR61 2 DrawerNightstand F FM S Ver Ra LIN-1 (POLY)</v>
          </cell>
          <cell r="F830" t="str">
            <v>328*87.5*4</v>
          </cell>
          <cell r="G830">
            <v>328</v>
          </cell>
          <cell r="H830">
            <v>87.5</v>
          </cell>
          <cell r="I830">
            <v>4</v>
          </cell>
          <cell r="J830">
            <v>43</v>
          </cell>
          <cell r="K830">
            <v>38</v>
          </cell>
          <cell r="L830">
            <v>0</v>
          </cell>
          <cell r="M830">
            <v>2530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2.8017718715393136</v>
          </cell>
        </row>
        <row r="831">
          <cell r="A831" t="str">
            <v>Y006-148</v>
          </cell>
          <cell r="B831">
            <v>0</v>
          </cell>
          <cell r="C831" t="str">
            <v>Y006-DN</v>
          </cell>
          <cell r="D831" t="str">
            <v>D0215-006ND1G7</v>
          </cell>
          <cell r="E831" t="str">
            <v>215-BR31 6 Drawer Dresser L T DAR CEN LIN (POLY)</v>
          </cell>
          <cell r="F831" t="str">
            <v>210*52*4</v>
          </cell>
          <cell r="G831">
            <v>210</v>
          </cell>
          <cell r="H831">
            <v>52</v>
          </cell>
          <cell r="I831">
            <v>4</v>
          </cell>
          <cell r="J831">
            <v>26</v>
          </cell>
          <cell r="K831">
            <v>23</v>
          </cell>
          <cell r="L831">
            <v>0</v>
          </cell>
          <cell r="M831">
            <v>1500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2.7472527472527473</v>
          </cell>
        </row>
        <row r="832">
          <cell r="A832" t="str">
            <v>Y006-149</v>
          </cell>
          <cell r="B832">
            <v>0</v>
          </cell>
          <cell r="C832" t="str">
            <v>Y006-DN</v>
          </cell>
          <cell r="D832" t="str">
            <v>D0215-505CH127</v>
          </cell>
          <cell r="E832" t="str">
            <v>215-BR41 5 Darawer chest T DAR CEN LIN-1 (POLY)</v>
          </cell>
          <cell r="F832" t="str">
            <v>211*87.5*4</v>
          </cell>
          <cell r="G832">
            <v>211</v>
          </cell>
          <cell r="H832">
            <v>87.5</v>
          </cell>
          <cell r="I832">
            <v>4</v>
          </cell>
          <cell r="J832">
            <v>30</v>
          </cell>
          <cell r="K832">
            <v>26</v>
          </cell>
          <cell r="L832">
            <v>0</v>
          </cell>
          <cell r="M832">
            <v>1700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2.6984126984126986</v>
          </cell>
        </row>
        <row r="833">
          <cell r="A833" t="str">
            <v>Y006-150</v>
          </cell>
          <cell r="B833">
            <v>0</v>
          </cell>
          <cell r="C833" t="str">
            <v>Y006-DN</v>
          </cell>
          <cell r="D833" t="str">
            <v>D0215-505CH137</v>
          </cell>
          <cell r="E833" t="str">
            <v>215-BR41 5 Darawer chest T DAR CEN LIN-2 (POLY)</v>
          </cell>
          <cell r="F833" t="str">
            <v>904*87.5*4</v>
          </cell>
          <cell r="G833">
            <v>904</v>
          </cell>
          <cell r="H833">
            <v>87.5</v>
          </cell>
          <cell r="I833">
            <v>4</v>
          </cell>
          <cell r="J833">
            <v>98</v>
          </cell>
          <cell r="K833">
            <v>87</v>
          </cell>
          <cell r="L833">
            <v>0</v>
          </cell>
          <cell r="M833">
            <v>5800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2.8182701652089404</v>
          </cell>
        </row>
        <row r="834">
          <cell r="A834" t="str">
            <v>Y006-151</v>
          </cell>
          <cell r="B834">
            <v>0</v>
          </cell>
          <cell r="C834" t="str">
            <v>Y006-DN</v>
          </cell>
          <cell r="D834" t="str">
            <v>B0215-312PHB17</v>
          </cell>
          <cell r="E834" t="str">
            <v>215-BR13 Queen Panel Headboard INNER CRN LIN-1(POLY</v>
          </cell>
          <cell r="F834" t="str">
            <v>693*15*8.5</v>
          </cell>
          <cell r="G834">
            <v>693</v>
          </cell>
          <cell r="H834">
            <v>15</v>
          </cell>
          <cell r="I834">
            <v>8.5</v>
          </cell>
          <cell r="J834">
            <v>133</v>
          </cell>
          <cell r="K834">
            <v>118</v>
          </cell>
          <cell r="L834">
            <v>0</v>
          </cell>
          <cell r="M834">
            <v>7400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2.6494808449695668</v>
          </cell>
        </row>
        <row r="835">
          <cell r="A835" t="str">
            <v>Y006-152</v>
          </cell>
          <cell r="B835">
            <v>0</v>
          </cell>
          <cell r="C835" t="str">
            <v>Y006-DN</v>
          </cell>
          <cell r="D835" t="str">
            <v>B0215-313H8117</v>
          </cell>
          <cell r="E835" t="str">
            <v>215-BR13 Queen Panel FOOTBOARD &amp; SLATS FB POST LIN-1 (POLY</v>
          </cell>
          <cell r="F835" t="str">
            <v>347*87.5*4</v>
          </cell>
          <cell r="G835">
            <v>347</v>
          </cell>
          <cell r="H835">
            <v>87.5</v>
          </cell>
          <cell r="I835">
            <v>4</v>
          </cell>
          <cell r="J835">
            <v>44</v>
          </cell>
          <cell r="K835">
            <v>39</v>
          </cell>
          <cell r="L835">
            <v>0</v>
          </cell>
          <cell r="M835">
            <v>2600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2.8138528138528143</v>
          </cell>
        </row>
        <row r="836">
          <cell r="A836" t="str">
            <v>Y006-153</v>
          </cell>
          <cell r="B836">
            <v>0</v>
          </cell>
          <cell r="C836" t="str">
            <v>Y006-DN</v>
          </cell>
          <cell r="D836" t="str">
            <v>B0215-322PH217</v>
          </cell>
          <cell r="E836" t="str">
            <v>215-BR15 KING PANEL Headboard INNER CRN LIN-L (POLY)</v>
          </cell>
          <cell r="F836" t="str">
            <v>454*15*8.5</v>
          </cell>
          <cell r="G836">
            <v>454</v>
          </cell>
          <cell r="H836">
            <v>15</v>
          </cell>
          <cell r="I836">
            <v>8.5</v>
          </cell>
          <cell r="J836">
            <v>93</v>
          </cell>
          <cell r="K836">
            <v>83</v>
          </cell>
          <cell r="L836">
            <v>0</v>
          </cell>
          <cell r="M836">
            <v>5100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2.6113671274961598</v>
          </cell>
        </row>
        <row r="837">
          <cell r="A837" t="str">
            <v>Y006-154</v>
          </cell>
          <cell r="B837">
            <v>0</v>
          </cell>
          <cell r="C837" t="str">
            <v>Y006-DN</v>
          </cell>
          <cell r="D837" t="str">
            <v>B0215-322PH317</v>
          </cell>
          <cell r="E837" t="str">
            <v>215-BR15 KING PANEL Headboard INNER CRN LIN-R (POLY)</v>
          </cell>
          <cell r="F837" t="str">
            <v>454*15*8.5</v>
          </cell>
          <cell r="G837">
            <v>454</v>
          </cell>
          <cell r="H837">
            <v>15</v>
          </cell>
          <cell r="I837">
            <v>8.5</v>
          </cell>
          <cell r="J837">
            <v>93</v>
          </cell>
          <cell r="K837">
            <v>83</v>
          </cell>
          <cell r="L837">
            <v>0</v>
          </cell>
          <cell r="M837">
            <v>5100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2.6113671274961598</v>
          </cell>
        </row>
        <row r="838">
          <cell r="A838" t="str">
            <v>Y006-155</v>
          </cell>
          <cell r="B838">
            <v>0</v>
          </cell>
          <cell r="C838" t="str">
            <v>Y006-DN</v>
          </cell>
          <cell r="D838" t="str">
            <v>B0215-322PHB17</v>
          </cell>
          <cell r="E838" t="str">
            <v>215-BR15 KING PANEL Headboard INNER CRN LIN-1 (POLY)</v>
          </cell>
          <cell r="F838" t="str">
            <v>952*15*8.5</v>
          </cell>
          <cell r="G838">
            <v>952</v>
          </cell>
          <cell r="H838">
            <v>15</v>
          </cell>
          <cell r="I838">
            <v>8.5</v>
          </cell>
          <cell r="J838">
            <v>190</v>
          </cell>
          <cell r="K838">
            <v>169</v>
          </cell>
          <cell r="L838">
            <v>0</v>
          </cell>
          <cell r="M838">
            <v>10500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2.6315789473684208</v>
          </cell>
        </row>
        <row r="839">
          <cell r="A839" t="str">
            <v>Y006-156</v>
          </cell>
          <cell r="B839">
            <v>0</v>
          </cell>
          <cell r="C839" t="str">
            <v>Y006-DN</v>
          </cell>
          <cell r="D839" t="str">
            <v>B0215-323H8117</v>
          </cell>
          <cell r="E839" t="str">
            <v>215-BR16 KING  Panel FOOTBOARD &amp; SLATS FB POST LIN-1 (POLY</v>
          </cell>
          <cell r="F839" t="str">
            <v>347*87.5*4</v>
          </cell>
          <cell r="G839">
            <v>347</v>
          </cell>
          <cell r="H839">
            <v>87.5</v>
          </cell>
          <cell r="I839">
            <v>4</v>
          </cell>
          <cell r="J839">
            <v>44</v>
          </cell>
          <cell r="K839">
            <v>39</v>
          </cell>
          <cell r="L839">
            <v>0</v>
          </cell>
          <cell r="M839">
            <v>2600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2.8138528138528143</v>
          </cell>
        </row>
        <row r="840">
          <cell r="A840" t="str">
            <v>Y006-157</v>
          </cell>
          <cell r="B840">
            <v>0</v>
          </cell>
          <cell r="C840" t="str">
            <v>Y006-DN</v>
          </cell>
          <cell r="D840" t="str">
            <v>D0215-006CH117</v>
          </cell>
          <cell r="E840" t="str">
            <v>215-BR31 6 Drawer Dresser F FM S Ver Ra LIN-1 (POLY)</v>
          </cell>
          <cell r="F840" t="str">
            <v>230*87.5*4</v>
          </cell>
          <cell r="G840">
            <v>230</v>
          </cell>
          <cell r="H840">
            <v>87.5</v>
          </cell>
          <cell r="I840">
            <v>4</v>
          </cell>
          <cell r="J840">
            <v>33</v>
          </cell>
          <cell r="K840">
            <v>29</v>
          </cell>
          <cell r="L840">
            <v>0</v>
          </cell>
          <cell r="M840">
            <v>1930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2.7849927849927849</v>
          </cell>
        </row>
        <row r="841">
          <cell r="A841" t="str">
            <v>Y006-158</v>
          </cell>
          <cell r="B841">
            <v>0</v>
          </cell>
          <cell r="C841" t="str">
            <v>Y006-DN</v>
          </cell>
          <cell r="D841" t="str">
            <v>D0215-006CH137</v>
          </cell>
          <cell r="E841" t="str">
            <v>215-BR31 6 Drawer Dresser F FM S Ver Ra LIN-2 (POLY)</v>
          </cell>
          <cell r="F841" t="str">
            <v>480*87.5*4</v>
          </cell>
          <cell r="G841">
            <v>480</v>
          </cell>
          <cell r="H841">
            <v>87.5</v>
          </cell>
          <cell r="I841">
            <v>4</v>
          </cell>
          <cell r="J841">
            <v>51</v>
          </cell>
          <cell r="K841">
            <v>45</v>
          </cell>
          <cell r="L841">
            <v>0</v>
          </cell>
          <cell r="M841">
            <v>3000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2.8011204481792715</v>
          </cell>
        </row>
        <row r="842">
          <cell r="A842" t="str">
            <v>Y006-159</v>
          </cell>
          <cell r="B842">
            <v>0</v>
          </cell>
          <cell r="C842" t="str">
            <v>Y006-DN</v>
          </cell>
          <cell r="D842" t="str">
            <v>B0215-312PH217</v>
          </cell>
          <cell r="E842" t="str">
            <v>215-BR31Queen Panel headboard inner T LIN L</v>
          </cell>
          <cell r="F842" t="str">
            <v>388*15*8.5</v>
          </cell>
          <cell r="G842">
            <v>388</v>
          </cell>
          <cell r="H842">
            <v>15</v>
          </cell>
          <cell r="I842">
            <v>8.5</v>
          </cell>
          <cell r="J842">
            <v>67</v>
          </cell>
          <cell r="K842">
            <v>60</v>
          </cell>
          <cell r="L842">
            <v>0</v>
          </cell>
          <cell r="M842">
            <v>3700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2.6297085998578531</v>
          </cell>
        </row>
        <row r="843">
          <cell r="A843" t="str">
            <v>Y006-160</v>
          </cell>
          <cell r="B843">
            <v>0</v>
          </cell>
          <cell r="C843" t="str">
            <v>Y006-DN</v>
          </cell>
          <cell r="D843" t="str">
            <v>B0215-312PH217</v>
          </cell>
          <cell r="E843" t="str">
            <v>215-BR31Queen Panel headboard inner T LIN R</v>
          </cell>
          <cell r="F843" t="str">
            <v>388*15*8.5</v>
          </cell>
          <cell r="G843">
            <v>388</v>
          </cell>
          <cell r="H843">
            <v>15</v>
          </cell>
          <cell r="I843">
            <v>8.5</v>
          </cell>
          <cell r="J843">
            <v>67</v>
          </cell>
          <cell r="K843">
            <v>60</v>
          </cell>
          <cell r="L843">
            <v>0</v>
          </cell>
          <cell r="M843">
            <v>3700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2.6297085998578531</v>
          </cell>
        </row>
        <row r="844">
          <cell r="A844" t="str">
            <v>Y006-161</v>
          </cell>
          <cell r="B844">
            <v>0</v>
          </cell>
          <cell r="C844" t="str">
            <v>Y006-DN</v>
          </cell>
          <cell r="D844" t="str">
            <v>BP018-312PHB17</v>
          </cell>
          <cell r="E844" t="str">
            <v>P018170 5/0 PANNEL HEADBOARD INNER LIN-1</v>
          </cell>
          <cell r="F844" t="str">
            <v>105*10*5.5</v>
          </cell>
          <cell r="G844">
            <v>105</v>
          </cell>
          <cell r="H844">
            <v>10</v>
          </cell>
          <cell r="I844">
            <v>5.5</v>
          </cell>
          <cell r="J844">
            <v>12</v>
          </cell>
          <cell r="K844">
            <v>0</v>
          </cell>
          <cell r="L844">
            <v>0</v>
          </cell>
          <cell r="M844">
            <v>1122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4.4523809523809526</v>
          </cell>
          <cell r="S844">
            <v>1050</v>
          </cell>
        </row>
        <row r="845">
          <cell r="A845" t="str">
            <v>Y006-162</v>
          </cell>
          <cell r="B845">
            <v>0</v>
          </cell>
          <cell r="C845" t="str">
            <v>Y006-DN</v>
          </cell>
          <cell r="D845" t="str">
            <v>BP018-313PHB817</v>
          </cell>
          <cell r="E845" t="str">
            <v>P018170 8/0 panel footboard &amp;slats inner s lin-1</v>
          </cell>
          <cell r="F845" t="str">
            <v>155*40*5.5</v>
          </cell>
          <cell r="G845">
            <v>155</v>
          </cell>
          <cell r="H845">
            <v>40</v>
          </cell>
          <cell r="I845">
            <v>5.5</v>
          </cell>
          <cell r="J845">
            <v>18</v>
          </cell>
          <cell r="K845">
            <v>0</v>
          </cell>
          <cell r="L845">
            <v>0</v>
          </cell>
          <cell r="M845">
            <v>1683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4.4523809523809526</v>
          </cell>
          <cell r="S845">
            <v>1570</v>
          </cell>
        </row>
        <row r="846">
          <cell r="A846" t="str">
            <v>Y006-163</v>
          </cell>
          <cell r="B846">
            <v>0</v>
          </cell>
          <cell r="C846" t="str">
            <v>Y006-DN</v>
          </cell>
          <cell r="D846" t="str">
            <v>DP018-007ND1E7</v>
          </cell>
          <cell r="E846" t="str">
            <v>P018100 dresser  L T dra s lin-1</v>
          </cell>
          <cell r="F846" t="str">
            <v>130*40*5.5</v>
          </cell>
          <cell r="G846">
            <v>130</v>
          </cell>
          <cell r="H846">
            <v>40</v>
          </cell>
          <cell r="I846">
            <v>5.5</v>
          </cell>
          <cell r="J846">
            <v>15</v>
          </cell>
          <cell r="K846">
            <v>0</v>
          </cell>
          <cell r="L846">
            <v>0</v>
          </cell>
          <cell r="M846">
            <v>1403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4.4539682539682541</v>
          </cell>
          <cell r="S846">
            <v>1300</v>
          </cell>
        </row>
        <row r="847">
          <cell r="A847" t="str">
            <v>Y006-164</v>
          </cell>
          <cell r="B847">
            <v>0</v>
          </cell>
          <cell r="C847" t="str">
            <v>Y006-DN</v>
          </cell>
          <cell r="D847" t="str">
            <v>DP018-007NF1E7</v>
          </cell>
          <cell r="E847" t="str">
            <v>P018100 dresser  L BTM  dra s lin-1</v>
          </cell>
          <cell r="F847" t="str">
            <v>207*40*5.5</v>
          </cell>
          <cell r="G847">
            <v>207</v>
          </cell>
          <cell r="H847">
            <v>40</v>
          </cell>
          <cell r="I847">
            <v>5.5</v>
          </cell>
          <cell r="J847">
            <v>22</v>
          </cell>
          <cell r="K847">
            <v>0</v>
          </cell>
          <cell r="L847">
            <v>0</v>
          </cell>
          <cell r="M847">
            <v>2058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4.4545454545454541</v>
          </cell>
          <cell r="S847">
            <v>1920</v>
          </cell>
        </row>
        <row r="848">
          <cell r="A848" t="str">
            <v>Y006-165</v>
          </cell>
          <cell r="B848">
            <v>0</v>
          </cell>
          <cell r="C848" t="str">
            <v>Y006-DN</v>
          </cell>
          <cell r="D848" t="str">
            <v>DP018-505NK1E7</v>
          </cell>
          <cell r="E848" t="str">
            <v>P018124 drawer chest cen dra lin -1</v>
          </cell>
          <cell r="F848" t="str">
            <v>188*40*5.5</v>
          </cell>
          <cell r="G848">
            <v>188</v>
          </cell>
          <cell r="H848">
            <v>40</v>
          </cell>
          <cell r="I848">
            <v>5.5</v>
          </cell>
          <cell r="J848">
            <v>20</v>
          </cell>
          <cell r="K848">
            <v>0</v>
          </cell>
          <cell r="L848">
            <v>0</v>
          </cell>
          <cell r="M848">
            <v>1870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4.4523809523809526</v>
          </cell>
          <cell r="S848">
            <v>1750</v>
          </cell>
        </row>
        <row r="849">
          <cell r="A849" t="str">
            <v>Y006-166</v>
          </cell>
          <cell r="B849">
            <v>0</v>
          </cell>
          <cell r="C849" t="str">
            <v>Y006-DN</v>
          </cell>
          <cell r="D849" t="str">
            <v>DP018-902NI1F7</v>
          </cell>
          <cell r="E849" t="str">
            <v>P018145 media chest T dra S lin -1</v>
          </cell>
          <cell r="F849" t="str">
            <v>175*40*5.5</v>
          </cell>
          <cell r="G849">
            <v>175</v>
          </cell>
          <cell r="H849">
            <v>40</v>
          </cell>
          <cell r="I849">
            <v>5.5</v>
          </cell>
          <cell r="J849">
            <v>19</v>
          </cell>
          <cell r="K849">
            <v>0</v>
          </cell>
          <cell r="L849">
            <v>0</v>
          </cell>
          <cell r="M849">
            <v>1777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4.4536340852130323</v>
          </cell>
          <cell r="S849">
            <v>1650</v>
          </cell>
        </row>
        <row r="850">
          <cell r="A850" t="str">
            <v>Y006-167</v>
          </cell>
          <cell r="B850">
            <v>0</v>
          </cell>
          <cell r="C850" t="str">
            <v>Y006-DN</v>
          </cell>
          <cell r="D850" t="str">
            <v>NP018-102NIF7</v>
          </cell>
          <cell r="E850" t="str">
            <v>P018140 Nightstand T dra Lin -1</v>
          </cell>
          <cell r="F850" t="str">
            <v>150*40*5.5</v>
          </cell>
          <cell r="G850">
            <v>150</v>
          </cell>
          <cell r="H850">
            <v>40</v>
          </cell>
          <cell r="I850">
            <v>5.5</v>
          </cell>
          <cell r="J850">
            <v>17</v>
          </cell>
          <cell r="K850">
            <v>0</v>
          </cell>
          <cell r="L850">
            <v>0</v>
          </cell>
          <cell r="M850">
            <v>1590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4.4537815126050413</v>
          </cell>
          <cell r="S850">
            <v>1480</v>
          </cell>
        </row>
        <row r="851">
          <cell r="A851" t="str">
            <v>Y006-168</v>
          </cell>
          <cell r="B851">
            <v>0</v>
          </cell>
          <cell r="C851" t="str">
            <v>Y006-DN</v>
          </cell>
          <cell r="D851" t="str">
            <v>D0215-903CH127</v>
          </cell>
          <cell r="E851" t="str">
            <v>215-BR45 MEDIA CHEST F FM S VER RA LIN-1</v>
          </cell>
          <cell r="F851" t="str">
            <v>178*87.5*4</v>
          </cell>
          <cell r="G851">
            <v>178</v>
          </cell>
          <cell r="H851">
            <v>87.5</v>
          </cell>
          <cell r="I851">
            <v>4</v>
          </cell>
          <cell r="J851">
            <v>0</v>
          </cell>
          <cell r="K851">
            <v>0</v>
          </cell>
          <cell r="L851">
            <v>0</v>
          </cell>
          <cell r="M851">
            <v>1950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#DIV/0!</v>
          </cell>
        </row>
        <row r="852">
          <cell r="A852" t="str">
            <v>Y006-169</v>
          </cell>
          <cell r="B852">
            <v>0</v>
          </cell>
          <cell r="C852" t="str">
            <v>Y006-DN</v>
          </cell>
          <cell r="D852" t="str">
            <v>D0215-903CH137</v>
          </cell>
          <cell r="E852" t="str">
            <v>215-BR45 MEDIA CHEST F FM S VER RA LIN-2</v>
          </cell>
          <cell r="F852" t="str">
            <v>532*87.5*4</v>
          </cell>
          <cell r="G852">
            <v>532</v>
          </cell>
          <cell r="H852">
            <v>87.5</v>
          </cell>
          <cell r="I852">
            <v>4</v>
          </cell>
          <cell r="J852">
            <v>0</v>
          </cell>
          <cell r="K852">
            <v>0</v>
          </cell>
          <cell r="L852">
            <v>0</v>
          </cell>
          <cell r="M852">
            <v>4400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#DIV/0!</v>
          </cell>
        </row>
        <row r="853">
          <cell r="A853" t="str">
            <v>Y006-170</v>
          </cell>
          <cell r="B853">
            <v>0</v>
          </cell>
          <cell r="C853" t="str">
            <v>Y006-DN</v>
          </cell>
          <cell r="D853" t="str">
            <v>D0215-CH727</v>
          </cell>
          <cell r="E853" t="str">
            <v>215-BR45 MEDIA CHEST F FM S CEN RA LIN-1</v>
          </cell>
          <cell r="F853" t="str">
            <v>158*52*4</v>
          </cell>
          <cell r="G853">
            <v>158</v>
          </cell>
          <cell r="H853">
            <v>52</v>
          </cell>
          <cell r="I853">
            <v>4</v>
          </cell>
          <cell r="J853">
            <v>0</v>
          </cell>
          <cell r="K853">
            <v>0</v>
          </cell>
          <cell r="L853">
            <v>0</v>
          </cell>
          <cell r="M853">
            <v>1600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#DIV/0!</v>
          </cell>
        </row>
        <row r="854">
          <cell r="A854" t="str">
            <v>Y006-171</v>
          </cell>
          <cell r="B854">
            <v>0</v>
          </cell>
          <cell r="C854" t="str">
            <v>Y006-DN</v>
          </cell>
          <cell r="D854" t="str">
            <v>D0215-CH737</v>
          </cell>
          <cell r="E854" t="str">
            <v>215-BR45 MEDIA CHEST F FM S CEN RA LIN-2</v>
          </cell>
          <cell r="F854" t="str">
            <v>512*52*4</v>
          </cell>
          <cell r="G854">
            <v>512</v>
          </cell>
          <cell r="H854">
            <v>52</v>
          </cell>
          <cell r="I854">
            <v>4</v>
          </cell>
          <cell r="J854">
            <v>0</v>
          </cell>
          <cell r="K854">
            <v>0</v>
          </cell>
          <cell r="L854">
            <v>0</v>
          </cell>
          <cell r="M854">
            <v>4300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#DIV/0!</v>
          </cell>
        </row>
        <row r="855">
          <cell r="A855" t="str">
            <v>Y006-172</v>
          </cell>
          <cell r="B855">
            <v>0</v>
          </cell>
          <cell r="C855" t="str">
            <v>Y006-DN</v>
          </cell>
          <cell r="D855" t="str">
            <v>N0620-102P1617</v>
          </cell>
          <cell r="E855" t="str">
            <v>620-BR Nihtstand s pilaster btm</v>
          </cell>
          <cell r="F855" t="str">
            <v>526*80*53*5</v>
          </cell>
          <cell r="G855">
            <v>526</v>
          </cell>
          <cell r="H855">
            <v>80</v>
          </cell>
          <cell r="I855">
            <v>53.5</v>
          </cell>
          <cell r="J855">
            <v>1142</v>
          </cell>
          <cell r="K855">
            <v>0</v>
          </cell>
          <cell r="L855">
            <v>0</v>
          </cell>
          <cell r="M855">
            <v>70454</v>
          </cell>
          <cell r="N855">
            <v>379</v>
          </cell>
          <cell r="O855">
            <v>0</v>
          </cell>
          <cell r="P855">
            <v>0</v>
          </cell>
          <cell r="Q855">
            <v>0</v>
          </cell>
          <cell r="R855">
            <v>2.9377866733383375</v>
          </cell>
        </row>
        <row r="856">
          <cell r="A856" t="str">
            <v>Y006-173</v>
          </cell>
          <cell r="B856">
            <v>0</v>
          </cell>
          <cell r="C856" t="str">
            <v>Y006-DN</v>
          </cell>
          <cell r="D856" t="str">
            <v>BS136-856PAL17</v>
          </cell>
          <cell r="E856" t="str">
            <v>115-S136-801 trundle storage unit P cen lin-1</v>
          </cell>
          <cell r="F856" t="str">
            <v>471*146*13.6</v>
          </cell>
          <cell r="G856">
            <v>471</v>
          </cell>
          <cell r="H856">
            <v>146</v>
          </cell>
          <cell r="I856">
            <v>13.6</v>
          </cell>
          <cell r="J856">
            <v>355</v>
          </cell>
          <cell r="K856">
            <v>0</v>
          </cell>
          <cell r="L856">
            <v>0</v>
          </cell>
          <cell r="M856">
            <v>22250</v>
          </cell>
          <cell r="N856">
            <v>0</v>
          </cell>
          <cell r="O856">
            <v>0</v>
          </cell>
          <cell r="P856">
            <v>0</v>
          </cell>
          <cell r="Q856" t="str">
            <v>1010</v>
          </cell>
          <cell r="R856">
            <v>2.9845741113346751</v>
          </cell>
          <cell r="S856">
            <v>0</v>
          </cell>
        </row>
        <row r="857">
          <cell r="A857" t="str">
            <v>Y006-174</v>
          </cell>
          <cell r="B857">
            <v>0</v>
          </cell>
          <cell r="C857" t="str">
            <v>Y006-DN</v>
          </cell>
          <cell r="D857" t="str">
            <v>DS136-004NQ1C7</v>
          </cell>
          <cell r="E857" t="str">
            <v>115-S136-409 Single dresser btm dra cen lin-1</v>
          </cell>
          <cell r="F857" t="str">
            <v>893*120*13.5</v>
          </cell>
          <cell r="G857">
            <v>893</v>
          </cell>
          <cell r="H857">
            <v>120</v>
          </cell>
          <cell r="I857">
            <v>13.5</v>
          </cell>
          <cell r="J857">
            <v>588</v>
          </cell>
          <cell r="K857">
            <v>0</v>
          </cell>
          <cell r="L857">
            <v>0</v>
          </cell>
          <cell r="M857">
            <v>36840</v>
          </cell>
          <cell r="N857">
            <v>0</v>
          </cell>
          <cell r="O857">
            <v>0</v>
          </cell>
          <cell r="P857">
            <v>0</v>
          </cell>
          <cell r="Q857" t="str">
            <v>1010</v>
          </cell>
          <cell r="R857">
            <v>2.9834791059280859</v>
          </cell>
          <cell r="S857">
            <v>0</v>
          </cell>
        </row>
        <row r="858">
          <cell r="A858" t="str">
            <v>Y006-175</v>
          </cell>
          <cell r="B858">
            <v>0</v>
          </cell>
          <cell r="C858" t="str">
            <v>Y006-DN</v>
          </cell>
          <cell r="D858" t="str">
            <v>DS136-004PA217</v>
          </cell>
          <cell r="E858" t="str">
            <v>115-s136-409 single dresser f t s lin-1</v>
          </cell>
          <cell r="F858" t="str">
            <v>92*32*6.5</v>
          </cell>
          <cell r="G858">
            <v>92</v>
          </cell>
          <cell r="H858">
            <v>32</v>
          </cell>
          <cell r="I858">
            <v>6.5</v>
          </cell>
          <cell r="J858">
            <v>17</v>
          </cell>
          <cell r="K858">
            <v>0</v>
          </cell>
          <cell r="L858">
            <v>0</v>
          </cell>
          <cell r="M858">
            <v>1394</v>
          </cell>
          <cell r="N858">
            <v>0</v>
          </cell>
          <cell r="O858">
            <v>0</v>
          </cell>
          <cell r="P858">
            <v>0</v>
          </cell>
          <cell r="Q858" t="str">
            <v>1010</v>
          </cell>
          <cell r="R858">
            <v>3.9047619047619047</v>
          </cell>
          <cell r="S858">
            <v>0</v>
          </cell>
        </row>
        <row r="859">
          <cell r="A859" t="str">
            <v>Y006-176</v>
          </cell>
          <cell r="B859">
            <v>0</v>
          </cell>
          <cell r="C859" t="str">
            <v>Y006-DN</v>
          </cell>
          <cell r="D859" t="str">
            <v>DS136-004PPJ17</v>
          </cell>
          <cell r="E859" t="str">
            <v>115-s136-409 single dresser btm block1</v>
          </cell>
          <cell r="F859" t="str">
            <v>240*76*6</v>
          </cell>
          <cell r="G859">
            <v>240</v>
          </cell>
          <cell r="H859">
            <v>76</v>
          </cell>
          <cell r="I859">
            <v>6</v>
          </cell>
          <cell r="J859">
            <v>66</v>
          </cell>
          <cell r="K859">
            <v>0</v>
          </cell>
          <cell r="L859">
            <v>0</v>
          </cell>
          <cell r="M859">
            <v>4176</v>
          </cell>
          <cell r="N859">
            <v>0</v>
          </cell>
          <cell r="O859">
            <v>0</v>
          </cell>
          <cell r="P859">
            <v>0</v>
          </cell>
          <cell r="Q859" t="str">
            <v>1010</v>
          </cell>
          <cell r="R859">
            <v>3.0129870129870131</v>
          </cell>
          <cell r="S859">
            <v>0</v>
          </cell>
        </row>
        <row r="860">
          <cell r="A860" t="str">
            <v>Y006-177</v>
          </cell>
          <cell r="B860">
            <v>0</v>
          </cell>
          <cell r="C860" t="str">
            <v>Y006-DN</v>
          </cell>
          <cell r="D860" t="str">
            <v>DS136-006NQ1C7</v>
          </cell>
          <cell r="E860" t="str">
            <v>115-s136-443 semainierv btm dra cen lin-1</v>
          </cell>
          <cell r="F860" t="str">
            <v>417*119*13.5</v>
          </cell>
          <cell r="G860">
            <v>417</v>
          </cell>
          <cell r="H860">
            <v>119</v>
          </cell>
          <cell r="I860">
            <v>13.5</v>
          </cell>
          <cell r="J860">
            <v>299</v>
          </cell>
          <cell r="K860">
            <v>0</v>
          </cell>
          <cell r="L860">
            <v>0</v>
          </cell>
          <cell r="M860">
            <v>18750</v>
          </cell>
          <cell r="N860">
            <v>0</v>
          </cell>
          <cell r="O860">
            <v>0</v>
          </cell>
          <cell r="P860">
            <v>0</v>
          </cell>
          <cell r="Q860" t="str">
            <v>1010</v>
          </cell>
          <cell r="R860">
            <v>2.9861442904921165</v>
          </cell>
          <cell r="S860">
            <v>0</v>
          </cell>
        </row>
        <row r="861">
          <cell r="A861" t="str">
            <v>Y006-178</v>
          </cell>
          <cell r="B861">
            <v>0</v>
          </cell>
          <cell r="C861" t="str">
            <v>Y006-DN</v>
          </cell>
          <cell r="D861" t="str">
            <v>DS136-006PA217</v>
          </cell>
          <cell r="E861" t="str">
            <v>115-s136-443 semainierv f t s lin-1</v>
          </cell>
          <cell r="F861" t="str">
            <v>92*32*6.5</v>
          </cell>
          <cell r="G861">
            <v>92</v>
          </cell>
          <cell r="H861">
            <v>32</v>
          </cell>
          <cell r="I861">
            <v>6.5</v>
          </cell>
          <cell r="J861">
            <v>17</v>
          </cell>
          <cell r="K861">
            <v>0</v>
          </cell>
          <cell r="L861">
            <v>0</v>
          </cell>
          <cell r="M861">
            <v>1394</v>
          </cell>
          <cell r="N861">
            <v>0</v>
          </cell>
          <cell r="O861">
            <v>0</v>
          </cell>
          <cell r="P861">
            <v>0</v>
          </cell>
          <cell r="Q861" t="str">
            <v>1010</v>
          </cell>
          <cell r="R861">
            <v>3.9047619047619047</v>
          </cell>
          <cell r="S861">
            <v>0</v>
          </cell>
        </row>
        <row r="862">
          <cell r="A862" t="str">
            <v>Y006-179</v>
          </cell>
          <cell r="B862">
            <v>0</v>
          </cell>
          <cell r="C862" t="str">
            <v>Y006-DN</v>
          </cell>
          <cell r="D862" t="str">
            <v>DS136-006PPJ17</v>
          </cell>
          <cell r="E862" t="str">
            <v>115-s136-443 semainierv btm block1</v>
          </cell>
          <cell r="F862" t="str">
            <v>240*76*6</v>
          </cell>
          <cell r="G862">
            <v>240</v>
          </cell>
          <cell r="H862">
            <v>76</v>
          </cell>
          <cell r="I862">
            <v>6</v>
          </cell>
          <cell r="J862">
            <v>66</v>
          </cell>
          <cell r="K862">
            <v>0</v>
          </cell>
          <cell r="L862">
            <v>0</v>
          </cell>
          <cell r="M862">
            <v>4176</v>
          </cell>
          <cell r="N862">
            <v>0</v>
          </cell>
          <cell r="O862">
            <v>0</v>
          </cell>
          <cell r="P862">
            <v>0</v>
          </cell>
          <cell r="Q862" t="str">
            <v>1010</v>
          </cell>
          <cell r="R862">
            <v>3.0129870129870131</v>
          </cell>
          <cell r="S862">
            <v>0</v>
          </cell>
        </row>
        <row r="863">
          <cell r="A863" t="str">
            <v>Y006-180</v>
          </cell>
          <cell r="B863">
            <v>0</v>
          </cell>
          <cell r="C863" t="str">
            <v>Y006-DN</v>
          </cell>
          <cell r="D863" t="str">
            <v>DS136-009NF1G7</v>
          </cell>
          <cell r="E863" t="str">
            <v xml:space="preserve">115-s136-410 dresser I btm dra cen lin </v>
          </cell>
          <cell r="F863" t="str">
            <v>277*146*13.5</v>
          </cell>
          <cell r="G863">
            <v>277</v>
          </cell>
          <cell r="H863">
            <v>146</v>
          </cell>
          <cell r="I863">
            <v>13.5</v>
          </cell>
          <cell r="J863">
            <v>227</v>
          </cell>
          <cell r="K863">
            <v>0</v>
          </cell>
          <cell r="L863">
            <v>0</v>
          </cell>
          <cell r="M863">
            <v>14230</v>
          </cell>
          <cell r="N863">
            <v>0</v>
          </cell>
          <cell r="O863">
            <v>0</v>
          </cell>
          <cell r="P863">
            <v>0</v>
          </cell>
          <cell r="Q863" t="str">
            <v>1010</v>
          </cell>
          <cell r="R863">
            <v>2.9851059366477868</v>
          </cell>
          <cell r="S863">
            <v>0</v>
          </cell>
        </row>
        <row r="864">
          <cell r="A864" t="str">
            <v>Y006-181</v>
          </cell>
          <cell r="B864">
            <v>0</v>
          </cell>
          <cell r="C864" t="str">
            <v>Y006-DN</v>
          </cell>
          <cell r="D864" t="str">
            <v>DS136-009NJ1G7</v>
          </cell>
          <cell r="E864" t="str">
            <v>115-s136-410 dresser t cen dra cen lin</v>
          </cell>
          <cell r="F864" t="str">
            <v>263*70*7</v>
          </cell>
          <cell r="G864">
            <v>263</v>
          </cell>
          <cell r="H864">
            <v>70</v>
          </cell>
          <cell r="I864">
            <v>7</v>
          </cell>
          <cell r="J864">
            <v>65</v>
          </cell>
          <cell r="K864">
            <v>0</v>
          </cell>
          <cell r="L864">
            <v>0</v>
          </cell>
          <cell r="M864">
            <v>4150</v>
          </cell>
          <cell r="N864">
            <v>0</v>
          </cell>
          <cell r="O864">
            <v>0</v>
          </cell>
          <cell r="P864">
            <v>0</v>
          </cell>
          <cell r="Q864" t="str">
            <v>1010</v>
          </cell>
          <cell r="R864">
            <v>3.0402930402930401</v>
          </cell>
          <cell r="S864">
            <v>0</v>
          </cell>
        </row>
        <row r="865">
          <cell r="A865" t="str">
            <v>Y006-182</v>
          </cell>
          <cell r="B865">
            <v>0</v>
          </cell>
          <cell r="C865" t="str">
            <v>Y006-DN</v>
          </cell>
          <cell r="D865" t="str">
            <v>DS136-009NR1G7</v>
          </cell>
          <cell r="E865" t="str">
            <v>115-s136-410 dresser btm cen dra cen lin</v>
          </cell>
          <cell r="F865" t="str">
            <v>544*146*13.5</v>
          </cell>
          <cell r="G865">
            <v>544</v>
          </cell>
          <cell r="H865">
            <v>146</v>
          </cell>
          <cell r="I865">
            <v>13.5</v>
          </cell>
          <cell r="J865">
            <v>417</v>
          </cell>
          <cell r="K865">
            <v>0</v>
          </cell>
          <cell r="L865">
            <v>0</v>
          </cell>
          <cell r="M865">
            <v>26130</v>
          </cell>
          <cell r="N865">
            <v>0</v>
          </cell>
          <cell r="O865">
            <v>0</v>
          </cell>
          <cell r="P865">
            <v>0</v>
          </cell>
          <cell r="Q865" t="str">
            <v>1010</v>
          </cell>
          <cell r="R865">
            <v>2.9838985954093866</v>
          </cell>
          <cell r="S865">
            <v>0</v>
          </cell>
        </row>
        <row r="866">
          <cell r="A866" t="str">
            <v>Y006-183</v>
          </cell>
          <cell r="B866">
            <v>0</v>
          </cell>
          <cell r="C866" t="str">
            <v>Y006-DN</v>
          </cell>
          <cell r="D866" t="str">
            <v>BS136-343PAL17</v>
          </cell>
          <cell r="E866" t="str">
            <v>115-S136-531 3/3 footboard f cen lin-1</v>
          </cell>
          <cell r="F866" t="str">
            <v>822*126*13.5</v>
          </cell>
          <cell r="G866">
            <v>822</v>
          </cell>
          <cell r="H866">
            <v>126</v>
          </cell>
          <cell r="I866">
            <v>13.5</v>
          </cell>
          <cell r="J866">
            <v>563</v>
          </cell>
          <cell r="K866">
            <v>0</v>
          </cell>
          <cell r="L866">
            <v>0</v>
          </cell>
          <cell r="M866">
            <v>35280</v>
          </cell>
          <cell r="N866">
            <v>0</v>
          </cell>
          <cell r="O866">
            <v>0</v>
          </cell>
          <cell r="P866">
            <v>0</v>
          </cell>
          <cell r="Q866" t="str">
            <v>1010</v>
          </cell>
          <cell r="R866">
            <v>2.9840142095914746</v>
          </cell>
          <cell r="S866">
            <v>0</v>
          </cell>
        </row>
        <row r="867">
          <cell r="A867" t="str">
            <v>Y006-184</v>
          </cell>
          <cell r="B867">
            <v>0</v>
          </cell>
          <cell r="C867" t="str">
            <v>Y006-DN</v>
          </cell>
          <cell r="D867" t="str">
            <v>BS136-343PPJ17</v>
          </cell>
          <cell r="E867" t="str">
            <v>115-s136-531 3/3 footboard btm block1</v>
          </cell>
          <cell r="F867" t="str">
            <v>240*76*6</v>
          </cell>
          <cell r="G867">
            <v>240</v>
          </cell>
          <cell r="H867">
            <v>76</v>
          </cell>
          <cell r="I867">
            <v>6</v>
          </cell>
          <cell r="J867">
            <v>66</v>
          </cell>
          <cell r="K867">
            <v>0</v>
          </cell>
          <cell r="L867">
            <v>0</v>
          </cell>
          <cell r="M867">
            <v>4176</v>
          </cell>
          <cell r="N867">
            <v>0</v>
          </cell>
          <cell r="O867">
            <v>0</v>
          </cell>
          <cell r="P867">
            <v>0</v>
          </cell>
          <cell r="Q867" t="str">
            <v>1010</v>
          </cell>
          <cell r="R867">
            <v>3.0129870129870131</v>
          </cell>
          <cell r="S867">
            <v>0</v>
          </cell>
        </row>
        <row r="868">
          <cell r="A868" t="str">
            <v>Y006-185</v>
          </cell>
          <cell r="B868">
            <v>0</v>
          </cell>
          <cell r="C868" t="str">
            <v>Y006-DN</v>
          </cell>
          <cell r="D868" t="str">
            <v>BS136-353PAL17</v>
          </cell>
          <cell r="E868" t="str">
            <v>115-s136-531 4/6 footboard f cen lin-1</v>
          </cell>
          <cell r="F868" t="str">
            <v>1212*126*13.5</v>
          </cell>
          <cell r="G868">
            <v>1212</v>
          </cell>
          <cell r="H868">
            <v>126</v>
          </cell>
          <cell r="I868">
            <v>13.5</v>
          </cell>
          <cell r="J868">
            <v>807</v>
          </cell>
          <cell r="K868">
            <v>0</v>
          </cell>
          <cell r="L868">
            <v>0</v>
          </cell>
          <cell r="M868">
            <v>50570</v>
          </cell>
          <cell r="N868">
            <v>0</v>
          </cell>
          <cell r="O868">
            <v>0</v>
          </cell>
          <cell r="P868">
            <v>0</v>
          </cell>
          <cell r="Q868" t="str">
            <v>1010</v>
          </cell>
          <cell r="R868">
            <v>2.9840089691390803</v>
          </cell>
          <cell r="S868">
            <v>0</v>
          </cell>
        </row>
        <row r="869">
          <cell r="A869" t="str">
            <v>Y006-186</v>
          </cell>
          <cell r="B869">
            <v>0</v>
          </cell>
          <cell r="C869" t="str">
            <v>Y006-DN</v>
          </cell>
          <cell r="D869" t="str">
            <v>BS136-353PPJ17</v>
          </cell>
          <cell r="E869" t="str">
            <v>115-s136-531 4/6 footboard brm block1</v>
          </cell>
          <cell r="F869" t="str">
            <v>240*76*6</v>
          </cell>
          <cell r="G869">
            <v>240</v>
          </cell>
          <cell r="H869">
            <v>76</v>
          </cell>
          <cell r="I869">
            <v>6</v>
          </cell>
          <cell r="J869">
            <v>66</v>
          </cell>
          <cell r="K869">
            <v>0</v>
          </cell>
          <cell r="L869">
            <v>0</v>
          </cell>
          <cell r="M869">
            <v>4176</v>
          </cell>
          <cell r="N869">
            <v>0</v>
          </cell>
          <cell r="O869">
            <v>0</v>
          </cell>
          <cell r="P869">
            <v>0</v>
          </cell>
          <cell r="Q869" t="str">
            <v>1010</v>
          </cell>
          <cell r="R869">
            <v>3.0129870129870131</v>
          </cell>
          <cell r="S869">
            <v>0</v>
          </cell>
        </row>
        <row r="870">
          <cell r="A870" t="str">
            <v>Y006-187</v>
          </cell>
          <cell r="B870">
            <v>0</v>
          </cell>
          <cell r="C870" t="str">
            <v>Y006-DN</v>
          </cell>
          <cell r="D870" t="str">
            <v>BS136-457PA217</v>
          </cell>
          <cell r="E870" t="str">
            <v>115-s136-750 3/3 day bed ends f t s lin-1</v>
          </cell>
          <cell r="F870" t="str">
            <v>213*50*7</v>
          </cell>
          <cell r="G870">
            <v>213</v>
          </cell>
          <cell r="H870">
            <v>50</v>
          </cell>
          <cell r="I870">
            <v>7</v>
          </cell>
          <cell r="J870">
            <v>58</v>
          </cell>
          <cell r="K870">
            <v>0</v>
          </cell>
          <cell r="L870">
            <v>0</v>
          </cell>
          <cell r="M870">
            <v>3670</v>
          </cell>
          <cell r="N870">
            <v>0</v>
          </cell>
          <cell r="O870">
            <v>0</v>
          </cell>
          <cell r="P870">
            <v>0</v>
          </cell>
          <cell r="Q870" t="str">
            <v>1010</v>
          </cell>
          <cell r="R870">
            <v>3.0131362889983579</v>
          </cell>
          <cell r="S870">
            <v>0</v>
          </cell>
        </row>
        <row r="871">
          <cell r="A871" t="str">
            <v>Y006-188</v>
          </cell>
          <cell r="B871">
            <v>0</v>
          </cell>
          <cell r="C871" t="str">
            <v>Y006-DN</v>
          </cell>
          <cell r="D871" t="str">
            <v>BS136-457PRA17</v>
          </cell>
          <cell r="E871" t="str">
            <v>115-s136-750 3/3 day bed ends f leg l</v>
          </cell>
          <cell r="F871" t="str">
            <v>147*80*80</v>
          </cell>
          <cell r="G871">
            <v>147</v>
          </cell>
          <cell r="H871">
            <v>80</v>
          </cell>
          <cell r="I871">
            <v>80</v>
          </cell>
          <cell r="J871">
            <v>280</v>
          </cell>
          <cell r="K871">
            <v>0</v>
          </cell>
          <cell r="L871">
            <v>0</v>
          </cell>
          <cell r="M871">
            <v>17720</v>
          </cell>
          <cell r="N871">
            <v>0</v>
          </cell>
          <cell r="O871">
            <v>0</v>
          </cell>
          <cell r="P871">
            <v>0</v>
          </cell>
          <cell r="Q871" t="str">
            <v>5510</v>
          </cell>
          <cell r="R871">
            <v>3.0136054421768708</v>
          </cell>
          <cell r="S871">
            <v>0</v>
          </cell>
        </row>
        <row r="872">
          <cell r="A872" t="str">
            <v>Y006-189</v>
          </cell>
          <cell r="B872">
            <v>0</v>
          </cell>
          <cell r="C872" t="str">
            <v>Y006-DN</v>
          </cell>
          <cell r="D872" t="str">
            <v>BS136-457PRD17</v>
          </cell>
          <cell r="E872" t="str">
            <v>115-s136-750 3/3 day bed ends f leg r</v>
          </cell>
          <cell r="F872" t="str">
            <v>147*80*80</v>
          </cell>
          <cell r="G872">
            <v>147</v>
          </cell>
          <cell r="H872">
            <v>80</v>
          </cell>
          <cell r="I872">
            <v>80</v>
          </cell>
          <cell r="J872">
            <v>280</v>
          </cell>
          <cell r="K872">
            <v>0</v>
          </cell>
          <cell r="L872">
            <v>0</v>
          </cell>
          <cell r="M872">
            <v>17720</v>
          </cell>
          <cell r="N872">
            <v>0</v>
          </cell>
          <cell r="O872">
            <v>0</v>
          </cell>
          <cell r="P872">
            <v>0</v>
          </cell>
          <cell r="Q872" t="str">
            <v>5510</v>
          </cell>
          <cell r="R872">
            <v>3.0136054421768708</v>
          </cell>
          <cell r="S872">
            <v>0</v>
          </cell>
        </row>
        <row r="873">
          <cell r="A873" t="str">
            <v>Y006-190</v>
          </cell>
          <cell r="B873">
            <v>0</v>
          </cell>
          <cell r="C873" t="str">
            <v>Y006-DN</v>
          </cell>
          <cell r="D873" t="str">
            <v>BS136-743PPJ17</v>
          </cell>
          <cell r="E873" t="str">
            <v>115-s136-534 3/3 storage footbaoard(w/o slats)btm block1</v>
          </cell>
          <cell r="F873" t="str">
            <v>240*76*6</v>
          </cell>
          <cell r="G873">
            <v>240</v>
          </cell>
          <cell r="H873">
            <v>76</v>
          </cell>
          <cell r="I873">
            <v>6</v>
          </cell>
          <cell r="J873">
            <v>66</v>
          </cell>
          <cell r="K873">
            <v>0</v>
          </cell>
          <cell r="L873">
            <v>0</v>
          </cell>
          <cell r="M873">
            <v>4176</v>
          </cell>
          <cell r="N873">
            <v>0</v>
          </cell>
          <cell r="O873">
            <v>0</v>
          </cell>
          <cell r="P873">
            <v>0</v>
          </cell>
          <cell r="Q873" t="str">
            <v>1010</v>
          </cell>
          <cell r="R873">
            <v>3.0129870129870131</v>
          </cell>
          <cell r="S873">
            <v>0</v>
          </cell>
        </row>
        <row r="874">
          <cell r="A874" t="str">
            <v>Y006-191</v>
          </cell>
          <cell r="B874">
            <v>0</v>
          </cell>
          <cell r="C874" t="str">
            <v>Y006-DN</v>
          </cell>
          <cell r="D874" t="str">
            <v>BS136-753ND1G7</v>
          </cell>
          <cell r="E874" t="str">
            <v>115-s136-536 4/6 storage footbaoard(w/o slats) l t dra cen lin</v>
          </cell>
          <cell r="F874" t="str">
            <v>534*126*13.5</v>
          </cell>
          <cell r="G874">
            <v>534</v>
          </cell>
          <cell r="H874">
            <v>126</v>
          </cell>
          <cell r="I874">
            <v>13.5</v>
          </cell>
          <cell r="J874">
            <v>387</v>
          </cell>
          <cell r="K874">
            <v>0</v>
          </cell>
          <cell r="L874">
            <v>0</v>
          </cell>
          <cell r="M874">
            <v>24250</v>
          </cell>
          <cell r="N874">
            <v>0</v>
          </cell>
          <cell r="O874">
            <v>0</v>
          </cell>
          <cell r="P874">
            <v>0</v>
          </cell>
          <cell r="Q874" t="str">
            <v>1010</v>
          </cell>
          <cell r="R874">
            <v>2.9838808908576349</v>
          </cell>
          <cell r="S874">
            <v>0</v>
          </cell>
        </row>
        <row r="875">
          <cell r="A875" t="str">
            <v>Y006-192</v>
          </cell>
          <cell r="B875">
            <v>0</v>
          </cell>
          <cell r="C875" t="str">
            <v>Y006-DN</v>
          </cell>
          <cell r="D875" t="str">
            <v>BS136-753PPJ17</v>
          </cell>
          <cell r="E875" t="str">
            <v>115-s136-536 4/6 storage footbaoard(w/o slats) btm block1</v>
          </cell>
          <cell r="F875" t="str">
            <v>240*76*6</v>
          </cell>
          <cell r="G875">
            <v>240</v>
          </cell>
          <cell r="H875">
            <v>76</v>
          </cell>
          <cell r="I875">
            <v>6</v>
          </cell>
          <cell r="J875">
            <v>66</v>
          </cell>
          <cell r="K875">
            <v>0</v>
          </cell>
          <cell r="L875">
            <v>0</v>
          </cell>
          <cell r="M875">
            <v>4176</v>
          </cell>
          <cell r="N875">
            <v>0</v>
          </cell>
          <cell r="O875">
            <v>0</v>
          </cell>
          <cell r="P875">
            <v>0</v>
          </cell>
          <cell r="Q875" t="str">
            <v>1010</v>
          </cell>
          <cell r="R875">
            <v>3.0129870129870131</v>
          </cell>
          <cell r="S875">
            <v>0</v>
          </cell>
        </row>
        <row r="876">
          <cell r="A876" t="str">
            <v>Y006-193</v>
          </cell>
          <cell r="B876">
            <v>0</v>
          </cell>
          <cell r="C876" t="str">
            <v>Y006-DN</v>
          </cell>
          <cell r="D876" t="str">
            <v>DS136-009PPJ17</v>
          </cell>
          <cell r="E876" t="str">
            <v>115-S136-410 drawer dresser btm block1</v>
          </cell>
          <cell r="F876" t="str">
            <v>240*76*6</v>
          </cell>
          <cell r="G876">
            <v>240</v>
          </cell>
          <cell r="H876">
            <v>76</v>
          </cell>
          <cell r="I876">
            <v>6</v>
          </cell>
          <cell r="J876">
            <v>66</v>
          </cell>
          <cell r="K876">
            <v>0</v>
          </cell>
          <cell r="L876">
            <v>0</v>
          </cell>
          <cell r="M876">
            <v>4176</v>
          </cell>
          <cell r="N876">
            <v>0</v>
          </cell>
          <cell r="O876">
            <v>0</v>
          </cell>
          <cell r="P876">
            <v>0</v>
          </cell>
          <cell r="Q876" t="str">
            <v>1010</v>
          </cell>
          <cell r="R876">
            <v>3.0129870129870131</v>
          </cell>
          <cell r="S876">
            <v>0</v>
          </cell>
        </row>
        <row r="877">
          <cell r="A877" t="str">
            <v>Y006-194</v>
          </cell>
          <cell r="B877">
            <v>0</v>
          </cell>
          <cell r="C877" t="str">
            <v>Y006-DN</v>
          </cell>
          <cell r="D877" t="str">
            <v>DS136-503NQ1C7</v>
          </cell>
          <cell r="E877" t="str">
            <v>115-s136-440 drawer chest btm dra cen lin</v>
          </cell>
          <cell r="F877" t="str">
            <v>797*167*13.5</v>
          </cell>
          <cell r="G877">
            <v>797</v>
          </cell>
          <cell r="H877">
            <v>167</v>
          </cell>
          <cell r="I877">
            <v>13.5</v>
          </cell>
          <cell r="J877">
            <v>551</v>
          </cell>
          <cell r="K877">
            <v>0</v>
          </cell>
          <cell r="L877">
            <v>0</v>
          </cell>
          <cell r="M877">
            <v>34530</v>
          </cell>
          <cell r="N877">
            <v>0</v>
          </cell>
          <cell r="O877">
            <v>0</v>
          </cell>
          <cell r="P877">
            <v>0</v>
          </cell>
          <cell r="Q877" t="str">
            <v>1010</v>
          </cell>
          <cell r="R877">
            <v>2.9841845994296086</v>
          </cell>
          <cell r="S877">
            <v>0</v>
          </cell>
        </row>
        <row r="878">
          <cell r="A878" t="str">
            <v>Y006-195</v>
          </cell>
          <cell r="B878">
            <v>0</v>
          </cell>
          <cell r="C878" t="str">
            <v>Y006-DN</v>
          </cell>
          <cell r="D878" t="str">
            <v>DS136-503PA217</v>
          </cell>
          <cell r="E878" t="str">
            <v>115-s136-440 drawer chest f t s lim-1</v>
          </cell>
          <cell r="F878" t="str">
            <v>92*32*6.5</v>
          </cell>
          <cell r="G878">
            <v>92</v>
          </cell>
          <cell r="H878">
            <v>32</v>
          </cell>
          <cell r="I878">
            <v>6.5</v>
          </cell>
          <cell r="J878">
            <v>17</v>
          </cell>
          <cell r="K878">
            <v>0</v>
          </cell>
          <cell r="L878">
            <v>0</v>
          </cell>
          <cell r="M878">
            <v>1394</v>
          </cell>
          <cell r="N878">
            <v>0</v>
          </cell>
          <cell r="O878">
            <v>0</v>
          </cell>
          <cell r="P878">
            <v>0</v>
          </cell>
          <cell r="Q878" t="str">
            <v>1010</v>
          </cell>
          <cell r="R878">
            <v>3.9047619047619047</v>
          </cell>
          <cell r="S878">
            <v>0</v>
          </cell>
        </row>
        <row r="879">
          <cell r="A879" t="str">
            <v>Y006-196</v>
          </cell>
          <cell r="B879">
            <v>0</v>
          </cell>
          <cell r="C879" t="str">
            <v>Y006-DN</v>
          </cell>
          <cell r="D879" t="str">
            <v>DS136-503PPJ17</v>
          </cell>
          <cell r="E879" t="str">
            <v>115-s136-440 drawer chest btm block1</v>
          </cell>
          <cell r="F879" t="str">
            <v>240*76*6</v>
          </cell>
          <cell r="G879">
            <v>240</v>
          </cell>
          <cell r="H879">
            <v>76</v>
          </cell>
          <cell r="I879">
            <v>6</v>
          </cell>
          <cell r="J879">
            <v>66</v>
          </cell>
          <cell r="K879">
            <v>0</v>
          </cell>
          <cell r="L879">
            <v>0</v>
          </cell>
          <cell r="M879">
            <v>4176</v>
          </cell>
          <cell r="N879">
            <v>0</v>
          </cell>
          <cell r="O879">
            <v>0</v>
          </cell>
          <cell r="P879">
            <v>0</v>
          </cell>
          <cell r="Q879" t="str">
            <v>1010</v>
          </cell>
          <cell r="R879">
            <v>3.0129870129870131</v>
          </cell>
          <cell r="S879">
            <v>0</v>
          </cell>
        </row>
        <row r="880">
          <cell r="A880" t="str">
            <v>Y006-197</v>
          </cell>
          <cell r="B880">
            <v>0</v>
          </cell>
          <cell r="C880" t="str">
            <v>Y006-DN</v>
          </cell>
          <cell r="D880" t="str">
            <v>NS136-102NI1E7</v>
          </cell>
          <cell r="E880" t="str">
            <v>115-s136-450 nightstand t dra cen lin-1</v>
          </cell>
          <cell r="F880" t="str">
            <v>341*119*13.5</v>
          </cell>
          <cell r="G880">
            <v>341</v>
          </cell>
          <cell r="H880">
            <v>119</v>
          </cell>
          <cell r="I880">
            <v>13.5</v>
          </cell>
          <cell r="J880">
            <v>239</v>
          </cell>
          <cell r="K880">
            <v>0</v>
          </cell>
          <cell r="L880">
            <v>0</v>
          </cell>
          <cell r="M880">
            <v>14970</v>
          </cell>
          <cell r="N880">
            <v>0</v>
          </cell>
          <cell r="O880">
            <v>0</v>
          </cell>
          <cell r="P880">
            <v>0</v>
          </cell>
          <cell r="Q880" t="str">
            <v>1010</v>
          </cell>
          <cell r="R880">
            <v>2.9826658696951585</v>
          </cell>
          <cell r="S880">
            <v>0</v>
          </cell>
        </row>
        <row r="881">
          <cell r="A881" t="str">
            <v>Y006-198</v>
          </cell>
          <cell r="B881">
            <v>0</v>
          </cell>
          <cell r="C881" t="str">
            <v>Y006-DN</v>
          </cell>
          <cell r="D881" t="str">
            <v>NS136-102PPJ17</v>
          </cell>
          <cell r="E881" t="str">
            <v>115-s136-450 nightstand btm block1</v>
          </cell>
          <cell r="F881" t="str">
            <v>240*76*6</v>
          </cell>
          <cell r="G881">
            <v>240</v>
          </cell>
          <cell r="H881">
            <v>76</v>
          </cell>
          <cell r="I881">
            <v>6</v>
          </cell>
          <cell r="J881">
            <v>66</v>
          </cell>
          <cell r="K881">
            <v>0</v>
          </cell>
          <cell r="L881">
            <v>0</v>
          </cell>
          <cell r="M881">
            <v>4176</v>
          </cell>
          <cell r="N881">
            <v>0</v>
          </cell>
          <cell r="O881">
            <v>0</v>
          </cell>
          <cell r="P881">
            <v>0</v>
          </cell>
          <cell r="Q881" t="str">
            <v>1010</v>
          </cell>
          <cell r="R881">
            <v>3.0129870129870131</v>
          </cell>
          <cell r="S881">
            <v>0</v>
          </cell>
        </row>
        <row r="882">
          <cell r="A882" t="str">
            <v>Y006-199</v>
          </cell>
          <cell r="B882">
            <v>0</v>
          </cell>
          <cell r="C882" t="str">
            <v>Y006-DN</v>
          </cell>
          <cell r="D882" t="str">
            <v>N0412-102CH127</v>
          </cell>
          <cell r="E882" t="str">
            <v>412-BR62 2 drawer night stand f fm s ver ra lin-1</v>
          </cell>
          <cell r="F882" t="str">
            <v>1320*8*4.5</v>
          </cell>
          <cell r="G882">
            <v>1320</v>
          </cell>
          <cell r="H882">
            <v>8</v>
          </cell>
          <cell r="I882">
            <v>4.5</v>
          </cell>
          <cell r="J882">
            <v>0</v>
          </cell>
          <cell r="K882">
            <v>0</v>
          </cell>
          <cell r="L882">
            <v>0</v>
          </cell>
          <cell r="M882">
            <v>5500</v>
          </cell>
          <cell r="N882">
            <v>0</v>
          </cell>
          <cell r="O882">
            <v>0</v>
          </cell>
          <cell r="P882">
            <v>0</v>
          </cell>
          <cell r="Q882" t="str">
            <v>1010</v>
          </cell>
          <cell r="R882" t="e">
            <v>#DIV/0!</v>
          </cell>
          <cell r="S882">
            <v>0</v>
          </cell>
        </row>
        <row r="883">
          <cell r="A883" t="str">
            <v>Y006-200</v>
          </cell>
          <cell r="B883">
            <v>0</v>
          </cell>
          <cell r="C883" t="str">
            <v>Y006-DN</v>
          </cell>
          <cell r="D883" t="str">
            <v>BS136-343PAN17</v>
          </cell>
          <cell r="E883" t="str">
            <v>115-S136-531 3/3 FOOTBOARD F CEN S LIN-1</v>
          </cell>
          <cell r="F883" t="str">
            <v>310*68*52</v>
          </cell>
          <cell r="G883">
            <v>310</v>
          </cell>
          <cell r="H883">
            <v>68</v>
          </cell>
          <cell r="I883">
            <v>52</v>
          </cell>
          <cell r="J883">
            <v>0</v>
          </cell>
          <cell r="K883">
            <v>0</v>
          </cell>
          <cell r="L883">
            <v>0</v>
          </cell>
          <cell r="M883">
            <v>41125</v>
          </cell>
          <cell r="N883">
            <v>0</v>
          </cell>
          <cell r="O883">
            <v>0</v>
          </cell>
          <cell r="P883">
            <v>0</v>
          </cell>
          <cell r="Q883" t="str">
            <v>5510</v>
          </cell>
          <cell r="R883" t="e">
            <v>#DIV/0!</v>
          </cell>
          <cell r="S883">
            <v>0</v>
          </cell>
        </row>
        <row r="884">
          <cell r="A884" t="str">
            <v>Y006-201</v>
          </cell>
          <cell r="B884">
            <v>0</v>
          </cell>
          <cell r="C884" t="str">
            <v>Y006-DN</v>
          </cell>
          <cell r="D884" t="str">
            <v>BS136-343PAN27</v>
          </cell>
          <cell r="E884" t="str">
            <v>115-S136-531 3/3 FOOTBOARD F CEN S LIN-2</v>
          </cell>
          <cell r="F884" t="str">
            <v>310*68*52</v>
          </cell>
          <cell r="G884">
            <v>310</v>
          </cell>
          <cell r="H884">
            <v>68</v>
          </cell>
          <cell r="I884">
            <v>52</v>
          </cell>
          <cell r="J884">
            <v>0</v>
          </cell>
          <cell r="K884">
            <v>0</v>
          </cell>
          <cell r="L884">
            <v>0</v>
          </cell>
          <cell r="M884">
            <v>41125</v>
          </cell>
          <cell r="N884">
            <v>0</v>
          </cell>
          <cell r="O884">
            <v>0</v>
          </cell>
          <cell r="P884">
            <v>0</v>
          </cell>
          <cell r="Q884" t="str">
            <v>5510</v>
          </cell>
          <cell r="R884" t="e">
            <v>#DIV/0!</v>
          </cell>
          <cell r="S884">
            <v>0</v>
          </cell>
        </row>
        <row r="885">
          <cell r="A885" t="str">
            <v>Y006-202</v>
          </cell>
          <cell r="B885">
            <v>0</v>
          </cell>
          <cell r="C885" t="str">
            <v>Y006-DN</v>
          </cell>
          <cell r="D885" t="str">
            <v>BS136-353PAN17</v>
          </cell>
          <cell r="E885" t="str">
            <v>115-S136-533 4/6 FOOTBOARD F CEN S LIN-1</v>
          </cell>
          <cell r="F885" t="str">
            <v>310*68*52</v>
          </cell>
          <cell r="G885">
            <v>310</v>
          </cell>
          <cell r="H885">
            <v>68</v>
          </cell>
          <cell r="I885">
            <v>52</v>
          </cell>
          <cell r="J885">
            <v>0</v>
          </cell>
          <cell r="K885">
            <v>0</v>
          </cell>
          <cell r="L885">
            <v>0</v>
          </cell>
          <cell r="M885">
            <v>41125</v>
          </cell>
          <cell r="N885">
            <v>0</v>
          </cell>
          <cell r="O885">
            <v>0</v>
          </cell>
          <cell r="P885">
            <v>0</v>
          </cell>
          <cell r="Q885" t="str">
            <v>5510</v>
          </cell>
          <cell r="R885" t="e">
            <v>#DIV/0!</v>
          </cell>
          <cell r="S885">
            <v>0</v>
          </cell>
        </row>
        <row r="886">
          <cell r="A886" t="str">
            <v>Y006-203</v>
          </cell>
          <cell r="B886">
            <v>0</v>
          </cell>
          <cell r="C886" t="str">
            <v>Y006-DN</v>
          </cell>
          <cell r="D886" t="str">
            <v>BS136-353PAN27</v>
          </cell>
          <cell r="E886" t="str">
            <v>115-S136-533 4/6 FOOTBOARD F CEN S LIN-2</v>
          </cell>
          <cell r="F886" t="str">
            <v>310*68*52</v>
          </cell>
          <cell r="G886">
            <v>310</v>
          </cell>
          <cell r="H886">
            <v>68</v>
          </cell>
          <cell r="I886">
            <v>52</v>
          </cell>
          <cell r="J886">
            <v>0</v>
          </cell>
          <cell r="K886">
            <v>0</v>
          </cell>
          <cell r="L886">
            <v>0</v>
          </cell>
          <cell r="M886">
            <v>41125</v>
          </cell>
          <cell r="N886">
            <v>0</v>
          </cell>
          <cell r="O886">
            <v>0</v>
          </cell>
          <cell r="P886">
            <v>0</v>
          </cell>
          <cell r="Q886" t="str">
            <v>5510</v>
          </cell>
          <cell r="R886" t="e">
            <v>#DIV/0!</v>
          </cell>
          <cell r="S886">
            <v>0</v>
          </cell>
        </row>
        <row r="887">
          <cell r="A887" t="str">
            <v>Y006-204</v>
          </cell>
          <cell r="B887">
            <v>0</v>
          </cell>
          <cell r="C887" t="str">
            <v>Y006-DN</v>
          </cell>
          <cell r="D887" t="str">
            <v>BS136-743PAN17</v>
          </cell>
          <cell r="E887" t="str">
            <v>115-S136-534 3/3 STorage footbaoard(w/o slats) F CEN S LIN-1</v>
          </cell>
          <cell r="F887" t="str">
            <v>310*68*52</v>
          </cell>
          <cell r="G887">
            <v>310</v>
          </cell>
          <cell r="H887">
            <v>68</v>
          </cell>
          <cell r="I887">
            <v>52</v>
          </cell>
          <cell r="J887">
            <v>0</v>
          </cell>
          <cell r="K887">
            <v>0</v>
          </cell>
          <cell r="L887">
            <v>0</v>
          </cell>
          <cell r="M887">
            <v>41125</v>
          </cell>
          <cell r="N887">
            <v>0</v>
          </cell>
          <cell r="O887">
            <v>0</v>
          </cell>
          <cell r="P887">
            <v>0</v>
          </cell>
          <cell r="Q887" t="str">
            <v>5510</v>
          </cell>
          <cell r="R887" t="e">
            <v>#DIV/0!</v>
          </cell>
          <cell r="S887">
            <v>0</v>
          </cell>
        </row>
        <row r="888">
          <cell r="A888" t="str">
            <v>Y006-205</v>
          </cell>
          <cell r="B888">
            <v>0</v>
          </cell>
          <cell r="C888" t="str">
            <v>Y006-DN</v>
          </cell>
          <cell r="D888" t="str">
            <v>BS136-743PAN27</v>
          </cell>
          <cell r="E888" t="str">
            <v>115-S136-534 3/3 STorage footbaoard(w/o slats) F CEN S LIN-2</v>
          </cell>
          <cell r="F888" t="str">
            <v>310*68*52</v>
          </cell>
          <cell r="G888">
            <v>310</v>
          </cell>
          <cell r="H888">
            <v>68</v>
          </cell>
          <cell r="I888">
            <v>52</v>
          </cell>
          <cell r="J888">
            <v>0</v>
          </cell>
          <cell r="K888">
            <v>0</v>
          </cell>
          <cell r="L888">
            <v>0</v>
          </cell>
          <cell r="M888">
            <v>41125</v>
          </cell>
          <cell r="N888">
            <v>0</v>
          </cell>
          <cell r="O888">
            <v>0</v>
          </cell>
          <cell r="P888">
            <v>0</v>
          </cell>
          <cell r="Q888" t="str">
            <v>5510</v>
          </cell>
          <cell r="R888" t="e">
            <v>#DIV/0!</v>
          </cell>
          <cell r="S888">
            <v>0</v>
          </cell>
        </row>
        <row r="889">
          <cell r="A889" t="str">
            <v>Y006-206</v>
          </cell>
          <cell r="B889">
            <v>0</v>
          </cell>
          <cell r="C889" t="str">
            <v>Y006-DN</v>
          </cell>
          <cell r="D889" t="str">
            <v>BS136-753PAN17</v>
          </cell>
          <cell r="E889" t="str">
            <v>115-S136-534 3/3 STorage footbaoard(w/o slats) F CEN S LIN-1</v>
          </cell>
          <cell r="F889" t="str">
            <v>310*68*52</v>
          </cell>
          <cell r="G889">
            <v>310</v>
          </cell>
          <cell r="H889">
            <v>68</v>
          </cell>
          <cell r="I889">
            <v>52</v>
          </cell>
          <cell r="J889">
            <v>0</v>
          </cell>
          <cell r="K889">
            <v>0</v>
          </cell>
          <cell r="L889">
            <v>0</v>
          </cell>
          <cell r="M889">
            <v>41125</v>
          </cell>
          <cell r="N889">
            <v>0</v>
          </cell>
          <cell r="O889">
            <v>0</v>
          </cell>
          <cell r="P889">
            <v>0</v>
          </cell>
          <cell r="Q889" t="str">
            <v>5510</v>
          </cell>
          <cell r="R889" t="e">
            <v>#DIV/0!</v>
          </cell>
          <cell r="S889">
            <v>0</v>
          </cell>
        </row>
        <row r="890">
          <cell r="A890" t="str">
            <v>Y006-207</v>
          </cell>
          <cell r="B890">
            <v>0</v>
          </cell>
          <cell r="C890" t="str">
            <v>Y006-DN</v>
          </cell>
          <cell r="D890" t="str">
            <v>BS136-753PAN27</v>
          </cell>
          <cell r="E890" t="str">
            <v>115-S136-534 3/3 STorage footbaoard(w/o slats) F CEN S LIN-2</v>
          </cell>
          <cell r="F890" t="str">
            <v>310*68*52</v>
          </cell>
          <cell r="G890">
            <v>310</v>
          </cell>
          <cell r="H890">
            <v>68</v>
          </cell>
          <cell r="I890">
            <v>52</v>
          </cell>
          <cell r="J890">
            <v>0</v>
          </cell>
          <cell r="K890">
            <v>0</v>
          </cell>
          <cell r="L890">
            <v>0</v>
          </cell>
          <cell r="M890">
            <v>41125</v>
          </cell>
          <cell r="N890">
            <v>0</v>
          </cell>
          <cell r="O890">
            <v>0</v>
          </cell>
          <cell r="P890">
            <v>0</v>
          </cell>
          <cell r="Q890" t="str">
            <v>5510</v>
          </cell>
          <cell r="R890" t="e">
            <v>#DIV/0!</v>
          </cell>
          <cell r="S890">
            <v>0</v>
          </cell>
        </row>
        <row r="891">
          <cell r="A891" t="str">
            <v>Y006-208</v>
          </cell>
          <cell r="B891">
            <v>0</v>
          </cell>
          <cell r="C891" t="str">
            <v>Y006-DN</v>
          </cell>
          <cell r="D891" t="str">
            <v>DS136-003PAN17</v>
          </cell>
          <cell r="E891" t="str">
            <v>115-S136-414 VANITY F CEN S LIN-1</v>
          </cell>
          <cell r="F891" t="str">
            <v>324*67*67</v>
          </cell>
          <cell r="G891">
            <v>324</v>
          </cell>
          <cell r="H891">
            <v>67</v>
          </cell>
          <cell r="I891">
            <v>67</v>
          </cell>
          <cell r="J891">
            <v>0</v>
          </cell>
          <cell r="K891">
            <v>0</v>
          </cell>
          <cell r="L891">
            <v>0</v>
          </cell>
          <cell r="M891">
            <v>48340</v>
          </cell>
          <cell r="N891">
            <v>0</v>
          </cell>
          <cell r="O891">
            <v>0</v>
          </cell>
          <cell r="P891">
            <v>0</v>
          </cell>
          <cell r="Q891" t="str">
            <v>5510</v>
          </cell>
          <cell r="R891" t="e">
            <v>#DIV/0!</v>
          </cell>
          <cell r="S891">
            <v>0</v>
          </cell>
        </row>
        <row r="892">
          <cell r="A892" t="str">
            <v>Y006-209</v>
          </cell>
          <cell r="B892">
            <v>0</v>
          </cell>
          <cell r="C892" t="str">
            <v>Y006-DN</v>
          </cell>
          <cell r="D892" t="str">
            <v>DS136-004PAN17</v>
          </cell>
          <cell r="E892" t="str">
            <v>115-S136-409 SINGLE DRESSER F CEN S LIN 1</v>
          </cell>
          <cell r="F892" t="str">
            <v>512*60*60</v>
          </cell>
          <cell r="G892">
            <v>512</v>
          </cell>
          <cell r="H892">
            <v>60</v>
          </cell>
          <cell r="I892">
            <v>60</v>
          </cell>
          <cell r="J892">
            <v>0</v>
          </cell>
          <cell r="K892">
            <v>0</v>
          </cell>
          <cell r="L892">
            <v>0</v>
          </cell>
          <cell r="M892">
            <v>58840</v>
          </cell>
          <cell r="N892">
            <v>0</v>
          </cell>
          <cell r="O892">
            <v>0</v>
          </cell>
          <cell r="P892">
            <v>0</v>
          </cell>
          <cell r="Q892" t="str">
            <v>5510</v>
          </cell>
          <cell r="R892" t="e">
            <v>#DIV/0!</v>
          </cell>
          <cell r="S892">
            <v>0</v>
          </cell>
        </row>
        <row r="893">
          <cell r="A893" t="str">
            <v>Y006-210</v>
          </cell>
          <cell r="B893">
            <v>0</v>
          </cell>
          <cell r="C893" t="str">
            <v>Y006-DN</v>
          </cell>
          <cell r="D893" t="str">
            <v>DS136-006PAN17</v>
          </cell>
          <cell r="E893" t="str">
            <v>115-S136-443 SEMAINIER F CEN S LIN-1</v>
          </cell>
          <cell r="F893" t="str">
            <v>1017*60*60</v>
          </cell>
          <cell r="G893">
            <v>1017</v>
          </cell>
          <cell r="H893">
            <v>60</v>
          </cell>
          <cell r="I893">
            <v>60</v>
          </cell>
          <cell r="J893">
            <v>0</v>
          </cell>
          <cell r="K893">
            <v>0</v>
          </cell>
          <cell r="L893">
            <v>0</v>
          </cell>
          <cell r="M893">
            <v>130700</v>
          </cell>
          <cell r="N893">
            <v>0</v>
          </cell>
          <cell r="O893">
            <v>0</v>
          </cell>
          <cell r="P893">
            <v>0</v>
          </cell>
          <cell r="Q893" t="str">
            <v>5510</v>
          </cell>
          <cell r="R893" t="e">
            <v>#DIV/0!</v>
          </cell>
          <cell r="S893">
            <v>0</v>
          </cell>
        </row>
        <row r="894">
          <cell r="A894" t="str">
            <v>Y006-211</v>
          </cell>
          <cell r="B894">
            <v>0</v>
          </cell>
          <cell r="C894" t="str">
            <v>Y006-DN</v>
          </cell>
          <cell r="D894" t="str">
            <v>DS136-009PAN17</v>
          </cell>
          <cell r="E894" t="str">
            <v>115-S136-410 DRAWER DRESSER F CEN S LIN-1</v>
          </cell>
          <cell r="F894" t="str">
            <v>512*60*60</v>
          </cell>
          <cell r="G894">
            <v>512</v>
          </cell>
          <cell r="H894">
            <v>60</v>
          </cell>
          <cell r="I894">
            <v>60</v>
          </cell>
          <cell r="J894">
            <v>0</v>
          </cell>
          <cell r="K894">
            <v>0</v>
          </cell>
          <cell r="L894">
            <v>0</v>
          </cell>
          <cell r="M894">
            <v>58840</v>
          </cell>
          <cell r="N894">
            <v>0</v>
          </cell>
          <cell r="O894">
            <v>0</v>
          </cell>
          <cell r="P894">
            <v>0</v>
          </cell>
          <cell r="Q894" t="str">
            <v>5510</v>
          </cell>
          <cell r="R894" t="e">
            <v>#DIV/0!</v>
          </cell>
          <cell r="S894">
            <v>0</v>
          </cell>
        </row>
        <row r="895">
          <cell r="A895" t="str">
            <v>Y006-212</v>
          </cell>
          <cell r="B895">
            <v>0</v>
          </cell>
          <cell r="C895" t="str">
            <v>Y006-DN</v>
          </cell>
          <cell r="D895" t="str">
            <v>DS136-503PAN17</v>
          </cell>
          <cell r="E895" t="str">
            <v>115-S136-440 DRAWER CHEST F CEN S LIN-1</v>
          </cell>
          <cell r="F895" t="str">
            <v>919*60*60</v>
          </cell>
          <cell r="G895">
            <v>919</v>
          </cell>
          <cell r="H895">
            <v>60</v>
          </cell>
          <cell r="I895">
            <v>60</v>
          </cell>
          <cell r="J895">
            <v>0</v>
          </cell>
          <cell r="K895">
            <v>0</v>
          </cell>
          <cell r="L895">
            <v>0</v>
          </cell>
          <cell r="M895">
            <v>100650</v>
          </cell>
          <cell r="N895">
            <v>0</v>
          </cell>
          <cell r="O895">
            <v>0</v>
          </cell>
          <cell r="P895">
            <v>0</v>
          </cell>
          <cell r="Q895" t="str">
            <v>5510</v>
          </cell>
          <cell r="R895" t="e">
            <v>#DIV/0!</v>
          </cell>
          <cell r="S895">
            <v>0</v>
          </cell>
        </row>
        <row r="896">
          <cell r="A896" t="str">
            <v>Y006-213</v>
          </cell>
          <cell r="B896">
            <v>0</v>
          </cell>
          <cell r="C896" t="str">
            <v>Y006-DN</v>
          </cell>
          <cell r="D896" t="str">
            <v>NS136-102PAN17</v>
          </cell>
          <cell r="E896" t="str">
            <v>115-S136-450 NIGHTSTAND F CEN S LIN -1</v>
          </cell>
          <cell r="F896" t="str">
            <v>402*60*60</v>
          </cell>
          <cell r="G896">
            <v>402</v>
          </cell>
          <cell r="H896">
            <v>60</v>
          </cell>
          <cell r="I896">
            <v>60</v>
          </cell>
          <cell r="J896">
            <v>0</v>
          </cell>
          <cell r="K896">
            <v>0</v>
          </cell>
          <cell r="L896">
            <v>0</v>
          </cell>
          <cell r="M896">
            <v>54160</v>
          </cell>
          <cell r="N896">
            <v>0</v>
          </cell>
          <cell r="O896">
            <v>0</v>
          </cell>
          <cell r="P896">
            <v>0</v>
          </cell>
          <cell r="Q896" t="str">
            <v>5510</v>
          </cell>
          <cell r="R896" t="e">
            <v>#DIV/0!</v>
          </cell>
          <cell r="S896">
            <v>0</v>
          </cell>
        </row>
        <row r="897">
          <cell r="A897" t="str">
            <v>Y006-214</v>
          </cell>
          <cell r="B897">
            <v>0</v>
          </cell>
          <cell r="C897" t="str">
            <v>Y006-BD</v>
          </cell>
          <cell r="D897" t="str">
            <v>S1061-912PA11P</v>
          </cell>
          <cell r="E897" t="str">
            <v>poly饰条</v>
          </cell>
          <cell r="F897" t="str">
            <v>1865*25*7</v>
          </cell>
          <cell r="G897">
            <v>1865</v>
          </cell>
          <cell r="H897">
            <v>25</v>
          </cell>
          <cell r="I897">
            <v>7</v>
          </cell>
          <cell r="J897">
            <v>0</v>
          </cell>
          <cell r="K897" t="str">
            <v>未確認</v>
          </cell>
          <cell r="L897">
            <v>0</v>
          </cell>
          <cell r="M897">
            <v>30300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 t="e">
            <v>#DIV/0!</v>
          </cell>
          <cell r="S897">
            <v>0</v>
          </cell>
        </row>
        <row r="898">
          <cell r="A898" t="str">
            <v>Y006-215</v>
          </cell>
          <cell r="B898">
            <v>0</v>
          </cell>
          <cell r="C898" t="str">
            <v>Y006-BD</v>
          </cell>
          <cell r="D898" t="str">
            <v>S1061-922PA11P</v>
          </cell>
          <cell r="E898" t="str">
            <v>poly饰条</v>
          </cell>
          <cell r="F898" t="str">
            <v>1865*25*7</v>
          </cell>
          <cell r="G898">
            <v>1865</v>
          </cell>
          <cell r="H898">
            <v>25</v>
          </cell>
          <cell r="I898">
            <v>7</v>
          </cell>
          <cell r="J898">
            <v>0</v>
          </cell>
          <cell r="K898" t="str">
            <v>未確認</v>
          </cell>
          <cell r="L898">
            <v>0</v>
          </cell>
          <cell r="M898">
            <v>30300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</row>
        <row r="899">
          <cell r="A899" t="str">
            <v>Y006-216</v>
          </cell>
          <cell r="B899">
            <v>0</v>
          </cell>
          <cell r="C899" t="str">
            <v>Y006-BD</v>
          </cell>
          <cell r="D899" t="str">
            <v>S1061-963PA11P</v>
          </cell>
          <cell r="E899" t="str">
            <v>poly饰条</v>
          </cell>
          <cell r="F899" t="str">
            <v>1865*25*7</v>
          </cell>
          <cell r="G899">
            <v>1865</v>
          </cell>
          <cell r="H899">
            <v>25</v>
          </cell>
          <cell r="I899">
            <v>7</v>
          </cell>
          <cell r="J899">
            <v>0</v>
          </cell>
          <cell r="K899" t="str">
            <v>未確認</v>
          </cell>
          <cell r="L899">
            <v>0</v>
          </cell>
          <cell r="M899">
            <v>30300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</row>
        <row r="900">
          <cell r="A900" t="str">
            <v>Y006-217</v>
          </cell>
          <cell r="B900">
            <v>0</v>
          </cell>
          <cell r="C900" t="str">
            <v>Y006-BD</v>
          </cell>
          <cell r="D900" t="str">
            <v>S1061-009PA11P</v>
          </cell>
          <cell r="E900" t="str">
            <v>poly饰条</v>
          </cell>
          <cell r="F900" t="str">
            <v>1865*25*7</v>
          </cell>
          <cell r="G900">
            <v>1865</v>
          </cell>
          <cell r="H900">
            <v>25</v>
          </cell>
          <cell r="I900">
            <v>7</v>
          </cell>
          <cell r="J900">
            <v>0</v>
          </cell>
          <cell r="K900" t="str">
            <v>未確認</v>
          </cell>
          <cell r="L900">
            <v>0</v>
          </cell>
          <cell r="M900">
            <v>30300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</row>
        <row r="901">
          <cell r="A901" t="str">
            <v>Y006-218</v>
          </cell>
          <cell r="B901">
            <v>0</v>
          </cell>
          <cell r="C901" t="str">
            <v>Y006-BD</v>
          </cell>
          <cell r="D901" t="str">
            <v>S1061-505PA11P</v>
          </cell>
          <cell r="E901" t="str">
            <v>poly饰条</v>
          </cell>
          <cell r="F901" t="str">
            <v>1865*25*7</v>
          </cell>
          <cell r="G901">
            <v>1865</v>
          </cell>
          <cell r="H901">
            <v>25</v>
          </cell>
          <cell r="I901">
            <v>7</v>
          </cell>
          <cell r="J901">
            <v>0</v>
          </cell>
          <cell r="K901" t="str">
            <v>未確認</v>
          </cell>
          <cell r="L901">
            <v>0</v>
          </cell>
          <cell r="M901">
            <v>30300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</row>
        <row r="902">
          <cell r="A902" t="str">
            <v>Y006-219</v>
          </cell>
          <cell r="B902">
            <v>0</v>
          </cell>
          <cell r="C902" t="str">
            <v>Y006-BD</v>
          </cell>
          <cell r="D902" t="str">
            <v>S1061-913PA11P</v>
          </cell>
          <cell r="E902" t="str">
            <v>poly饰条</v>
          </cell>
          <cell r="F902" t="str">
            <v>1865*25*7</v>
          </cell>
          <cell r="G902">
            <v>1865</v>
          </cell>
          <cell r="H902">
            <v>25</v>
          </cell>
          <cell r="I902">
            <v>7</v>
          </cell>
          <cell r="J902">
            <v>0</v>
          </cell>
          <cell r="K902" t="str">
            <v>未確認</v>
          </cell>
          <cell r="L902">
            <v>0</v>
          </cell>
          <cell r="M902">
            <v>30300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</row>
        <row r="903">
          <cell r="A903" t="str">
            <v>Y006-220</v>
          </cell>
          <cell r="B903">
            <v>0</v>
          </cell>
          <cell r="C903" t="str">
            <v>Y006-BD</v>
          </cell>
          <cell r="D903" t="str">
            <v>N1061-102PA11P</v>
          </cell>
          <cell r="E903" t="str">
            <v>poly饰条</v>
          </cell>
          <cell r="F903" t="str">
            <v>1865*25*7</v>
          </cell>
          <cell r="G903">
            <v>1865</v>
          </cell>
          <cell r="H903">
            <v>25</v>
          </cell>
          <cell r="I903">
            <v>7</v>
          </cell>
          <cell r="J903">
            <v>0</v>
          </cell>
          <cell r="K903" t="str">
            <v>未確認</v>
          </cell>
          <cell r="L903">
            <v>0</v>
          </cell>
          <cell r="M903">
            <v>30300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</row>
        <row r="904">
          <cell r="A904" t="str">
            <v>Y006-221</v>
          </cell>
          <cell r="B904">
            <v>0</v>
          </cell>
          <cell r="C904" t="str">
            <v>Y006-BD</v>
          </cell>
          <cell r="D904" t="str">
            <v>B1061-913PA11P</v>
          </cell>
          <cell r="E904" t="str">
            <v>poly饰条</v>
          </cell>
          <cell r="F904" t="str">
            <v>1442*25*7</v>
          </cell>
          <cell r="G904">
            <v>1442</v>
          </cell>
          <cell r="H904">
            <v>25</v>
          </cell>
          <cell r="I904">
            <v>7</v>
          </cell>
          <cell r="J904">
            <v>0</v>
          </cell>
          <cell r="K904" t="str">
            <v>未確認</v>
          </cell>
          <cell r="L904">
            <v>0</v>
          </cell>
          <cell r="M904">
            <v>23900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</row>
        <row r="905">
          <cell r="A905" t="str">
            <v>Y006-222</v>
          </cell>
          <cell r="B905">
            <v>0</v>
          </cell>
          <cell r="C905" t="str">
            <v>Y006-BD</v>
          </cell>
          <cell r="D905" t="str">
            <v>BI201-313PAP17</v>
          </cell>
          <cell r="E905" t="str">
            <v>poly饰条</v>
          </cell>
          <cell r="F905" t="str">
            <v>1980*13*7</v>
          </cell>
          <cell r="G905">
            <v>1980</v>
          </cell>
          <cell r="H905">
            <v>13</v>
          </cell>
          <cell r="I905">
            <v>7</v>
          </cell>
          <cell r="J905">
            <v>0</v>
          </cell>
          <cell r="K905">
            <v>0</v>
          </cell>
          <cell r="L905">
            <v>0</v>
          </cell>
          <cell r="M905">
            <v>41500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</row>
        <row r="906">
          <cell r="A906" t="str">
            <v>Y006-223</v>
          </cell>
          <cell r="B906">
            <v>0</v>
          </cell>
          <cell r="C906" t="str">
            <v>Y006-BD</v>
          </cell>
          <cell r="D906" t="str">
            <v>BI201-322PAP17</v>
          </cell>
          <cell r="E906" t="str">
            <v>poly饰条</v>
          </cell>
          <cell r="F906" t="str">
            <v>1980*13*7</v>
          </cell>
          <cell r="G906">
            <v>1980</v>
          </cell>
          <cell r="H906">
            <v>13</v>
          </cell>
          <cell r="I906">
            <v>7</v>
          </cell>
          <cell r="J906">
            <v>0</v>
          </cell>
          <cell r="K906">
            <v>0</v>
          </cell>
          <cell r="L906">
            <v>0</v>
          </cell>
          <cell r="M906">
            <v>41500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</row>
        <row r="907">
          <cell r="A907" t="str">
            <v>Y006-224</v>
          </cell>
          <cell r="B907">
            <v>0</v>
          </cell>
          <cell r="C907" t="str">
            <v>Y006-BD</v>
          </cell>
          <cell r="D907" t="str">
            <v>BI201-312PAF17</v>
          </cell>
          <cell r="E907" t="str">
            <v>poly饰条</v>
          </cell>
          <cell r="F907" t="str">
            <v>1980*13*7</v>
          </cell>
          <cell r="G907">
            <v>1980</v>
          </cell>
          <cell r="H907">
            <v>13</v>
          </cell>
          <cell r="I907">
            <v>7</v>
          </cell>
          <cell r="J907">
            <v>0</v>
          </cell>
          <cell r="K907">
            <v>0</v>
          </cell>
          <cell r="L907">
            <v>0</v>
          </cell>
          <cell r="M907">
            <v>41500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</row>
        <row r="908">
          <cell r="A908" t="str">
            <v>Y006-225</v>
          </cell>
          <cell r="B908">
            <v>0</v>
          </cell>
          <cell r="C908" t="str">
            <v>Y006-BD</v>
          </cell>
          <cell r="D908" t="str">
            <v>BI201-323PAF17</v>
          </cell>
          <cell r="E908" t="str">
            <v>poly饰条</v>
          </cell>
          <cell r="F908" t="str">
            <v>1980*13*7</v>
          </cell>
          <cell r="G908">
            <v>1980</v>
          </cell>
          <cell r="H908">
            <v>13</v>
          </cell>
          <cell r="I908">
            <v>7</v>
          </cell>
          <cell r="J908">
            <v>0</v>
          </cell>
          <cell r="K908">
            <v>0</v>
          </cell>
          <cell r="L908">
            <v>0</v>
          </cell>
          <cell r="M908">
            <v>41500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</row>
        <row r="909">
          <cell r="A909" t="str">
            <v>Y006-226</v>
          </cell>
          <cell r="B909">
            <v>0</v>
          </cell>
          <cell r="C909" t="str">
            <v>Y006-BD</v>
          </cell>
          <cell r="D909" t="str">
            <v>BI201-713PAF17</v>
          </cell>
          <cell r="E909" t="str">
            <v>poly饰条</v>
          </cell>
          <cell r="F909" t="str">
            <v>1980*13*7</v>
          </cell>
          <cell r="G909">
            <v>1980</v>
          </cell>
          <cell r="H909">
            <v>13</v>
          </cell>
          <cell r="I909">
            <v>7</v>
          </cell>
          <cell r="J909">
            <v>0</v>
          </cell>
          <cell r="K909">
            <v>0</v>
          </cell>
          <cell r="L909">
            <v>0</v>
          </cell>
          <cell r="M909">
            <v>41500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</row>
        <row r="910">
          <cell r="A910" t="str">
            <v>Y006-227</v>
          </cell>
          <cell r="B910">
            <v>0</v>
          </cell>
          <cell r="C910" t="str">
            <v>Y006-BD</v>
          </cell>
          <cell r="D910" t="str">
            <v>BI201-723PAF17</v>
          </cell>
          <cell r="E910" t="str">
            <v>poly饰条</v>
          </cell>
          <cell r="F910" t="str">
            <v>1980*13*7</v>
          </cell>
          <cell r="G910">
            <v>1980</v>
          </cell>
          <cell r="H910">
            <v>13</v>
          </cell>
          <cell r="I910">
            <v>7</v>
          </cell>
          <cell r="J910">
            <v>0</v>
          </cell>
          <cell r="K910">
            <v>0</v>
          </cell>
          <cell r="L910">
            <v>0</v>
          </cell>
          <cell r="M910">
            <v>41500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</row>
        <row r="911">
          <cell r="A911" t="str">
            <v>Y006-228</v>
          </cell>
          <cell r="B911">
            <v>0</v>
          </cell>
          <cell r="C911" t="str">
            <v>Y006-BD</v>
          </cell>
          <cell r="D911" t="str">
            <v>DI201-009PAF17</v>
          </cell>
          <cell r="E911" t="str">
            <v>poly饰条</v>
          </cell>
          <cell r="F911" t="str">
            <v>1980*13*7</v>
          </cell>
          <cell r="G911">
            <v>1980</v>
          </cell>
          <cell r="H911">
            <v>13</v>
          </cell>
          <cell r="I911">
            <v>7</v>
          </cell>
          <cell r="J911">
            <v>0</v>
          </cell>
          <cell r="K911">
            <v>0</v>
          </cell>
          <cell r="L911">
            <v>0</v>
          </cell>
          <cell r="M911">
            <v>41500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</row>
        <row r="912">
          <cell r="A912" t="str">
            <v>Y006-229</v>
          </cell>
          <cell r="B912">
            <v>0</v>
          </cell>
          <cell r="C912" t="str">
            <v>Y006-BD</v>
          </cell>
          <cell r="D912" t="str">
            <v>DI201-502PAF17</v>
          </cell>
          <cell r="E912" t="str">
            <v>poly饰条</v>
          </cell>
          <cell r="F912" t="str">
            <v>1980*13*7</v>
          </cell>
          <cell r="G912">
            <v>1980</v>
          </cell>
          <cell r="H912">
            <v>13</v>
          </cell>
          <cell r="I912">
            <v>7</v>
          </cell>
          <cell r="J912">
            <v>0</v>
          </cell>
          <cell r="K912">
            <v>0</v>
          </cell>
          <cell r="L912">
            <v>0</v>
          </cell>
          <cell r="M912">
            <v>41500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</row>
        <row r="913">
          <cell r="A913" t="str">
            <v>Y006-230</v>
          </cell>
          <cell r="B913">
            <v>0</v>
          </cell>
          <cell r="C913" t="str">
            <v>Y006-BD</v>
          </cell>
          <cell r="D913" t="str">
            <v>DI201-505PAF17</v>
          </cell>
          <cell r="E913" t="str">
            <v>poly饰条</v>
          </cell>
          <cell r="F913" t="str">
            <v>1980*13*7</v>
          </cell>
          <cell r="G913">
            <v>1980</v>
          </cell>
          <cell r="H913">
            <v>13</v>
          </cell>
          <cell r="I913">
            <v>7</v>
          </cell>
          <cell r="J913">
            <v>0</v>
          </cell>
          <cell r="K913">
            <v>0</v>
          </cell>
          <cell r="L913">
            <v>0</v>
          </cell>
          <cell r="M913">
            <v>41500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</row>
        <row r="914">
          <cell r="A914" t="str">
            <v>Y006-231</v>
          </cell>
          <cell r="B914">
            <v>0</v>
          </cell>
          <cell r="C914" t="str">
            <v>Y006-BD</v>
          </cell>
          <cell r="D914" t="str">
            <v>NI201-202PAF17</v>
          </cell>
          <cell r="E914" t="str">
            <v>poly饰条</v>
          </cell>
          <cell r="F914" t="str">
            <v>1980*13*7</v>
          </cell>
          <cell r="G914">
            <v>1980</v>
          </cell>
          <cell r="H914">
            <v>13</v>
          </cell>
          <cell r="I914">
            <v>7</v>
          </cell>
          <cell r="J914">
            <v>0</v>
          </cell>
          <cell r="K914">
            <v>0</v>
          </cell>
          <cell r="L914">
            <v>0</v>
          </cell>
          <cell r="M914">
            <v>41500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</row>
        <row r="915">
          <cell r="A915" t="str">
            <v>Y006-232</v>
          </cell>
          <cell r="B915">
            <v>0</v>
          </cell>
          <cell r="C915" t="str">
            <v>Y006-BD</v>
          </cell>
          <cell r="D915" t="str">
            <v>BI201-331PS217</v>
          </cell>
          <cell r="E915" t="str">
            <v>poly饰条</v>
          </cell>
          <cell r="F915" t="str">
            <v>19*16*16</v>
          </cell>
          <cell r="G915">
            <v>19</v>
          </cell>
          <cell r="H915">
            <v>16</v>
          </cell>
          <cell r="I915">
            <v>16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</row>
        <row r="916">
          <cell r="A916" t="str">
            <v>Y006-233</v>
          </cell>
          <cell r="B916">
            <v>0</v>
          </cell>
          <cell r="C916" t="str">
            <v>Y006-BD</v>
          </cell>
          <cell r="D916" t="str">
            <v>MI201-502PAF17</v>
          </cell>
          <cell r="E916" t="str">
            <v>poly饰条</v>
          </cell>
          <cell r="F916" t="str">
            <v>1980*13*7</v>
          </cell>
          <cell r="G916">
            <v>1980</v>
          </cell>
          <cell r="H916">
            <v>13</v>
          </cell>
          <cell r="I916">
            <v>7</v>
          </cell>
          <cell r="J916">
            <v>0</v>
          </cell>
          <cell r="K916">
            <v>0</v>
          </cell>
          <cell r="L916">
            <v>0</v>
          </cell>
          <cell r="M916">
            <v>41500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</row>
        <row r="917">
          <cell r="A917" t="str">
            <v>Y006-234</v>
          </cell>
          <cell r="B917">
            <v>0</v>
          </cell>
          <cell r="C917" t="str">
            <v>Y006-BD</v>
          </cell>
          <cell r="D917" t="str">
            <v>MI201-505PAF17</v>
          </cell>
          <cell r="E917" t="str">
            <v>poly饰条</v>
          </cell>
          <cell r="F917" t="str">
            <v>1980*13*7</v>
          </cell>
          <cell r="G917">
            <v>1980</v>
          </cell>
          <cell r="H917">
            <v>13</v>
          </cell>
          <cell r="I917">
            <v>7</v>
          </cell>
          <cell r="J917">
            <v>0</v>
          </cell>
          <cell r="K917">
            <v>0</v>
          </cell>
          <cell r="L917">
            <v>0</v>
          </cell>
          <cell r="M917">
            <v>41500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</row>
        <row r="918">
          <cell r="A918" t="str">
            <v>Y006-235</v>
          </cell>
          <cell r="B918">
            <v>0</v>
          </cell>
          <cell r="C918" t="str">
            <v>Y006-DN</v>
          </cell>
          <cell r="D918" t="str">
            <v>HP127-640GGD17</v>
          </cell>
          <cell r="E918" t="str">
            <v>poly饰条</v>
          </cell>
          <cell r="F918" t="str">
            <v>1200*10*5.5</v>
          </cell>
          <cell r="G918">
            <v>1200</v>
          </cell>
          <cell r="H918">
            <v>10</v>
          </cell>
          <cell r="I918">
            <v>5.5</v>
          </cell>
          <cell r="J918">
            <v>0</v>
          </cell>
          <cell r="K918">
            <v>0</v>
          </cell>
          <cell r="L918">
            <v>0</v>
          </cell>
          <cell r="M918">
            <v>6700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</row>
        <row r="919">
          <cell r="A919" t="str">
            <v>Y006-236</v>
          </cell>
          <cell r="B919">
            <v>0</v>
          </cell>
          <cell r="C919" t="str">
            <v>Y006-DN</v>
          </cell>
          <cell r="D919" t="str">
            <v>h1459-519PP717</v>
          </cell>
          <cell r="E919" t="str">
            <v>poly饰花</v>
          </cell>
          <cell r="F919" t="str">
            <v>47*47*12</v>
          </cell>
          <cell r="G919">
            <v>47</v>
          </cell>
          <cell r="H919">
            <v>47</v>
          </cell>
          <cell r="I919">
            <v>12</v>
          </cell>
          <cell r="J919">
            <v>0</v>
          </cell>
          <cell r="K919">
            <v>0</v>
          </cell>
          <cell r="L919">
            <v>0</v>
          </cell>
          <cell r="M919">
            <v>1980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</row>
        <row r="920">
          <cell r="A920" t="str">
            <v>Y006-237</v>
          </cell>
          <cell r="B920">
            <v>0</v>
          </cell>
          <cell r="C920" t="str">
            <v>Y006-DN</v>
          </cell>
          <cell r="D920" t="str">
            <v>H0484-519GA817</v>
          </cell>
          <cell r="E920" t="str">
            <v>poly饰条</v>
          </cell>
          <cell r="F920" t="str">
            <v>880*23*8.5</v>
          </cell>
          <cell r="G920">
            <v>880</v>
          </cell>
          <cell r="H920">
            <v>23</v>
          </cell>
          <cell r="I920">
            <v>8.5</v>
          </cell>
          <cell r="J920">
            <v>0</v>
          </cell>
          <cell r="K920">
            <v>0</v>
          </cell>
          <cell r="L920">
            <v>0</v>
          </cell>
          <cell r="M920">
            <v>14570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</row>
        <row r="921">
          <cell r="A921" t="str">
            <v>Y006-238</v>
          </cell>
          <cell r="B921">
            <v>0</v>
          </cell>
          <cell r="C921" t="str">
            <v>Y006-DN</v>
          </cell>
          <cell r="D921" t="str">
            <v>H0484-519GA917</v>
          </cell>
          <cell r="E921" t="str">
            <v>poly饰条</v>
          </cell>
          <cell r="F921" t="str">
            <v>1745*23*8.5</v>
          </cell>
          <cell r="G921">
            <v>1745</v>
          </cell>
          <cell r="H921">
            <v>23</v>
          </cell>
          <cell r="I921">
            <v>8.5</v>
          </cell>
          <cell r="J921">
            <v>0</v>
          </cell>
          <cell r="K921">
            <v>0</v>
          </cell>
          <cell r="L921">
            <v>0</v>
          </cell>
          <cell r="M921">
            <v>27500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</row>
        <row r="922">
          <cell r="A922" t="str">
            <v>Y006-239</v>
          </cell>
          <cell r="B922">
            <v>0</v>
          </cell>
          <cell r="C922" t="str">
            <v>Y006-DN</v>
          </cell>
          <cell r="D922" t="str">
            <v>H0484-519GAA17</v>
          </cell>
          <cell r="E922" t="str">
            <v>poly饰条</v>
          </cell>
          <cell r="F922" t="str">
            <v>103*53*7</v>
          </cell>
          <cell r="G922">
            <v>103</v>
          </cell>
          <cell r="H922">
            <v>53</v>
          </cell>
          <cell r="I922">
            <v>7</v>
          </cell>
          <cell r="J922">
            <v>0</v>
          </cell>
          <cell r="K922">
            <v>0</v>
          </cell>
          <cell r="L922">
            <v>0</v>
          </cell>
          <cell r="M922">
            <v>2850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</row>
        <row r="923">
          <cell r="A923" t="str">
            <v>Y006-240</v>
          </cell>
          <cell r="B923">
            <v>0</v>
          </cell>
          <cell r="C923" t="str">
            <v>Y006-DN</v>
          </cell>
          <cell r="D923" t="str">
            <v>H1015-519GA817</v>
          </cell>
          <cell r="E923" t="str">
            <v>poly饰条</v>
          </cell>
          <cell r="F923" t="str">
            <v>1013*17.2*5.5</v>
          </cell>
          <cell r="G923">
            <v>1013</v>
          </cell>
          <cell r="H923">
            <v>17.2</v>
          </cell>
          <cell r="I923">
            <v>5.5</v>
          </cell>
          <cell r="J923">
            <v>0</v>
          </cell>
          <cell r="K923">
            <v>0</v>
          </cell>
          <cell r="L923">
            <v>0</v>
          </cell>
          <cell r="M923">
            <v>11520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</row>
        <row r="924">
          <cell r="A924" t="str">
            <v>Y006-241</v>
          </cell>
          <cell r="B924">
            <v>0</v>
          </cell>
          <cell r="C924" t="str">
            <v>Y006-DN</v>
          </cell>
          <cell r="D924" t="str">
            <v>H1015-519GA917</v>
          </cell>
          <cell r="E924" t="str">
            <v>poly饰条</v>
          </cell>
          <cell r="F924" t="str">
            <v>1834*17.2*5.5</v>
          </cell>
          <cell r="G924">
            <v>1834</v>
          </cell>
          <cell r="H924">
            <v>17.2</v>
          </cell>
          <cell r="I924">
            <v>5.5</v>
          </cell>
          <cell r="J924">
            <v>0</v>
          </cell>
          <cell r="K924">
            <v>0</v>
          </cell>
          <cell r="L924">
            <v>0</v>
          </cell>
          <cell r="M924">
            <v>19820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</row>
        <row r="925">
          <cell r="A925" t="str">
            <v>Y006-242</v>
          </cell>
          <cell r="B925">
            <v>0</v>
          </cell>
          <cell r="C925" t="str">
            <v>Y006-BD</v>
          </cell>
          <cell r="D925" t="str">
            <v>MP155-501PH217</v>
          </cell>
          <cell r="E925" t="str">
            <v>poly饰条</v>
          </cell>
          <cell r="F925" t="str">
            <v>145*9*4</v>
          </cell>
          <cell r="G925">
            <v>145</v>
          </cell>
          <cell r="H925">
            <v>9</v>
          </cell>
          <cell r="I925">
            <v>4</v>
          </cell>
          <cell r="J925">
            <v>0</v>
          </cell>
          <cell r="K925">
            <v>0</v>
          </cell>
          <cell r="L925">
            <v>0</v>
          </cell>
          <cell r="M925">
            <v>1000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43405</v>
          </cell>
          <cell r="T925">
            <v>0</v>
          </cell>
        </row>
        <row r="926">
          <cell r="A926" t="str">
            <v>Y006-243</v>
          </cell>
          <cell r="B926">
            <v>0</v>
          </cell>
          <cell r="C926" t="str">
            <v>Y006-BD</v>
          </cell>
          <cell r="D926" t="str">
            <v>MP155-501PHC17</v>
          </cell>
          <cell r="E926" t="str">
            <v>poly饰条</v>
          </cell>
          <cell r="F926" t="str">
            <v>164*9*4</v>
          </cell>
          <cell r="G926">
            <v>164</v>
          </cell>
          <cell r="H926">
            <v>9</v>
          </cell>
          <cell r="I926">
            <v>4</v>
          </cell>
          <cell r="J926">
            <v>0</v>
          </cell>
          <cell r="K926">
            <v>0</v>
          </cell>
          <cell r="L926">
            <v>0</v>
          </cell>
          <cell r="M926">
            <v>1000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43405</v>
          </cell>
          <cell r="T926">
            <v>0</v>
          </cell>
        </row>
        <row r="927">
          <cell r="A927" t="str">
            <v>Y006-244</v>
          </cell>
          <cell r="B927">
            <v>0</v>
          </cell>
          <cell r="C927" t="str">
            <v>Y006-BD</v>
          </cell>
          <cell r="D927" t="str">
            <v>MP155-502PH217</v>
          </cell>
          <cell r="E927" t="str">
            <v>poly饰条</v>
          </cell>
          <cell r="F927" t="str">
            <v>204*9*4</v>
          </cell>
          <cell r="G927">
            <v>204</v>
          </cell>
          <cell r="H927">
            <v>9</v>
          </cell>
          <cell r="I927">
            <v>4</v>
          </cell>
          <cell r="J927">
            <v>0</v>
          </cell>
          <cell r="K927">
            <v>0</v>
          </cell>
          <cell r="L927">
            <v>0</v>
          </cell>
          <cell r="M927">
            <v>1100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43405</v>
          </cell>
          <cell r="T927">
            <v>0</v>
          </cell>
        </row>
        <row r="928">
          <cell r="A928" t="str">
            <v>Y006-245</v>
          </cell>
          <cell r="B928">
            <v>0</v>
          </cell>
          <cell r="C928" t="str">
            <v>Y006-BD</v>
          </cell>
          <cell r="D928" t="str">
            <v>MP155-502PHC17</v>
          </cell>
          <cell r="E928" t="str">
            <v>poly饰条</v>
          </cell>
          <cell r="F928" t="str">
            <v>218*9*4</v>
          </cell>
          <cell r="G928">
            <v>218</v>
          </cell>
          <cell r="H928">
            <v>9</v>
          </cell>
          <cell r="I928">
            <v>4</v>
          </cell>
          <cell r="J928">
            <v>0</v>
          </cell>
          <cell r="K928">
            <v>0</v>
          </cell>
          <cell r="L928">
            <v>0</v>
          </cell>
          <cell r="M928">
            <v>1100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43405</v>
          </cell>
          <cell r="T928">
            <v>0</v>
          </cell>
        </row>
        <row r="929">
          <cell r="A929" t="str">
            <v>Y006-246</v>
          </cell>
          <cell r="B929">
            <v>0</v>
          </cell>
          <cell r="C929" t="str">
            <v>Y006-DN</v>
          </cell>
          <cell r="D929" t="str">
            <v>B0709-212PP717</v>
          </cell>
          <cell r="E929" t="str">
            <v>圆飾片 - 有孔 có lỗ</v>
          </cell>
          <cell r="F929" t="str">
            <v>50*50*7</v>
          </cell>
          <cell r="G929">
            <v>50</v>
          </cell>
          <cell r="H929">
            <v>50</v>
          </cell>
          <cell r="I929">
            <v>7</v>
          </cell>
          <cell r="J929">
            <v>0</v>
          </cell>
          <cell r="K929">
            <v>0</v>
          </cell>
          <cell r="L929">
            <v>0</v>
          </cell>
          <cell r="M929">
            <v>1300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</row>
        <row r="930">
          <cell r="A930" t="str">
            <v>Y006-247</v>
          </cell>
          <cell r="B930">
            <v>0</v>
          </cell>
          <cell r="C930" t="str">
            <v>Y006-DN</v>
          </cell>
          <cell r="D930" t="str">
            <v>B0709-213PP717</v>
          </cell>
          <cell r="E930" t="str">
            <v>圆飾片 - 没孔 - không lỗ</v>
          </cell>
          <cell r="F930" t="str">
            <v>50*50*10</v>
          </cell>
          <cell r="G930">
            <v>50</v>
          </cell>
          <cell r="H930">
            <v>50</v>
          </cell>
          <cell r="I930">
            <v>10</v>
          </cell>
          <cell r="J930">
            <v>0</v>
          </cell>
          <cell r="K930">
            <v>0</v>
          </cell>
          <cell r="L930">
            <v>0</v>
          </cell>
          <cell r="M930">
            <v>1400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</row>
        <row r="931">
          <cell r="A931" t="str">
            <v>Y006-248</v>
          </cell>
          <cell r="B931">
            <v>0</v>
          </cell>
          <cell r="C931" t="str">
            <v>Y006-DN</v>
          </cell>
          <cell r="D931" t="str">
            <v>B0709-222PP717</v>
          </cell>
          <cell r="E931" t="str">
            <v>圆飾片 - 有孔 có lỗ</v>
          </cell>
          <cell r="F931" t="str">
            <v>50*50*7</v>
          </cell>
          <cell r="G931">
            <v>50</v>
          </cell>
          <cell r="H931">
            <v>50</v>
          </cell>
          <cell r="I931">
            <v>7</v>
          </cell>
          <cell r="J931">
            <v>0</v>
          </cell>
          <cell r="K931">
            <v>0</v>
          </cell>
          <cell r="L931">
            <v>0</v>
          </cell>
          <cell r="M931">
            <v>1300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</row>
        <row r="932">
          <cell r="A932" t="str">
            <v>Y006-249</v>
          </cell>
          <cell r="B932">
            <v>0</v>
          </cell>
          <cell r="C932" t="str">
            <v>Y006-DN</v>
          </cell>
          <cell r="D932" t="str">
            <v>B0709-223PP717</v>
          </cell>
          <cell r="E932" t="str">
            <v>圆飾片 - 没孔 - không lỗ</v>
          </cell>
          <cell r="F932" t="str">
            <v>50*50*10</v>
          </cell>
          <cell r="G932">
            <v>50</v>
          </cell>
          <cell r="H932">
            <v>50</v>
          </cell>
          <cell r="I932">
            <v>10</v>
          </cell>
          <cell r="J932">
            <v>0</v>
          </cell>
          <cell r="K932">
            <v>0</v>
          </cell>
          <cell r="L932">
            <v>0</v>
          </cell>
          <cell r="M932">
            <v>1400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</row>
        <row r="933">
          <cell r="A933" t="str">
            <v>Y006-250</v>
          </cell>
          <cell r="B933">
            <v>0</v>
          </cell>
          <cell r="C933" t="str">
            <v>Y006-DN</v>
          </cell>
          <cell r="D933" t="str">
            <v>B1709-242PP717</v>
          </cell>
          <cell r="E933" t="str">
            <v>圆飾片 - 有孔 có lỗ</v>
          </cell>
          <cell r="F933" t="str">
            <v>50*50*7</v>
          </cell>
          <cell r="G933">
            <v>50</v>
          </cell>
          <cell r="H933">
            <v>50</v>
          </cell>
          <cell r="I933">
            <v>7</v>
          </cell>
          <cell r="J933">
            <v>0</v>
          </cell>
          <cell r="K933">
            <v>0</v>
          </cell>
          <cell r="L933">
            <v>0</v>
          </cell>
          <cell r="M933">
            <v>1300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</row>
        <row r="934">
          <cell r="A934" t="str">
            <v>Y006-251</v>
          </cell>
          <cell r="B934">
            <v>0</v>
          </cell>
          <cell r="C934" t="str">
            <v>Y006-DN</v>
          </cell>
          <cell r="D934" t="str">
            <v>B1709-243PP717</v>
          </cell>
          <cell r="E934" t="str">
            <v>圆飾片 - 没孔 - không lỗ</v>
          </cell>
          <cell r="F934" t="str">
            <v>50*50*10</v>
          </cell>
          <cell r="G934">
            <v>50</v>
          </cell>
          <cell r="H934">
            <v>50</v>
          </cell>
          <cell r="I934">
            <v>10</v>
          </cell>
          <cell r="J934">
            <v>0</v>
          </cell>
          <cell r="K934">
            <v>0</v>
          </cell>
          <cell r="L934">
            <v>0</v>
          </cell>
          <cell r="M934">
            <v>1400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</row>
        <row r="935">
          <cell r="A935" t="str">
            <v>Y006-252</v>
          </cell>
          <cell r="B935">
            <v>0</v>
          </cell>
          <cell r="C935" t="str">
            <v>Y006-DN</v>
          </cell>
          <cell r="D935" t="str">
            <v>B1709-252PP717</v>
          </cell>
          <cell r="E935" t="str">
            <v>圆飾片 - 有孔 có lỗ</v>
          </cell>
          <cell r="F935" t="str">
            <v>50*50*7</v>
          </cell>
          <cell r="G935">
            <v>50</v>
          </cell>
          <cell r="H935">
            <v>50</v>
          </cell>
          <cell r="I935">
            <v>7</v>
          </cell>
          <cell r="J935">
            <v>0</v>
          </cell>
          <cell r="K935">
            <v>0</v>
          </cell>
          <cell r="L935">
            <v>0</v>
          </cell>
          <cell r="M935">
            <v>1300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</row>
        <row r="936">
          <cell r="A936" t="str">
            <v>Y006-253</v>
          </cell>
          <cell r="B936">
            <v>0</v>
          </cell>
          <cell r="C936" t="str">
            <v>Y006-DN</v>
          </cell>
          <cell r="D936" t="str">
            <v>B1709-253PH817</v>
          </cell>
          <cell r="E936" t="str">
            <v>poly饰条</v>
          </cell>
          <cell r="F936" t="str">
            <v>467*4.5*4.5</v>
          </cell>
          <cell r="G936">
            <v>467</v>
          </cell>
          <cell r="H936">
            <v>4.5</v>
          </cell>
          <cell r="I936">
            <v>4.5</v>
          </cell>
          <cell r="J936">
            <v>0</v>
          </cell>
          <cell r="K936">
            <v>0</v>
          </cell>
          <cell r="L936">
            <v>0</v>
          </cell>
          <cell r="M936">
            <v>1900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</row>
        <row r="937">
          <cell r="A937" t="str">
            <v>Y006-254</v>
          </cell>
          <cell r="B937">
            <v>0</v>
          </cell>
          <cell r="C937" t="str">
            <v>Y006-DN</v>
          </cell>
          <cell r="D937" t="str">
            <v>B1709-253PP717</v>
          </cell>
          <cell r="E937" t="str">
            <v>圆飾片 - 没孔 - không lỗ</v>
          </cell>
          <cell r="F937" t="str">
            <v>50*50*10</v>
          </cell>
          <cell r="G937">
            <v>50</v>
          </cell>
          <cell r="H937">
            <v>50</v>
          </cell>
          <cell r="I937">
            <v>10</v>
          </cell>
          <cell r="J937">
            <v>0</v>
          </cell>
          <cell r="K937">
            <v>0</v>
          </cell>
          <cell r="L937">
            <v>0</v>
          </cell>
          <cell r="M937">
            <v>1400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</row>
        <row r="938">
          <cell r="A938" t="str">
            <v>Y006-255</v>
          </cell>
          <cell r="B938">
            <v>0</v>
          </cell>
          <cell r="C938" t="str">
            <v>Y006-DN</v>
          </cell>
          <cell r="D938" t="str">
            <v>F0652-102PS217</v>
          </cell>
          <cell r="E938" t="str">
            <v xml:space="preserve">圆飾片 </v>
          </cell>
          <cell r="F938" t="str">
            <v>39*39*17</v>
          </cell>
          <cell r="G938">
            <v>39</v>
          </cell>
          <cell r="H938">
            <v>39</v>
          </cell>
          <cell r="I938">
            <v>17</v>
          </cell>
          <cell r="J938">
            <v>0</v>
          </cell>
          <cell r="K938">
            <v>0</v>
          </cell>
          <cell r="L938">
            <v>0</v>
          </cell>
          <cell r="M938">
            <v>2030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43414</v>
          </cell>
          <cell r="T938">
            <v>0</v>
          </cell>
        </row>
        <row r="939">
          <cell r="A939" t="str">
            <v>Y006-256</v>
          </cell>
          <cell r="B939">
            <v>0</v>
          </cell>
          <cell r="C939" t="str">
            <v>Y006-BD</v>
          </cell>
          <cell r="D939" t="str">
            <v>DP152-020PS217</v>
          </cell>
          <cell r="E939" t="str">
            <v>poly nhỏ</v>
          </cell>
          <cell r="F939" t="str">
            <v>7.5*8*8</v>
          </cell>
          <cell r="G939">
            <v>7.5</v>
          </cell>
          <cell r="H939">
            <v>8</v>
          </cell>
          <cell r="I939">
            <v>8</v>
          </cell>
          <cell r="J939">
            <v>0</v>
          </cell>
          <cell r="K939">
            <v>0</v>
          </cell>
          <cell r="L939">
            <v>0</v>
          </cell>
          <cell r="M939">
            <v>500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</row>
        <row r="940">
          <cell r="A940" t="str">
            <v>Y006-257</v>
          </cell>
          <cell r="B940">
            <v>0</v>
          </cell>
          <cell r="C940" t="str">
            <v>Y006-BD</v>
          </cell>
          <cell r="D940" t="str">
            <v>DP152-506PS217</v>
          </cell>
          <cell r="E940" t="str">
            <v>poly nhỏ</v>
          </cell>
          <cell r="F940" t="str">
            <v>7.5*8*8</v>
          </cell>
          <cell r="G940">
            <v>7.5</v>
          </cell>
          <cell r="H940">
            <v>8</v>
          </cell>
          <cell r="I940">
            <v>8</v>
          </cell>
          <cell r="J940">
            <v>0</v>
          </cell>
          <cell r="K940">
            <v>0</v>
          </cell>
          <cell r="L940">
            <v>0</v>
          </cell>
          <cell r="M940">
            <v>500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</row>
        <row r="941">
          <cell r="A941" t="str">
            <v>Y006-258</v>
          </cell>
          <cell r="B941">
            <v>0</v>
          </cell>
          <cell r="C941" t="str">
            <v>Y006-BD</v>
          </cell>
          <cell r="D941" t="str">
            <v>DP152-513PS217</v>
          </cell>
          <cell r="E941" t="str">
            <v>poly nhỏ</v>
          </cell>
          <cell r="F941" t="str">
            <v>7.5*8*8</v>
          </cell>
          <cell r="G941">
            <v>7.5</v>
          </cell>
          <cell r="H941">
            <v>8</v>
          </cell>
          <cell r="I941">
            <v>8</v>
          </cell>
          <cell r="J941">
            <v>0</v>
          </cell>
          <cell r="K941">
            <v>0</v>
          </cell>
          <cell r="L941">
            <v>0</v>
          </cell>
          <cell r="M941">
            <v>500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</row>
        <row r="942">
          <cell r="A942" t="str">
            <v>Y006-259</v>
          </cell>
          <cell r="B942">
            <v>0</v>
          </cell>
          <cell r="C942" t="str">
            <v>Y006-BD</v>
          </cell>
          <cell r="D942" t="str">
            <v>DP152-902PS217</v>
          </cell>
          <cell r="E942" t="str">
            <v>poly nhỏ</v>
          </cell>
          <cell r="F942" t="str">
            <v>7.5*8*8</v>
          </cell>
          <cell r="G942">
            <v>7.5</v>
          </cell>
          <cell r="H942">
            <v>8</v>
          </cell>
          <cell r="I942">
            <v>8</v>
          </cell>
          <cell r="J942">
            <v>0</v>
          </cell>
          <cell r="K942">
            <v>0</v>
          </cell>
          <cell r="L942">
            <v>0</v>
          </cell>
          <cell r="M942">
            <v>500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</row>
        <row r="943">
          <cell r="A943" t="str">
            <v>Y006-260</v>
          </cell>
          <cell r="B943">
            <v>0</v>
          </cell>
          <cell r="C943" t="str">
            <v>Y006-BD</v>
          </cell>
          <cell r="D943" t="str">
            <v>DP152-102PS217</v>
          </cell>
          <cell r="E943" t="str">
            <v>poly nhỏ</v>
          </cell>
          <cell r="F943" t="str">
            <v>7.5*8*8</v>
          </cell>
          <cell r="G943">
            <v>7.5</v>
          </cell>
          <cell r="H943">
            <v>8</v>
          </cell>
          <cell r="I943">
            <v>8</v>
          </cell>
          <cell r="J943">
            <v>0</v>
          </cell>
          <cell r="K943">
            <v>0</v>
          </cell>
          <cell r="L943">
            <v>0</v>
          </cell>
          <cell r="M943">
            <v>500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</row>
        <row r="944">
          <cell r="A944" t="str">
            <v>Y006-2001</v>
          </cell>
          <cell r="B944">
            <v>0</v>
          </cell>
          <cell r="C944" t="str">
            <v>Y006-BD</v>
          </cell>
          <cell r="D944">
            <v>0</v>
          </cell>
          <cell r="E944" t="str">
            <v>一邊(木紋)</v>
          </cell>
          <cell r="F944">
            <v>0</v>
          </cell>
          <cell r="G944">
            <v>1000</v>
          </cell>
          <cell r="H944">
            <v>53</v>
          </cell>
          <cell r="I944">
            <v>6</v>
          </cell>
          <cell r="J944">
            <v>0</v>
          </cell>
          <cell r="K944">
            <v>0</v>
          </cell>
          <cell r="L944">
            <v>0</v>
          </cell>
          <cell r="M944">
            <v>30700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 t="e">
            <v>#DIV/0!</v>
          </cell>
        </row>
        <row r="945">
          <cell r="A945" t="str">
            <v>Y006-2002</v>
          </cell>
          <cell r="B945">
            <v>0</v>
          </cell>
          <cell r="C945" t="str">
            <v>Y006-BD</v>
          </cell>
          <cell r="D945">
            <v>0</v>
          </cell>
          <cell r="E945" t="str">
            <v>二邊(木紋)</v>
          </cell>
          <cell r="F945">
            <v>0</v>
          </cell>
          <cell r="G945">
            <v>1000</v>
          </cell>
          <cell r="H945">
            <v>53</v>
          </cell>
          <cell r="I945">
            <v>6</v>
          </cell>
          <cell r="J945">
            <v>0</v>
          </cell>
          <cell r="K945">
            <v>0</v>
          </cell>
          <cell r="L945">
            <v>0</v>
          </cell>
          <cell r="M945">
            <v>31300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 t="e">
            <v>#DIV/0!</v>
          </cell>
        </row>
        <row r="946">
          <cell r="A946" t="str">
            <v>Y007-001</v>
          </cell>
          <cell r="B946" t="str">
            <v>LCT007-054</v>
          </cell>
          <cell r="C946" t="str">
            <v>Y007</v>
          </cell>
          <cell r="D946">
            <v>0</v>
          </cell>
          <cell r="E946" t="str">
            <v>圆饰块左</v>
          </cell>
          <cell r="F946" t="str">
            <v>550*12*10</v>
          </cell>
          <cell r="G946">
            <v>550</v>
          </cell>
          <cell r="H946">
            <v>12</v>
          </cell>
          <cell r="I946">
            <v>10</v>
          </cell>
          <cell r="J946">
            <v>105</v>
          </cell>
          <cell r="K946">
            <v>0</v>
          </cell>
          <cell r="L946">
            <v>0.35</v>
          </cell>
          <cell r="M946">
            <v>0</v>
          </cell>
          <cell r="N946">
            <v>0</v>
          </cell>
          <cell r="O946" t="str">
            <v>40V</v>
          </cell>
          <cell r="P946" t="str">
            <v>1010</v>
          </cell>
          <cell r="Q946" t="str">
            <v>1010</v>
          </cell>
          <cell r="R946">
            <v>3.333333333333333</v>
          </cell>
        </row>
        <row r="947">
          <cell r="A947" t="str">
            <v>Y007-002</v>
          </cell>
          <cell r="B947" t="str">
            <v>LCT007-055</v>
          </cell>
          <cell r="C947" t="str">
            <v>Y007</v>
          </cell>
          <cell r="D947">
            <v>0</v>
          </cell>
          <cell r="E947" t="str">
            <v>圆饰块右</v>
          </cell>
          <cell r="F947" t="str">
            <v>550*12*10</v>
          </cell>
          <cell r="G947">
            <v>550</v>
          </cell>
          <cell r="H947">
            <v>12</v>
          </cell>
          <cell r="I947">
            <v>10</v>
          </cell>
          <cell r="J947">
            <v>105</v>
          </cell>
          <cell r="K947">
            <v>0</v>
          </cell>
          <cell r="L947">
            <v>0.35</v>
          </cell>
          <cell r="M947">
            <v>0</v>
          </cell>
          <cell r="N947">
            <v>0</v>
          </cell>
          <cell r="O947" t="str">
            <v>40V</v>
          </cell>
          <cell r="P947" t="str">
            <v>1010</v>
          </cell>
          <cell r="Q947" t="str">
            <v>1010</v>
          </cell>
          <cell r="R947">
            <v>3.333333333333333</v>
          </cell>
        </row>
        <row r="948">
          <cell r="A948" t="str">
            <v>Y007-003</v>
          </cell>
          <cell r="B948" t="str">
            <v>LCT007-056</v>
          </cell>
          <cell r="C948" t="str">
            <v>Y007</v>
          </cell>
          <cell r="D948">
            <v>0</v>
          </cell>
          <cell r="E948" t="str">
            <v>圆饰块中</v>
          </cell>
          <cell r="F948" t="str">
            <v>655*12*10</v>
          </cell>
          <cell r="G948">
            <v>655</v>
          </cell>
          <cell r="H948">
            <v>12</v>
          </cell>
          <cell r="I948">
            <v>10</v>
          </cell>
          <cell r="J948">
            <v>120</v>
          </cell>
          <cell r="K948">
            <v>0</v>
          </cell>
          <cell r="L948">
            <v>0.45</v>
          </cell>
          <cell r="M948">
            <v>0</v>
          </cell>
          <cell r="N948">
            <v>0</v>
          </cell>
          <cell r="O948" t="str">
            <v>40V</v>
          </cell>
          <cell r="P948" t="str">
            <v>1010</v>
          </cell>
          <cell r="Q948" t="str">
            <v>1010</v>
          </cell>
          <cell r="R948">
            <v>3.7500000000000004</v>
          </cell>
        </row>
        <row r="949">
          <cell r="A949" t="str">
            <v>Y007-004</v>
          </cell>
          <cell r="B949" t="str">
            <v>LCT007-057</v>
          </cell>
          <cell r="C949" t="str">
            <v>Y007</v>
          </cell>
          <cell r="D949">
            <v>0</v>
          </cell>
          <cell r="E949" t="str">
            <v>圆饰块左</v>
          </cell>
          <cell r="F949" t="str">
            <v>420*12*10</v>
          </cell>
          <cell r="G949">
            <v>420</v>
          </cell>
          <cell r="H949">
            <v>12</v>
          </cell>
          <cell r="I949">
            <v>10</v>
          </cell>
          <cell r="J949">
            <v>80</v>
          </cell>
          <cell r="K949">
            <v>0</v>
          </cell>
          <cell r="L949">
            <v>0.27</v>
          </cell>
          <cell r="M949">
            <v>0</v>
          </cell>
          <cell r="N949">
            <v>0</v>
          </cell>
          <cell r="O949" t="str">
            <v>40V</v>
          </cell>
          <cell r="P949" t="str">
            <v>1010</v>
          </cell>
          <cell r="Q949" t="str">
            <v>1010</v>
          </cell>
          <cell r="R949">
            <v>3.375</v>
          </cell>
        </row>
        <row r="950">
          <cell r="A950" t="str">
            <v>Y007-005</v>
          </cell>
          <cell r="B950" t="str">
            <v>LCT007-058</v>
          </cell>
          <cell r="C950" t="str">
            <v>Y007</v>
          </cell>
          <cell r="D950">
            <v>0</v>
          </cell>
          <cell r="E950" t="str">
            <v>圆饰块右</v>
          </cell>
          <cell r="F950" t="str">
            <v>420*12*10</v>
          </cell>
          <cell r="G950">
            <v>420</v>
          </cell>
          <cell r="H950">
            <v>12</v>
          </cell>
          <cell r="I950">
            <v>10</v>
          </cell>
          <cell r="J950">
            <v>80</v>
          </cell>
          <cell r="K950">
            <v>0</v>
          </cell>
          <cell r="L950">
            <v>0.27</v>
          </cell>
          <cell r="M950">
            <v>0</v>
          </cell>
          <cell r="N950">
            <v>0</v>
          </cell>
          <cell r="O950" t="str">
            <v>40V</v>
          </cell>
          <cell r="P950" t="str">
            <v>1010</v>
          </cell>
          <cell r="Q950" t="str">
            <v>1010</v>
          </cell>
          <cell r="R950">
            <v>3.375</v>
          </cell>
        </row>
        <row r="951">
          <cell r="A951" t="str">
            <v>Y007-006</v>
          </cell>
          <cell r="B951" t="str">
            <v>LCT007-059</v>
          </cell>
          <cell r="C951" t="str">
            <v>Y007</v>
          </cell>
          <cell r="D951">
            <v>0</v>
          </cell>
          <cell r="E951" t="str">
            <v>圆饰块中</v>
          </cell>
          <cell r="F951" t="str">
            <v>511*12*10</v>
          </cell>
          <cell r="G951">
            <v>511</v>
          </cell>
          <cell r="H951">
            <v>12</v>
          </cell>
          <cell r="I951">
            <v>10</v>
          </cell>
          <cell r="J951">
            <v>100</v>
          </cell>
          <cell r="K951">
            <v>0</v>
          </cell>
          <cell r="L951">
            <v>0.34</v>
          </cell>
          <cell r="M951">
            <v>0</v>
          </cell>
          <cell r="N951">
            <v>0</v>
          </cell>
          <cell r="O951" t="str">
            <v>40V</v>
          </cell>
          <cell r="P951" t="str">
            <v>1010</v>
          </cell>
          <cell r="Q951" t="str">
            <v>1010</v>
          </cell>
          <cell r="R951">
            <v>3.4</v>
          </cell>
        </row>
        <row r="952">
          <cell r="A952" t="str">
            <v>Y007-007</v>
          </cell>
          <cell r="B952" t="str">
            <v>LCT007-060</v>
          </cell>
          <cell r="C952" t="str">
            <v>Y007</v>
          </cell>
          <cell r="D952">
            <v>0</v>
          </cell>
          <cell r="E952" t="str">
            <v>POLY飾條</v>
          </cell>
          <cell r="F952" t="str">
            <v>700*12*9</v>
          </cell>
          <cell r="G952">
            <v>700</v>
          </cell>
          <cell r="H952">
            <v>12</v>
          </cell>
          <cell r="I952">
            <v>9</v>
          </cell>
          <cell r="J952">
            <v>0</v>
          </cell>
          <cell r="K952">
            <v>0</v>
          </cell>
          <cell r="L952">
            <v>0.33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 t="e">
            <v>#DIV/0!</v>
          </cell>
        </row>
        <row r="953">
          <cell r="A953" t="str">
            <v>Y007-008</v>
          </cell>
          <cell r="B953" t="str">
            <v>LCT007-061</v>
          </cell>
          <cell r="C953" t="str">
            <v>Y007</v>
          </cell>
          <cell r="D953">
            <v>0</v>
          </cell>
          <cell r="E953" t="str">
            <v>POLY飾條</v>
          </cell>
          <cell r="F953" t="str">
            <v>700*12*6</v>
          </cell>
          <cell r="G953">
            <v>700</v>
          </cell>
          <cell r="H953">
            <v>12</v>
          </cell>
          <cell r="I953">
            <v>6</v>
          </cell>
          <cell r="J953">
            <v>0</v>
          </cell>
          <cell r="K953">
            <v>0</v>
          </cell>
          <cell r="L953">
            <v>0.24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 t="e">
            <v>#DIV/0!</v>
          </cell>
        </row>
        <row r="954">
          <cell r="A954" t="str">
            <v>Y007-009</v>
          </cell>
          <cell r="B954" t="str">
            <v>LCT007-066</v>
          </cell>
          <cell r="C954" t="str">
            <v>Y007</v>
          </cell>
          <cell r="D954">
            <v>0</v>
          </cell>
          <cell r="E954" t="str">
            <v>POLY飾條</v>
          </cell>
          <cell r="F954" t="str">
            <v>384*103*4</v>
          </cell>
          <cell r="G954">
            <v>384</v>
          </cell>
          <cell r="H954">
            <v>103</v>
          </cell>
          <cell r="I954">
            <v>4</v>
          </cell>
          <cell r="J954">
            <v>40</v>
          </cell>
          <cell r="K954">
            <v>0</v>
          </cell>
          <cell r="L954">
            <v>1</v>
          </cell>
          <cell r="M954">
            <v>0</v>
          </cell>
          <cell r="N954">
            <v>0</v>
          </cell>
          <cell r="O954" t="str">
            <v>40V</v>
          </cell>
          <cell r="P954" t="str">
            <v>1010</v>
          </cell>
          <cell r="Q954" t="str">
            <v>1010</v>
          </cell>
          <cell r="R954">
            <v>25</v>
          </cell>
        </row>
        <row r="955">
          <cell r="A955" t="str">
            <v>Y007-010</v>
          </cell>
          <cell r="B955" t="str">
            <v>LCT007-067</v>
          </cell>
          <cell r="C955" t="str">
            <v>Y007</v>
          </cell>
          <cell r="D955">
            <v>0</v>
          </cell>
          <cell r="E955" t="str">
            <v>POLY飾條</v>
          </cell>
          <cell r="F955" t="str">
            <v>384*107*4</v>
          </cell>
          <cell r="G955">
            <v>384</v>
          </cell>
          <cell r="H955">
            <v>107</v>
          </cell>
          <cell r="I955">
            <v>4</v>
          </cell>
          <cell r="J955">
            <v>40</v>
          </cell>
          <cell r="K955">
            <v>0</v>
          </cell>
          <cell r="L955">
            <v>1.1399999999999999</v>
          </cell>
          <cell r="M955">
            <v>0</v>
          </cell>
          <cell r="N955">
            <v>0</v>
          </cell>
          <cell r="O955" t="str">
            <v>40V</v>
          </cell>
          <cell r="P955" t="str">
            <v>1010</v>
          </cell>
          <cell r="Q955" t="str">
            <v>1010</v>
          </cell>
          <cell r="R955">
            <v>28.499999999999996</v>
          </cell>
        </row>
        <row r="956">
          <cell r="A956" t="str">
            <v>Y007-011</v>
          </cell>
          <cell r="B956" t="str">
            <v>LCT007-068</v>
          </cell>
          <cell r="C956" t="str">
            <v>Y007</v>
          </cell>
          <cell r="D956">
            <v>0</v>
          </cell>
          <cell r="E956" t="str">
            <v>POLY飾條</v>
          </cell>
          <cell r="F956" t="str">
            <v>553*103*4</v>
          </cell>
          <cell r="G956">
            <v>553</v>
          </cell>
          <cell r="H956">
            <v>103</v>
          </cell>
          <cell r="I956">
            <v>4</v>
          </cell>
          <cell r="J956">
            <v>60</v>
          </cell>
          <cell r="K956">
            <v>0</v>
          </cell>
          <cell r="L956">
            <v>1.35</v>
          </cell>
          <cell r="M956">
            <v>0</v>
          </cell>
          <cell r="N956">
            <v>0</v>
          </cell>
          <cell r="O956" t="str">
            <v>40V</v>
          </cell>
          <cell r="P956" t="str">
            <v>1010</v>
          </cell>
          <cell r="Q956" t="str">
            <v>1010</v>
          </cell>
          <cell r="R956">
            <v>22.500000000000004</v>
          </cell>
        </row>
        <row r="957">
          <cell r="A957" t="str">
            <v>Y007-012</v>
          </cell>
          <cell r="B957" t="str">
            <v>LCT007-069</v>
          </cell>
          <cell r="C957" t="str">
            <v>Y007</v>
          </cell>
          <cell r="D957">
            <v>0</v>
          </cell>
          <cell r="E957" t="str">
            <v>POLY飾條</v>
          </cell>
          <cell r="F957" t="str">
            <v>553*177*4</v>
          </cell>
          <cell r="G957">
            <v>553</v>
          </cell>
          <cell r="H957">
            <v>177</v>
          </cell>
          <cell r="I957">
            <v>4</v>
          </cell>
          <cell r="J957">
            <v>60</v>
          </cell>
          <cell r="K957">
            <v>0</v>
          </cell>
          <cell r="L957">
            <v>1.5</v>
          </cell>
          <cell r="M957">
            <v>0</v>
          </cell>
          <cell r="N957">
            <v>0</v>
          </cell>
          <cell r="O957" t="str">
            <v>40V</v>
          </cell>
          <cell r="P957" t="str">
            <v>1010</v>
          </cell>
          <cell r="Q957" t="str">
            <v>1010</v>
          </cell>
          <cell r="R957">
            <v>25</v>
          </cell>
        </row>
        <row r="958">
          <cell r="A958" t="str">
            <v>Y007-013</v>
          </cell>
          <cell r="B958" t="str">
            <v>LCT007-070</v>
          </cell>
          <cell r="C958" t="str">
            <v>Y007</v>
          </cell>
          <cell r="D958">
            <v>0</v>
          </cell>
          <cell r="E958" t="str">
            <v>POLY飾條</v>
          </cell>
          <cell r="F958" t="str">
            <v>253*69*4</v>
          </cell>
          <cell r="G958">
            <v>253</v>
          </cell>
          <cell r="H958">
            <v>69</v>
          </cell>
          <cell r="I958">
            <v>4</v>
          </cell>
          <cell r="J958">
            <v>40</v>
          </cell>
          <cell r="K958">
            <v>0</v>
          </cell>
          <cell r="L958">
            <v>0.69</v>
          </cell>
          <cell r="M958">
            <v>0</v>
          </cell>
          <cell r="N958">
            <v>0</v>
          </cell>
          <cell r="O958" t="str">
            <v>40V</v>
          </cell>
          <cell r="P958" t="str">
            <v>1010</v>
          </cell>
          <cell r="Q958" t="str">
            <v>1010</v>
          </cell>
          <cell r="R958">
            <v>17.25</v>
          </cell>
        </row>
        <row r="959">
          <cell r="A959" t="str">
            <v>Y007-014</v>
          </cell>
          <cell r="B959" t="str">
            <v>LCT007-071</v>
          </cell>
          <cell r="C959" t="str">
            <v>Y007</v>
          </cell>
          <cell r="D959">
            <v>0</v>
          </cell>
          <cell r="E959" t="str">
            <v>POLY飾條</v>
          </cell>
          <cell r="F959" t="str">
            <v>229*113*4</v>
          </cell>
          <cell r="G959">
            <v>229</v>
          </cell>
          <cell r="H959">
            <v>113</v>
          </cell>
          <cell r="I959">
            <v>4</v>
          </cell>
          <cell r="J959">
            <v>30</v>
          </cell>
          <cell r="K959">
            <v>0</v>
          </cell>
          <cell r="L959">
            <v>0.7</v>
          </cell>
          <cell r="M959">
            <v>0</v>
          </cell>
          <cell r="N959">
            <v>0</v>
          </cell>
          <cell r="O959" t="str">
            <v>40V</v>
          </cell>
          <cell r="P959" t="str">
            <v>1010</v>
          </cell>
          <cell r="Q959" t="str">
            <v>1010</v>
          </cell>
          <cell r="R959">
            <v>23.333333333333332</v>
          </cell>
        </row>
        <row r="960">
          <cell r="A960" t="str">
            <v>Y007-015</v>
          </cell>
          <cell r="B960" t="str">
            <v>LCT007-072</v>
          </cell>
          <cell r="C960" t="str">
            <v>Y007</v>
          </cell>
          <cell r="D960">
            <v>0</v>
          </cell>
          <cell r="E960" t="str">
            <v>POLY飾條</v>
          </cell>
          <cell r="F960" t="str">
            <v>826*142*4</v>
          </cell>
          <cell r="G960">
            <v>826</v>
          </cell>
          <cell r="H960">
            <v>142</v>
          </cell>
          <cell r="I960">
            <v>4</v>
          </cell>
          <cell r="J960">
            <v>105</v>
          </cell>
          <cell r="K960">
            <v>0</v>
          </cell>
          <cell r="L960">
            <v>2.02</v>
          </cell>
          <cell r="M960">
            <v>0</v>
          </cell>
          <cell r="N960">
            <v>0</v>
          </cell>
          <cell r="O960" t="str">
            <v>40V</v>
          </cell>
          <cell r="P960" t="str">
            <v>1010</v>
          </cell>
          <cell r="Q960" t="str">
            <v>1010</v>
          </cell>
          <cell r="R960">
            <v>19.238095238095237</v>
          </cell>
        </row>
        <row r="961">
          <cell r="A961" t="str">
            <v>Y007-016</v>
          </cell>
          <cell r="B961" t="str">
            <v>LCT007-073</v>
          </cell>
          <cell r="C961" t="str">
            <v>Y007</v>
          </cell>
          <cell r="D961">
            <v>0</v>
          </cell>
          <cell r="E961" t="str">
            <v>POLY飾條</v>
          </cell>
          <cell r="F961" t="str">
            <v>688*103*4</v>
          </cell>
          <cell r="G961">
            <v>688</v>
          </cell>
          <cell r="H961">
            <v>103</v>
          </cell>
          <cell r="I961">
            <v>4</v>
          </cell>
          <cell r="J961">
            <v>70</v>
          </cell>
          <cell r="K961">
            <v>0</v>
          </cell>
          <cell r="L961">
            <v>1.62</v>
          </cell>
          <cell r="M961">
            <v>0</v>
          </cell>
          <cell r="N961">
            <v>0</v>
          </cell>
          <cell r="O961" t="str">
            <v>40V</v>
          </cell>
          <cell r="P961" t="str">
            <v>1010</v>
          </cell>
          <cell r="Q961" t="str">
            <v>1010</v>
          </cell>
          <cell r="R961">
            <v>23.142857142857142</v>
          </cell>
        </row>
        <row r="962">
          <cell r="A962" t="str">
            <v>Y007-017</v>
          </cell>
          <cell r="B962" t="str">
            <v>LCT007-074</v>
          </cell>
          <cell r="C962" t="str">
            <v>Y007</v>
          </cell>
          <cell r="D962">
            <v>0</v>
          </cell>
          <cell r="E962" t="str">
            <v>POLY飾條</v>
          </cell>
          <cell r="F962" t="str">
            <v>688*154*4</v>
          </cell>
          <cell r="G962">
            <v>688</v>
          </cell>
          <cell r="H962">
            <v>154</v>
          </cell>
          <cell r="I962">
            <v>4</v>
          </cell>
          <cell r="J962">
            <v>70</v>
          </cell>
          <cell r="K962">
            <v>0</v>
          </cell>
          <cell r="L962">
            <v>1.73</v>
          </cell>
          <cell r="M962">
            <v>0</v>
          </cell>
          <cell r="N962">
            <v>0</v>
          </cell>
          <cell r="O962" t="str">
            <v>40V</v>
          </cell>
          <cell r="P962" t="str">
            <v>1010</v>
          </cell>
          <cell r="Q962" t="str">
            <v>1010</v>
          </cell>
          <cell r="R962">
            <v>24.714285714285712</v>
          </cell>
        </row>
        <row r="963">
          <cell r="A963" t="str">
            <v>Y007-018</v>
          </cell>
          <cell r="B963" t="str">
            <v>LCT007-075</v>
          </cell>
          <cell r="C963" t="str">
            <v>Y007</v>
          </cell>
          <cell r="D963">
            <v>0</v>
          </cell>
          <cell r="E963" t="str">
            <v>POLY飾條</v>
          </cell>
          <cell r="F963" t="str">
            <v>470*69*4</v>
          </cell>
          <cell r="G963">
            <v>470</v>
          </cell>
          <cell r="H963">
            <v>69</v>
          </cell>
          <cell r="I963">
            <v>4</v>
          </cell>
          <cell r="J963">
            <v>45</v>
          </cell>
          <cell r="K963">
            <v>0</v>
          </cell>
          <cell r="L963">
            <v>1.1599999999999999</v>
          </cell>
          <cell r="M963">
            <v>0</v>
          </cell>
          <cell r="N963">
            <v>0</v>
          </cell>
          <cell r="O963" t="str">
            <v>40V</v>
          </cell>
          <cell r="P963" t="str">
            <v>1010</v>
          </cell>
          <cell r="Q963" t="str">
            <v>1010</v>
          </cell>
          <cell r="R963">
            <v>25.777777777777779</v>
          </cell>
        </row>
        <row r="964">
          <cell r="A964" t="str">
            <v>Y007-019</v>
          </cell>
          <cell r="B964" t="str">
            <v>LCT007-076</v>
          </cell>
          <cell r="C964" t="str">
            <v>Y007</v>
          </cell>
          <cell r="D964">
            <v>0</v>
          </cell>
          <cell r="E964" t="str">
            <v>POLY飾條</v>
          </cell>
          <cell r="F964" t="str">
            <v>930*8*4</v>
          </cell>
          <cell r="G964">
            <v>930</v>
          </cell>
          <cell r="H964">
            <v>8</v>
          </cell>
          <cell r="I964">
            <v>4</v>
          </cell>
          <cell r="J964">
            <v>0</v>
          </cell>
          <cell r="K964">
            <v>0</v>
          </cell>
          <cell r="L964">
            <v>0.33500000000000002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 t="e">
            <v>#DIV/0!</v>
          </cell>
        </row>
        <row r="965">
          <cell r="A965" t="str">
            <v>Y007-020</v>
          </cell>
          <cell r="B965" t="str">
            <v>LCT007-077</v>
          </cell>
          <cell r="C965" t="str">
            <v>Y007</v>
          </cell>
          <cell r="D965">
            <v>0</v>
          </cell>
          <cell r="E965" t="str">
            <v>POLY飾條</v>
          </cell>
          <cell r="F965" t="str">
            <v>740*8*4</v>
          </cell>
          <cell r="G965">
            <v>740</v>
          </cell>
          <cell r="H965">
            <v>8</v>
          </cell>
          <cell r="I965">
            <v>4</v>
          </cell>
          <cell r="J965">
            <v>0</v>
          </cell>
          <cell r="K965">
            <v>0</v>
          </cell>
          <cell r="L965">
            <v>0.26600000000000001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 t="e">
            <v>#DIV/0!</v>
          </cell>
        </row>
        <row r="966">
          <cell r="A966" t="str">
            <v>Y007-021</v>
          </cell>
          <cell r="B966" t="str">
            <v>LCT007-078</v>
          </cell>
          <cell r="C966" t="str">
            <v>Y007</v>
          </cell>
          <cell r="D966">
            <v>0</v>
          </cell>
          <cell r="E966" t="str">
            <v>POLY飾條</v>
          </cell>
          <cell r="F966" t="str">
            <v>850*8*4</v>
          </cell>
          <cell r="G966">
            <v>850</v>
          </cell>
          <cell r="H966">
            <v>8</v>
          </cell>
          <cell r="I966">
            <v>4</v>
          </cell>
          <cell r="J966">
            <v>50</v>
          </cell>
          <cell r="K966">
            <v>0</v>
          </cell>
          <cell r="L966">
            <v>0.30599999999999999</v>
          </cell>
          <cell r="M966">
            <v>0</v>
          </cell>
          <cell r="N966">
            <v>0</v>
          </cell>
          <cell r="O966" t="str">
            <v>40V</v>
          </cell>
          <cell r="P966" t="str">
            <v>1010</v>
          </cell>
          <cell r="Q966" t="str">
            <v>1010</v>
          </cell>
          <cell r="R966">
            <v>6.1199999999999992</v>
          </cell>
        </row>
        <row r="967">
          <cell r="A967" t="str">
            <v>Y007-022</v>
          </cell>
          <cell r="B967" t="str">
            <v>LCT007-079</v>
          </cell>
          <cell r="C967" t="str">
            <v>Y007</v>
          </cell>
          <cell r="D967">
            <v>0</v>
          </cell>
          <cell r="E967" t="str">
            <v>POLY飾條</v>
          </cell>
          <cell r="F967" t="str">
            <v>650*8*4</v>
          </cell>
          <cell r="G967">
            <v>650</v>
          </cell>
          <cell r="H967">
            <v>8</v>
          </cell>
          <cell r="I967">
            <v>4</v>
          </cell>
          <cell r="J967">
            <v>40</v>
          </cell>
          <cell r="K967">
            <v>0</v>
          </cell>
          <cell r="L967">
            <v>0.23400000000000001</v>
          </cell>
          <cell r="M967">
            <v>0</v>
          </cell>
          <cell r="N967">
            <v>0</v>
          </cell>
          <cell r="O967" t="str">
            <v>40V</v>
          </cell>
          <cell r="P967" t="str">
            <v>1010</v>
          </cell>
          <cell r="Q967" t="str">
            <v>1010</v>
          </cell>
          <cell r="R967">
            <v>5.8500000000000005</v>
          </cell>
        </row>
        <row r="968">
          <cell r="A968" t="str">
            <v>Y007-023</v>
          </cell>
          <cell r="B968" t="str">
            <v>LCT007-080</v>
          </cell>
          <cell r="C968" t="str">
            <v>Y007</v>
          </cell>
          <cell r="D968">
            <v>0</v>
          </cell>
          <cell r="E968" t="str">
            <v>POLY飾條</v>
          </cell>
          <cell r="F968" t="str">
            <v>1700*8*4</v>
          </cell>
          <cell r="G968">
            <v>1700</v>
          </cell>
          <cell r="H968">
            <v>8</v>
          </cell>
          <cell r="I968">
            <v>4</v>
          </cell>
          <cell r="J968">
            <v>90</v>
          </cell>
          <cell r="K968">
            <v>0</v>
          </cell>
          <cell r="L968">
            <v>0.61199999999999999</v>
          </cell>
          <cell r="M968">
            <v>0</v>
          </cell>
          <cell r="N968">
            <v>0</v>
          </cell>
          <cell r="O968" t="str">
            <v>40V</v>
          </cell>
          <cell r="P968" t="str">
            <v>1010</v>
          </cell>
          <cell r="Q968" t="str">
            <v>1010</v>
          </cell>
          <cell r="R968">
            <v>6.8</v>
          </cell>
        </row>
        <row r="969">
          <cell r="A969" t="str">
            <v>Y007-024</v>
          </cell>
          <cell r="B969">
            <v>0</v>
          </cell>
          <cell r="C969" t="str">
            <v>Y007</v>
          </cell>
          <cell r="D969" t="str">
            <v>#2039</v>
          </cell>
          <cell r="E969" t="str">
            <v>POLY飾框</v>
          </cell>
          <cell r="F969" t="str">
            <v>223*176*13</v>
          </cell>
          <cell r="G969">
            <v>223</v>
          </cell>
          <cell r="H969">
            <v>176</v>
          </cell>
          <cell r="I969">
            <v>13</v>
          </cell>
          <cell r="J969">
            <v>182</v>
          </cell>
          <cell r="K969">
            <v>0</v>
          </cell>
          <cell r="L969">
            <v>0.5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 t="str">
            <v>1010</v>
          </cell>
          <cell r="R969">
            <v>2.7472527472527473</v>
          </cell>
          <cell r="S969">
            <v>0</v>
          </cell>
        </row>
        <row r="970">
          <cell r="A970" t="str">
            <v>Y007-025</v>
          </cell>
          <cell r="B970">
            <v>0</v>
          </cell>
          <cell r="C970" t="str">
            <v>Y007</v>
          </cell>
          <cell r="D970" t="str">
            <v>#2039</v>
          </cell>
          <cell r="E970" t="str">
            <v>POLY飾框</v>
          </cell>
          <cell r="F970" t="str">
            <v>223*176*13</v>
          </cell>
          <cell r="G970">
            <v>223</v>
          </cell>
          <cell r="H970">
            <v>176</v>
          </cell>
          <cell r="I970">
            <v>13</v>
          </cell>
          <cell r="J970">
            <v>182</v>
          </cell>
          <cell r="K970">
            <v>0</v>
          </cell>
          <cell r="L970">
            <v>0.5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 t="str">
            <v>1010</v>
          </cell>
          <cell r="R970">
            <v>2.7472527472527473</v>
          </cell>
          <cell r="S970">
            <v>0</v>
          </cell>
        </row>
        <row r="971">
          <cell r="A971" t="str">
            <v>Y007-026</v>
          </cell>
          <cell r="B971">
            <v>0</v>
          </cell>
          <cell r="C971" t="str">
            <v>Y007</v>
          </cell>
          <cell r="D971" t="str">
            <v>#2039</v>
          </cell>
          <cell r="E971" t="str">
            <v>POLY飾框</v>
          </cell>
          <cell r="F971" t="str">
            <v>488*471*13</v>
          </cell>
          <cell r="G971">
            <v>488</v>
          </cell>
          <cell r="H971">
            <v>471</v>
          </cell>
          <cell r="I971">
            <v>13</v>
          </cell>
          <cell r="J971">
            <v>508</v>
          </cell>
          <cell r="K971">
            <v>0</v>
          </cell>
          <cell r="L971">
            <v>1.4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 t="str">
            <v>1010</v>
          </cell>
          <cell r="R971">
            <v>2.7559055118110236</v>
          </cell>
          <cell r="S971">
            <v>0</v>
          </cell>
        </row>
        <row r="972">
          <cell r="A972" t="str">
            <v>Y007-027</v>
          </cell>
          <cell r="B972">
            <v>0</v>
          </cell>
          <cell r="C972" t="str">
            <v>Y007</v>
          </cell>
          <cell r="D972" t="str">
            <v>#2039</v>
          </cell>
          <cell r="E972" t="str">
            <v>POLY飾框</v>
          </cell>
          <cell r="F972" t="str">
            <v>488*471*13</v>
          </cell>
          <cell r="G972">
            <v>488</v>
          </cell>
          <cell r="H972">
            <v>471</v>
          </cell>
          <cell r="I972">
            <v>13</v>
          </cell>
          <cell r="J972">
            <v>508</v>
          </cell>
          <cell r="K972">
            <v>0</v>
          </cell>
          <cell r="L972">
            <v>1.4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 t="str">
            <v>1010</v>
          </cell>
          <cell r="R972">
            <v>2.7559055118110236</v>
          </cell>
          <cell r="S972">
            <v>0</v>
          </cell>
        </row>
        <row r="973">
          <cell r="A973" t="str">
            <v>Y007-028</v>
          </cell>
          <cell r="B973">
            <v>0</v>
          </cell>
          <cell r="C973" t="str">
            <v>Y007</v>
          </cell>
          <cell r="D973" t="str">
            <v>#2039</v>
          </cell>
          <cell r="E973" t="str">
            <v>POLY飾框</v>
          </cell>
          <cell r="F973" t="str">
            <v>324*277*13</v>
          </cell>
          <cell r="G973">
            <v>324</v>
          </cell>
          <cell r="H973">
            <v>277</v>
          </cell>
          <cell r="I973">
            <v>13</v>
          </cell>
          <cell r="J973">
            <v>304</v>
          </cell>
          <cell r="K973">
            <v>0</v>
          </cell>
          <cell r="L973">
            <v>0.9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 t="str">
            <v>1010</v>
          </cell>
          <cell r="R973">
            <v>2.9605263157894739</v>
          </cell>
          <cell r="S973">
            <v>0</v>
          </cell>
        </row>
        <row r="974">
          <cell r="A974" t="str">
            <v>Y007-029</v>
          </cell>
          <cell r="B974">
            <v>0</v>
          </cell>
          <cell r="C974" t="str">
            <v>Y007</v>
          </cell>
          <cell r="D974" t="str">
            <v>#2039</v>
          </cell>
          <cell r="E974" t="str">
            <v>POLY飾框</v>
          </cell>
          <cell r="F974" t="str">
            <v>324*277*13</v>
          </cell>
          <cell r="G974">
            <v>324</v>
          </cell>
          <cell r="H974">
            <v>277</v>
          </cell>
          <cell r="I974">
            <v>13</v>
          </cell>
          <cell r="J974">
            <v>304</v>
          </cell>
          <cell r="K974">
            <v>0</v>
          </cell>
          <cell r="L974">
            <v>0.9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>1010</v>
          </cell>
          <cell r="R974">
            <v>2.9605263157894739</v>
          </cell>
          <cell r="S974">
            <v>0</v>
          </cell>
        </row>
        <row r="975">
          <cell r="A975" t="str">
            <v>Y007-030</v>
          </cell>
          <cell r="B975">
            <v>0</v>
          </cell>
          <cell r="C975" t="str">
            <v>Y007</v>
          </cell>
          <cell r="D975" t="str">
            <v>#2039</v>
          </cell>
          <cell r="E975" t="str">
            <v>POLY飾框</v>
          </cell>
          <cell r="F975" t="str">
            <v>468*375*13</v>
          </cell>
          <cell r="G975">
            <v>468</v>
          </cell>
          <cell r="H975">
            <v>375</v>
          </cell>
          <cell r="I975">
            <v>13</v>
          </cell>
          <cell r="J975">
            <v>444</v>
          </cell>
          <cell r="K975">
            <v>0</v>
          </cell>
          <cell r="L975">
            <v>1.2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>1010</v>
          </cell>
          <cell r="R975">
            <v>2.7027027027027026</v>
          </cell>
          <cell r="S975">
            <v>0</v>
          </cell>
        </row>
        <row r="976">
          <cell r="A976" t="str">
            <v>Y007-031</v>
          </cell>
          <cell r="B976">
            <v>0</v>
          </cell>
          <cell r="C976" t="str">
            <v>Y007</v>
          </cell>
          <cell r="D976" t="str">
            <v>#2039</v>
          </cell>
          <cell r="E976" t="str">
            <v>POLY飾框</v>
          </cell>
          <cell r="F976" t="str">
            <v>468*375*13</v>
          </cell>
          <cell r="G976">
            <v>468</v>
          </cell>
          <cell r="H976">
            <v>375</v>
          </cell>
          <cell r="I976">
            <v>13</v>
          </cell>
          <cell r="J976">
            <v>444</v>
          </cell>
          <cell r="K976">
            <v>0</v>
          </cell>
          <cell r="L976">
            <v>1.2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 t="str">
            <v>1010</v>
          </cell>
          <cell r="R976">
            <v>2.7027027027027026</v>
          </cell>
          <cell r="S976">
            <v>0</v>
          </cell>
        </row>
        <row r="977">
          <cell r="A977" t="str">
            <v>Y007-032</v>
          </cell>
          <cell r="B977">
            <v>0</v>
          </cell>
          <cell r="C977" t="str">
            <v>Y007</v>
          </cell>
          <cell r="D977" t="str">
            <v>#2039</v>
          </cell>
          <cell r="E977" t="str">
            <v>POLY飾框</v>
          </cell>
          <cell r="F977" t="str">
            <v>409*364*13</v>
          </cell>
          <cell r="G977">
            <v>409</v>
          </cell>
          <cell r="H977">
            <v>364</v>
          </cell>
          <cell r="I977">
            <v>13</v>
          </cell>
          <cell r="J977">
            <v>395</v>
          </cell>
          <cell r="K977">
            <v>0</v>
          </cell>
          <cell r="L977">
            <v>1.1000000000000001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 t="str">
            <v>1010</v>
          </cell>
          <cell r="R977">
            <v>2.7848101265822787</v>
          </cell>
          <cell r="S977">
            <v>0</v>
          </cell>
        </row>
        <row r="978">
          <cell r="A978" t="str">
            <v>Y007-033</v>
          </cell>
          <cell r="B978">
            <v>0</v>
          </cell>
          <cell r="C978" t="str">
            <v>Y007</v>
          </cell>
          <cell r="D978" t="str">
            <v>#2039</v>
          </cell>
          <cell r="E978" t="str">
            <v>POLY飾框</v>
          </cell>
          <cell r="F978" t="str">
            <v>409*364*13</v>
          </cell>
          <cell r="G978">
            <v>409</v>
          </cell>
          <cell r="H978">
            <v>364</v>
          </cell>
          <cell r="I978">
            <v>13</v>
          </cell>
          <cell r="J978">
            <v>395</v>
          </cell>
          <cell r="K978">
            <v>0</v>
          </cell>
          <cell r="L978">
            <v>1.1000000000000001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 t="str">
            <v>1010</v>
          </cell>
          <cell r="R978">
            <v>2.7848101265822787</v>
          </cell>
          <cell r="S978">
            <v>0</v>
          </cell>
        </row>
        <row r="979">
          <cell r="A979" t="str">
            <v>Y007-034</v>
          </cell>
          <cell r="B979">
            <v>0</v>
          </cell>
          <cell r="C979" t="str">
            <v>Y007</v>
          </cell>
          <cell r="D979" t="str">
            <v>#2039</v>
          </cell>
          <cell r="E979" t="str">
            <v>POLY飾框</v>
          </cell>
          <cell r="F979" t="str">
            <v>1000*12*7</v>
          </cell>
          <cell r="G979">
            <v>1000</v>
          </cell>
          <cell r="H979">
            <v>12</v>
          </cell>
          <cell r="I979">
            <v>7</v>
          </cell>
          <cell r="J979">
            <v>90</v>
          </cell>
          <cell r="K979">
            <v>0</v>
          </cell>
          <cell r="L979">
            <v>0.28999999999999998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 t="str">
            <v>1010</v>
          </cell>
          <cell r="R979">
            <v>3.2222222222222223</v>
          </cell>
          <cell r="S979">
            <v>0</v>
          </cell>
        </row>
        <row r="980">
          <cell r="A980" t="str">
            <v>Y007-035</v>
          </cell>
          <cell r="B980">
            <v>0</v>
          </cell>
          <cell r="C980" t="str">
            <v>Y007</v>
          </cell>
          <cell r="D980" t="str">
            <v>#5832</v>
          </cell>
          <cell r="E980" t="str">
            <v>POLY饰花</v>
          </cell>
          <cell r="F980" t="str">
            <v>345*118*13</v>
          </cell>
          <cell r="G980">
            <v>345</v>
          </cell>
          <cell r="H980">
            <v>118</v>
          </cell>
          <cell r="I980">
            <v>13</v>
          </cell>
          <cell r="J980">
            <v>400</v>
          </cell>
          <cell r="K980">
            <v>0</v>
          </cell>
          <cell r="L980">
            <v>1.5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 t="str">
            <v>1010</v>
          </cell>
          <cell r="R980">
            <v>3.75</v>
          </cell>
          <cell r="S980">
            <v>0</v>
          </cell>
        </row>
        <row r="981">
          <cell r="A981" t="str">
            <v>Y007-036</v>
          </cell>
          <cell r="B981">
            <v>0</v>
          </cell>
          <cell r="C981" t="str">
            <v>Y007</v>
          </cell>
          <cell r="D981" t="str">
            <v>#5832</v>
          </cell>
          <cell r="E981" t="str">
            <v>POLY饰条 K</v>
          </cell>
          <cell r="F981" t="str">
            <v>676*604*13</v>
          </cell>
          <cell r="G981">
            <v>676</v>
          </cell>
          <cell r="H981">
            <v>604</v>
          </cell>
          <cell r="I981">
            <v>13</v>
          </cell>
          <cell r="J981">
            <v>1155</v>
          </cell>
          <cell r="K981">
            <v>0</v>
          </cell>
          <cell r="L981">
            <v>3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 t="str">
            <v>1010</v>
          </cell>
          <cell r="R981">
            <v>2.5974025974025974</v>
          </cell>
          <cell r="S981">
            <v>0</v>
          </cell>
        </row>
        <row r="982">
          <cell r="A982" t="str">
            <v>Y007-037</v>
          </cell>
          <cell r="B982">
            <v>0</v>
          </cell>
          <cell r="C982" t="str">
            <v>Y007</v>
          </cell>
          <cell r="D982" t="str">
            <v>#5832</v>
          </cell>
          <cell r="E982" t="str">
            <v>POLY饰条 K</v>
          </cell>
          <cell r="F982" t="str">
            <v>676*604*13</v>
          </cell>
          <cell r="G982">
            <v>676</v>
          </cell>
          <cell r="H982">
            <v>604</v>
          </cell>
          <cell r="I982">
            <v>13</v>
          </cell>
          <cell r="J982">
            <v>1155</v>
          </cell>
          <cell r="K982">
            <v>0</v>
          </cell>
          <cell r="L982">
            <v>3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 t="str">
            <v>1010</v>
          </cell>
          <cell r="R982">
            <v>2.5974025974025974</v>
          </cell>
          <cell r="S982">
            <v>0</v>
          </cell>
        </row>
        <row r="983">
          <cell r="A983" t="str">
            <v>Y007-038</v>
          </cell>
          <cell r="B983">
            <v>0</v>
          </cell>
          <cell r="C983" t="str">
            <v>Y007</v>
          </cell>
          <cell r="D983" t="str">
            <v>#5832</v>
          </cell>
          <cell r="E983" t="str">
            <v>POLY饰条 K</v>
          </cell>
          <cell r="F983" t="str">
            <v>676*271*13</v>
          </cell>
          <cell r="G983">
            <v>676</v>
          </cell>
          <cell r="H983">
            <v>271</v>
          </cell>
          <cell r="I983">
            <v>13</v>
          </cell>
          <cell r="J983">
            <v>820</v>
          </cell>
          <cell r="K983">
            <v>0</v>
          </cell>
          <cell r="L983">
            <v>2.2000000000000002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 t="str">
            <v>1010</v>
          </cell>
          <cell r="R983">
            <v>2.6829268292682928</v>
          </cell>
          <cell r="S983">
            <v>0</v>
          </cell>
        </row>
        <row r="984">
          <cell r="A984" t="str">
            <v>Y007-039</v>
          </cell>
          <cell r="B984">
            <v>0</v>
          </cell>
          <cell r="C984" t="str">
            <v>Y007</v>
          </cell>
          <cell r="D984" t="str">
            <v>#5832</v>
          </cell>
          <cell r="E984" t="str">
            <v>POLY饰条 K</v>
          </cell>
          <cell r="F984" t="str">
            <v>676*271*13</v>
          </cell>
          <cell r="G984">
            <v>676</v>
          </cell>
          <cell r="H984">
            <v>271</v>
          </cell>
          <cell r="I984">
            <v>13</v>
          </cell>
          <cell r="J984">
            <v>820</v>
          </cell>
          <cell r="K984">
            <v>0</v>
          </cell>
          <cell r="L984">
            <v>2.2000000000000002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 t="str">
            <v>1010</v>
          </cell>
          <cell r="R984">
            <v>2.6829268292682928</v>
          </cell>
          <cell r="S984">
            <v>0</v>
          </cell>
        </row>
        <row r="985">
          <cell r="A985" t="str">
            <v>Y007-040</v>
          </cell>
          <cell r="B985">
            <v>0</v>
          </cell>
          <cell r="C985" t="str">
            <v>Y007</v>
          </cell>
          <cell r="D985" t="str">
            <v>#5832</v>
          </cell>
          <cell r="E985" t="str">
            <v>POLY饰条 Q</v>
          </cell>
          <cell r="F985" t="str">
            <v>614*604*13</v>
          </cell>
          <cell r="G985">
            <v>614</v>
          </cell>
          <cell r="H985">
            <v>604</v>
          </cell>
          <cell r="I985">
            <v>13</v>
          </cell>
          <cell r="J985">
            <v>1105</v>
          </cell>
          <cell r="K985">
            <v>0</v>
          </cell>
          <cell r="L985">
            <v>2.9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>1010</v>
          </cell>
          <cell r="R985">
            <v>2.6244343891402715</v>
          </cell>
          <cell r="S985">
            <v>0</v>
          </cell>
        </row>
        <row r="986">
          <cell r="A986" t="str">
            <v>Y007-041</v>
          </cell>
          <cell r="B986">
            <v>0</v>
          </cell>
          <cell r="C986" t="str">
            <v>Y007</v>
          </cell>
          <cell r="D986" t="str">
            <v>#5832</v>
          </cell>
          <cell r="E986" t="str">
            <v>POLY饰条 Q</v>
          </cell>
          <cell r="F986" t="str">
            <v>614*604*13</v>
          </cell>
          <cell r="G986">
            <v>614</v>
          </cell>
          <cell r="H986">
            <v>604</v>
          </cell>
          <cell r="I986">
            <v>13</v>
          </cell>
          <cell r="J986">
            <v>1105</v>
          </cell>
          <cell r="K986">
            <v>0</v>
          </cell>
          <cell r="L986">
            <v>2.9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>1010</v>
          </cell>
          <cell r="R986">
            <v>2.6244343891402715</v>
          </cell>
          <cell r="S986">
            <v>0</v>
          </cell>
        </row>
        <row r="987">
          <cell r="A987" t="str">
            <v>Y007-042</v>
          </cell>
          <cell r="B987">
            <v>0</v>
          </cell>
          <cell r="C987" t="str">
            <v>Y007</v>
          </cell>
          <cell r="D987" t="str">
            <v>#5832</v>
          </cell>
          <cell r="E987" t="str">
            <v>POLY饰条 Q</v>
          </cell>
          <cell r="F987" t="str">
            <v>629*276*13</v>
          </cell>
          <cell r="G987">
            <v>629</v>
          </cell>
          <cell r="H987">
            <v>276</v>
          </cell>
          <cell r="I987">
            <v>13</v>
          </cell>
          <cell r="J987">
            <v>815</v>
          </cell>
          <cell r="K987">
            <v>0</v>
          </cell>
          <cell r="L987">
            <v>2.1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>1010</v>
          </cell>
          <cell r="R987">
            <v>2.5766871165644174</v>
          </cell>
          <cell r="S987">
            <v>0</v>
          </cell>
        </row>
        <row r="988">
          <cell r="A988" t="str">
            <v>Y007-043</v>
          </cell>
          <cell r="B988">
            <v>0</v>
          </cell>
          <cell r="C988" t="str">
            <v>Y007</v>
          </cell>
          <cell r="D988" t="str">
            <v>#5832</v>
          </cell>
          <cell r="E988" t="str">
            <v>POLY饰条 Q</v>
          </cell>
          <cell r="F988" t="str">
            <v>629*276*13</v>
          </cell>
          <cell r="G988">
            <v>629</v>
          </cell>
          <cell r="H988">
            <v>276</v>
          </cell>
          <cell r="I988">
            <v>13</v>
          </cell>
          <cell r="J988">
            <v>815</v>
          </cell>
          <cell r="K988">
            <v>0</v>
          </cell>
          <cell r="L988">
            <v>2.1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 t="str">
            <v>1010</v>
          </cell>
          <cell r="R988">
            <v>2.5766871165644174</v>
          </cell>
          <cell r="S988">
            <v>0</v>
          </cell>
        </row>
        <row r="989">
          <cell r="A989" t="str">
            <v>Y007-044</v>
          </cell>
          <cell r="B989">
            <v>0</v>
          </cell>
          <cell r="C989" t="str">
            <v>Y007</v>
          </cell>
          <cell r="D989">
            <v>0</v>
          </cell>
          <cell r="E989" t="str">
            <v>POLY饰框 N</v>
          </cell>
          <cell r="F989" t="str">
            <v>195*115*7</v>
          </cell>
          <cell r="G989">
            <v>195</v>
          </cell>
          <cell r="H989">
            <v>115</v>
          </cell>
          <cell r="I989">
            <v>7</v>
          </cell>
          <cell r="J989">
            <v>61</v>
          </cell>
          <cell r="K989">
            <v>0</v>
          </cell>
          <cell r="L989">
            <v>0.157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 t="str">
            <v>1010</v>
          </cell>
          <cell r="R989">
            <v>2.5737704918032787</v>
          </cell>
          <cell r="S989">
            <v>0</v>
          </cell>
        </row>
        <row r="990">
          <cell r="A990" t="str">
            <v>Y007-045</v>
          </cell>
          <cell r="B990">
            <v>0</v>
          </cell>
          <cell r="C990" t="str">
            <v>Y007</v>
          </cell>
          <cell r="D990">
            <v>0</v>
          </cell>
          <cell r="E990" t="str">
            <v>POLY饰框 C</v>
          </cell>
          <cell r="F990" t="str">
            <v>295*100*7</v>
          </cell>
          <cell r="G990">
            <v>295</v>
          </cell>
          <cell r="H990">
            <v>100</v>
          </cell>
          <cell r="I990">
            <v>7</v>
          </cell>
          <cell r="J990">
            <v>82</v>
          </cell>
          <cell r="K990">
            <v>0</v>
          </cell>
          <cell r="L990">
            <v>0.20499999999999999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 t="str">
            <v>1010</v>
          </cell>
          <cell r="R990">
            <v>2.4999999999999996</v>
          </cell>
          <cell r="S990">
            <v>0</v>
          </cell>
        </row>
        <row r="991">
          <cell r="A991" t="str">
            <v>Y007-046</v>
          </cell>
          <cell r="B991">
            <v>0</v>
          </cell>
          <cell r="C991" t="str">
            <v>Y007</v>
          </cell>
          <cell r="D991">
            <v>0</v>
          </cell>
          <cell r="E991" t="str">
            <v>POLY饰框 D</v>
          </cell>
          <cell r="F991" t="str">
            <v>241*114*7</v>
          </cell>
          <cell r="G991">
            <v>241</v>
          </cell>
          <cell r="H991">
            <v>114</v>
          </cell>
          <cell r="I991">
            <v>7</v>
          </cell>
          <cell r="J991">
            <v>75</v>
          </cell>
          <cell r="K991">
            <v>0</v>
          </cell>
          <cell r="L991">
            <v>0.185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 t="str">
            <v>1010</v>
          </cell>
          <cell r="R991">
            <v>2.4666666666666668</v>
          </cell>
          <cell r="S991">
            <v>0</v>
          </cell>
        </row>
        <row r="992">
          <cell r="A992" t="str">
            <v>Y007-047</v>
          </cell>
          <cell r="B992">
            <v>0</v>
          </cell>
          <cell r="C992" t="str">
            <v>Y007</v>
          </cell>
          <cell r="D992">
            <v>0</v>
          </cell>
          <cell r="E992" t="str">
            <v>POLY饰框 E, CK</v>
          </cell>
          <cell r="F992" t="str">
            <v>275*157*7</v>
          </cell>
          <cell r="G992">
            <v>275</v>
          </cell>
          <cell r="H992">
            <v>157</v>
          </cell>
          <cell r="I992">
            <v>7</v>
          </cell>
          <cell r="J992">
            <v>91</v>
          </cell>
          <cell r="K992">
            <v>0</v>
          </cell>
          <cell r="L992">
            <v>0.22800000000000001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 t="str">
            <v>1010</v>
          </cell>
          <cell r="R992">
            <v>2.5054945054945055</v>
          </cell>
          <cell r="S992">
            <v>0</v>
          </cell>
        </row>
        <row r="993">
          <cell r="A993" t="str">
            <v>Y007-048</v>
          </cell>
          <cell r="B993">
            <v>0</v>
          </cell>
          <cell r="C993" t="str">
            <v>Y007</v>
          </cell>
          <cell r="D993">
            <v>0</v>
          </cell>
          <cell r="E993" t="str">
            <v>POLY饰框 Q</v>
          </cell>
          <cell r="F993" t="str">
            <v>377*157*7</v>
          </cell>
          <cell r="G993">
            <v>377</v>
          </cell>
          <cell r="H993">
            <v>157</v>
          </cell>
          <cell r="I993">
            <v>7</v>
          </cell>
          <cell r="J993">
            <v>112</v>
          </cell>
          <cell r="K993">
            <v>0</v>
          </cell>
          <cell r="L993">
            <v>0.29099999999999998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 t="str">
            <v>1010</v>
          </cell>
          <cell r="R993">
            <v>2.5982142857142856</v>
          </cell>
          <cell r="S993">
            <v>0</v>
          </cell>
        </row>
        <row r="994">
          <cell r="A994" t="str">
            <v>Y008-001</v>
          </cell>
          <cell r="B994" t="str">
            <v>LCT008-150</v>
          </cell>
          <cell r="C994" t="str">
            <v>Y008-2</v>
          </cell>
          <cell r="D994" t="str">
            <v>4337-D</v>
          </cell>
          <cell r="E994" t="str">
            <v>1/4圓飾條-前飾條</v>
          </cell>
          <cell r="F994" t="str">
            <v>1378*6*6</v>
          </cell>
          <cell r="G994">
            <v>1378</v>
          </cell>
          <cell r="H994">
            <v>6</v>
          </cell>
          <cell r="I994">
            <v>6</v>
          </cell>
          <cell r="J994">
            <v>70</v>
          </cell>
          <cell r="K994">
            <v>0</v>
          </cell>
          <cell r="L994">
            <v>0.68</v>
          </cell>
          <cell r="M994">
            <v>0</v>
          </cell>
          <cell r="N994">
            <v>0</v>
          </cell>
          <cell r="O994" t="str">
            <v>40V</v>
          </cell>
          <cell r="P994" t="str">
            <v>1010</v>
          </cell>
          <cell r="Q994" t="str">
            <v>1010</v>
          </cell>
          <cell r="R994">
            <v>9.7142857142857135</v>
          </cell>
        </row>
        <row r="995">
          <cell r="A995" t="str">
            <v>Y008-002</v>
          </cell>
          <cell r="B995" t="str">
            <v>LCT008-151</v>
          </cell>
          <cell r="C995" t="str">
            <v>Y008-2</v>
          </cell>
          <cell r="D995" t="str">
            <v>4338-C / 4339TV</v>
          </cell>
          <cell r="E995" t="str">
            <v>1/4圓飾條-前飾條</v>
          </cell>
          <cell r="F995" t="str">
            <v>944*6*6</v>
          </cell>
          <cell r="G995">
            <v>944</v>
          </cell>
          <cell r="H995">
            <v>6</v>
          </cell>
          <cell r="I995">
            <v>6</v>
          </cell>
          <cell r="J995">
            <v>55</v>
          </cell>
          <cell r="K995">
            <v>0</v>
          </cell>
          <cell r="L995">
            <v>0.57999999999999996</v>
          </cell>
          <cell r="M995">
            <v>0</v>
          </cell>
          <cell r="N995">
            <v>0</v>
          </cell>
          <cell r="O995" t="str">
            <v>40V</v>
          </cell>
          <cell r="P995" t="str">
            <v>1010</v>
          </cell>
          <cell r="Q995" t="str">
            <v>1010</v>
          </cell>
          <cell r="R995">
            <v>10.545454545454545</v>
          </cell>
        </row>
        <row r="996">
          <cell r="A996" t="str">
            <v>Y008-003</v>
          </cell>
          <cell r="B996" t="str">
            <v>LCT008-152</v>
          </cell>
          <cell r="C996" t="str">
            <v>Y008-2</v>
          </cell>
          <cell r="D996" t="str">
            <v>4337-D/4338-C/4339TV</v>
          </cell>
          <cell r="E996" t="str">
            <v>1/4圓飾條-側飾條</v>
          </cell>
          <cell r="F996" t="str">
            <v>380*6*6</v>
          </cell>
          <cell r="G996">
            <v>380</v>
          </cell>
          <cell r="H996">
            <v>6</v>
          </cell>
          <cell r="I996">
            <v>6</v>
          </cell>
          <cell r="J996">
            <v>25</v>
          </cell>
          <cell r="K996">
            <v>0</v>
          </cell>
          <cell r="L996">
            <v>0.39</v>
          </cell>
          <cell r="M996">
            <v>0</v>
          </cell>
          <cell r="N996">
            <v>0</v>
          </cell>
          <cell r="O996" t="str">
            <v>40V</v>
          </cell>
          <cell r="P996" t="str">
            <v>1010</v>
          </cell>
          <cell r="Q996" t="str">
            <v>1010</v>
          </cell>
          <cell r="R996">
            <v>15.6</v>
          </cell>
        </row>
        <row r="997">
          <cell r="A997" t="str">
            <v>Y008-004</v>
          </cell>
          <cell r="B997" t="str">
            <v>LCT008-153</v>
          </cell>
          <cell r="C997" t="str">
            <v>Y008</v>
          </cell>
          <cell r="D997">
            <v>0</v>
          </cell>
          <cell r="E997" t="str">
            <v>N 單抽櫃腳</v>
          </cell>
          <cell r="F997" t="str">
            <v>105*58*58</v>
          </cell>
          <cell r="G997">
            <v>105</v>
          </cell>
          <cell r="H997">
            <v>58</v>
          </cell>
          <cell r="I997">
            <v>58</v>
          </cell>
          <cell r="J997">
            <v>0</v>
          </cell>
          <cell r="K997">
            <v>0</v>
          </cell>
          <cell r="L997">
            <v>0.52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 t="e">
            <v>#DIV/0!</v>
          </cell>
        </row>
        <row r="998">
          <cell r="A998" t="str">
            <v>Y008-005</v>
          </cell>
          <cell r="B998" t="str">
            <v>LCT008-154</v>
          </cell>
          <cell r="C998" t="str">
            <v>Y008</v>
          </cell>
          <cell r="D998">
            <v>0</v>
          </cell>
          <cell r="E998" t="str">
            <v>櫃類腳</v>
          </cell>
          <cell r="F998" t="str">
            <v>122*88*88</v>
          </cell>
          <cell r="G998">
            <v>122</v>
          </cell>
          <cell r="H998">
            <v>88</v>
          </cell>
          <cell r="I998">
            <v>88</v>
          </cell>
          <cell r="J998">
            <v>0</v>
          </cell>
          <cell r="K998">
            <v>0</v>
          </cell>
          <cell r="L998">
            <v>1.1499999999999999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 t="e">
            <v>#DIV/0!</v>
          </cell>
        </row>
        <row r="999">
          <cell r="A999" t="str">
            <v>Y008-006</v>
          </cell>
          <cell r="B999" t="str">
            <v>LCT008-155</v>
          </cell>
          <cell r="C999" t="str">
            <v>Y008-1</v>
          </cell>
          <cell r="D999" t="str">
            <v>D900</v>
          </cell>
          <cell r="E999">
            <v>0</v>
          </cell>
          <cell r="F999" t="str">
            <v>30*30*6</v>
          </cell>
          <cell r="G999">
            <v>30</v>
          </cell>
          <cell r="H999">
            <v>30</v>
          </cell>
          <cell r="I999">
            <v>6</v>
          </cell>
          <cell r="J999">
            <v>30</v>
          </cell>
          <cell r="K999">
            <v>0</v>
          </cell>
          <cell r="L999">
            <v>0.08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2.666666666666667</v>
          </cell>
        </row>
        <row r="1000">
          <cell r="A1000" t="str">
            <v>Y008-007</v>
          </cell>
          <cell r="B1000" t="str">
            <v>LCT008-156</v>
          </cell>
          <cell r="C1000" t="str">
            <v>Y008</v>
          </cell>
          <cell r="D1000">
            <v>0</v>
          </cell>
          <cell r="E1000" t="str">
            <v>Q-HB 企柱 Poly</v>
          </cell>
          <cell r="F1000" t="str">
            <v>735*80*29</v>
          </cell>
          <cell r="G1000">
            <v>735</v>
          </cell>
          <cell r="H1000">
            <v>80</v>
          </cell>
          <cell r="I1000">
            <v>29</v>
          </cell>
          <cell r="J1000">
            <v>1240</v>
          </cell>
          <cell r="K1000">
            <v>0</v>
          </cell>
          <cell r="L1000">
            <v>1.74</v>
          </cell>
          <cell r="M1000">
            <v>0</v>
          </cell>
          <cell r="N1000">
            <v>200</v>
          </cell>
          <cell r="O1000" t="str">
            <v>40V</v>
          </cell>
          <cell r="P1000" t="str">
            <v>1010</v>
          </cell>
          <cell r="Q1000" t="str">
            <v>1010</v>
          </cell>
          <cell r="R1000">
            <v>1.403225806451613</v>
          </cell>
        </row>
        <row r="1001">
          <cell r="A1001" t="str">
            <v>Y008-008</v>
          </cell>
          <cell r="B1001" t="str">
            <v>LCT008-157</v>
          </cell>
          <cell r="C1001" t="str">
            <v>Y008</v>
          </cell>
          <cell r="D1001">
            <v>0</v>
          </cell>
          <cell r="E1001" t="str">
            <v>K-HB 企柱 Poly</v>
          </cell>
          <cell r="F1001" t="str">
            <v>735*80*29</v>
          </cell>
          <cell r="G1001">
            <v>735</v>
          </cell>
          <cell r="H1001">
            <v>80</v>
          </cell>
          <cell r="I1001">
            <v>29</v>
          </cell>
          <cell r="J1001">
            <v>1240</v>
          </cell>
          <cell r="K1001">
            <v>0</v>
          </cell>
          <cell r="L1001">
            <v>1.74</v>
          </cell>
          <cell r="M1001">
            <v>0</v>
          </cell>
          <cell r="N1001">
            <v>200</v>
          </cell>
          <cell r="O1001" t="str">
            <v>40V</v>
          </cell>
          <cell r="P1001" t="str">
            <v>1010</v>
          </cell>
          <cell r="Q1001" t="str">
            <v>1010</v>
          </cell>
          <cell r="R1001">
            <v>1.403225806451613</v>
          </cell>
        </row>
        <row r="1002">
          <cell r="A1002" t="str">
            <v>Y008-009</v>
          </cell>
          <cell r="B1002" t="str">
            <v>LCT008-096</v>
          </cell>
          <cell r="C1002" t="str">
            <v>Y008-2</v>
          </cell>
          <cell r="D1002" t="str">
            <v>#1301</v>
          </cell>
          <cell r="E1002" t="str">
            <v>床柱上飾</v>
          </cell>
          <cell r="F1002" t="str">
            <v>L 305*114</v>
          </cell>
          <cell r="G1002" t="str">
            <v>L</v>
          </cell>
          <cell r="H1002">
            <v>350</v>
          </cell>
          <cell r="I1002">
            <v>114</v>
          </cell>
          <cell r="J1002">
            <v>1190</v>
          </cell>
          <cell r="K1002">
            <v>0</v>
          </cell>
          <cell r="L1002">
            <v>2.97</v>
          </cell>
          <cell r="M1002">
            <v>0</v>
          </cell>
          <cell r="N1002">
            <v>60</v>
          </cell>
          <cell r="O1002" t="str">
            <v>40V</v>
          </cell>
          <cell r="P1002" t="str">
            <v>3710</v>
          </cell>
          <cell r="Q1002" t="str">
            <v>3710</v>
          </cell>
          <cell r="R1002">
            <v>2.4957983193277316</v>
          </cell>
        </row>
        <row r="1003">
          <cell r="A1003" t="str">
            <v>Y008-010</v>
          </cell>
          <cell r="B1003" t="str">
            <v>LCT008-131</v>
          </cell>
          <cell r="C1003" t="str">
            <v>Y008</v>
          </cell>
          <cell r="D1003">
            <v>203221</v>
          </cell>
          <cell r="E1003" t="str">
            <v>床柱頂杯</v>
          </cell>
          <cell r="F1003" t="str">
            <v>210*101*101</v>
          </cell>
          <cell r="G1003">
            <v>210</v>
          </cell>
          <cell r="H1003">
            <v>101</v>
          </cell>
          <cell r="I1003">
            <v>101</v>
          </cell>
          <cell r="J1003">
            <v>1190</v>
          </cell>
          <cell r="K1003">
            <v>0</v>
          </cell>
          <cell r="L1003">
            <v>2.35</v>
          </cell>
          <cell r="M1003">
            <v>0</v>
          </cell>
          <cell r="N1003">
            <v>60</v>
          </cell>
          <cell r="O1003" t="str">
            <v>40V</v>
          </cell>
          <cell r="P1003" t="str">
            <v>1010</v>
          </cell>
          <cell r="Q1003" t="str">
            <v>1010</v>
          </cell>
          <cell r="R1003">
            <v>1.9747899159663866</v>
          </cell>
        </row>
        <row r="1004">
          <cell r="A1004" t="str">
            <v>Y008-011</v>
          </cell>
          <cell r="B1004" t="str">
            <v>LCT008-132</v>
          </cell>
          <cell r="C1004" t="str">
            <v>Y008</v>
          </cell>
          <cell r="D1004">
            <v>203221</v>
          </cell>
          <cell r="E1004" t="str">
            <v>HB-POLY 床柱</v>
          </cell>
          <cell r="F1004" t="str">
            <v>540*95*5</v>
          </cell>
          <cell r="G1004">
            <v>540</v>
          </cell>
          <cell r="H1004">
            <v>95</v>
          </cell>
          <cell r="I1004">
            <v>5</v>
          </cell>
          <cell r="J1004">
            <v>158</v>
          </cell>
          <cell r="K1004">
            <v>0</v>
          </cell>
          <cell r="L1004">
            <v>0.47</v>
          </cell>
          <cell r="M1004">
            <v>0</v>
          </cell>
          <cell r="N1004">
            <v>0</v>
          </cell>
          <cell r="O1004" t="str">
            <v>40V</v>
          </cell>
          <cell r="P1004" t="str">
            <v>1010</v>
          </cell>
          <cell r="Q1004" t="str">
            <v>1010</v>
          </cell>
          <cell r="R1004">
            <v>2.9746835443037973</v>
          </cell>
        </row>
        <row r="1005">
          <cell r="A1005" t="str">
            <v>Y008-012</v>
          </cell>
          <cell r="B1005" t="str">
            <v>LCT008-133</v>
          </cell>
          <cell r="C1005" t="str">
            <v>Y008</v>
          </cell>
          <cell r="D1005">
            <v>203221</v>
          </cell>
          <cell r="E1005" t="str">
            <v>FB-POLY 床柱</v>
          </cell>
          <cell r="F1005" t="str">
            <v>525*95*5</v>
          </cell>
          <cell r="G1005">
            <v>525</v>
          </cell>
          <cell r="H1005">
            <v>95</v>
          </cell>
          <cell r="I1005">
            <v>5</v>
          </cell>
          <cell r="J1005">
            <v>150</v>
          </cell>
          <cell r="K1005">
            <v>0</v>
          </cell>
          <cell r="L1005">
            <v>0.45</v>
          </cell>
          <cell r="M1005">
            <v>0</v>
          </cell>
          <cell r="N1005">
            <v>0</v>
          </cell>
          <cell r="O1005" t="str">
            <v>40V</v>
          </cell>
          <cell r="P1005" t="str">
            <v>1010</v>
          </cell>
          <cell r="Q1005" t="str">
            <v>1010</v>
          </cell>
          <cell r="R1005">
            <v>3</v>
          </cell>
        </row>
        <row r="1006">
          <cell r="A1006" t="str">
            <v>Y008-013</v>
          </cell>
          <cell r="B1006" t="str">
            <v>LCT008-134</v>
          </cell>
          <cell r="C1006" t="str">
            <v>Y008</v>
          </cell>
          <cell r="D1006">
            <v>0</v>
          </cell>
          <cell r="E1006" t="str">
            <v>K-HB 右飾條</v>
          </cell>
          <cell r="F1006" t="str">
            <v>491*19*11</v>
          </cell>
          <cell r="G1006">
            <v>491</v>
          </cell>
          <cell r="H1006">
            <v>19</v>
          </cell>
          <cell r="I1006">
            <v>11</v>
          </cell>
          <cell r="J1006">
            <v>140</v>
          </cell>
          <cell r="K1006">
            <v>0</v>
          </cell>
          <cell r="L1006">
            <v>0.42</v>
          </cell>
          <cell r="M1006">
            <v>0</v>
          </cell>
          <cell r="N1006">
            <v>0</v>
          </cell>
          <cell r="O1006" t="str">
            <v>40V</v>
          </cell>
          <cell r="P1006" t="str">
            <v>1010</v>
          </cell>
          <cell r="Q1006" t="str">
            <v>1010</v>
          </cell>
          <cell r="R1006">
            <v>2.9999999999999996</v>
          </cell>
        </row>
        <row r="1007">
          <cell r="A1007" t="str">
            <v>Y008-014</v>
          </cell>
          <cell r="B1007" t="str">
            <v>LCT008-135</v>
          </cell>
          <cell r="C1007" t="str">
            <v>Y008</v>
          </cell>
          <cell r="D1007">
            <v>0</v>
          </cell>
          <cell r="E1007" t="str">
            <v>K-HB 中飾條</v>
          </cell>
          <cell r="F1007" t="str">
            <v>759*19*11</v>
          </cell>
          <cell r="G1007">
            <v>759</v>
          </cell>
          <cell r="H1007">
            <v>19</v>
          </cell>
          <cell r="I1007">
            <v>11</v>
          </cell>
          <cell r="J1007">
            <v>270</v>
          </cell>
          <cell r="K1007">
            <v>0</v>
          </cell>
          <cell r="L1007">
            <v>0.81</v>
          </cell>
          <cell r="M1007">
            <v>0</v>
          </cell>
          <cell r="N1007">
            <v>0</v>
          </cell>
          <cell r="O1007" t="str">
            <v>40V</v>
          </cell>
          <cell r="P1007" t="str">
            <v>1010</v>
          </cell>
          <cell r="Q1007" t="str">
            <v>1010</v>
          </cell>
          <cell r="R1007">
            <v>3</v>
          </cell>
        </row>
        <row r="1008">
          <cell r="A1008" t="str">
            <v>Y008-015</v>
          </cell>
          <cell r="B1008" t="str">
            <v>LCT008-136</v>
          </cell>
          <cell r="C1008" t="str">
            <v>Y008</v>
          </cell>
          <cell r="D1008">
            <v>0</v>
          </cell>
          <cell r="E1008" t="str">
            <v>K-HB 左飾條</v>
          </cell>
          <cell r="F1008" t="str">
            <v>491*19*11</v>
          </cell>
          <cell r="G1008">
            <v>491</v>
          </cell>
          <cell r="H1008">
            <v>19</v>
          </cell>
          <cell r="I1008">
            <v>11</v>
          </cell>
          <cell r="J1008">
            <v>140</v>
          </cell>
          <cell r="K1008">
            <v>0</v>
          </cell>
          <cell r="L1008">
            <v>0.42</v>
          </cell>
          <cell r="M1008">
            <v>0</v>
          </cell>
          <cell r="N1008">
            <v>0</v>
          </cell>
          <cell r="O1008" t="str">
            <v>40V</v>
          </cell>
          <cell r="P1008" t="str">
            <v>1010</v>
          </cell>
          <cell r="Q1008" t="str">
            <v>1010</v>
          </cell>
          <cell r="R1008">
            <v>2.9999999999999996</v>
          </cell>
        </row>
        <row r="1009">
          <cell r="A1009" t="str">
            <v>Y008-016</v>
          </cell>
          <cell r="B1009" t="str">
            <v>LCT008-137</v>
          </cell>
          <cell r="C1009" t="str">
            <v>Y008</v>
          </cell>
          <cell r="D1009">
            <v>0</v>
          </cell>
          <cell r="E1009" t="str">
            <v>Q-HB 右飾條</v>
          </cell>
          <cell r="F1009" t="str">
            <v>415*19*11</v>
          </cell>
          <cell r="G1009">
            <v>415</v>
          </cell>
          <cell r="H1009">
            <v>19</v>
          </cell>
          <cell r="I1009">
            <v>11</v>
          </cell>
          <cell r="J1009">
            <v>120</v>
          </cell>
          <cell r="K1009">
            <v>0</v>
          </cell>
          <cell r="L1009">
            <v>0.36</v>
          </cell>
          <cell r="M1009">
            <v>0</v>
          </cell>
          <cell r="N1009">
            <v>0</v>
          </cell>
          <cell r="O1009" t="str">
            <v>40V</v>
          </cell>
          <cell r="P1009" t="str">
            <v>1010</v>
          </cell>
          <cell r="Q1009" t="str">
            <v>1010</v>
          </cell>
          <cell r="R1009">
            <v>3</v>
          </cell>
        </row>
        <row r="1010">
          <cell r="A1010" t="str">
            <v>Y008-017</v>
          </cell>
          <cell r="B1010" t="str">
            <v>LCT008-138</v>
          </cell>
          <cell r="C1010" t="str">
            <v>Y008</v>
          </cell>
          <cell r="D1010">
            <v>0</v>
          </cell>
          <cell r="E1010" t="str">
            <v>Q-HB 中飾條</v>
          </cell>
          <cell r="F1010" t="str">
            <v>558*19*11</v>
          </cell>
          <cell r="G1010">
            <v>558</v>
          </cell>
          <cell r="H1010">
            <v>19</v>
          </cell>
          <cell r="I1010">
            <v>11</v>
          </cell>
          <cell r="J1010">
            <v>240</v>
          </cell>
          <cell r="K1010">
            <v>0</v>
          </cell>
          <cell r="L1010">
            <v>0.72</v>
          </cell>
          <cell r="M1010">
            <v>0</v>
          </cell>
          <cell r="N1010">
            <v>0</v>
          </cell>
          <cell r="O1010" t="str">
            <v>40V</v>
          </cell>
          <cell r="P1010" t="str">
            <v>1010</v>
          </cell>
          <cell r="Q1010" t="str">
            <v>1010</v>
          </cell>
          <cell r="R1010">
            <v>3</v>
          </cell>
        </row>
        <row r="1011">
          <cell r="A1011" t="str">
            <v>Y008-018</v>
          </cell>
          <cell r="B1011" t="str">
            <v>LCT008-139</v>
          </cell>
          <cell r="C1011" t="str">
            <v>Y008</v>
          </cell>
          <cell r="D1011">
            <v>0</v>
          </cell>
          <cell r="E1011" t="str">
            <v>Q-HB 左飾條</v>
          </cell>
          <cell r="F1011" t="str">
            <v>415*19*11</v>
          </cell>
          <cell r="G1011">
            <v>415</v>
          </cell>
          <cell r="H1011">
            <v>19</v>
          </cell>
          <cell r="I1011">
            <v>11</v>
          </cell>
          <cell r="J1011">
            <v>120</v>
          </cell>
          <cell r="K1011">
            <v>0</v>
          </cell>
          <cell r="L1011">
            <v>0.36</v>
          </cell>
          <cell r="M1011">
            <v>0</v>
          </cell>
          <cell r="N1011">
            <v>0</v>
          </cell>
          <cell r="O1011" t="str">
            <v>40V</v>
          </cell>
          <cell r="P1011" t="str">
            <v>1010</v>
          </cell>
          <cell r="Q1011" t="str">
            <v>1010</v>
          </cell>
          <cell r="R1011">
            <v>3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</row>
        <row r="1013">
          <cell r="A1013" t="str">
            <v>Y008-019</v>
          </cell>
          <cell r="B1013" t="str">
            <v>LCT008-140</v>
          </cell>
          <cell r="C1013" t="str">
            <v>Y008</v>
          </cell>
          <cell r="D1013">
            <v>203222</v>
          </cell>
          <cell r="E1013" t="str">
            <v>N-POLY 框柱</v>
          </cell>
          <cell r="F1013" t="str">
            <v>488*95*5</v>
          </cell>
          <cell r="G1013">
            <v>488</v>
          </cell>
          <cell r="H1013">
            <v>95</v>
          </cell>
          <cell r="I1013">
            <v>5</v>
          </cell>
          <cell r="J1013">
            <v>130</v>
          </cell>
          <cell r="K1013">
            <v>0</v>
          </cell>
          <cell r="L1013">
            <v>0.36</v>
          </cell>
          <cell r="M1013">
            <v>0</v>
          </cell>
          <cell r="N1013">
            <v>0</v>
          </cell>
          <cell r="O1013" t="str">
            <v>40V</v>
          </cell>
          <cell r="P1013" t="str">
            <v>1010</v>
          </cell>
          <cell r="Q1013" t="str">
            <v>1010</v>
          </cell>
          <cell r="R1013">
            <v>2.7692307692307692</v>
          </cell>
        </row>
        <row r="1014">
          <cell r="A1014" t="str">
            <v>Y008-020</v>
          </cell>
          <cell r="B1014" t="str">
            <v>LCT008-141</v>
          </cell>
          <cell r="C1014" t="str">
            <v>Y008</v>
          </cell>
          <cell r="D1014">
            <v>203222</v>
          </cell>
          <cell r="E1014" t="str">
            <v>N-POLY底飾條</v>
          </cell>
          <cell r="F1014" t="str">
            <v>638*395*27*10</v>
          </cell>
          <cell r="G1014">
            <v>638</v>
          </cell>
          <cell r="H1014">
            <v>395</v>
          </cell>
          <cell r="I1014" t="str">
            <v>27*10</v>
          </cell>
          <cell r="J1014">
            <v>510</v>
          </cell>
          <cell r="K1014">
            <v>0</v>
          </cell>
          <cell r="L1014">
            <v>1.43</v>
          </cell>
          <cell r="M1014">
            <v>0</v>
          </cell>
          <cell r="N1014">
            <v>0</v>
          </cell>
          <cell r="O1014" t="str">
            <v>40V</v>
          </cell>
          <cell r="P1014" t="str">
            <v>1010</v>
          </cell>
          <cell r="Q1014" t="str">
            <v>1010</v>
          </cell>
          <cell r="R1014">
            <v>2.8039215686274508</v>
          </cell>
        </row>
        <row r="1015">
          <cell r="A1015" t="str">
            <v>Y008-021</v>
          </cell>
          <cell r="B1015" t="str">
            <v>LCT008-142</v>
          </cell>
          <cell r="C1015" t="str">
            <v>Y008</v>
          </cell>
          <cell r="D1015">
            <v>203225</v>
          </cell>
          <cell r="E1015" t="str">
            <v>C-POLY 框柱</v>
          </cell>
          <cell r="F1015" t="str">
            <v>1155*95*5</v>
          </cell>
          <cell r="G1015">
            <v>1155</v>
          </cell>
          <cell r="H1015">
            <v>95</v>
          </cell>
          <cell r="I1015">
            <v>5</v>
          </cell>
          <cell r="J1015">
            <v>290</v>
          </cell>
          <cell r="K1015">
            <v>0</v>
          </cell>
          <cell r="L1015">
            <v>0.87</v>
          </cell>
          <cell r="M1015">
            <v>0</v>
          </cell>
          <cell r="N1015">
            <v>0</v>
          </cell>
          <cell r="O1015" t="str">
            <v>40V</v>
          </cell>
          <cell r="P1015" t="str">
            <v>1010</v>
          </cell>
          <cell r="Q1015" t="str">
            <v>1010</v>
          </cell>
          <cell r="R1015">
            <v>3</v>
          </cell>
        </row>
        <row r="1016">
          <cell r="A1016" t="str">
            <v>Y008-022</v>
          </cell>
          <cell r="B1016" t="str">
            <v>LCT008-143</v>
          </cell>
          <cell r="C1016" t="str">
            <v>Y008</v>
          </cell>
          <cell r="D1016">
            <v>203225</v>
          </cell>
          <cell r="E1016" t="str">
            <v>C-POLY底飾條</v>
          </cell>
          <cell r="F1016" t="str">
            <v>842*421*27*10</v>
          </cell>
          <cell r="G1016">
            <v>842</v>
          </cell>
          <cell r="H1016">
            <v>421</v>
          </cell>
          <cell r="I1016" t="str">
            <v>27*10</v>
          </cell>
          <cell r="J1016">
            <v>570</v>
          </cell>
          <cell r="K1016">
            <v>0</v>
          </cell>
          <cell r="L1016">
            <v>1.71</v>
          </cell>
          <cell r="M1016">
            <v>0</v>
          </cell>
          <cell r="N1016">
            <v>0</v>
          </cell>
          <cell r="O1016" t="str">
            <v>40V</v>
          </cell>
          <cell r="P1016" t="str">
            <v>1010</v>
          </cell>
          <cell r="Q1016" t="str">
            <v>1010</v>
          </cell>
          <cell r="R1016">
            <v>3</v>
          </cell>
        </row>
        <row r="1017">
          <cell r="A1017" t="str">
            <v>Y008-023</v>
          </cell>
          <cell r="B1017" t="str">
            <v>LCT008-144</v>
          </cell>
          <cell r="C1017" t="str">
            <v>Y008</v>
          </cell>
          <cell r="D1017">
            <v>203223</v>
          </cell>
          <cell r="E1017" t="str">
            <v>D-POLY 框柱</v>
          </cell>
          <cell r="F1017" t="str">
            <v>691*95*5</v>
          </cell>
          <cell r="G1017">
            <v>691</v>
          </cell>
          <cell r="H1017">
            <v>95</v>
          </cell>
          <cell r="I1017">
            <v>5</v>
          </cell>
          <cell r="J1017">
            <v>180</v>
          </cell>
          <cell r="K1017">
            <v>0</v>
          </cell>
          <cell r="L1017">
            <v>0.54</v>
          </cell>
          <cell r="M1017">
            <v>0</v>
          </cell>
          <cell r="N1017">
            <v>0</v>
          </cell>
          <cell r="O1017" t="str">
            <v>40V</v>
          </cell>
          <cell r="P1017" t="str">
            <v>1010</v>
          </cell>
          <cell r="Q1017" t="str">
            <v>1010</v>
          </cell>
          <cell r="R1017">
            <v>3.0000000000000004</v>
          </cell>
        </row>
        <row r="1018">
          <cell r="A1018" t="str">
            <v>Y008-024</v>
          </cell>
          <cell r="B1018" t="str">
            <v>LCT008-145</v>
          </cell>
          <cell r="C1018" t="str">
            <v>Y008</v>
          </cell>
          <cell r="D1018">
            <v>203223</v>
          </cell>
          <cell r="E1018" t="str">
            <v>D-POLY底飾條</v>
          </cell>
          <cell r="F1018" t="str">
            <v>1598*421*27*10</v>
          </cell>
          <cell r="G1018">
            <v>1598</v>
          </cell>
          <cell r="H1018">
            <v>421</v>
          </cell>
          <cell r="I1018" t="str">
            <v>27*10</v>
          </cell>
          <cell r="J1018">
            <v>830</v>
          </cell>
          <cell r="K1018">
            <v>0</v>
          </cell>
          <cell r="L1018">
            <v>2.4900000000000002</v>
          </cell>
          <cell r="M1018">
            <v>0</v>
          </cell>
          <cell r="N1018">
            <v>0</v>
          </cell>
          <cell r="O1018" t="str">
            <v>40V</v>
          </cell>
          <cell r="P1018" t="str">
            <v>1010</v>
          </cell>
          <cell r="Q1018" t="str">
            <v>1010</v>
          </cell>
          <cell r="R1018">
            <v>3.0000000000000004</v>
          </cell>
        </row>
        <row r="1019">
          <cell r="A1019" t="str">
            <v>Y008-025</v>
          </cell>
          <cell r="B1019" t="str">
            <v>LCT008-146</v>
          </cell>
          <cell r="C1019" t="str">
            <v>Y008</v>
          </cell>
          <cell r="D1019">
            <v>203226</v>
          </cell>
          <cell r="E1019" t="str">
            <v>TV-POLY 框柱</v>
          </cell>
          <cell r="F1019" t="str">
            <v>792*95*5</v>
          </cell>
          <cell r="G1019">
            <v>792</v>
          </cell>
          <cell r="H1019">
            <v>95</v>
          </cell>
          <cell r="I1019">
            <v>5</v>
          </cell>
          <cell r="J1019">
            <v>210</v>
          </cell>
          <cell r="K1019">
            <v>0</v>
          </cell>
          <cell r="L1019">
            <v>0.63</v>
          </cell>
          <cell r="M1019">
            <v>0</v>
          </cell>
          <cell r="N1019">
            <v>0</v>
          </cell>
          <cell r="O1019" t="str">
            <v>40V</v>
          </cell>
          <cell r="P1019" t="str">
            <v>1010</v>
          </cell>
          <cell r="Q1019" t="str">
            <v>1010</v>
          </cell>
          <cell r="R1019">
            <v>3</v>
          </cell>
        </row>
        <row r="1020">
          <cell r="A1020" t="str">
            <v>Y008-026</v>
          </cell>
          <cell r="B1020" t="str">
            <v>LCT008-147</v>
          </cell>
          <cell r="C1020" t="str">
            <v>Y008</v>
          </cell>
          <cell r="D1020">
            <v>203226</v>
          </cell>
          <cell r="E1020" t="str">
            <v>TV-POLY底飾條</v>
          </cell>
          <cell r="F1020" t="str">
            <v>842*421*27*10</v>
          </cell>
          <cell r="G1020">
            <v>842</v>
          </cell>
          <cell r="H1020">
            <v>421</v>
          </cell>
          <cell r="I1020" t="str">
            <v>27*10</v>
          </cell>
          <cell r="J1020">
            <v>0</v>
          </cell>
          <cell r="K1020">
            <v>0</v>
          </cell>
          <cell r="L1020">
            <v>1.71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 t="e">
            <v>#DIV/0!</v>
          </cell>
        </row>
        <row r="1021">
          <cell r="A1021" t="str">
            <v>Y008-027</v>
          </cell>
          <cell r="B1021" t="str">
            <v>LCT008-028</v>
          </cell>
          <cell r="C1021" t="str">
            <v>Y008-1</v>
          </cell>
          <cell r="D1021">
            <v>0</v>
          </cell>
          <cell r="E1021" t="str">
            <v>餐桌飾花 - 左</v>
          </cell>
          <cell r="F1021" t="str">
            <v>200*40*8</v>
          </cell>
          <cell r="G1021">
            <v>200</v>
          </cell>
          <cell r="H1021">
            <v>40</v>
          </cell>
          <cell r="I1021">
            <v>8</v>
          </cell>
          <cell r="J1021">
            <v>40</v>
          </cell>
          <cell r="K1021">
            <v>0</v>
          </cell>
          <cell r="L1021">
            <v>0.115</v>
          </cell>
          <cell r="M1021">
            <v>0</v>
          </cell>
          <cell r="N1021">
            <v>0</v>
          </cell>
          <cell r="O1021" t="str">
            <v>40V</v>
          </cell>
          <cell r="P1021" t="str">
            <v>1010</v>
          </cell>
          <cell r="Q1021" t="str">
            <v>1010</v>
          </cell>
          <cell r="R1021">
            <v>2.875</v>
          </cell>
        </row>
        <row r="1022">
          <cell r="A1022" t="str">
            <v>Y008-028</v>
          </cell>
          <cell r="B1022" t="str">
            <v>LCT008-029</v>
          </cell>
          <cell r="C1022" t="str">
            <v>Y008-1</v>
          </cell>
          <cell r="D1022">
            <v>0</v>
          </cell>
          <cell r="E1022" t="str">
            <v>餐桌飾花 - 右</v>
          </cell>
          <cell r="F1022" t="str">
            <v>180*40*8</v>
          </cell>
          <cell r="G1022">
            <v>180</v>
          </cell>
          <cell r="H1022">
            <v>40</v>
          </cell>
          <cell r="I1022">
            <v>8</v>
          </cell>
          <cell r="J1022">
            <v>30</v>
          </cell>
          <cell r="K1022">
            <v>0</v>
          </cell>
          <cell r="L1022">
            <v>0.115</v>
          </cell>
          <cell r="M1022">
            <v>0</v>
          </cell>
          <cell r="N1022">
            <v>0</v>
          </cell>
          <cell r="O1022" t="str">
            <v>40V</v>
          </cell>
          <cell r="P1022" t="str">
            <v>1010</v>
          </cell>
          <cell r="Q1022" t="str">
            <v>1010</v>
          </cell>
          <cell r="R1022">
            <v>3.8333333333333335</v>
          </cell>
        </row>
        <row r="1023">
          <cell r="A1023" t="str">
            <v>Y008-029</v>
          </cell>
          <cell r="B1023" t="str">
            <v>LCT008-027</v>
          </cell>
          <cell r="C1023" t="str">
            <v>Y008-1</v>
          </cell>
          <cell r="D1023">
            <v>0</v>
          </cell>
          <cell r="E1023" t="str">
            <v>椅背飾花</v>
          </cell>
          <cell r="F1023" t="str">
            <v>260*40*8</v>
          </cell>
          <cell r="G1023">
            <v>260</v>
          </cell>
          <cell r="H1023">
            <v>40</v>
          </cell>
          <cell r="I1023">
            <v>8</v>
          </cell>
          <cell r="J1023">
            <v>50</v>
          </cell>
          <cell r="K1023">
            <v>0</v>
          </cell>
          <cell r="L1023">
            <v>0.17299999999999999</v>
          </cell>
          <cell r="M1023">
            <v>0</v>
          </cell>
          <cell r="N1023">
            <v>0</v>
          </cell>
          <cell r="O1023" t="str">
            <v>40V</v>
          </cell>
          <cell r="P1023" t="str">
            <v>1010</v>
          </cell>
          <cell r="Q1023" t="str">
            <v>1010</v>
          </cell>
          <cell r="R1023">
            <v>3.4599999999999995</v>
          </cell>
        </row>
        <row r="1024">
          <cell r="A1024" t="str">
            <v>Y008-030</v>
          </cell>
          <cell r="B1024" t="str">
            <v>LCT008-084</v>
          </cell>
          <cell r="C1024" t="str">
            <v>Y008-2</v>
          </cell>
          <cell r="D1024" t="str">
            <v>V13004</v>
          </cell>
          <cell r="E1024" t="str">
            <v>poly 饰条</v>
          </cell>
          <cell r="F1024" t="str">
            <v>1220*12*5</v>
          </cell>
          <cell r="G1024">
            <v>1220</v>
          </cell>
          <cell r="H1024">
            <v>12</v>
          </cell>
          <cell r="I1024">
            <v>5</v>
          </cell>
          <cell r="J1024">
            <v>96</v>
          </cell>
          <cell r="K1024">
            <v>0</v>
          </cell>
          <cell r="L1024">
            <v>0.45</v>
          </cell>
          <cell r="M1024">
            <v>0</v>
          </cell>
          <cell r="N1024">
            <v>0</v>
          </cell>
          <cell r="O1024">
            <v>60</v>
          </cell>
          <cell r="P1024">
            <v>1010</v>
          </cell>
          <cell r="Q1024">
            <v>1010</v>
          </cell>
          <cell r="R1024">
            <v>4.6875</v>
          </cell>
        </row>
        <row r="1025">
          <cell r="A1025" t="str">
            <v>Y008-031</v>
          </cell>
          <cell r="B1025" t="str">
            <v>LCT008-165</v>
          </cell>
          <cell r="C1025" t="str">
            <v>Y008-2</v>
          </cell>
          <cell r="D1025">
            <v>0</v>
          </cell>
          <cell r="E1025" t="str">
            <v>POLY 貼 块</v>
          </cell>
          <cell r="F1025" t="str">
            <v>208*83*31</v>
          </cell>
          <cell r="G1025">
            <v>208</v>
          </cell>
          <cell r="H1025">
            <v>83</v>
          </cell>
          <cell r="I1025">
            <v>31</v>
          </cell>
          <cell r="J1025">
            <v>330</v>
          </cell>
          <cell r="K1025">
            <v>0</v>
          </cell>
          <cell r="L1025">
            <v>0.63</v>
          </cell>
          <cell r="M1025">
            <v>0</v>
          </cell>
          <cell r="N1025">
            <v>130</v>
          </cell>
          <cell r="O1025" t="str">
            <v>40V</v>
          </cell>
          <cell r="P1025" t="str">
            <v>1010</v>
          </cell>
          <cell r="Q1025" t="str">
            <v>1010</v>
          </cell>
          <cell r="R1025">
            <v>1.9090909090909089</v>
          </cell>
        </row>
        <row r="1026">
          <cell r="A1026" t="str">
            <v>Y008-032</v>
          </cell>
          <cell r="B1026" t="str">
            <v>LCT008-166</v>
          </cell>
          <cell r="C1026" t="str">
            <v>Y008-2</v>
          </cell>
          <cell r="D1026">
            <v>0</v>
          </cell>
          <cell r="E1026" t="str">
            <v>床poly饰花-L</v>
          </cell>
          <cell r="F1026" t="str">
            <v>310*90*43</v>
          </cell>
          <cell r="G1026">
            <v>310</v>
          </cell>
          <cell r="H1026">
            <v>90</v>
          </cell>
          <cell r="I1026">
            <v>43</v>
          </cell>
          <cell r="J1026">
            <v>0</v>
          </cell>
          <cell r="K1026">
            <v>0</v>
          </cell>
          <cell r="L1026">
            <v>1.41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 t="e">
            <v>#DIV/0!</v>
          </cell>
        </row>
        <row r="1027">
          <cell r="A1027" t="str">
            <v>Y008-033</v>
          </cell>
          <cell r="B1027" t="str">
            <v>LCT008-167</v>
          </cell>
          <cell r="C1027" t="str">
            <v>Y008-2</v>
          </cell>
          <cell r="D1027">
            <v>0</v>
          </cell>
          <cell r="E1027" t="str">
            <v>床poly饰花-R</v>
          </cell>
          <cell r="F1027" t="str">
            <v>310*90*43</v>
          </cell>
          <cell r="G1027">
            <v>310</v>
          </cell>
          <cell r="H1027">
            <v>90</v>
          </cell>
          <cell r="I1027">
            <v>43</v>
          </cell>
          <cell r="J1027">
            <v>0</v>
          </cell>
          <cell r="K1027">
            <v>0</v>
          </cell>
          <cell r="L1027">
            <v>1.41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 t="e">
            <v>#DIV/0!</v>
          </cell>
        </row>
        <row r="1028">
          <cell r="A1028" t="str">
            <v>Y008-034</v>
          </cell>
          <cell r="B1028" t="str">
            <v>LCT008-168</v>
          </cell>
          <cell r="C1028" t="str">
            <v>Y008-2</v>
          </cell>
          <cell r="D1028">
            <v>0</v>
          </cell>
          <cell r="E1028" t="str">
            <v>M-poly饰花-左</v>
          </cell>
          <cell r="F1028" t="str">
            <v>242*75*37</v>
          </cell>
          <cell r="G1028">
            <v>242</v>
          </cell>
          <cell r="H1028">
            <v>75</v>
          </cell>
          <cell r="I1028">
            <v>37</v>
          </cell>
          <cell r="J1028">
            <v>0</v>
          </cell>
          <cell r="K1028">
            <v>0</v>
          </cell>
          <cell r="L1028">
            <v>0.76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 t="e">
            <v>#DIV/0!</v>
          </cell>
        </row>
        <row r="1029">
          <cell r="A1029" t="str">
            <v>Y008-035</v>
          </cell>
          <cell r="B1029" t="str">
            <v>LCT008-169</v>
          </cell>
          <cell r="C1029" t="str">
            <v>Y008-2</v>
          </cell>
          <cell r="D1029">
            <v>0</v>
          </cell>
          <cell r="E1029" t="str">
            <v>M-poly饰花-右</v>
          </cell>
          <cell r="F1029" t="str">
            <v>242*75*37</v>
          </cell>
          <cell r="G1029">
            <v>242</v>
          </cell>
          <cell r="H1029">
            <v>75</v>
          </cell>
          <cell r="I1029">
            <v>37</v>
          </cell>
          <cell r="J1029">
            <v>0</v>
          </cell>
          <cell r="K1029">
            <v>0</v>
          </cell>
          <cell r="L1029">
            <v>0.76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 t="e">
            <v>#DIV/0!</v>
          </cell>
        </row>
        <row r="1030">
          <cell r="A1030" t="str">
            <v>Y008-036</v>
          </cell>
          <cell r="B1030" t="str">
            <v>LCT008-170</v>
          </cell>
          <cell r="C1030" t="str">
            <v>Y008-2</v>
          </cell>
          <cell r="D1030">
            <v>0</v>
          </cell>
          <cell r="E1030" t="str">
            <v>M-poly饰花-左</v>
          </cell>
          <cell r="F1030" t="str">
            <v>151*65*33</v>
          </cell>
          <cell r="G1030">
            <v>151</v>
          </cell>
          <cell r="H1030">
            <v>65</v>
          </cell>
          <cell r="I1030">
            <v>33</v>
          </cell>
          <cell r="J1030">
            <v>0</v>
          </cell>
          <cell r="K1030">
            <v>0</v>
          </cell>
          <cell r="L1030">
            <v>0.6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 t="e">
            <v>#DIV/0!</v>
          </cell>
        </row>
        <row r="1031">
          <cell r="A1031" t="str">
            <v>Y008-037</v>
          </cell>
          <cell r="B1031" t="str">
            <v>LCT008-171</v>
          </cell>
          <cell r="C1031" t="str">
            <v>Y008-2</v>
          </cell>
          <cell r="D1031">
            <v>0</v>
          </cell>
          <cell r="E1031" t="str">
            <v>M-poly饰花-右</v>
          </cell>
          <cell r="F1031" t="str">
            <v>151*65*33</v>
          </cell>
          <cell r="G1031">
            <v>151</v>
          </cell>
          <cell r="H1031">
            <v>65</v>
          </cell>
          <cell r="I1031">
            <v>33</v>
          </cell>
          <cell r="J1031">
            <v>0</v>
          </cell>
          <cell r="K1031">
            <v>0</v>
          </cell>
          <cell r="L1031">
            <v>0.6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 t="e">
            <v>#DIV/0!</v>
          </cell>
        </row>
        <row r="1032">
          <cell r="A1032" t="str">
            <v>Y008-038</v>
          </cell>
          <cell r="B1032" t="str">
            <v>LCT008-172</v>
          </cell>
          <cell r="C1032" t="str">
            <v>Y008-2</v>
          </cell>
          <cell r="D1032">
            <v>0</v>
          </cell>
          <cell r="E1032" t="str">
            <v>N-poly饰条-a</v>
          </cell>
          <cell r="F1032" t="str">
            <v>623*18*12</v>
          </cell>
          <cell r="G1032">
            <v>623</v>
          </cell>
          <cell r="H1032">
            <v>18</v>
          </cell>
          <cell r="I1032">
            <v>12</v>
          </cell>
          <cell r="J1032">
            <v>210</v>
          </cell>
          <cell r="K1032">
            <v>0</v>
          </cell>
          <cell r="L1032">
            <v>0.48</v>
          </cell>
          <cell r="M1032">
            <v>0</v>
          </cell>
          <cell r="N1032">
            <v>0</v>
          </cell>
          <cell r="O1032" t="str">
            <v>40V</v>
          </cell>
          <cell r="P1032" t="str">
            <v>1010</v>
          </cell>
          <cell r="Q1032" t="str">
            <v>1010</v>
          </cell>
          <cell r="R1032">
            <v>2.2857142857142856</v>
          </cell>
        </row>
        <row r="1033">
          <cell r="A1033" t="str">
            <v>Y008-039</v>
          </cell>
          <cell r="B1033" t="str">
            <v>LCT008-173</v>
          </cell>
          <cell r="C1033" t="str">
            <v>Y008-2</v>
          </cell>
          <cell r="D1033">
            <v>0</v>
          </cell>
          <cell r="E1033" t="str">
            <v>N-poly饰条-b</v>
          </cell>
          <cell r="F1033" t="str">
            <v>187*18*12</v>
          </cell>
          <cell r="G1033">
            <v>187</v>
          </cell>
          <cell r="H1033">
            <v>18</v>
          </cell>
          <cell r="I1033">
            <v>12</v>
          </cell>
          <cell r="J1033">
            <v>70</v>
          </cell>
          <cell r="K1033">
            <v>0</v>
          </cell>
          <cell r="L1033">
            <v>0.15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2.1428571428571428</v>
          </cell>
        </row>
        <row r="1034">
          <cell r="A1034" t="str">
            <v>Y008-040</v>
          </cell>
          <cell r="B1034" t="str">
            <v>LCT008-174</v>
          </cell>
          <cell r="C1034" t="str">
            <v>Y008-2</v>
          </cell>
          <cell r="D1034">
            <v>0</v>
          </cell>
          <cell r="E1034" t="str">
            <v>C-poly饰条-a</v>
          </cell>
          <cell r="F1034" t="str">
            <v>943*18*12</v>
          </cell>
          <cell r="G1034">
            <v>943</v>
          </cell>
          <cell r="H1034">
            <v>18</v>
          </cell>
          <cell r="I1034">
            <v>12</v>
          </cell>
          <cell r="J1034">
            <v>320</v>
          </cell>
          <cell r="K1034">
            <v>0</v>
          </cell>
          <cell r="L1034">
            <v>0.72</v>
          </cell>
          <cell r="M1034">
            <v>0</v>
          </cell>
          <cell r="N1034">
            <v>0</v>
          </cell>
          <cell r="O1034" t="str">
            <v>40V</v>
          </cell>
          <cell r="P1034" t="str">
            <v>1010</v>
          </cell>
          <cell r="Q1034" t="str">
            <v>1010</v>
          </cell>
          <cell r="R1034">
            <v>2.25</v>
          </cell>
        </row>
        <row r="1035">
          <cell r="A1035" t="str">
            <v>Y008-041</v>
          </cell>
          <cell r="B1035" t="str">
            <v>LCT008-175</v>
          </cell>
          <cell r="C1035" t="str">
            <v>Y008-2</v>
          </cell>
          <cell r="D1035">
            <v>0</v>
          </cell>
          <cell r="E1035" t="str">
            <v>C-poly饰条-b</v>
          </cell>
          <cell r="F1035" t="str">
            <v>200*18*12</v>
          </cell>
          <cell r="G1035">
            <v>200</v>
          </cell>
          <cell r="H1035">
            <v>18</v>
          </cell>
          <cell r="I1035">
            <v>12</v>
          </cell>
          <cell r="J1035">
            <v>80</v>
          </cell>
          <cell r="K1035">
            <v>0</v>
          </cell>
          <cell r="L1035">
            <v>0.16</v>
          </cell>
          <cell r="M1035">
            <v>0</v>
          </cell>
          <cell r="N1035">
            <v>0</v>
          </cell>
          <cell r="O1035" t="str">
            <v>40V</v>
          </cell>
          <cell r="P1035" t="str">
            <v>1010</v>
          </cell>
          <cell r="Q1035" t="str">
            <v>1010</v>
          </cell>
          <cell r="R1035">
            <v>2</v>
          </cell>
        </row>
        <row r="1036">
          <cell r="A1036" t="str">
            <v>Y008-042</v>
          </cell>
          <cell r="B1036" t="str">
            <v>LCT008-176</v>
          </cell>
          <cell r="C1036" t="str">
            <v>Y008-2</v>
          </cell>
          <cell r="D1036">
            <v>0</v>
          </cell>
          <cell r="E1036" t="str">
            <v>D-poly饰条-a</v>
          </cell>
          <cell r="F1036" t="str">
            <v>793*18*12</v>
          </cell>
          <cell r="G1036">
            <v>793</v>
          </cell>
          <cell r="H1036">
            <v>18</v>
          </cell>
          <cell r="I1036">
            <v>12</v>
          </cell>
          <cell r="J1036">
            <v>270</v>
          </cell>
          <cell r="K1036">
            <v>0</v>
          </cell>
          <cell r="L1036">
            <v>0.61</v>
          </cell>
          <cell r="M1036">
            <v>0</v>
          </cell>
          <cell r="N1036">
            <v>0</v>
          </cell>
          <cell r="O1036" t="str">
            <v>40V</v>
          </cell>
          <cell r="P1036" t="str">
            <v>1010</v>
          </cell>
          <cell r="Q1036" t="str">
            <v>1010</v>
          </cell>
          <cell r="R1036">
            <v>2.2592592592592591</v>
          </cell>
        </row>
        <row r="1037">
          <cell r="A1037" t="str">
            <v>Y008-043</v>
          </cell>
          <cell r="B1037" t="str">
            <v>LCT008-177</v>
          </cell>
          <cell r="C1037" t="str">
            <v>Y008-2</v>
          </cell>
          <cell r="D1037">
            <v>0</v>
          </cell>
          <cell r="E1037" t="str">
            <v>D-poly饰条-b</v>
          </cell>
          <cell r="F1037" t="str">
            <v>179*18*12</v>
          </cell>
          <cell r="G1037">
            <v>179</v>
          </cell>
          <cell r="H1037">
            <v>18</v>
          </cell>
          <cell r="I1037">
            <v>12</v>
          </cell>
          <cell r="J1037">
            <v>68</v>
          </cell>
          <cell r="K1037">
            <v>0</v>
          </cell>
          <cell r="L1037">
            <v>0.14000000000000001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2.0588235294117649</v>
          </cell>
        </row>
        <row r="1038">
          <cell r="A1038" t="str">
            <v>Y008-044</v>
          </cell>
          <cell r="B1038" t="str">
            <v>LCT008-178</v>
          </cell>
          <cell r="C1038" t="str">
            <v>Y008-2</v>
          </cell>
          <cell r="D1038">
            <v>0</v>
          </cell>
          <cell r="E1038" t="str">
            <v>D-poly饰条-b</v>
          </cell>
          <cell r="F1038" t="str">
            <v>376*18*12</v>
          </cell>
          <cell r="G1038">
            <v>376</v>
          </cell>
          <cell r="H1038">
            <v>18</v>
          </cell>
          <cell r="I1038">
            <v>12</v>
          </cell>
          <cell r="J1038">
            <v>140</v>
          </cell>
          <cell r="K1038">
            <v>0</v>
          </cell>
          <cell r="L1038">
            <v>0.28999999999999998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2.0714285714285712</v>
          </cell>
        </row>
        <row r="1039">
          <cell r="A1039" t="str">
            <v>Y008-045</v>
          </cell>
          <cell r="B1039">
            <v>0</v>
          </cell>
          <cell r="C1039" t="str">
            <v>Y008-2</v>
          </cell>
          <cell r="D1039" t="str">
            <v>B385D</v>
          </cell>
          <cell r="E1039" t="str">
            <v>圓珠-前飾條(1100+466)</v>
          </cell>
          <cell r="F1039" t="str">
            <v>1566*13*6</v>
          </cell>
          <cell r="G1039">
            <v>1566</v>
          </cell>
          <cell r="H1039">
            <v>13</v>
          </cell>
          <cell r="I1039">
            <v>6</v>
          </cell>
          <cell r="J1039">
            <v>120</v>
          </cell>
          <cell r="K1039">
            <v>0</v>
          </cell>
          <cell r="L1039">
            <v>0.45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3.7500000000000004</v>
          </cell>
        </row>
        <row r="1040">
          <cell r="A1040" t="str">
            <v>Y008-046</v>
          </cell>
          <cell r="B1040">
            <v>0</v>
          </cell>
          <cell r="C1040" t="str">
            <v>Y008-2</v>
          </cell>
          <cell r="D1040" t="str">
            <v>B385D</v>
          </cell>
          <cell r="E1040" t="str">
            <v>圓珠-側飾條</v>
          </cell>
          <cell r="F1040" t="str">
            <v>424*13*6</v>
          </cell>
          <cell r="G1040">
            <v>424</v>
          </cell>
          <cell r="H1040">
            <v>13</v>
          </cell>
          <cell r="I1040">
            <v>6</v>
          </cell>
          <cell r="J1040">
            <v>46</v>
          </cell>
          <cell r="K1040">
            <v>0</v>
          </cell>
          <cell r="L1040">
            <v>0.12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2.6086956521739131</v>
          </cell>
        </row>
        <row r="1041">
          <cell r="A1041" t="str">
            <v>Y008-047</v>
          </cell>
          <cell r="B1041">
            <v>0</v>
          </cell>
          <cell r="C1041" t="str">
            <v>Y008-2</v>
          </cell>
          <cell r="D1041" t="str">
            <v>B385C</v>
          </cell>
          <cell r="E1041" t="str">
            <v>圓珠-前飾條</v>
          </cell>
          <cell r="F1041" t="str">
            <v>830*13*6</v>
          </cell>
          <cell r="G1041">
            <v>830</v>
          </cell>
          <cell r="H1041">
            <v>13</v>
          </cell>
          <cell r="I1041">
            <v>6</v>
          </cell>
          <cell r="J1041">
            <v>90</v>
          </cell>
          <cell r="K1041">
            <v>0</v>
          </cell>
          <cell r="L1041">
            <v>0.24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2.6666666666666665</v>
          </cell>
        </row>
        <row r="1042">
          <cell r="A1042" t="str">
            <v>Y008-048</v>
          </cell>
          <cell r="B1042">
            <v>0</v>
          </cell>
          <cell r="C1042" t="str">
            <v>Y008-2</v>
          </cell>
          <cell r="D1042" t="str">
            <v>B385C</v>
          </cell>
          <cell r="E1042" t="str">
            <v>圓珠-側飾條</v>
          </cell>
          <cell r="F1042" t="str">
            <v>424*13*6</v>
          </cell>
          <cell r="G1042">
            <v>424</v>
          </cell>
          <cell r="H1042">
            <v>13</v>
          </cell>
          <cell r="I1042">
            <v>6</v>
          </cell>
          <cell r="J1042">
            <v>46</v>
          </cell>
          <cell r="K1042">
            <v>0</v>
          </cell>
          <cell r="L1042">
            <v>0.12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2.6086956521739131</v>
          </cell>
        </row>
        <row r="1043">
          <cell r="A1043" t="str">
            <v>Y008-049</v>
          </cell>
          <cell r="B1043">
            <v>0</v>
          </cell>
          <cell r="C1043" t="str">
            <v>Y008-2</v>
          </cell>
          <cell r="D1043" t="str">
            <v>B385N</v>
          </cell>
          <cell r="E1043" t="str">
            <v>圓珠-前飾條</v>
          </cell>
          <cell r="F1043" t="str">
            <v>570*13*6</v>
          </cell>
          <cell r="G1043">
            <v>570</v>
          </cell>
          <cell r="H1043">
            <v>13</v>
          </cell>
          <cell r="I1043">
            <v>6</v>
          </cell>
          <cell r="J1043">
            <v>62</v>
          </cell>
          <cell r="K1043">
            <v>0</v>
          </cell>
          <cell r="L1043">
            <v>0.17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2.741935483870968</v>
          </cell>
        </row>
        <row r="1044">
          <cell r="A1044" t="str">
            <v>Y008-050</v>
          </cell>
          <cell r="B1044">
            <v>0</v>
          </cell>
          <cell r="C1044" t="str">
            <v>Y008-2</v>
          </cell>
          <cell r="D1044" t="str">
            <v>B385N</v>
          </cell>
          <cell r="E1044" t="str">
            <v>圓珠-側飾條</v>
          </cell>
          <cell r="F1044" t="str">
            <v>400*13*6</v>
          </cell>
          <cell r="G1044">
            <v>400</v>
          </cell>
          <cell r="H1044">
            <v>13</v>
          </cell>
          <cell r="I1044">
            <v>6</v>
          </cell>
          <cell r="J1044">
            <v>44</v>
          </cell>
          <cell r="K1044">
            <v>0</v>
          </cell>
          <cell r="L1044">
            <v>0.12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2.7272727272727275</v>
          </cell>
        </row>
        <row r="1045">
          <cell r="A1045" t="str">
            <v>Y008-051</v>
          </cell>
          <cell r="B1045">
            <v>0</v>
          </cell>
          <cell r="C1045" t="str">
            <v>Y008-2</v>
          </cell>
          <cell r="D1045" t="str">
            <v>7684-1</v>
          </cell>
          <cell r="E1045" t="str">
            <v>N / C / D-B前腳</v>
          </cell>
          <cell r="F1045" t="str">
            <v>242*59*50</v>
          </cell>
          <cell r="G1045">
            <v>242</v>
          </cell>
          <cell r="H1045">
            <v>59</v>
          </cell>
          <cell r="I1045">
            <v>50</v>
          </cell>
          <cell r="J1045">
            <v>340</v>
          </cell>
          <cell r="K1045">
            <v>0</v>
          </cell>
          <cell r="L1045">
            <v>0.85</v>
          </cell>
          <cell r="M1045">
            <v>0</v>
          </cell>
          <cell r="N1045">
            <v>220</v>
          </cell>
          <cell r="O1045">
            <v>0</v>
          </cell>
          <cell r="P1045">
            <v>0</v>
          </cell>
          <cell r="Q1045">
            <v>0</v>
          </cell>
          <cell r="R1045">
            <v>2.4999999999999996</v>
          </cell>
        </row>
        <row r="1046">
          <cell r="A1046" t="str">
            <v>Y008-052</v>
          </cell>
          <cell r="B1046">
            <v>0</v>
          </cell>
          <cell r="C1046" t="str">
            <v>Y008-2</v>
          </cell>
          <cell r="D1046" t="str">
            <v>7684-2</v>
          </cell>
          <cell r="E1046" t="str">
            <v>前上飾條-N</v>
          </cell>
          <cell r="F1046" t="str">
            <v>530*57*4.5</v>
          </cell>
          <cell r="G1046">
            <v>530</v>
          </cell>
          <cell r="H1046">
            <v>57</v>
          </cell>
          <cell r="I1046">
            <v>4.5</v>
          </cell>
          <cell r="J1046">
            <v>175</v>
          </cell>
          <cell r="K1046">
            <v>0</v>
          </cell>
          <cell r="L1046">
            <v>0.44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2.5142857142857147</v>
          </cell>
        </row>
        <row r="1047">
          <cell r="A1047" t="str">
            <v>Y008-053</v>
          </cell>
          <cell r="B1047">
            <v>0</v>
          </cell>
          <cell r="C1047" t="str">
            <v>Y008-2</v>
          </cell>
          <cell r="D1047" t="str">
            <v>7684-2</v>
          </cell>
          <cell r="E1047" t="str">
            <v>側上飾條-N</v>
          </cell>
          <cell r="F1047" t="str">
            <v>370*57*4.5</v>
          </cell>
          <cell r="G1047">
            <v>370</v>
          </cell>
          <cell r="H1047">
            <v>57</v>
          </cell>
          <cell r="I1047">
            <v>4.5</v>
          </cell>
          <cell r="J1047">
            <v>125</v>
          </cell>
          <cell r="K1047">
            <v>0</v>
          </cell>
          <cell r="L1047">
            <v>0.31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2.48</v>
          </cell>
        </row>
        <row r="1048">
          <cell r="A1048" t="str">
            <v>Y008-054</v>
          </cell>
          <cell r="B1048">
            <v>0</v>
          </cell>
          <cell r="C1048" t="str">
            <v>Y008-2</v>
          </cell>
          <cell r="D1048" t="str">
            <v>7684-2</v>
          </cell>
          <cell r="E1048" t="str">
            <v>前上飾條-C</v>
          </cell>
          <cell r="F1048" t="str">
            <v>810*57*4.5</v>
          </cell>
          <cell r="G1048">
            <v>810</v>
          </cell>
          <cell r="H1048">
            <v>57</v>
          </cell>
          <cell r="I1048">
            <v>4.5</v>
          </cell>
          <cell r="J1048">
            <v>264</v>
          </cell>
          <cell r="K1048">
            <v>0</v>
          </cell>
          <cell r="L1048">
            <v>0.66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2.5</v>
          </cell>
        </row>
        <row r="1049">
          <cell r="A1049" t="str">
            <v>Y008-055</v>
          </cell>
          <cell r="B1049">
            <v>0</v>
          </cell>
          <cell r="C1049" t="str">
            <v>Y008-2</v>
          </cell>
          <cell r="D1049" t="str">
            <v>7684-2</v>
          </cell>
          <cell r="E1049" t="str">
            <v>側上飾條-C</v>
          </cell>
          <cell r="F1049" t="str">
            <v>397*57*4.5</v>
          </cell>
          <cell r="G1049">
            <v>397</v>
          </cell>
          <cell r="H1049">
            <v>57</v>
          </cell>
          <cell r="I1049">
            <v>4.5</v>
          </cell>
          <cell r="J1049">
            <v>133</v>
          </cell>
          <cell r="K1049">
            <v>0</v>
          </cell>
          <cell r="L1049">
            <v>0.33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2.481203007518797</v>
          </cell>
        </row>
        <row r="1050">
          <cell r="A1050" t="str">
            <v>Y008-056</v>
          </cell>
          <cell r="B1050">
            <v>0</v>
          </cell>
          <cell r="C1050" t="str">
            <v>Y008-2</v>
          </cell>
          <cell r="D1050" t="str">
            <v>7684-2</v>
          </cell>
          <cell r="E1050" t="str">
            <v>前上飾條-D</v>
          </cell>
          <cell r="F1050" t="str">
            <v>1348*57*4.5</v>
          </cell>
          <cell r="G1050">
            <v>1348</v>
          </cell>
          <cell r="H1050">
            <v>57</v>
          </cell>
          <cell r="I1050">
            <v>4.5</v>
          </cell>
          <cell r="J1050">
            <v>430</v>
          </cell>
          <cell r="K1050">
            <v>0</v>
          </cell>
          <cell r="L1050">
            <v>1.08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2.5116279069767442</v>
          </cell>
        </row>
        <row r="1051">
          <cell r="A1051" t="str">
            <v>Y008-057</v>
          </cell>
          <cell r="B1051">
            <v>0</v>
          </cell>
          <cell r="C1051" t="str">
            <v>Y008-2</v>
          </cell>
          <cell r="D1051" t="str">
            <v>7684-2</v>
          </cell>
          <cell r="E1051" t="str">
            <v>側上飾條-D</v>
          </cell>
          <cell r="F1051" t="str">
            <v>397*57*4.5</v>
          </cell>
          <cell r="G1051">
            <v>397</v>
          </cell>
          <cell r="H1051">
            <v>57</v>
          </cell>
          <cell r="I1051">
            <v>4.5</v>
          </cell>
          <cell r="J1051">
            <v>133</v>
          </cell>
          <cell r="K1051">
            <v>0</v>
          </cell>
          <cell r="L1051">
            <v>0.33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2.481203007518797</v>
          </cell>
        </row>
        <row r="1052">
          <cell r="A1052" t="str">
            <v>Y008-058</v>
          </cell>
          <cell r="B1052">
            <v>0</v>
          </cell>
          <cell r="C1052" t="str">
            <v>Y008-2</v>
          </cell>
          <cell r="D1052" t="str">
            <v>7684-3</v>
          </cell>
          <cell r="E1052" t="str">
            <v>Q-HB-poly飾條</v>
          </cell>
          <cell r="F1052" t="str">
            <v>677*15*10</v>
          </cell>
          <cell r="G1052">
            <v>677</v>
          </cell>
          <cell r="H1052">
            <v>15</v>
          </cell>
          <cell r="I1052">
            <v>10</v>
          </cell>
          <cell r="J1052">
            <v>185</v>
          </cell>
          <cell r="K1052">
            <v>0</v>
          </cell>
          <cell r="L1052">
            <v>0.46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2.4864864864864864</v>
          </cell>
        </row>
        <row r="1053">
          <cell r="A1053" t="str">
            <v>Y008-059</v>
          </cell>
          <cell r="B1053">
            <v>0</v>
          </cell>
          <cell r="C1053" t="str">
            <v>Y008-2</v>
          </cell>
          <cell r="D1053" t="str">
            <v>7684-3</v>
          </cell>
          <cell r="E1053" t="str">
            <v>EK/CK-HB-poly飾條</v>
          </cell>
          <cell r="F1053" t="str">
            <v>883*15*10</v>
          </cell>
          <cell r="G1053">
            <v>883</v>
          </cell>
          <cell r="H1053">
            <v>15</v>
          </cell>
          <cell r="I1053">
            <v>10</v>
          </cell>
          <cell r="J1053">
            <v>250</v>
          </cell>
          <cell r="K1053">
            <v>0</v>
          </cell>
          <cell r="L1053">
            <v>0.63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2.52</v>
          </cell>
        </row>
        <row r="1054">
          <cell r="A1054" t="str">
            <v>Y008-060</v>
          </cell>
          <cell r="B1054">
            <v>0</v>
          </cell>
          <cell r="C1054" t="str">
            <v>Y008-2</v>
          </cell>
          <cell r="D1054" t="str">
            <v>7684-4</v>
          </cell>
          <cell r="E1054" t="str">
            <v>Q-HB-大半圓飾條</v>
          </cell>
          <cell r="F1054" t="str">
            <v>1745*16*8</v>
          </cell>
          <cell r="G1054">
            <v>1745</v>
          </cell>
          <cell r="H1054">
            <v>16</v>
          </cell>
          <cell r="I1054">
            <v>8</v>
          </cell>
          <cell r="J1054">
            <v>520</v>
          </cell>
          <cell r="K1054">
            <v>0</v>
          </cell>
          <cell r="L1054">
            <v>1.3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2.5</v>
          </cell>
        </row>
        <row r="1055">
          <cell r="A1055" t="str">
            <v>Y008-061</v>
          </cell>
          <cell r="B1055">
            <v>0</v>
          </cell>
          <cell r="C1055" t="str">
            <v>Y008-2</v>
          </cell>
          <cell r="D1055" t="str">
            <v>7684-4</v>
          </cell>
          <cell r="E1055" t="str">
            <v>EK/CK-HB-大半圓飾條</v>
          </cell>
          <cell r="F1055" t="str">
            <v>2155*16*8</v>
          </cell>
          <cell r="G1055">
            <v>2155</v>
          </cell>
          <cell r="H1055">
            <v>16</v>
          </cell>
          <cell r="I1055">
            <v>8</v>
          </cell>
          <cell r="J1055">
            <v>625</v>
          </cell>
          <cell r="K1055">
            <v>0</v>
          </cell>
          <cell r="L1055">
            <v>1.56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2.496</v>
          </cell>
        </row>
        <row r="1056">
          <cell r="A1056" t="str">
            <v>Y008-062</v>
          </cell>
          <cell r="B1056">
            <v>0</v>
          </cell>
          <cell r="C1056" t="str">
            <v>Y008-2</v>
          </cell>
          <cell r="D1056" t="str">
            <v>7684-5</v>
          </cell>
          <cell r="E1056" t="str">
            <v>Q-HB-大半圓飾條</v>
          </cell>
          <cell r="F1056" t="str">
            <v>790*8*4</v>
          </cell>
          <cell r="G1056">
            <v>790</v>
          </cell>
          <cell r="H1056">
            <v>8</v>
          </cell>
          <cell r="I1056">
            <v>4</v>
          </cell>
          <cell r="J1056">
            <v>0</v>
          </cell>
          <cell r="K1056">
            <v>0</v>
          </cell>
          <cell r="L1056">
            <v>0.24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 t="e">
            <v>#DIV/0!</v>
          </cell>
        </row>
        <row r="1057">
          <cell r="A1057" t="str">
            <v>Y008-063</v>
          </cell>
          <cell r="B1057">
            <v>0</v>
          </cell>
          <cell r="C1057" t="str">
            <v>Y008-2</v>
          </cell>
          <cell r="D1057" t="str">
            <v>7684-5</v>
          </cell>
          <cell r="E1057" t="str">
            <v>EK/CK-HB-大半圓飾條</v>
          </cell>
          <cell r="F1057" t="str">
            <v>995*8*4</v>
          </cell>
          <cell r="G1057">
            <v>995</v>
          </cell>
          <cell r="H1057">
            <v>8</v>
          </cell>
          <cell r="I1057">
            <v>4</v>
          </cell>
          <cell r="J1057">
            <v>0</v>
          </cell>
          <cell r="K1057">
            <v>0</v>
          </cell>
          <cell r="L1057">
            <v>0.3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 t="e">
            <v>#DIV/0!</v>
          </cell>
        </row>
        <row r="1058">
          <cell r="A1058" t="str">
            <v>Y008-064</v>
          </cell>
          <cell r="B1058">
            <v>0</v>
          </cell>
          <cell r="C1058" t="str">
            <v>Y008-2</v>
          </cell>
          <cell r="D1058" t="str">
            <v>7684-6</v>
          </cell>
          <cell r="E1058" t="str">
            <v>Q/EK/CK-HB-圓圈飾塊</v>
          </cell>
          <cell r="F1058" t="str">
            <v>455*128*30</v>
          </cell>
          <cell r="G1058">
            <v>455</v>
          </cell>
          <cell r="H1058">
            <v>128</v>
          </cell>
          <cell r="I1058">
            <v>30</v>
          </cell>
          <cell r="J1058">
            <v>1050</v>
          </cell>
          <cell r="K1058">
            <v>0</v>
          </cell>
          <cell r="L1058">
            <v>3.5</v>
          </cell>
          <cell r="M1058">
            <v>0</v>
          </cell>
          <cell r="N1058">
            <v>100</v>
          </cell>
          <cell r="O1058">
            <v>0</v>
          </cell>
          <cell r="P1058">
            <v>0</v>
          </cell>
          <cell r="Q1058">
            <v>0</v>
          </cell>
          <cell r="R1058">
            <v>3.333333333333333</v>
          </cell>
        </row>
        <row r="1059">
          <cell r="A1059" t="str">
            <v>Y008-065</v>
          </cell>
          <cell r="B1059">
            <v>0</v>
          </cell>
          <cell r="C1059" t="str">
            <v>Y008-2</v>
          </cell>
          <cell r="D1059" t="str">
            <v>7684-6</v>
          </cell>
          <cell r="E1059" t="str">
            <v>M-圓圈飾塊</v>
          </cell>
          <cell r="F1059" t="str">
            <v>320*97*25</v>
          </cell>
          <cell r="G1059">
            <v>320</v>
          </cell>
          <cell r="H1059">
            <v>97</v>
          </cell>
          <cell r="I1059">
            <v>25</v>
          </cell>
          <cell r="J1059">
            <v>570</v>
          </cell>
          <cell r="K1059">
            <v>0</v>
          </cell>
          <cell r="L1059">
            <v>2.1</v>
          </cell>
          <cell r="M1059">
            <v>0</v>
          </cell>
          <cell r="N1059">
            <v>80</v>
          </cell>
          <cell r="O1059">
            <v>0</v>
          </cell>
          <cell r="P1059">
            <v>0</v>
          </cell>
          <cell r="Q1059">
            <v>0</v>
          </cell>
          <cell r="R1059">
            <v>3.6842105263157898</v>
          </cell>
        </row>
        <row r="1060">
          <cell r="A1060" t="str">
            <v>Y008-066</v>
          </cell>
          <cell r="B1060">
            <v>0</v>
          </cell>
          <cell r="C1060" t="str">
            <v>Y008-2</v>
          </cell>
          <cell r="D1060" t="str">
            <v>7684-7</v>
          </cell>
          <cell r="E1060" t="str">
            <v>Q/EK/CK-HB-弧形飾條-L</v>
          </cell>
          <cell r="F1060" t="str">
            <v>467*150*4</v>
          </cell>
          <cell r="G1060">
            <v>467</v>
          </cell>
          <cell r="H1060">
            <v>150</v>
          </cell>
          <cell r="I1060">
            <v>4</v>
          </cell>
          <cell r="J1060">
            <v>70</v>
          </cell>
          <cell r="K1060">
            <v>0</v>
          </cell>
          <cell r="L1060">
            <v>0.21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2.9999999999999996</v>
          </cell>
        </row>
        <row r="1061">
          <cell r="A1061" t="str">
            <v>Y008-067</v>
          </cell>
          <cell r="B1061">
            <v>0</v>
          </cell>
          <cell r="C1061" t="str">
            <v>Y008-2</v>
          </cell>
          <cell r="D1061" t="str">
            <v>7684-7</v>
          </cell>
          <cell r="E1061" t="str">
            <v>Q/EK/CK-HB-弧形飾條-R</v>
          </cell>
          <cell r="F1061" t="str">
            <v>467*150*4</v>
          </cell>
          <cell r="G1061">
            <v>467</v>
          </cell>
          <cell r="H1061">
            <v>150</v>
          </cell>
          <cell r="I1061">
            <v>4</v>
          </cell>
          <cell r="J1061">
            <v>70</v>
          </cell>
          <cell r="K1061">
            <v>0</v>
          </cell>
          <cell r="L1061">
            <v>0.21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2.9999999999999996</v>
          </cell>
        </row>
        <row r="1062">
          <cell r="A1062" t="str">
            <v>Y008-068</v>
          </cell>
          <cell r="B1062">
            <v>0</v>
          </cell>
          <cell r="C1062" t="str">
            <v>Y008-2</v>
          </cell>
          <cell r="D1062" t="str">
            <v>7684-7</v>
          </cell>
          <cell r="E1062" t="str">
            <v>M-弧形飾條-L</v>
          </cell>
          <cell r="F1062" t="str">
            <v>284*122*4</v>
          </cell>
          <cell r="G1062">
            <v>284</v>
          </cell>
          <cell r="H1062">
            <v>122</v>
          </cell>
          <cell r="I1062">
            <v>4</v>
          </cell>
          <cell r="J1062">
            <v>60</v>
          </cell>
          <cell r="K1062">
            <v>0</v>
          </cell>
          <cell r="L1062">
            <v>0.18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3</v>
          </cell>
        </row>
        <row r="1063">
          <cell r="A1063" t="str">
            <v>Y008-069</v>
          </cell>
          <cell r="B1063">
            <v>0</v>
          </cell>
          <cell r="C1063" t="str">
            <v>Y008-2</v>
          </cell>
          <cell r="D1063" t="str">
            <v>7684-7</v>
          </cell>
          <cell r="E1063" t="str">
            <v>M-弧形飾條-R</v>
          </cell>
          <cell r="F1063" t="str">
            <v>284*122*4</v>
          </cell>
          <cell r="G1063">
            <v>284</v>
          </cell>
          <cell r="H1063">
            <v>122</v>
          </cell>
          <cell r="I1063">
            <v>4</v>
          </cell>
          <cell r="J1063">
            <v>60</v>
          </cell>
          <cell r="K1063">
            <v>0</v>
          </cell>
          <cell r="L1063">
            <v>0.18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3</v>
          </cell>
        </row>
        <row r="1064">
          <cell r="A1064" t="str">
            <v>Y008-070</v>
          </cell>
          <cell r="B1064">
            <v>0</v>
          </cell>
          <cell r="C1064" t="str">
            <v>Y008-2</v>
          </cell>
          <cell r="D1064" t="str">
            <v>7684</v>
          </cell>
          <cell r="E1064" t="str">
            <v>POLY飾條</v>
          </cell>
          <cell r="F1064" t="str">
            <v>1035*16*8</v>
          </cell>
          <cell r="G1064">
            <v>1035</v>
          </cell>
          <cell r="H1064">
            <v>16</v>
          </cell>
          <cell r="I1064">
            <v>8</v>
          </cell>
          <cell r="J1064">
            <v>0</v>
          </cell>
          <cell r="K1064">
            <v>0</v>
          </cell>
          <cell r="L1064">
            <v>0.76</v>
          </cell>
          <cell r="M1064">
            <v>0</v>
          </cell>
          <cell r="N1064">
            <v>0</v>
          </cell>
          <cell r="O1064" t="str">
            <v>T</v>
          </cell>
          <cell r="P1064">
            <v>0</v>
          </cell>
          <cell r="Q1064">
            <v>0</v>
          </cell>
          <cell r="R1064" t="e">
            <v>#DIV/0!</v>
          </cell>
          <cell r="S1064">
            <v>41992</v>
          </cell>
        </row>
        <row r="1065">
          <cell r="A1065" t="str">
            <v>Y008-071</v>
          </cell>
          <cell r="B1065">
            <v>0</v>
          </cell>
          <cell r="C1065" t="str">
            <v>Y008-2</v>
          </cell>
          <cell r="D1065" t="str">
            <v>7684</v>
          </cell>
          <cell r="E1065" t="str">
            <v>POLY飾條</v>
          </cell>
          <cell r="F1065" t="str">
            <v>440*8*4</v>
          </cell>
          <cell r="G1065">
            <v>440</v>
          </cell>
          <cell r="H1065">
            <v>8</v>
          </cell>
          <cell r="I1065">
            <v>4</v>
          </cell>
          <cell r="J1065">
            <v>70</v>
          </cell>
          <cell r="K1065">
            <v>0</v>
          </cell>
          <cell r="L1065">
            <v>0.14000000000000001</v>
          </cell>
          <cell r="M1065">
            <v>0</v>
          </cell>
          <cell r="N1065">
            <v>0</v>
          </cell>
          <cell r="O1065" t="str">
            <v>T</v>
          </cell>
          <cell r="P1065">
            <v>0</v>
          </cell>
          <cell r="Q1065" t="str">
            <v>1010</v>
          </cell>
          <cell r="R1065">
            <v>2</v>
          </cell>
          <cell r="S1065">
            <v>41992</v>
          </cell>
        </row>
        <row r="1066">
          <cell r="A1066" t="str">
            <v>Y008-072</v>
          </cell>
          <cell r="B1066">
            <v>0</v>
          </cell>
          <cell r="C1066" t="str">
            <v>Y008-2</v>
          </cell>
          <cell r="D1066">
            <v>0</v>
          </cell>
          <cell r="E1066" t="str">
            <v>POLY飾條</v>
          </cell>
          <cell r="F1066" t="str">
            <v>824*8*4</v>
          </cell>
          <cell r="G1066">
            <v>824</v>
          </cell>
          <cell r="H1066">
            <v>8</v>
          </cell>
          <cell r="I1066">
            <v>4</v>
          </cell>
          <cell r="J1066">
            <v>132</v>
          </cell>
          <cell r="K1066">
            <v>0</v>
          </cell>
          <cell r="L1066">
            <v>0.34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 t="str">
            <v>1010</v>
          </cell>
          <cell r="R1066">
            <v>2.5757575757575757</v>
          </cell>
          <cell r="S1066">
            <v>42004</v>
          </cell>
        </row>
        <row r="1067">
          <cell r="A1067" t="str">
            <v>Y008-073</v>
          </cell>
          <cell r="B1067">
            <v>0</v>
          </cell>
          <cell r="C1067" t="str">
            <v>Y008-2</v>
          </cell>
          <cell r="D1067">
            <v>0</v>
          </cell>
          <cell r="E1067" t="str">
            <v>POLY飾條</v>
          </cell>
          <cell r="F1067" t="str">
            <v>65*8*4</v>
          </cell>
          <cell r="G1067">
            <v>65</v>
          </cell>
          <cell r="H1067">
            <v>8</v>
          </cell>
          <cell r="I1067">
            <v>4</v>
          </cell>
          <cell r="J1067">
            <v>15</v>
          </cell>
          <cell r="K1067">
            <v>0</v>
          </cell>
          <cell r="L1067">
            <v>0.06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 t="str">
            <v>1010</v>
          </cell>
          <cell r="R1067">
            <v>4</v>
          </cell>
          <cell r="S1067">
            <v>42004</v>
          </cell>
        </row>
        <row r="1068">
          <cell r="A1068" t="str">
            <v>Y008-074</v>
          </cell>
          <cell r="B1068">
            <v>0</v>
          </cell>
          <cell r="C1068" t="str">
            <v>Y008-2</v>
          </cell>
          <cell r="D1068" t="str">
            <v>8650-N</v>
          </cell>
          <cell r="E1068" t="str">
            <v>圓珠-前飾條</v>
          </cell>
          <cell r="F1068" t="str">
            <v>380*13*6</v>
          </cell>
          <cell r="G1068">
            <v>380</v>
          </cell>
          <cell r="H1068">
            <v>13</v>
          </cell>
          <cell r="I1068">
            <v>6</v>
          </cell>
          <cell r="J1068">
            <v>50</v>
          </cell>
          <cell r="K1068">
            <v>0</v>
          </cell>
          <cell r="L1068">
            <v>0.11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 t="str">
            <v>1010</v>
          </cell>
          <cell r="R1068">
            <v>2.1999999999999997</v>
          </cell>
          <cell r="S1068">
            <v>42004</v>
          </cell>
        </row>
        <row r="1069">
          <cell r="A1069" t="str">
            <v>Y008-075</v>
          </cell>
          <cell r="B1069">
            <v>0</v>
          </cell>
          <cell r="C1069" t="str">
            <v>Y008-2</v>
          </cell>
          <cell r="D1069" t="str">
            <v>8650-N</v>
          </cell>
          <cell r="E1069" t="str">
            <v>圓珠-側飾條</v>
          </cell>
          <cell r="F1069" t="str">
            <v>630*13*6</v>
          </cell>
          <cell r="G1069">
            <v>630</v>
          </cell>
          <cell r="H1069">
            <v>13</v>
          </cell>
          <cell r="I1069">
            <v>6</v>
          </cell>
          <cell r="J1069">
            <v>75</v>
          </cell>
          <cell r="K1069">
            <v>0</v>
          </cell>
          <cell r="L1069">
            <v>0.2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 t="str">
            <v>1010</v>
          </cell>
          <cell r="R1069">
            <v>2.666666666666667</v>
          </cell>
          <cell r="S1069">
            <v>42004</v>
          </cell>
        </row>
        <row r="1070">
          <cell r="A1070" t="str">
            <v>Y008-076</v>
          </cell>
          <cell r="B1070">
            <v>0</v>
          </cell>
          <cell r="C1070" t="str">
            <v>Y008-2</v>
          </cell>
          <cell r="D1070" t="str">
            <v>8650-D</v>
          </cell>
          <cell r="E1070" t="str">
            <v>圓珠-前飾條</v>
          </cell>
          <cell r="F1070" t="str">
            <v>380*13*6</v>
          </cell>
          <cell r="G1070">
            <v>380</v>
          </cell>
          <cell r="H1070">
            <v>13</v>
          </cell>
          <cell r="I1070">
            <v>6</v>
          </cell>
          <cell r="J1070">
            <v>50</v>
          </cell>
          <cell r="K1070">
            <v>0</v>
          </cell>
          <cell r="L1070">
            <v>0.11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 t="str">
            <v>1010</v>
          </cell>
          <cell r="R1070">
            <v>2.1999999999999997</v>
          </cell>
          <cell r="S1070">
            <v>42004</v>
          </cell>
        </row>
        <row r="1071">
          <cell r="A1071" t="str">
            <v>Y008-077</v>
          </cell>
          <cell r="B1071">
            <v>0</v>
          </cell>
          <cell r="C1071" t="str">
            <v>Y008-2</v>
          </cell>
          <cell r="D1071" t="str">
            <v>8650-D</v>
          </cell>
          <cell r="E1071" t="str">
            <v>圓珠-側飾條</v>
          </cell>
          <cell r="F1071" t="str">
            <v>790*13*6</v>
          </cell>
          <cell r="G1071">
            <v>790</v>
          </cell>
          <cell r="H1071">
            <v>13</v>
          </cell>
          <cell r="I1071">
            <v>6</v>
          </cell>
          <cell r="J1071">
            <v>95</v>
          </cell>
          <cell r="K1071">
            <v>0</v>
          </cell>
          <cell r="L1071">
            <v>0.23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 t="str">
            <v>1010</v>
          </cell>
          <cell r="R1071">
            <v>2.4210526315789473</v>
          </cell>
          <cell r="S1071">
            <v>42004</v>
          </cell>
        </row>
        <row r="1072">
          <cell r="A1072" t="str">
            <v>Y008-078</v>
          </cell>
          <cell r="B1072">
            <v>0</v>
          </cell>
          <cell r="C1072" t="str">
            <v>Y008-2</v>
          </cell>
          <cell r="D1072" t="str">
            <v>8650-C</v>
          </cell>
          <cell r="E1072" t="str">
            <v>圓珠-前飾條</v>
          </cell>
          <cell r="F1072" t="str">
            <v>380*13*6</v>
          </cell>
          <cell r="G1072">
            <v>380</v>
          </cell>
          <cell r="H1072">
            <v>13</v>
          </cell>
          <cell r="I1072">
            <v>6</v>
          </cell>
          <cell r="J1072">
            <v>50</v>
          </cell>
          <cell r="K1072">
            <v>0</v>
          </cell>
          <cell r="L1072">
            <v>0.11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 t="str">
            <v>1010</v>
          </cell>
          <cell r="R1072">
            <v>2.1999999999999997</v>
          </cell>
          <cell r="S1072">
            <v>42004</v>
          </cell>
        </row>
        <row r="1073">
          <cell r="A1073" t="str">
            <v>Y008-079</v>
          </cell>
          <cell r="B1073">
            <v>0</v>
          </cell>
          <cell r="C1073" t="str">
            <v>Y008-2</v>
          </cell>
          <cell r="D1073" t="str">
            <v>8650-C</v>
          </cell>
          <cell r="E1073" t="str">
            <v>圓珠-側飾條</v>
          </cell>
          <cell r="F1073" t="str">
            <v>937*13*6</v>
          </cell>
          <cell r="G1073">
            <v>937</v>
          </cell>
          <cell r="H1073">
            <v>13</v>
          </cell>
          <cell r="I1073">
            <v>6</v>
          </cell>
          <cell r="J1073">
            <v>112</v>
          </cell>
          <cell r="K1073">
            <v>0</v>
          </cell>
          <cell r="L1073">
            <v>0.3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 t="str">
            <v>1010</v>
          </cell>
          <cell r="R1073">
            <v>2.6785714285714284</v>
          </cell>
          <cell r="S1073">
            <v>42004</v>
          </cell>
        </row>
        <row r="1074">
          <cell r="A1074" t="str">
            <v>Y008-080</v>
          </cell>
          <cell r="B1074">
            <v>0</v>
          </cell>
          <cell r="C1074" t="str">
            <v>Y008-2</v>
          </cell>
          <cell r="D1074" t="str">
            <v>8650-LC</v>
          </cell>
          <cell r="E1074" t="str">
            <v>圓珠-前飾條</v>
          </cell>
          <cell r="F1074" t="str">
            <v>380*13*6</v>
          </cell>
          <cell r="G1074">
            <v>380</v>
          </cell>
          <cell r="H1074">
            <v>13</v>
          </cell>
          <cell r="I1074">
            <v>6</v>
          </cell>
          <cell r="J1074">
            <v>50</v>
          </cell>
          <cell r="K1074">
            <v>0</v>
          </cell>
          <cell r="L1074">
            <v>0.11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 t="str">
            <v>1010</v>
          </cell>
          <cell r="R1074">
            <v>2.1999999999999997</v>
          </cell>
          <cell r="S1074">
            <v>42004</v>
          </cell>
        </row>
        <row r="1075">
          <cell r="A1075" t="str">
            <v>Y008-081</v>
          </cell>
          <cell r="B1075">
            <v>0</v>
          </cell>
          <cell r="C1075" t="str">
            <v>Y008-2</v>
          </cell>
          <cell r="D1075" t="str">
            <v>8650-LC</v>
          </cell>
          <cell r="E1075" t="str">
            <v>圓珠-側飾條</v>
          </cell>
          <cell r="F1075" t="str">
            <v>702*13*6</v>
          </cell>
          <cell r="G1075">
            <v>702</v>
          </cell>
          <cell r="H1075">
            <v>13</v>
          </cell>
          <cell r="I1075">
            <v>6</v>
          </cell>
          <cell r="J1075">
            <v>84</v>
          </cell>
          <cell r="K1075">
            <v>0</v>
          </cell>
          <cell r="L1075">
            <v>0.22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 t="str">
            <v>1010</v>
          </cell>
          <cell r="R1075">
            <v>2.6190476190476191</v>
          </cell>
          <cell r="S1075">
            <v>42004</v>
          </cell>
        </row>
        <row r="1076">
          <cell r="A1076" t="str">
            <v>Y008-082</v>
          </cell>
          <cell r="B1076">
            <v>0</v>
          </cell>
          <cell r="C1076" t="str">
            <v>Y008-2</v>
          </cell>
          <cell r="D1076" t="str">
            <v>203221Q-B2</v>
          </cell>
          <cell r="E1076" t="str">
            <v>Q-HB-(床柱上節)</v>
          </cell>
          <cell r="F1076" t="str">
            <v>212*  Ø 105</v>
          </cell>
          <cell r="G1076">
            <v>212</v>
          </cell>
          <cell r="H1076" t="str">
            <v>Ø</v>
          </cell>
          <cell r="I1076">
            <v>105</v>
          </cell>
          <cell r="J1076">
            <v>1000</v>
          </cell>
          <cell r="K1076">
            <v>0</v>
          </cell>
          <cell r="L1076">
            <v>1.9</v>
          </cell>
          <cell r="M1076">
            <v>0</v>
          </cell>
          <cell r="N1076">
            <v>80</v>
          </cell>
          <cell r="O1076">
            <v>0</v>
          </cell>
          <cell r="P1076">
            <v>0</v>
          </cell>
          <cell r="Q1076" t="str">
            <v>1010</v>
          </cell>
          <cell r="R1076">
            <v>1.9</v>
          </cell>
          <cell r="S1076">
            <v>42004</v>
          </cell>
        </row>
        <row r="1077">
          <cell r="A1077" t="str">
            <v>Y008-083</v>
          </cell>
          <cell r="B1077">
            <v>0</v>
          </cell>
          <cell r="C1077" t="str">
            <v>Y008-2</v>
          </cell>
          <cell r="D1077">
            <v>0</v>
          </cell>
          <cell r="E1077" t="str">
            <v>EK/CK-HB-肚板飾條</v>
          </cell>
          <cell r="F1077" t="str">
            <v>1703*773*17</v>
          </cell>
          <cell r="G1077">
            <v>1703</v>
          </cell>
          <cell r="H1077">
            <v>773</v>
          </cell>
          <cell r="I1077">
            <v>17</v>
          </cell>
          <cell r="J1077">
            <v>1683</v>
          </cell>
          <cell r="K1077">
            <v>0</v>
          </cell>
          <cell r="L1077">
            <v>3.74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 t="str">
            <v>1010</v>
          </cell>
          <cell r="R1077">
            <v>2.2222222222222223</v>
          </cell>
          <cell r="S1077">
            <v>42004</v>
          </cell>
        </row>
        <row r="1078">
          <cell r="A1078" t="str">
            <v>Y008-084</v>
          </cell>
          <cell r="B1078">
            <v>0</v>
          </cell>
          <cell r="C1078" t="str">
            <v>Y008-2</v>
          </cell>
          <cell r="D1078">
            <v>0</v>
          </cell>
          <cell r="E1078" t="str">
            <v>EK/CK-FB-肚板飾條</v>
          </cell>
          <cell r="F1078" t="str">
            <v>1779*384*17</v>
          </cell>
          <cell r="G1078">
            <v>1779</v>
          </cell>
          <cell r="H1078">
            <v>384</v>
          </cell>
          <cell r="I1078">
            <v>17</v>
          </cell>
          <cell r="J1078">
            <v>2372</v>
          </cell>
          <cell r="K1078">
            <v>0</v>
          </cell>
          <cell r="L1078">
            <v>5.0599999999999996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 t="str">
            <v>1010</v>
          </cell>
          <cell r="R1078">
            <v>2.1332209106239461</v>
          </cell>
          <cell r="S1078">
            <v>42004</v>
          </cell>
        </row>
        <row r="1079">
          <cell r="A1079" t="str">
            <v>Y008-085</v>
          </cell>
          <cell r="B1079">
            <v>0</v>
          </cell>
          <cell r="C1079" t="str">
            <v>Y008-2</v>
          </cell>
          <cell r="D1079">
            <v>0</v>
          </cell>
          <cell r="E1079" t="str">
            <v>Q-HB-肚板飾條</v>
          </cell>
          <cell r="F1079" t="str">
            <v>1299*659*17</v>
          </cell>
          <cell r="G1079">
            <v>1299</v>
          </cell>
          <cell r="H1079">
            <v>659</v>
          </cell>
          <cell r="I1079">
            <v>17</v>
          </cell>
          <cell r="J1079">
            <v>1418</v>
          </cell>
          <cell r="K1079">
            <v>0</v>
          </cell>
          <cell r="L1079">
            <v>3.45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 t="str">
            <v>1010</v>
          </cell>
          <cell r="R1079">
            <v>2.4330042313117071</v>
          </cell>
          <cell r="S1079">
            <v>42004</v>
          </cell>
        </row>
        <row r="1080">
          <cell r="A1080" t="str">
            <v>Y008-086</v>
          </cell>
          <cell r="B1080">
            <v>0</v>
          </cell>
          <cell r="C1080" t="str">
            <v>Y008-2</v>
          </cell>
          <cell r="D1080">
            <v>0</v>
          </cell>
          <cell r="E1080" t="str">
            <v>Q-FB-肚板飾條</v>
          </cell>
          <cell r="F1080" t="str">
            <v>1375*370*17</v>
          </cell>
          <cell r="G1080">
            <v>1375</v>
          </cell>
          <cell r="H1080">
            <v>370</v>
          </cell>
          <cell r="I1080">
            <v>17</v>
          </cell>
          <cell r="J1080">
            <v>1905</v>
          </cell>
          <cell r="K1080">
            <v>0</v>
          </cell>
          <cell r="L1080">
            <v>4.5999999999999996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 t="str">
            <v>1010</v>
          </cell>
          <cell r="R1080">
            <v>2.4146981627296586</v>
          </cell>
          <cell r="S1080">
            <v>42004</v>
          </cell>
        </row>
        <row r="1081">
          <cell r="A1081" t="str">
            <v>Y008-087</v>
          </cell>
          <cell r="B1081" t="str">
            <v>LCT008-099</v>
          </cell>
          <cell r="C1081" t="str">
            <v>Y008-1</v>
          </cell>
          <cell r="D1081" t="str">
            <v>PO#041513</v>
          </cell>
          <cell r="E1081" t="str">
            <v>poly飾塊</v>
          </cell>
          <cell r="F1081" t="str">
            <v>34*34*6</v>
          </cell>
          <cell r="G1081">
            <v>34</v>
          </cell>
          <cell r="H1081">
            <v>34</v>
          </cell>
          <cell r="I1081">
            <v>6</v>
          </cell>
          <cell r="J1081">
            <v>0</v>
          </cell>
          <cell r="K1081">
            <v>0</v>
          </cell>
          <cell r="L1081">
            <v>0.08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 t="str">
            <v>1010</v>
          </cell>
          <cell r="R1081" t="e">
            <v>#DIV/0!</v>
          </cell>
        </row>
        <row r="1082">
          <cell r="A1082" t="str">
            <v>Y008-088</v>
          </cell>
          <cell r="B1082">
            <v>0</v>
          </cell>
          <cell r="C1082" t="str">
            <v>Y008-2</v>
          </cell>
          <cell r="D1082">
            <v>0</v>
          </cell>
          <cell r="E1082" t="str">
            <v xml:space="preserve">T-HB Trang trí dưới </v>
          </cell>
          <cell r="F1082" t="str">
            <v>765*515*17</v>
          </cell>
          <cell r="G1082">
            <v>765</v>
          </cell>
          <cell r="H1082">
            <v>515</v>
          </cell>
          <cell r="I1082">
            <v>17</v>
          </cell>
          <cell r="J1082">
            <v>1049</v>
          </cell>
          <cell r="K1082">
            <v>0</v>
          </cell>
          <cell r="L1082">
            <v>2.37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 t="str">
            <v>1010</v>
          </cell>
          <cell r="R1082">
            <v>2.2592945662535753</v>
          </cell>
        </row>
        <row r="1083">
          <cell r="A1083" t="str">
            <v>Y008-089</v>
          </cell>
          <cell r="B1083">
            <v>0</v>
          </cell>
          <cell r="C1083" t="str">
            <v>Y008-2</v>
          </cell>
          <cell r="D1083">
            <v>0</v>
          </cell>
          <cell r="E1083" t="str">
            <v>T-FB Trang trí ván mặt</v>
          </cell>
          <cell r="F1083" t="str">
            <v>841*296*17</v>
          </cell>
          <cell r="G1083">
            <v>841</v>
          </cell>
          <cell r="H1083">
            <v>296</v>
          </cell>
          <cell r="I1083">
            <v>17</v>
          </cell>
          <cell r="J1083">
            <v>1296</v>
          </cell>
          <cell r="K1083">
            <v>0</v>
          </cell>
          <cell r="L1083">
            <v>2.77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 t="str">
            <v>1010</v>
          </cell>
          <cell r="R1083">
            <v>2.1373456790123457</v>
          </cell>
        </row>
        <row r="1084">
          <cell r="A1084" t="str">
            <v>Y008-090</v>
          </cell>
          <cell r="B1084">
            <v>0</v>
          </cell>
          <cell r="C1084" t="str">
            <v>Y008-2</v>
          </cell>
          <cell r="D1084">
            <v>0</v>
          </cell>
          <cell r="E1084" t="str">
            <v xml:space="preserve">T-HB Trang trí dưới </v>
          </cell>
          <cell r="F1084" t="str">
            <v>1146*593*17</v>
          </cell>
          <cell r="G1084">
            <v>1146</v>
          </cell>
          <cell r="H1084">
            <v>593</v>
          </cell>
          <cell r="I1084">
            <v>17</v>
          </cell>
          <cell r="J1084">
            <v>1284</v>
          </cell>
          <cell r="K1084">
            <v>0</v>
          </cell>
          <cell r="L1084">
            <v>2.85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 t="str">
            <v>1010</v>
          </cell>
          <cell r="R1084">
            <v>2.2196261682242993</v>
          </cell>
        </row>
        <row r="1085">
          <cell r="A1085" t="str">
            <v>Y008-091</v>
          </cell>
          <cell r="B1085">
            <v>0</v>
          </cell>
          <cell r="C1085" t="str">
            <v>Y008-2</v>
          </cell>
          <cell r="D1085">
            <v>0</v>
          </cell>
          <cell r="E1085" t="str">
            <v>T-FB Trang trí ván mặt</v>
          </cell>
          <cell r="F1085" t="str">
            <v>1222*354*17</v>
          </cell>
          <cell r="G1085">
            <v>1222</v>
          </cell>
          <cell r="H1085">
            <v>354</v>
          </cell>
          <cell r="I1085">
            <v>17</v>
          </cell>
          <cell r="J1085">
            <v>1623</v>
          </cell>
          <cell r="K1085">
            <v>0</v>
          </cell>
          <cell r="L1085">
            <v>3.38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 t="str">
            <v>1010</v>
          </cell>
          <cell r="R1085">
            <v>2.0825631546518792</v>
          </cell>
        </row>
        <row r="1086">
          <cell r="A1086" t="str">
            <v>Y008-092</v>
          </cell>
          <cell r="B1086">
            <v>0</v>
          </cell>
          <cell r="C1086" t="str">
            <v>Y008-2</v>
          </cell>
          <cell r="D1086" t="str">
            <v>B1404 EK/CK-HB POLY</v>
          </cell>
          <cell r="E1086" t="str">
            <v>Bông Trang trí cạnh đầu giường</v>
          </cell>
          <cell r="F1086" t="str">
            <v>255*104*40</v>
          </cell>
          <cell r="G1086">
            <v>255</v>
          </cell>
          <cell r="H1086">
            <v>104</v>
          </cell>
          <cell r="I1086">
            <v>40</v>
          </cell>
          <cell r="J1086">
            <v>284</v>
          </cell>
          <cell r="K1086">
            <v>281</v>
          </cell>
          <cell r="L1086">
            <v>0.74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 t="str">
            <v>1010</v>
          </cell>
          <cell r="R1086">
            <v>2.6056338028169015</v>
          </cell>
        </row>
        <row r="1087">
          <cell r="A1087" t="str">
            <v>Y008-093</v>
          </cell>
          <cell r="B1087">
            <v>0</v>
          </cell>
          <cell r="C1087" t="str">
            <v>Y008-2</v>
          </cell>
          <cell r="D1087" t="str">
            <v>B1404 EK/CK-HB POLY</v>
          </cell>
          <cell r="E1087" t="str">
            <v>Bông Trang trí cạnh đầu giường</v>
          </cell>
          <cell r="F1087" t="str">
            <v>255*104*40</v>
          </cell>
          <cell r="G1087">
            <v>255</v>
          </cell>
          <cell r="H1087">
            <v>104</v>
          </cell>
          <cell r="I1087">
            <v>40</v>
          </cell>
          <cell r="J1087">
            <v>284</v>
          </cell>
          <cell r="K1087">
            <v>281</v>
          </cell>
          <cell r="L1087">
            <v>0.74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 t="str">
            <v>1010</v>
          </cell>
          <cell r="R1087">
            <v>2.6056338028169015</v>
          </cell>
        </row>
        <row r="1088">
          <cell r="A1088" t="str">
            <v>Y008-094</v>
          </cell>
          <cell r="B1088">
            <v>0</v>
          </cell>
          <cell r="C1088" t="str">
            <v>Y008-2</v>
          </cell>
          <cell r="D1088" t="str">
            <v>B1404 EK/CK-FB POLY</v>
          </cell>
          <cell r="E1088" t="str">
            <v>Bông Trang trí cạnh đuôi giường</v>
          </cell>
          <cell r="F1088" t="str">
            <v>172*92*40</v>
          </cell>
          <cell r="G1088">
            <v>172</v>
          </cell>
          <cell r="H1088">
            <v>92</v>
          </cell>
          <cell r="I1088">
            <v>40</v>
          </cell>
          <cell r="J1088">
            <v>215</v>
          </cell>
          <cell r="K1088">
            <v>213</v>
          </cell>
          <cell r="L1088">
            <v>0.56999999999999995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 t="str">
            <v>1010</v>
          </cell>
          <cell r="R1088">
            <v>2.6511627906976742</v>
          </cell>
        </row>
        <row r="1089">
          <cell r="A1089" t="str">
            <v>Y008-095</v>
          </cell>
          <cell r="B1089">
            <v>0</v>
          </cell>
          <cell r="C1089" t="str">
            <v>Y008-2</v>
          </cell>
          <cell r="D1089" t="str">
            <v>B1404 EK/CK-FB POLY</v>
          </cell>
          <cell r="E1089" t="str">
            <v>Bông Trang trí cạnh đuôi giường</v>
          </cell>
          <cell r="F1089" t="str">
            <v>172*92*40</v>
          </cell>
          <cell r="G1089">
            <v>172</v>
          </cell>
          <cell r="H1089">
            <v>92</v>
          </cell>
          <cell r="I1089">
            <v>40</v>
          </cell>
          <cell r="J1089">
            <v>215</v>
          </cell>
          <cell r="K1089">
            <v>213</v>
          </cell>
          <cell r="L1089">
            <v>0.56999999999999995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 t="str">
            <v>1010</v>
          </cell>
          <cell r="R1089">
            <v>2.6511627906976742</v>
          </cell>
        </row>
        <row r="1090">
          <cell r="A1090" t="str">
            <v>Y008-096</v>
          </cell>
          <cell r="B1090">
            <v>0</v>
          </cell>
          <cell r="C1090" t="str">
            <v>Y008-2</v>
          </cell>
          <cell r="D1090" t="str">
            <v>B1404 Q-HB POLY</v>
          </cell>
          <cell r="E1090" t="str">
            <v>Bông Trang trí cạnh đầu giường</v>
          </cell>
          <cell r="F1090" t="str">
            <v>255*104*40</v>
          </cell>
          <cell r="G1090">
            <v>255</v>
          </cell>
          <cell r="H1090">
            <v>104</v>
          </cell>
          <cell r="I1090">
            <v>40</v>
          </cell>
          <cell r="J1090">
            <v>284</v>
          </cell>
          <cell r="K1090">
            <v>281</v>
          </cell>
          <cell r="L1090">
            <v>0.74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 t="str">
            <v>1010</v>
          </cell>
          <cell r="R1090">
            <v>2.6056338028169015</v>
          </cell>
        </row>
        <row r="1091">
          <cell r="A1091" t="str">
            <v>Y008-097</v>
          </cell>
          <cell r="B1091">
            <v>0</v>
          </cell>
          <cell r="C1091" t="str">
            <v>Y008-2</v>
          </cell>
          <cell r="D1091" t="str">
            <v>B1404 Q-HB POLY</v>
          </cell>
          <cell r="E1091" t="str">
            <v>Bông Trang trí cạnh đầu giường</v>
          </cell>
          <cell r="F1091" t="str">
            <v>255*104*40</v>
          </cell>
          <cell r="G1091">
            <v>255</v>
          </cell>
          <cell r="H1091">
            <v>104</v>
          </cell>
          <cell r="I1091">
            <v>40</v>
          </cell>
          <cell r="J1091">
            <v>284</v>
          </cell>
          <cell r="K1091">
            <v>281</v>
          </cell>
          <cell r="L1091">
            <v>0.74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 t="str">
            <v>1010</v>
          </cell>
          <cell r="R1091">
            <v>2.6056338028169015</v>
          </cell>
        </row>
        <row r="1092">
          <cell r="A1092" t="str">
            <v>Y008-098</v>
          </cell>
          <cell r="B1092">
            <v>0</v>
          </cell>
          <cell r="C1092" t="str">
            <v>Y008-2</v>
          </cell>
          <cell r="D1092" t="str">
            <v>B1404 Q-FB POLY</v>
          </cell>
          <cell r="E1092" t="str">
            <v>Bông Trang trí cạnh đuôi giường</v>
          </cell>
          <cell r="F1092" t="str">
            <v>172*92*40</v>
          </cell>
          <cell r="G1092">
            <v>172</v>
          </cell>
          <cell r="H1092">
            <v>92</v>
          </cell>
          <cell r="I1092">
            <v>40</v>
          </cell>
          <cell r="J1092">
            <v>215</v>
          </cell>
          <cell r="K1092">
            <v>213</v>
          </cell>
          <cell r="L1092">
            <v>0.56999999999999995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 t="str">
            <v>1010</v>
          </cell>
          <cell r="R1092">
            <v>2.6511627906976742</v>
          </cell>
        </row>
        <row r="1093">
          <cell r="A1093" t="str">
            <v>Y008-099</v>
          </cell>
          <cell r="B1093">
            <v>0</v>
          </cell>
          <cell r="C1093" t="str">
            <v>Y008-2</v>
          </cell>
          <cell r="D1093" t="str">
            <v>B1404 Q-FB POLY</v>
          </cell>
          <cell r="E1093" t="str">
            <v>Bông Trang trí cạnh đuôi giường</v>
          </cell>
          <cell r="F1093" t="str">
            <v>172*92*40</v>
          </cell>
          <cell r="G1093">
            <v>172</v>
          </cell>
          <cell r="H1093">
            <v>92</v>
          </cell>
          <cell r="I1093">
            <v>40</v>
          </cell>
          <cell r="J1093">
            <v>215</v>
          </cell>
          <cell r="K1093">
            <v>213</v>
          </cell>
          <cell r="L1093">
            <v>0.56999999999999995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 t="str">
            <v>1010</v>
          </cell>
          <cell r="R1093">
            <v>2.6511627906976742</v>
          </cell>
        </row>
        <row r="1094">
          <cell r="A1094" t="str">
            <v>Y008-100</v>
          </cell>
          <cell r="B1094">
            <v>0</v>
          </cell>
          <cell r="C1094" t="str">
            <v>Y008-2</v>
          </cell>
          <cell r="D1094" t="str">
            <v>B1404 N-POLY</v>
          </cell>
          <cell r="E1094" t="str">
            <v>前柜企柱</v>
          </cell>
          <cell r="F1094" t="str">
            <v>463*62*50</v>
          </cell>
          <cell r="G1094">
            <v>469</v>
          </cell>
          <cell r="H1094">
            <v>62</v>
          </cell>
          <cell r="I1094">
            <v>50</v>
          </cell>
          <cell r="J1094">
            <v>708</v>
          </cell>
          <cell r="K1094">
            <v>680</v>
          </cell>
          <cell r="L1094">
            <v>1.8</v>
          </cell>
          <cell r="M1094">
            <v>0</v>
          </cell>
          <cell r="N1094">
            <v>306</v>
          </cell>
          <cell r="O1094">
            <v>0</v>
          </cell>
          <cell r="P1094">
            <v>0</v>
          </cell>
          <cell r="Q1094" t="str">
            <v>5510</v>
          </cell>
          <cell r="R1094">
            <v>2.5423728813559325</v>
          </cell>
        </row>
        <row r="1095">
          <cell r="A1095" t="str">
            <v>Y008-101</v>
          </cell>
          <cell r="B1095">
            <v>0</v>
          </cell>
          <cell r="C1095" t="str">
            <v>Y008-2</v>
          </cell>
          <cell r="D1095" t="str">
            <v>B1404 N-POLY</v>
          </cell>
          <cell r="E1095" t="str">
            <v>前柜企柱</v>
          </cell>
          <cell r="F1095" t="str">
            <v>463*62*50</v>
          </cell>
          <cell r="G1095">
            <v>469</v>
          </cell>
          <cell r="H1095">
            <v>62</v>
          </cell>
          <cell r="I1095">
            <v>50</v>
          </cell>
          <cell r="J1095">
            <v>708</v>
          </cell>
          <cell r="K1095">
            <v>680</v>
          </cell>
          <cell r="L1095">
            <v>1.8</v>
          </cell>
          <cell r="M1095">
            <v>0</v>
          </cell>
          <cell r="N1095">
            <v>306</v>
          </cell>
          <cell r="O1095">
            <v>0</v>
          </cell>
          <cell r="P1095">
            <v>0</v>
          </cell>
          <cell r="Q1095" t="str">
            <v>5510</v>
          </cell>
          <cell r="R1095">
            <v>2.5423728813559325</v>
          </cell>
        </row>
        <row r="1096">
          <cell r="A1096" t="str">
            <v>Y008-102</v>
          </cell>
          <cell r="B1096">
            <v>0</v>
          </cell>
          <cell r="C1096" t="str">
            <v>Y008-2</v>
          </cell>
          <cell r="D1096" t="str">
            <v>B1404 D-POLY</v>
          </cell>
          <cell r="E1096" t="str">
            <v>前柜企柱</v>
          </cell>
          <cell r="F1096" t="str">
            <v>692*62*50</v>
          </cell>
          <cell r="G1096">
            <v>698</v>
          </cell>
          <cell r="H1096">
            <v>62</v>
          </cell>
          <cell r="I1096">
            <v>50</v>
          </cell>
          <cell r="J1096">
            <v>1029</v>
          </cell>
          <cell r="K1096">
            <v>1018</v>
          </cell>
          <cell r="L1096">
            <v>2.69</v>
          </cell>
          <cell r="M1096">
            <v>0</v>
          </cell>
          <cell r="N1096">
            <v>527</v>
          </cell>
          <cell r="O1096">
            <v>0</v>
          </cell>
          <cell r="P1096">
            <v>0</v>
          </cell>
          <cell r="Q1096" t="str">
            <v>5510</v>
          </cell>
          <cell r="R1096">
            <v>2.6141885325558798</v>
          </cell>
        </row>
        <row r="1097">
          <cell r="A1097" t="str">
            <v>Y008-103</v>
          </cell>
          <cell r="B1097">
            <v>0</v>
          </cell>
          <cell r="C1097" t="str">
            <v>Y008-2</v>
          </cell>
          <cell r="D1097" t="str">
            <v>B1404 D-POLY</v>
          </cell>
          <cell r="E1097" t="str">
            <v>前柜企柱</v>
          </cell>
          <cell r="F1097" t="str">
            <v>692*62*50</v>
          </cell>
          <cell r="G1097">
            <v>698</v>
          </cell>
          <cell r="H1097">
            <v>62</v>
          </cell>
          <cell r="I1097">
            <v>50</v>
          </cell>
          <cell r="J1097">
            <v>1029</v>
          </cell>
          <cell r="K1097">
            <v>1018</v>
          </cell>
          <cell r="L1097">
            <v>2.69</v>
          </cell>
          <cell r="M1097">
            <v>0</v>
          </cell>
          <cell r="N1097">
            <v>527</v>
          </cell>
          <cell r="O1097">
            <v>0</v>
          </cell>
          <cell r="P1097">
            <v>0</v>
          </cell>
          <cell r="Q1097" t="str">
            <v>5510</v>
          </cell>
          <cell r="R1097">
            <v>2.6141885325558798</v>
          </cell>
        </row>
        <row r="1098">
          <cell r="A1098" t="str">
            <v>Y008-104</v>
          </cell>
          <cell r="B1098">
            <v>0</v>
          </cell>
          <cell r="C1098" t="str">
            <v>Y008-2</v>
          </cell>
          <cell r="D1098" t="str">
            <v>B1404 C-POLY</v>
          </cell>
          <cell r="E1098" t="str">
            <v>前柜企柱</v>
          </cell>
          <cell r="F1098" t="str">
            <v>1175*62*50</v>
          </cell>
          <cell r="G1098">
            <v>1181</v>
          </cell>
          <cell r="H1098">
            <v>62</v>
          </cell>
          <cell r="I1098">
            <v>50</v>
          </cell>
          <cell r="J1098">
            <v>1670</v>
          </cell>
          <cell r="K1098">
            <v>1540</v>
          </cell>
          <cell r="L1098">
            <v>4.32</v>
          </cell>
          <cell r="M1098">
            <v>0</v>
          </cell>
          <cell r="N1098">
            <v>293</v>
          </cell>
          <cell r="O1098">
            <v>0</v>
          </cell>
          <cell r="P1098">
            <v>0</v>
          </cell>
          <cell r="Q1098" t="str">
            <v>5510</v>
          </cell>
          <cell r="R1098">
            <v>2.5868263473053896</v>
          </cell>
        </row>
        <row r="1099">
          <cell r="A1099" t="str">
            <v>Y008-105</v>
          </cell>
          <cell r="B1099">
            <v>0</v>
          </cell>
          <cell r="C1099" t="str">
            <v>Y008-2</v>
          </cell>
          <cell r="D1099" t="str">
            <v>B1404 C-POLY</v>
          </cell>
          <cell r="E1099" t="str">
            <v>前柜企柱</v>
          </cell>
          <cell r="F1099" t="str">
            <v>1175*62*50</v>
          </cell>
          <cell r="G1099">
            <v>1181</v>
          </cell>
          <cell r="H1099">
            <v>62</v>
          </cell>
          <cell r="I1099">
            <v>50</v>
          </cell>
          <cell r="J1099">
            <v>1670</v>
          </cell>
          <cell r="K1099">
            <v>1540</v>
          </cell>
          <cell r="L1099">
            <v>4.32</v>
          </cell>
          <cell r="M1099">
            <v>0</v>
          </cell>
          <cell r="N1099">
            <v>293</v>
          </cell>
          <cell r="O1099">
            <v>0</v>
          </cell>
          <cell r="P1099">
            <v>0</v>
          </cell>
          <cell r="Q1099" t="str">
            <v>5510</v>
          </cell>
          <cell r="R1099">
            <v>2.5868263473053896</v>
          </cell>
        </row>
        <row r="1100">
          <cell r="A1100" t="str">
            <v>Y008-106</v>
          </cell>
          <cell r="B1100">
            <v>0</v>
          </cell>
          <cell r="C1100" t="str">
            <v>Y008-2</v>
          </cell>
          <cell r="D1100" t="str">
            <v>B1404 TV 柜-POLY</v>
          </cell>
          <cell r="E1100" t="str">
            <v>前柜企柱</v>
          </cell>
          <cell r="F1100" t="str">
            <v>768*62*50</v>
          </cell>
          <cell r="G1100">
            <v>774</v>
          </cell>
          <cell r="H1100">
            <v>62</v>
          </cell>
          <cell r="I1100">
            <v>50</v>
          </cell>
          <cell r="J1100">
            <v>1260</v>
          </cell>
          <cell r="K1100">
            <v>0</v>
          </cell>
          <cell r="L1100">
            <v>3.1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2.4603174603174605</v>
          </cell>
        </row>
        <row r="1101">
          <cell r="A1101" t="str">
            <v>Y008-107</v>
          </cell>
          <cell r="B1101">
            <v>0</v>
          </cell>
          <cell r="C1101" t="str">
            <v>Y008-2</v>
          </cell>
          <cell r="D1101" t="str">
            <v>B1404 TV 柜-POLY</v>
          </cell>
          <cell r="E1101" t="str">
            <v>前柜企柱</v>
          </cell>
          <cell r="F1101" t="str">
            <v>768*62*50</v>
          </cell>
          <cell r="G1101">
            <v>774</v>
          </cell>
          <cell r="H1101">
            <v>62</v>
          </cell>
          <cell r="I1101">
            <v>50</v>
          </cell>
          <cell r="J1101">
            <v>1260</v>
          </cell>
          <cell r="K1101">
            <v>0</v>
          </cell>
          <cell r="L1101">
            <v>3.1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2.4603174603174605</v>
          </cell>
        </row>
        <row r="1102">
          <cell r="A1102" t="str">
            <v>Y008-108</v>
          </cell>
          <cell r="B1102">
            <v>0</v>
          </cell>
          <cell r="C1102" t="str">
            <v>Y008-2</v>
          </cell>
          <cell r="D1102" t="str">
            <v>B1404 -N POLY</v>
          </cell>
          <cell r="E1102" t="str">
            <v>抽上-下饰条</v>
          </cell>
          <cell r="F1102" t="str">
            <v>555*10*5</v>
          </cell>
          <cell r="G1102">
            <v>555</v>
          </cell>
          <cell r="H1102">
            <v>10</v>
          </cell>
          <cell r="I1102">
            <v>5</v>
          </cell>
          <cell r="J1102">
            <v>63</v>
          </cell>
          <cell r="K1102">
            <v>49</v>
          </cell>
          <cell r="L1102">
            <v>0.16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 t="str">
            <v>1010</v>
          </cell>
          <cell r="R1102">
            <v>2.5396825396825395</v>
          </cell>
        </row>
        <row r="1103">
          <cell r="A1103" t="str">
            <v>Y008-109</v>
          </cell>
          <cell r="B1103">
            <v>0</v>
          </cell>
          <cell r="C1103" t="str">
            <v>Y008-2</v>
          </cell>
          <cell r="D1103" t="str">
            <v>B1404 -N</v>
          </cell>
          <cell r="E1103" t="str">
            <v>POLY 抽企饰条</v>
          </cell>
          <cell r="F1103" t="str">
            <v>210*10*5</v>
          </cell>
          <cell r="G1103">
            <v>210</v>
          </cell>
          <cell r="H1103">
            <v>10</v>
          </cell>
          <cell r="I1103">
            <v>5</v>
          </cell>
          <cell r="J1103">
            <v>27</v>
          </cell>
          <cell r="K1103">
            <v>21</v>
          </cell>
          <cell r="L1103">
            <v>7.0000000000000007E-2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 t="str">
            <v>1010</v>
          </cell>
          <cell r="R1103">
            <v>2.592592592592593</v>
          </cell>
        </row>
        <row r="1104">
          <cell r="A1104" t="str">
            <v>Y008-110</v>
          </cell>
          <cell r="B1104">
            <v>0</v>
          </cell>
          <cell r="C1104" t="str">
            <v>Y008-2</v>
          </cell>
          <cell r="D1104" t="str">
            <v>B1404 -D POLY</v>
          </cell>
          <cell r="E1104" t="str">
            <v>中抽上-下饰条</v>
          </cell>
          <cell r="F1104" t="str">
            <v>759*10*5</v>
          </cell>
          <cell r="G1104">
            <v>759</v>
          </cell>
          <cell r="H1104">
            <v>10</v>
          </cell>
          <cell r="I1104">
            <v>5</v>
          </cell>
          <cell r="J1104">
            <v>79</v>
          </cell>
          <cell r="K1104">
            <v>63</v>
          </cell>
          <cell r="L1104">
            <v>0.23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 t="str">
            <v>1010</v>
          </cell>
          <cell r="R1104">
            <v>2.9113924050632911</v>
          </cell>
        </row>
        <row r="1105">
          <cell r="A1105" t="str">
            <v>Y008-111</v>
          </cell>
          <cell r="B1105">
            <v>0</v>
          </cell>
          <cell r="C1105" t="str">
            <v>Y008-2</v>
          </cell>
          <cell r="D1105" t="str">
            <v>B1404 -D POLY</v>
          </cell>
          <cell r="E1105" t="str">
            <v>中抽企饰条</v>
          </cell>
          <cell r="F1105" t="str">
            <v>213*10*5</v>
          </cell>
          <cell r="G1105">
            <v>213</v>
          </cell>
          <cell r="H1105">
            <v>10</v>
          </cell>
          <cell r="I1105">
            <v>5</v>
          </cell>
          <cell r="J1105">
            <v>28</v>
          </cell>
          <cell r="K1105">
            <v>0</v>
          </cell>
          <cell r="L1105">
            <v>7.0000000000000007E-2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2.5</v>
          </cell>
        </row>
        <row r="1106">
          <cell r="A1106" t="str">
            <v>Y008-112</v>
          </cell>
          <cell r="B1106">
            <v>0</v>
          </cell>
          <cell r="C1106" t="str">
            <v>Y008-2</v>
          </cell>
          <cell r="D1106" t="str">
            <v>B1404 -D POLY</v>
          </cell>
          <cell r="E1106" t="str">
            <v>侧抽上-下饰条</v>
          </cell>
          <cell r="F1106" t="str">
            <v>388*10*5</v>
          </cell>
          <cell r="G1106">
            <v>388</v>
          </cell>
          <cell r="H1106">
            <v>10</v>
          </cell>
          <cell r="I1106">
            <v>5</v>
          </cell>
          <cell r="J1106">
            <v>60</v>
          </cell>
          <cell r="K1106">
            <v>0</v>
          </cell>
          <cell r="L1106">
            <v>0.11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1.8333333333333335</v>
          </cell>
        </row>
        <row r="1107">
          <cell r="A1107" t="str">
            <v>Y008-113</v>
          </cell>
          <cell r="B1107">
            <v>0</v>
          </cell>
          <cell r="C1107" t="str">
            <v>Y008-2</v>
          </cell>
          <cell r="D1107" t="str">
            <v>B1404 -D POLY</v>
          </cell>
          <cell r="E1107" t="str">
            <v>侧抽企饰条</v>
          </cell>
          <cell r="F1107" t="str">
            <v>218*10*5</v>
          </cell>
          <cell r="G1107">
            <v>218</v>
          </cell>
          <cell r="H1107">
            <v>10</v>
          </cell>
          <cell r="I1107">
            <v>5</v>
          </cell>
          <cell r="J1107">
            <v>28</v>
          </cell>
          <cell r="K1107">
            <v>22</v>
          </cell>
          <cell r="L1107">
            <v>0.08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 t="str">
            <v>1010</v>
          </cell>
          <cell r="R1107">
            <v>2.8571428571428572</v>
          </cell>
        </row>
        <row r="1108">
          <cell r="A1108" t="str">
            <v>Y008-114</v>
          </cell>
          <cell r="B1108">
            <v>0</v>
          </cell>
          <cell r="C1108" t="str">
            <v>Y008-2</v>
          </cell>
          <cell r="D1108" t="str">
            <v>B1404 -C POLY</v>
          </cell>
          <cell r="E1108" t="str">
            <v>抽上-下饰条</v>
          </cell>
          <cell r="F1108" t="str">
            <v>845*10*5</v>
          </cell>
          <cell r="G1108">
            <v>845</v>
          </cell>
          <cell r="H1108">
            <v>10</v>
          </cell>
          <cell r="I1108">
            <v>5</v>
          </cell>
          <cell r="J1108">
            <v>87</v>
          </cell>
          <cell r="K1108">
            <v>70</v>
          </cell>
          <cell r="L1108">
            <v>0.26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 t="str">
            <v>1010</v>
          </cell>
          <cell r="R1108">
            <v>2.9885057471264371</v>
          </cell>
        </row>
        <row r="1109">
          <cell r="A1109" t="str">
            <v>Y008-115</v>
          </cell>
          <cell r="B1109">
            <v>0</v>
          </cell>
          <cell r="C1109" t="str">
            <v>Y008-2</v>
          </cell>
          <cell r="D1109" t="str">
            <v>B1404 -C POLY</v>
          </cell>
          <cell r="E1109" t="str">
            <v>抽企饰条</v>
          </cell>
          <cell r="F1109" t="str">
            <v>220*10*5</v>
          </cell>
          <cell r="G1109">
            <v>220</v>
          </cell>
          <cell r="H1109">
            <v>10</v>
          </cell>
          <cell r="I1109">
            <v>5</v>
          </cell>
          <cell r="J1109">
            <v>28</v>
          </cell>
          <cell r="K1109">
            <v>22</v>
          </cell>
          <cell r="L1109">
            <v>0.08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 t="str">
            <v>1010</v>
          </cell>
          <cell r="R1109">
            <v>2.8571428571428572</v>
          </cell>
        </row>
        <row r="1110">
          <cell r="A1110" t="str">
            <v>Y008-116</v>
          </cell>
          <cell r="B1110">
            <v>0</v>
          </cell>
          <cell r="C1110" t="str">
            <v>Y008-2</v>
          </cell>
          <cell r="D1110" t="str">
            <v>B1404 TV POLY</v>
          </cell>
          <cell r="E1110" t="str">
            <v>抽上-下饰条</v>
          </cell>
          <cell r="F1110" t="str">
            <v>494*10*5</v>
          </cell>
          <cell r="G1110">
            <v>494</v>
          </cell>
          <cell r="H1110">
            <v>10</v>
          </cell>
          <cell r="I1110">
            <v>5</v>
          </cell>
          <cell r="J1110">
            <v>65</v>
          </cell>
          <cell r="K1110">
            <v>0</v>
          </cell>
          <cell r="L1110">
            <v>0.14000000000000001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2.1538461538461542</v>
          </cell>
        </row>
        <row r="1111">
          <cell r="A1111" t="str">
            <v>Y008-117</v>
          </cell>
          <cell r="B1111">
            <v>0</v>
          </cell>
          <cell r="C1111" t="str">
            <v>Y008-2</v>
          </cell>
          <cell r="D1111" t="str">
            <v>B1404 TV POLY</v>
          </cell>
          <cell r="E1111" t="str">
            <v>抽企饰条</v>
          </cell>
          <cell r="F1111" t="str">
            <v>186*10*5</v>
          </cell>
          <cell r="G1111">
            <v>186</v>
          </cell>
          <cell r="H1111">
            <v>10</v>
          </cell>
          <cell r="I1111">
            <v>5</v>
          </cell>
          <cell r="J1111">
            <v>25</v>
          </cell>
          <cell r="K1111">
            <v>0</v>
          </cell>
          <cell r="L1111">
            <v>7.0000000000000007E-2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2.8000000000000003</v>
          </cell>
        </row>
        <row r="1112">
          <cell r="A1112" t="str">
            <v>Y008-118</v>
          </cell>
          <cell r="B1112">
            <v>0</v>
          </cell>
          <cell r="C1112" t="str">
            <v>Y008-2</v>
          </cell>
          <cell r="D1112" t="str">
            <v>1301 N POLY</v>
          </cell>
          <cell r="E1112">
            <v>0</v>
          </cell>
          <cell r="F1112" t="str">
            <v>405*38*17</v>
          </cell>
          <cell r="G1112">
            <v>405</v>
          </cell>
          <cell r="H1112">
            <v>38</v>
          </cell>
          <cell r="I1112">
            <v>17</v>
          </cell>
          <cell r="J1112">
            <v>360</v>
          </cell>
          <cell r="K1112" t="str">
            <v>代工</v>
          </cell>
          <cell r="L1112">
            <v>0.72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2</v>
          </cell>
        </row>
        <row r="1113">
          <cell r="A1113" t="str">
            <v>Y008-119</v>
          </cell>
          <cell r="B1113" t="str">
            <v>單價太低.要調</v>
          </cell>
          <cell r="C1113" t="str">
            <v>Y008-2</v>
          </cell>
          <cell r="D1113" t="str">
            <v>B385D</v>
          </cell>
          <cell r="E1113">
            <v>0</v>
          </cell>
          <cell r="F1113" t="str">
            <v>408*336*12</v>
          </cell>
          <cell r="G1113">
            <v>408</v>
          </cell>
          <cell r="H1113">
            <v>336</v>
          </cell>
          <cell r="I1113">
            <v>12</v>
          </cell>
          <cell r="J1113">
            <v>0</v>
          </cell>
          <cell r="K1113">
            <v>0</v>
          </cell>
          <cell r="L1113">
            <v>0.72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 t="str">
            <v>1010</v>
          </cell>
          <cell r="R1113" t="e">
            <v>#DIV/0!</v>
          </cell>
        </row>
        <row r="1114">
          <cell r="A1114" t="str">
            <v>Y008-120</v>
          </cell>
          <cell r="B1114">
            <v>0</v>
          </cell>
          <cell r="C1114" t="str">
            <v>Y008-2</v>
          </cell>
          <cell r="D1114" t="str">
            <v>1616Q-HB</v>
          </cell>
          <cell r="E1114">
            <v>0</v>
          </cell>
          <cell r="F1114" t="str">
            <v>1530*289*16</v>
          </cell>
          <cell r="G1114">
            <v>1530</v>
          </cell>
          <cell r="H1114">
            <v>289</v>
          </cell>
          <cell r="I1114">
            <v>16</v>
          </cell>
          <cell r="J1114">
            <v>2342</v>
          </cell>
          <cell r="K1114">
            <v>0</v>
          </cell>
          <cell r="L1114">
            <v>6.1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 t="str">
            <v>1010</v>
          </cell>
          <cell r="R1114">
            <v>2.6046114432109304</v>
          </cell>
          <cell r="S1114">
            <v>0</v>
          </cell>
        </row>
        <row r="1115">
          <cell r="A1115" t="str">
            <v>Y008-121</v>
          </cell>
          <cell r="B1115">
            <v>0</v>
          </cell>
          <cell r="C1115" t="str">
            <v>Y008-2</v>
          </cell>
          <cell r="D1115" t="str">
            <v>1616Q-HB</v>
          </cell>
          <cell r="E1115">
            <v>0</v>
          </cell>
          <cell r="F1115" t="str">
            <v>248*25*16</v>
          </cell>
          <cell r="G1115">
            <v>248</v>
          </cell>
          <cell r="H1115">
            <v>25</v>
          </cell>
          <cell r="I1115">
            <v>16</v>
          </cell>
          <cell r="J1115">
            <v>141</v>
          </cell>
          <cell r="K1115">
            <v>0</v>
          </cell>
          <cell r="L1115">
            <v>0.38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 t="str">
            <v>1010</v>
          </cell>
          <cell r="R1115">
            <v>2.6950354609929081</v>
          </cell>
          <cell r="S1115">
            <v>0</v>
          </cell>
        </row>
        <row r="1116">
          <cell r="A1116" t="str">
            <v>Y008-122</v>
          </cell>
          <cell r="B1116" t="str">
            <v>和1048.搞錯,6月改</v>
          </cell>
          <cell r="C1116" t="str">
            <v>Y008-2</v>
          </cell>
          <cell r="D1116" t="str">
            <v>1616Q-HB</v>
          </cell>
          <cell r="E1116">
            <v>0</v>
          </cell>
          <cell r="F1116" t="str">
            <v>794*136*16</v>
          </cell>
          <cell r="G1116">
            <v>794</v>
          </cell>
          <cell r="H1116">
            <v>136</v>
          </cell>
          <cell r="I1116">
            <v>16</v>
          </cell>
          <cell r="J1116">
            <v>903</v>
          </cell>
          <cell r="K1116">
            <v>2.4</v>
          </cell>
          <cell r="L1116">
            <v>1.52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 t="str">
            <v>1010</v>
          </cell>
          <cell r="R1116">
            <v>1.6832779623477299</v>
          </cell>
          <cell r="S1116">
            <v>0</v>
          </cell>
        </row>
        <row r="1117">
          <cell r="A1117" t="str">
            <v>Y008-123</v>
          </cell>
          <cell r="B1117">
            <v>0</v>
          </cell>
          <cell r="C1117" t="str">
            <v>Y008-2</v>
          </cell>
          <cell r="D1117" t="str">
            <v>1616Q-HB</v>
          </cell>
          <cell r="E1117">
            <v>0</v>
          </cell>
          <cell r="F1117" t="str">
            <v>1938*289*16</v>
          </cell>
          <cell r="G1117">
            <v>1938</v>
          </cell>
          <cell r="H1117">
            <v>289</v>
          </cell>
          <cell r="I1117">
            <v>16</v>
          </cell>
          <cell r="J1117">
            <v>2964</v>
          </cell>
          <cell r="K1117">
            <v>0</v>
          </cell>
          <cell r="L1117">
            <v>7.8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 t="str">
            <v>1010</v>
          </cell>
          <cell r="R1117">
            <v>2.6315789473684212</v>
          </cell>
          <cell r="S1117">
            <v>0</v>
          </cell>
        </row>
        <row r="1118">
          <cell r="A1118" t="str">
            <v>Y008-124</v>
          </cell>
          <cell r="B1118">
            <v>0</v>
          </cell>
          <cell r="C1118" t="str">
            <v>Y008-2</v>
          </cell>
          <cell r="D1118" t="str">
            <v>1616Q-HB</v>
          </cell>
          <cell r="E1118">
            <v>0</v>
          </cell>
          <cell r="F1118" t="str">
            <v>322*25*16</v>
          </cell>
          <cell r="G1118">
            <v>322</v>
          </cell>
          <cell r="H1118">
            <v>25</v>
          </cell>
          <cell r="I1118">
            <v>16</v>
          </cell>
          <cell r="J1118">
            <v>180</v>
          </cell>
          <cell r="K1118">
            <v>0</v>
          </cell>
          <cell r="L1118">
            <v>0.48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 t="str">
            <v>1010</v>
          </cell>
          <cell r="R1118">
            <v>2.6666666666666665</v>
          </cell>
          <cell r="S1118">
            <v>0</v>
          </cell>
        </row>
        <row r="1119">
          <cell r="A1119" t="str">
            <v>Y008-125</v>
          </cell>
          <cell r="B1119">
            <v>0</v>
          </cell>
          <cell r="C1119" t="str">
            <v>Y008-2</v>
          </cell>
          <cell r="D1119" t="str">
            <v>1616Q-HB</v>
          </cell>
          <cell r="E1119">
            <v>0</v>
          </cell>
          <cell r="F1119" t="str">
            <v>1048*139*16</v>
          </cell>
          <cell r="G1119">
            <v>1048</v>
          </cell>
          <cell r="H1119">
            <v>139</v>
          </cell>
          <cell r="I1119">
            <v>16</v>
          </cell>
          <cell r="J1119">
            <v>534</v>
          </cell>
          <cell r="K1119">
            <v>1.48</v>
          </cell>
          <cell r="L1119">
            <v>2.1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 t="str">
            <v>1010</v>
          </cell>
          <cell r="R1119">
            <v>3.9325842696629212</v>
          </cell>
          <cell r="S1119">
            <v>0</v>
          </cell>
        </row>
        <row r="1120">
          <cell r="A1120" t="str">
            <v>Y008-126</v>
          </cell>
          <cell r="B1120">
            <v>0</v>
          </cell>
          <cell r="C1120" t="str">
            <v>Y008-2</v>
          </cell>
          <cell r="D1120" t="str">
            <v>1616M</v>
          </cell>
          <cell r="E1120">
            <v>0</v>
          </cell>
          <cell r="F1120" t="str">
            <v>1050*7*3</v>
          </cell>
          <cell r="G1120">
            <v>1050</v>
          </cell>
          <cell r="H1120">
            <v>7</v>
          </cell>
          <cell r="I1120">
            <v>3</v>
          </cell>
          <cell r="J1120">
            <v>38</v>
          </cell>
          <cell r="K1120">
            <v>0</v>
          </cell>
          <cell r="L1120">
            <v>0.17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 t="str">
            <v>1010</v>
          </cell>
          <cell r="R1120">
            <v>4.4736842105263159</v>
          </cell>
          <cell r="S1120">
            <v>0</v>
          </cell>
        </row>
        <row r="1121">
          <cell r="A1121" t="str">
            <v>Y008-127</v>
          </cell>
          <cell r="B1121">
            <v>0</v>
          </cell>
          <cell r="C1121" t="str">
            <v>Y008-2</v>
          </cell>
          <cell r="D1121" t="str">
            <v>MP-1869-0035</v>
          </cell>
          <cell r="E1121" t="str">
            <v>圓珠-側飾條</v>
          </cell>
          <cell r="F1121" t="str">
            <v>630*13*6</v>
          </cell>
          <cell r="G1121">
            <v>630</v>
          </cell>
          <cell r="H1121">
            <v>13</v>
          </cell>
          <cell r="I1121">
            <v>6</v>
          </cell>
          <cell r="J1121">
            <v>62</v>
          </cell>
          <cell r="K1121">
            <v>0</v>
          </cell>
          <cell r="L1121">
            <v>0.2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 t="str">
            <v>1010</v>
          </cell>
          <cell r="R1121">
            <v>3.2258064516129035</v>
          </cell>
          <cell r="S1121">
            <v>0</v>
          </cell>
        </row>
        <row r="1122">
          <cell r="A1122" t="str">
            <v>Y008-128</v>
          </cell>
          <cell r="B1122">
            <v>0</v>
          </cell>
          <cell r="C1122" t="str">
            <v>Y008-2</v>
          </cell>
          <cell r="D1122" t="str">
            <v>MP-1869-0036</v>
          </cell>
          <cell r="E1122" t="str">
            <v>圓珠-側飾條</v>
          </cell>
          <cell r="F1122" t="str">
            <v>790*13*6</v>
          </cell>
          <cell r="G1122">
            <v>790</v>
          </cell>
          <cell r="H1122">
            <v>13</v>
          </cell>
          <cell r="I1122">
            <v>6</v>
          </cell>
          <cell r="J1122">
            <v>0</v>
          </cell>
          <cell r="K1122">
            <v>0</v>
          </cell>
          <cell r="L1122">
            <v>0.23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 t="str">
            <v>1010</v>
          </cell>
          <cell r="R1122" t="e">
            <v>#DIV/0!</v>
          </cell>
          <cell r="S1122">
            <v>0</v>
          </cell>
        </row>
        <row r="1123">
          <cell r="A1123" t="str">
            <v>Y008-129</v>
          </cell>
          <cell r="B1123">
            <v>0</v>
          </cell>
          <cell r="C1123" t="str">
            <v>Y008-2</v>
          </cell>
          <cell r="D1123" t="str">
            <v>MP-1869-0037</v>
          </cell>
          <cell r="E1123" t="str">
            <v>圓珠-側飾條</v>
          </cell>
          <cell r="F1123" t="str">
            <v>937*13*6</v>
          </cell>
          <cell r="G1123">
            <v>937</v>
          </cell>
          <cell r="H1123">
            <v>13</v>
          </cell>
          <cell r="I1123">
            <v>6</v>
          </cell>
          <cell r="J1123">
            <v>0</v>
          </cell>
          <cell r="K1123">
            <v>0</v>
          </cell>
          <cell r="L1123">
            <v>0.3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 t="str">
            <v>1010</v>
          </cell>
          <cell r="R1123" t="e">
            <v>#DIV/0!</v>
          </cell>
          <cell r="S1123">
            <v>0</v>
          </cell>
        </row>
        <row r="1124">
          <cell r="A1124" t="str">
            <v>Y008-130</v>
          </cell>
          <cell r="B1124">
            <v>0</v>
          </cell>
          <cell r="C1124" t="str">
            <v>Y008-2</v>
          </cell>
          <cell r="D1124" t="str">
            <v>MP-1869-0038</v>
          </cell>
          <cell r="E1124" t="str">
            <v>圓珠-側飾條</v>
          </cell>
          <cell r="F1124" t="str">
            <v>380*13*6</v>
          </cell>
          <cell r="G1124">
            <v>380</v>
          </cell>
          <cell r="H1124">
            <v>13</v>
          </cell>
          <cell r="I1124">
            <v>6</v>
          </cell>
          <cell r="J1124">
            <v>40</v>
          </cell>
          <cell r="K1124">
            <v>0</v>
          </cell>
          <cell r="L1124">
            <v>0.11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 t="str">
            <v>1010</v>
          </cell>
          <cell r="R1124">
            <v>2.75</v>
          </cell>
          <cell r="S1124">
            <v>0</v>
          </cell>
        </row>
        <row r="1125">
          <cell r="A1125" t="str">
            <v>Y008-131</v>
          </cell>
          <cell r="B1125">
            <v>0</v>
          </cell>
          <cell r="C1125" t="str">
            <v>Y008-2</v>
          </cell>
          <cell r="D1125" t="str">
            <v>1616Q-HB</v>
          </cell>
          <cell r="E1125" t="str">
            <v>右-PHẢI</v>
          </cell>
          <cell r="F1125" t="str">
            <v>248*25*16</v>
          </cell>
          <cell r="G1125">
            <v>248</v>
          </cell>
          <cell r="H1125">
            <v>25</v>
          </cell>
          <cell r="I1125">
            <v>16</v>
          </cell>
          <cell r="J1125">
            <v>0</v>
          </cell>
          <cell r="K1125">
            <v>0</v>
          </cell>
          <cell r="L1125">
            <v>0.38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 t="str">
            <v>1010</v>
          </cell>
          <cell r="R1125" t="e">
            <v>#DIV/0!</v>
          </cell>
          <cell r="S1125">
            <v>0</v>
          </cell>
        </row>
        <row r="1126">
          <cell r="A1126" t="str">
            <v>Y008-132</v>
          </cell>
          <cell r="B1126">
            <v>0</v>
          </cell>
          <cell r="C1126" t="str">
            <v>Y008-2</v>
          </cell>
          <cell r="D1126" t="str">
            <v>1616Q-HB</v>
          </cell>
          <cell r="E1126" t="str">
            <v>右-PHẢI</v>
          </cell>
          <cell r="F1126" t="str">
            <v>322*25*16</v>
          </cell>
          <cell r="G1126">
            <v>322</v>
          </cell>
          <cell r="H1126">
            <v>25</v>
          </cell>
          <cell r="I1126">
            <v>16</v>
          </cell>
          <cell r="J1126">
            <v>0</v>
          </cell>
          <cell r="K1126">
            <v>0</v>
          </cell>
          <cell r="L1126">
            <v>0.48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 t="str">
            <v>1010</v>
          </cell>
          <cell r="R1126" t="e">
            <v>#DIV/0!</v>
          </cell>
          <cell r="S1126">
            <v>0</v>
          </cell>
        </row>
        <row r="1127">
          <cell r="A1127" t="str">
            <v>Y008-133</v>
          </cell>
          <cell r="B1127">
            <v>0</v>
          </cell>
          <cell r="C1127" t="str">
            <v>Y008-2</v>
          </cell>
          <cell r="D1127" t="str">
            <v>1405Q-HB</v>
          </cell>
          <cell r="E1127" t="str">
            <v>POLY飾花</v>
          </cell>
          <cell r="F1127" t="str">
            <v>137*27*8</v>
          </cell>
          <cell r="G1127">
            <v>137</v>
          </cell>
          <cell r="H1127">
            <v>27</v>
          </cell>
          <cell r="I1127">
            <v>8</v>
          </cell>
          <cell r="J1127">
            <v>28</v>
          </cell>
          <cell r="K1127">
            <v>0</v>
          </cell>
          <cell r="L1127">
            <v>8.5000000000000006E-2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 t="str">
            <v>1010</v>
          </cell>
          <cell r="R1127">
            <v>3.035714285714286</v>
          </cell>
          <cell r="S1127">
            <v>0</v>
          </cell>
        </row>
        <row r="1128">
          <cell r="A1128" t="str">
            <v>Y008-134</v>
          </cell>
          <cell r="B1128">
            <v>0</v>
          </cell>
          <cell r="C1128" t="str">
            <v>Y008-2</v>
          </cell>
          <cell r="D1128" t="str">
            <v>1405Q-HB</v>
          </cell>
          <cell r="E1128" t="str">
            <v>圓飾片</v>
          </cell>
          <cell r="F1128" t="str">
            <v>Ø58*8</v>
          </cell>
          <cell r="G1128" t="str">
            <v>Ø</v>
          </cell>
          <cell r="H1128">
            <v>58</v>
          </cell>
          <cell r="I1128">
            <v>8</v>
          </cell>
          <cell r="J1128">
            <v>32</v>
          </cell>
          <cell r="K1128">
            <v>0</v>
          </cell>
          <cell r="L1128">
            <v>9.5000000000000001E-2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 t="str">
            <v>1010</v>
          </cell>
          <cell r="R1128">
            <v>2.96875</v>
          </cell>
          <cell r="S1128">
            <v>0</v>
          </cell>
        </row>
        <row r="1129">
          <cell r="A1129" t="str">
            <v>Y008-135</v>
          </cell>
          <cell r="B1129">
            <v>0</v>
          </cell>
          <cell r="C1129" t="str">
            <v>Y008-2</v>
          </cell>
          <cell r="D1129" t="str">
            <v>1405Q-FB</v>
          </cell>
          <cell r="E1129" t="str">
            <v>L形腳柱</v>
          </cell>
          <cell r="F1129" t="str">
            <v>174*148*96</v>
          </cell>
          <cell r="G1129">
            <v>174</v>
          </cell>
          <cell r="H1129">
            <v>148</v>
          </cell>
          <cell r="I1129">
            <v>96</v>
          </cell>
          <cell r="J1129">
            <v>375</v>
          </cell>
          <cell r="K1129">
            <v>0</v>
          </cell>
          <cell r="L1129">
            <v>1.04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 t="str">
            <v>1010</v>
          </cell>
          <cell r="R1129">
            <v>2.7733333333333334</v>
          </cell>
          <cell r="S1129">
            <v>0</v>
          </cell>
        </row>
        <row r="1130">
          <cell r="A1130" t="str">
            <v>Y008-136</v>
          </cell>
          <cell r="B1130">
            <v>0</v>
          </cell>
          <cell r="C1130" t="str">
            <v>Y008-2</v>
          </cell>
          <cell r="D1130" t="str">
            <v>1405EK-HB</v>
          </cell>
          <cell r="E1130" t="str">
            <v>POLY飾花</v>
          </cell>
          <cell r="F1130" t="str">
            <v>137*27*8</v>
          </cell>
          <cell r="G1130">
            <v>137</v>
          </cell>
          <cell r="H1130">
            <v>27</v>
          </cell>
          <cell r="I1130">
            <v>8</v>
          </cell>
          <cell r="J1130">
            <v>28</v>
          </cell>
          <cell r="K1130">
            <v>0</v>
          </cell>
          <cell r="L1130">
            <v>8.5000000000000006E-2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 t="str">
            <v>1010</v>
          </cell>
          <cell r="R1130">
            <v>3.035714285714286</v>
          </cell>
          <cell r="S1130">
            <v>0</v>
          </cell>
        </row>
        <row r="1131">
          <cell r="A1131" t="str">
            <v>Y008-137</v>
          </cell>
          <cell r="B1131">
            <v>0</v>
          </cell>
          <cell r="C1131" t="str">
            <v>Y008-2</v>
          </cell>
          <cell r="D1131" t="str">
            <v>1405EK-HB</v>
          </cell>
          <cell r="E1131" t="str">
            <v>圓飾片</v>
          </cell>
          <cell r="F1131" t="str">
            <v>Ø58*8</v>
          </cell>
          <cell r="G1131" t="str">
            <v>Ø</v>
          </cell>
          <cell r="H1131">
            <v>58</v>
          </cell>
          <cell r="I1131">
            <v>8</v>
          </cell>
          <cell r="J1131">
            <v>32</v>
          </cell>
          <cell r="K1131">
            <v>0</v>
          </cell>
          <cell r="L1131">
            <v>9.5000000000000001E-2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 t="str">
            <v>1010</v>
          </cell>
          <cell r="R1131">
            <v>2.96875</v>
          </cell>
          <cell r="S1131">
            <v>0</v>
          </cell>
        </row>
        <row r="1132">
          <cell r="A1132" t="str">
            <v>Y008-138</v>
          </cell>
          <cell r="B1132">
            <v>0</v>
          </cell>
          <cell r="C1132" t="str">
            <v>Y008-2</v>
          </cell>
          <cell r="D1132" t="str">
            <v>1405EK-HB</v>
          </cell>
          <cell r="E1132" t="str">
            <v>L形腳柱</v>
          </cell>
          <cell r="F1132" t="str">
            <v>174*148*96</v>
          </cell>
          <cell r="G1132">
            <v>174</v>
          </cell>
          <cell r="H1132">
            <v>148</v>
          </cell>
          <cell r="I1132">
            <v>96</v>
          </cell>
          <cell r="J1132">
            <v>375</v>
          </cell>
          <cell r="K1132">
            <v>0</v>
          </cell>
          <cell r="L1132">
            <v>1.04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 t="str">
            <v>1010</v>
          </cell>
          <cell r="R1132">
            <v>2.7733333333333334</v>
          </cell>
          <cell r="S1132">
            <v>0</v>
          </cell>
        </row>
        <row r="1133">
          <cell r="A1133" t="str">
            <v>Y008-2001</v>
          </cell>
          <cell r="B1133">
            <v>0</v>
          </cell>
          <cell r="C1133" t="str">
            <v>Y008-2</v>
          </cell>
          <cell r="D1133">
            <v>0</v>
          </cell>
          <cell r="E1133">
            <v>0</v>
          </cell>
          <cell r="F1133">
            <v>0</v>
          </cell>
          <cell r="G1133">
            <v>902</v>
          </cell>
          <cell r="H1133">
            <v>24</v>
          </cell>
          <cell r="I1133">
            <v>14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</row>
        <row r="1134">
          <cell r="A1134" t="str">
            <v>Y009-001</v>
          </cell>
          <cell r="B1134" t="str">
            <v>LCT009-567</v>
          </cell>
          <cell r="C1134" t="str">
            <v>Y009</v>
          </cell>
          <cell r="D1134" t="str">
            <v>B359-123</v>
          </cell>
          <cell r="E1134" t="str">
            <v xml:space="preserve">poly đắp trước </v>
          </cell>
          <cell r="F1134" t="str">
            <v>10*48*769</v>
          </cell>
          <cell r="G1134">
            <v>10</v>
          </cell>
          <cell r="H1134">
            <v>48</v>
          </cell>
          <cell r="I1134">
            <v>769</v>
          </cell>
          <cell r="J1134">
            <v>430</v>
          </cell>
          <cell r="K1134">
            <v>0</v>
          </cell>
          <cell r="L1134">
            <v>1.2</v>
          </cell>
          <cell r="M1134">
            <v>0</v>
          </cell>
          <cell r="N1134">
            <v>0</v>
          </cell>
          <cell r="O1134" t="str">
            <v>100D</v>
          </cell>
          <cell r="P1134" t="str">
            <v>1010</v>
          </cell>
          <cell r="Q1134" t="str">
            <v>1010</v>
          </cell>
          <cell r="R1134">
            <v>2.7906976744186047</v>
          </cell>
        </row>
        <row r="1135">
          <cell r="A1135" t="str">
            <v>Y009-002</v>
          </cell>
          <cell r="B1135" t="str">
            <v>LCT009-568</v>
          </cell>
          <cell r="C1135" t="str">
            <v>Y009</v>
          </cell>
          <cell r="D1135" t="str">
            <v>B359-123</v>
          </cell>
          <cell r="E1135" t="str">
            <v>poly đắp hông</v>
          </cell>
          <cell r="F1135" t="str">
            <v>10*48*428</v>
          </cell>
          <cell r="G1135">
            <v>10</v>
          </cell>
          <cell r="H1135">
            <v>48</v>
          </cell>
          <cell r="I1135">
            <v>428</v>
          </cell>
          <cell r="J1135">
            <v>260</v>
          </cell>
          <cell r="K1135">
            <v>0</v>
          </cell>
          <cell r="L1135">
            <v>0.67</v>
          </cell>
          <cell r="M1135">
            <v>0</v>
          </cell>
          <cell r="N1135">
            <v>0</v>
          </cell>
          <cell r="O1135" t="str">
            <v>100D</v>
          </cell>
          <cell r="P1135" t="str">
            <v>1010</v>
          </cell>
          <cell r="Q1135" t="str">
            <v>1010</v>
          </cell>
          <cell r="R1135">
            <v>2.5769230769230771</v>
          </cell>
        </row>
        <row r="1136">
          <cell r="A1136" t="str">
            <v>Y009-003</v>
          </cell>
          <cell r="B1136" t="str">
            <v>LCT009-569</v>
          </cell>
          <cell r="C1136" t="str">
            <v>Y009</v>
          </cell>
          <cell r="D1136" t="str">
            <v>B359-135</v>
          </cell>
          <cell r="E1136" t="str">
            <v xml:space="preserve">poly đắp trước </v>
          </cell>
          <cell r="F1136" t="str">
            <v>10*48*1048</v>
          </cell>
          <cell r="G1136">
            <v>10</v>
          </cell>
          <cell r="H1136">
            <v>48</v>
          </cell>
          <cell r="I1136">
            <v>1048</v>
          </cell>
          <cell r="J1136">
            <v>570</v>
          </cell>
          <cell r="K1136">
            <v>0</v>
          </cell>
          <cell r="L1136">
            <v>1.63</v>
          </cell>
          <cell r="M1136">
            <v>0</v>
          </cell>
          <cell r="N1136">
            <v>0</v>
          </cell>
          <cell r="O1136" t="str">
            <v>100D</v>
          </cell>
          <cell r="P1136" t="str">
            <v>1010</v>
          </cell>
          <cell r="Q1136" t="str">
            <v>1010</v>
          </cell>
          <cell r="R1136">
            <v>2.8596491228070176</v>
          </cell>
        </row>
        <row r="1137">
          <cell r="A1137" t="str">
            <v>Y009-004</v>
          </cell>
          <cell r="B1137" t="str">
            <v>LCT009-570</v>
          </cell>
          <cell r="C1137" t="str">
            <v>Y009</v>
          </cell>
          <cell r="D1137" t="str">
            <v>B359-135</v>
          </cell>
          <cell r="E1137" t="str">
            <v>poly đắp hông</v>
          </cell>
          <cell r="F1137" t="str">
            <v>10*48*459</v>
          </cell>
          <cell r="G1137">
            <v>10</v>
          </cell>
          <cell r="H1137">
            <v>48</v>
          </cell>
          <cell r="I1137">
            <v>459</v>
          </cell>
          <cell r="J1137">
            <v>280</v>
          </cell>
          <cell r="K1137">
            <v>0</v>
          </cell>
          <cell r="L1137">
            <v>0.72</v>
          </cell>
          <cell r="M1137">
            <v>0</v>
          </cell>
          <cell r="N1137">
            <v>0</v>
          </cell>
          <cell r="O1137" t="str">
            <v>100D</v>
          </cell>
          <cell r="P1137" t="str">
            <v>1010</v>
          </cell>
          <cell r="Q1137" t="str">
            <v>1010</v>
          </cell>
          <cell r="R1137">
            <v>2.5714285714285712</v>
          </cell>
        </row>
        <row r="1138">
          <cell r="A1138" t="str">
            <v>Y009-005</v>
          </cell>
          <cell r="B1138" t="str">
            <v>LCT009-571</v>
          </cell>
          <cell r="C1138" t="str">
            <v>Y009</v>
          </cell>
          <cell r="D1138" t="str">
            <v>B359-118</v>
          </cell>
          <cell r="E1138" t="str">
            <v xml:space="preserve">poly đắp trước </v>
          </cell>
          <cell r="F1138" t="str">
            <v>10*48*1668</v>
          </cell>
          <cell r="G1138">
            <v>10</v>
          </cell>
          <cell r="H1138">
            <v>48</v>
          </cell>
          <cell r="I1138">
            <v>1668</v>
          </cell>
          <cell r="J1138">
            <v>890</v>
          </cell>
          <cell r="K1138">
            <v>0</v>
          </cell>
          <cell r="L1138">
            <v>2.6</v>
          </cell>
          <cell r="M1138">
            <v>0</v>
          </cell>
          <cell r="N1138">
            <v>0</v>
          </cell>
          <cell r="O1138" t="str">
            <v>100D</v>
          </cell>
          <cell r="P1138" t="str">
            <v>1010</v>
          </cell>
          <cell r="Q1138" t="str">
            <v>1010</v>
          </cell>
          <cell r="R1138">
            <v>2.9213483146067416</v>
          </cell>
        </row>
        <row r="1139">
          <cell r="A1139" t="str">
            <v>Y009-006</v>
          </cell>
          <cell r="B1139" t="str">
            <v>LCT009-572</v>
          </cell>
          <cell r="C1139" t="str">
            <v>Y009</v>
          </cell>
          <cell r="D1139" t="str">
            <v>B359-100</v>
          </cell>
          <cell r="E1139" t="str">
            <v xml:space="preserve">poly đắp trước </v>
          </cell>
          <cell r="F1139" t="str">
            <v>10*48*1400</v>
          </cell>
          <cell r="G1139">
            <v>10</v>
          </cell>
          <cell r="H1139">
            <v>48</v>
          </cell>
          <cell r="I1139">
            <v>1400</v>
          </cell>
          <cell r="J1139">
            <v>720</v>
          </cell>
          <cell r="K1139">
            <v>0</v>
          </cell>
          <cell r="L1139">
            <v>2.1800000000000002</v>
          </cell>
          <cell r="M1139">
            <v>0</v>
          </cell>
          <cell r="N1139">
            <v>0</v>
          </cell>
          <cell r="O1139" t="str">
            <v>100D</v>
          </cell>
          <cell r="P1139" t="str">
            <v>1010</v>
          </cell>
          <cell r="Q1139" t="str">
            <v>1010</v>
          </cell>
          <cell r="R1139">
            <v>3.0277777777777781</v>
          </cell>
        </row>
        <row r="1140">
          <cell r="A1140" t="str">
            <v>Y009-007</v>
          </cell>
          <cell r="B1140" t="str">
            <v>LCT009-573</v>
          </cell>
          <cell r="C1140" t="str">
            <v>Y009</v>
          </cell>
          <cell r="D1140" t="str">
            <v>B359-150H</v>
          </cell>
          <cell r="E1140" t="str">
            <v xml:space="preserve">poly đắp trước </v>
          </cell>
          <cell r="F1140" t="str">
            <v>10*48*2000</v>
          </cell>
          <cell r="G1140">
            <v>10</v>
          </cell>
          <cell r="H1140">
            <v>48</v>
          </cell>
          <cell r="I1140">
            <v>2000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 t="e">
            <v>#DIV/0!</v>
          </cell>
        </row>
        <row r="1141">
          <cell r="A1141" t="str">
            <v>Y009-008</v>
          </cell>
          <cell r="B1141" t="str">
            <v>LCT009-575</v>
          </cell>
          <cell r="C1141" t="str">
            <v>Y009</v>
          </cell>
          <cell r="D1141" t="str">
            <v>B359-167H</v>
          </cell>
          <cell r="E1141" t="str">
            <v xml:space="preserve">poly đắp trước </v>
          </cell>
          <cell r="F1141" t="str">
            <v>10*48*2450</v>
          </cell>
          <cell r="G1141">
            <v>10</v>
          </cell>
          <cell r="H1141">
            <v>48</v>
          </cell>
          <cell r="I1141">
            <v>2450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 t="e">
            <v>#DIV/0!</v>
          </cell>
        </row>
        <row r="1142">
          <cell r="A1142" t="str">
            <v>Y009-009</v>
          </cell>
          <cell r="B1142" t="str">
            <v>LCT009-579</v>
          </cell>
          <cell r="C1142" t="str">
            <v>Y009</v>
          </cell>
          <cell r="D1142" t="str">
            <v>B359-150H</v>
          </cell>
          <cell r="E1142" t="str">
            <v>POLY đắp trước1</v>
          </cell>
          <cell r="F1142" t="str">
            <v>10*48*720</v>
          </cell>
          <cell r="G1142">
            <v>10</v>
          </cell>
          <cell r="H1142">
            <v>48</v>
          </cell>
          <cell r="I1142">
            <v>720</v>
          </cell>
          <cell r="J1142">
            <v>380</v>
          </cell>
          <cell r="K1142">
            <v>0</v>
          </cell>
          <cell r="L1142">
            <v>1.1200000000000001</v>
          </cell>
          <cell r="M1142">
            <v>0</v>
          </cell>
          <cell r="N1142">
            <v>0</v>
          </cell>
          <cell r="O1142" t="str">
            <v>100D</v>
          </cell>
          <cell r="P1142" t="str">
            <v>1010</v>
          </cell>
          <cell r="Q1142" t="str">
            <v>1010</v>
          </cell>
          <cell r="R1142">
            <v>2.9473684210526319</v>
          </cell>
        </row>
        <row r="1143">
          <cell r="A1143" t="str">
            <v>Y009-010</v>
          </cell>
          <cell r="B1143" t="str">
            <v>LCT009-580</v>
          </cell>
          <cell r="C1143" t="str">
            <v>Y009</v>
          </cell>
          <cell r="D1143" t="str">
            <v>B359-150H</v>
          </cell>
          <cell r="E1143" t="str">
            <v>POLY đắp trước2</v>
          </cell>
          <cell r="F1143" t="str">
            <v>10*48*720</v>
          </cell>
          <cell r="G1143">
            <v>10</v>
          </cell>
          <cell r="H1143">
            <v>48</v>
          </cell>
          <cell r="I1143">
            <v>720</v>
          </cell>
          <cell r="J1143">
            <v>380</v>
          </cell>
          <cell r="K1143">
            <v>0</v>
          </cell>
          <cell r="L1143">
            <v>1.1200000000000001</v>
          </cell>
          <cell r="M1143">
            <v>0</v>
          </cell>
          <cell r="N1143">
            <v>0</v>
          </cell>
          <cell r="O1143" t="str">
            <v>100D</v>
          </cell>
          <cell r="P1143" t="str">
            <v>1010</v>
          </cell>
          <cell r="Q1143" t="str">
            <v>1010</v>
          </cell>
          <cell r="R1143">
            <v>2.9473684210526319</v>
          </cell>
        </row>
        <row r="1144">
          <cell r="A1144" t="str">
            <v>Y009-011</v>
          </cell>
          <cell r="B1144" t="str">
            <v>LCT009-581</v>
          </cell>
          <cell r="C1144" t="str">
            <v>Y009</v>
          </cell>
          <cell r="D1144" t="str">
            <v>B359-167H</v>
          </cell>
          <cell r="E1144" t="str">
            <v>POLY đắp trước1</v>
          </cell>
          <cell r="F1144" t="str">
            <v>10*48*565</v>
          </cell>
          <cell r="G1144">
            <v>10</v>
          </cell>
          <cell r="H1144">
            <v>48</v>
          </cell>
          <cell r="I1144">
            <v>565</v>
          </cell>
          <cell r="J1144">
            <v>310</v>
          </cell>
          <cell r="K1144">
            <v>0</v>
          </cell>
          <cell r="L1144">
            <v>0.88</v>
          </cell>
          <cell r="M1144">
            <v>0</v>
          </cell>
          <cell r="N1144">
            <v>0</v>
          </cell>
          <cell r="O1144" t="str">
            <v>100D</v>
          </cell>
          <cell r="P1144" t="str">
            <v>1010</v>
          </cell>
          <cell r="Q1144" t="str">
            <v>1010</v>
          </cell>
          <cell r="R1144">
            <v>2.838709677419355</v>
          </cell>
        </row>
        <row r="1145">
          <cell r="A1145" t="str">
            <v>Y009-012</v>
          </cell>
          <cell r="B1145" t="str">
            <v>LCT009-582</v>
          </cell>
          <cell r="C1145" t="str">
            <v>Y009</v>
          </cell>
          <cell r="D1145" t="str">
            <v>B359-167H</v>
          </cell>
          <cell r="E1145" t="str">
            <v>POLY đắp trước2</v>
          </cell>
          <cell r="F1145" t="str">
            <v>10*48*960</v>
          </cell>
          <cell r="G1145">
            <v>10</v>
          </cell>
          <cell r="H1145">
            <v>48</v>
          </cell>
          <cell r="I1145">
            <v>960</v>
          </cell>
          <cell r="J1145">
            <v>420</v>
          </cell>
          <cell r="K1145">
            <v>0</v>
          </cell>
          <cell r="L1145">
            <v>1.5</v>
          </cell>
          <cell r="M1145">
            <v>0</v>
          </cell>
          <cell r="N1145">
            <v>0</v>
          </cell>
          <cell r="O1145" t="str">
            <v>60D</v>
          </cell>
          <cell r="P1145" t="str">
            <v>1010</v>
          </cell>
          <cell r="Q1145" t="str">
            <v>1010</v>
          </cell>
          <cell r="R1145">
            <v>3.5714285714285716</v>
          </cell>
        </row>
        <row r="1146">
          <cell r="A1146" t="str">
            <v>Y009-013</v>
          </cell>
          <cell r="B1146" t="str">
            <v>LCT009-583</v>
          </cell>
          <cell r="C1146" t="str">
            <v>Y009</v>
          </cell>
          <cell r="D1146" t="str">
            <v>B359-167F</v>
          </cell>
          <cell r="E1146" t="str">
            <v>POLY đắp trước1</v>
          </cell>
          <cell r="F1146" t="str">
            <v>10*48*985</v>
          </cell>
          <cell r="G1146">
            <v>10</v>
          </cell>
          <cell r="H1146">
            <v>48</v>
          </cell>
          <cell r="I1146">
            <v>985</v>
          </cell>
          <cell r="J1146">
            <v>550</v>
          </cell>
          <cell r="K1146">
            <v>0</v>
          </cell>
          <cell r="L1146">
            <v>1.54</v>
          </cell>
          <cell r="M1146">
            <v>0</v>
          </cell>
          <cell r="N1146">
            <v>0</v>
          </cell>
          <cell r="O1146" t="str">
            <v>100D</v>
          </cell>
          <cell r="P1146" t="str">
            <v>1010</v>
          </cell>
          <cell r="Q1146" t="str">
            <v>1010</v>
          </cell>
          <cell r="R1146">
            <v>2.8</v>
          </cell>
        </row>
        <row r="1147">
          <cell r="A1147" t="str">
            <v>Y009-014</v>
          </cell>
          <cell r="B1147" t="str">
            <v>LCT009-584</v>
          </cell>
          <cell r="C1147" t="str">
            <v>Y009</v>
          </cell>
          <cell r="D1147" t="str">
            <v>B359-167F</v>
          </cell>
          <cell r="E1147" t="str">
            <v>POLY đắp trước2</v>
          </cell>
          <cell r="F1147" t="str">
            <v>10*48*720</v>
          </cell>
          <cell r="G1147">
            <v>10</v>
          </cell>
          <cell r="H1147">
            <v>48</v>
          </cell>
          <cell r="I1147">
            <v>720</v>
          </cell>
          <cell r="J1147">
            <v>380</v>
          </cell>
          <cell r="K1147">
            <v>0</v>
          </cell>
          <cell r="L1147">
            <v>1.1200000000000001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2.9473684210526319</v>
          </cell>
        </row>
        <row r="1148">
          <cell r="A1148" t="str">
            <v>Y009-015</v>
          </cell>
          <cell r="B1148" t="str">
            <v>LCT009-608</v>
          </cell>
          <cell r="C1148" t="str">
            <v>Y009</v>
          </cell>
          <cell r="D1148" t="str">
            <v>BR13-150F+167F</v>
          </cell>
          <cell r="E1148" t="str">
            <v>Chỉ đắp đuôi giường cong</v>
          </cell>
          <cell r="F1148" t="str">
            <v>475*15*10</v>
          </cell>
          <cell r="G1148">
            <v>475</v>
          </cell>
          <cell r="H1148">
            <v>15</v>
          </cell>
          <cell r="I1148">
            <v>10</v>
          </cell>
          <cell r="J1148">
            <v>90</v>
          </cell>
          <cell r="K1148">
            <v>0</v>
          </cell>
          <cell r="L1148">
            <v>0.35</v>
          </cell>
          <cell r="M1148">
            <v>0</v>
          </cell>
          <cell r="N1148">
            <v>0</v>
          </cell>
          <cell r="O1148" t="str">
            <v>40V</v>
          </cell>
          <cell r="P1148" t="str">
            <v>1010</v>
          </cell>
          <cell r="Q1148" t="str">
            <v>1010</v>
          </cell>
          <cell r="R1148">
            <v>3.8888888888888888</v>
          </cell>
        </row>
        <row r="1149">
          <cell r="A1149" t="str">
            <v>Y009-016</v>
          </cell>
          <cell r="B1149" t="str">
            <v>LCT009-609</v>
          </cell>
          <cell r="C1149" t="str">
            <v>Y009</v>
          </cell>
          <cell r="D1149" t="str">
            <v>P587-1442</v>
          </cell>
          <cell r="E1149">
            <v>0</v>
          </cell>
          <cell r="F1149" t="str">
            <v>5*8*1500</v>
          </cell>
          <cell r="G1149">
            <v>5</v>
          </cell>
          <cell r="H1149">
            <v>8</v>
          </cell>
          <cell r="I1149">
            <v>1500</v>
          </cell>
          <cell r="J1149">
            <v>70</v>
          </cell>
          <cell r="K1149">
            <v>0</v>
          </cell>
          <cell r="L1149">
            <v>0.43</v>
          </cell>
          <cell r="M1149">
            <v>0</v>
          </cell>
          <cell r="N1149">
            <v>0</v>
          </cell>
          <cell r="O1149" t="str">
            <v>40V</v>
          </cell>
          <cell r="P1149" t="str">
            <v>1010</v>
          </cell>
          <cell r="Q1149" t="str">
            <v>1010</v>
          </cell>
          <cell r="R1149">
            <v>6.1428571428571423</v>
          </cell>
        </row>
        <row r="1150">
          <cell r="A1150" t="str">
            <v>Y009-017</v>
          </cell>
          <cell r="B1150" t="str">
            <v>LCT009-610</v>
          </cell>
          <cell r="C1150" t="str">
            <v>Y009</v>
          </cell>
          <cell r="D1150" t="str">
            <v>P587-1442</v>
          </cell>
          <cell r="E1150">
            <v>0</v>
          </cell>
          <cell r="F1150" t="str">
            <v>5*8*496</v>
          </cell>
          <cell r="G1150">
            <v>5</v>
          </cell>
          <cell r="H1150">
            <v>8</v>
          </cell>
          <cell r="I1150">
            <v>496</v>
          </cell>
          <cell r="J1150">
            <v>21</v>
          </cell>
          <cell r="K1150">
            <v>0</v>
          </cell>
          <cell r="L1150">
            <v>0.14000000000000001</v>
          </cell>
          <cell r="M1150">
            <v>0</v>
          </cell>
          <cell r="N1150">
            <v>0</v>
          </cell>
          <cell r="O1150" t="str">
            <v>40V</v>
          </cell>
          <cell r="P1150" t="str">
            <v>1010</v>
          </cell>
          <cell r="Q1150" t="str">
            <v>1010</v>
          </cell>
          <cell r="R1150">
            <v>6.666666666666667</v>
          </cell>
        </row>
        <row r="1151">
          <cell r="A1151" t="str">
            <v>Y009-018</v>
          </cell>
          <cell r="B1151" t="str">
            <v>LCT009-611</v>
          </cell>
          <cell r="C1151" t="str">
            <v>Y009</v>
          </cell>
          <cell r="D1151" t="str">
            <v>P587-1442</v>
          </cell>
          <cell r="E1151">
            <v>0</v>
          </cell>
          <cell r="F1151" t="str">
            <v>5*10*90</v>
          </cell>
          <cell r="G1151">
            <v>90</v>
          </cell>
          <cell r="H1151">
            <v>10</v>
          </cell>
          <cell r="I1151">
            <v>5</v>
          </cell>
          <cell r="J1151">
            <v>12</v>
          </cell>
          <cell r="K1151">
            <v>0</v>
          </cell>
          <cell r="L1151">
            <v>2.9000000000000001E-2</v>
          </cell>
          <cell r="M1151">
            <v>0</v>
          </cell>
          <cell r="N1151">
            <v>0</v>
          </cell>
          <cell r="O1151">
            <v>0</v>
          </cell>
          <cell r="P1151" t="str">
            <v>1010</v>
          </cell>
          <cell r="Q1151" t="str">
            <v>1010</v>
          </cell>
          <cell r="R1151">
            <v>2.4166666666666665</v>
          </cell>
        </row>
        <row r="1152">
          <cell r="A1152" t="str">
            <v>Y009-019</v>
          </cell>
          <cell r="B1152" t="str">
            <v>LCT009-612</v>
          </cell>
          <cell r="C1152" t="str">
            <v>Y009</v>
          </cell>
          <cell r="D1152" t="str">
            <v>P184-121</v>
          </cell>
          <cell r="E1152" t="str">
            <v>Poly Ong do</v>
          </cell>
          <cell r="F1152" t="str">
            <v>Ø1/4"*Ø 18*10mm</v>
          </cell>
          <cell r="G1152" t="str">
            <v>Ø1/4"</v>
          </cell>
          <cell r="H1152" t="str">
            <v>Ø 18</v>
          </cell>
          <cell r="I1152" t="str">
            <v>10mm</v>
          </cell>
          <cell r="J1152">
            <v>10</v>
          </cell>
          <cell r="K1152">
            <v>0</v>
          </cell>
          <cell r="L1152">
            <v>0.05</v>
          </cell>
          <cell r="M1152">
            <v>0</v>
          </cell>
          <cell r="N1152">
            <v>0</v>
          </cell>
          <cell r="O1152" t="str">
            <v>40V</v>
          </cell>
          <cell r="P1152" t="str">
            <v>1010</v>
          </cell>
          <cell r="Q1152" t="str">
            <v>1010</v>
          </cell>
          <cell r="R1152">
            <v>5</v>
          </cell>
        </row>
        <row r="1153">
          <cell r="A1153" t="str">
            <v>Y009-020</v>
          </cell>
          <cell r="B1153" t="str">
            <v>LCT009-613</v>
          </cell>
          <cell r="C1153" t="str">
            <v>Y009</v>
          </cell>
          <cell r="D1153" t="str">
            <v>P184-135</v>
          </cell>
          <cell r="E1153" t="str">
            <v>Poly Ong do</v>
          </cell>
          <cell r="F1153" t="str">
            <v>Ø1/4"*Ø 18*10mm</v>
          </cell>
          <cell r="G1153" t="str">
            <v>Ø1/4"</v>
          </cell>
          <cell r="H1153" t="str">
            <v>Ø 18</v>
          </cell>
          <cell r="I1153" t="str">
            <v>10mm</v>
          </cell>
          <cell r="J1153">
            <v>10</v>
          </cell>
          <cell r="K1153">
            <v>0</v>
          </cell>
          <cell r="L1153">
            <v>0.05</v>
          </cell>
          <cell r="M1153">
            <v>0</v>
          </cell>
          <cell r="N1153">
            <v>0</v>
          </cell>
          <cell r="O1153" t="str">
            <v>40V</v>
          </cell>
          <cell r="P1153" t="str">
            <v>1010</v>
          </cell>
          <cell r="Q1153" t="str">
            <v>1010</v>
          </cell>
          <cell r="R1153">
            <v>5</v>
          </cell>
        </row>
        <row r="1154">
          <cell r="A1154" t="str">
            <v>Y009-021</v>
          </cell>
          <cell r="B1154" t="str">
            <v>LCT009-614</v>
          </cell>
          <cell r="C1154" t="str">
            <v>Y009</v>
          </cell>
          <cell r="D1154" t="str">
            <v>P184-116</v>
          </cell>
          <cell r="E1154" t="str">
            <v>Poly Ong do</v>
          </cell>
          <cell r="F1154" t="str">
            <v>Ø1/4"*Ø 18*10mm</v>
          </cell>
          <cell r="G1154" t="str">
            <v>Ø1/4"</v>
          </cell>
          <cell r="H1154" t="str">
            <v>Ø 18</v>
          </cell>
          <cell r="I1154" t="str">
            <v>10mm</v>
          </cell>
          <cell r="J1154">
            <v>10</v>
          </cell>
          <cell r="K1154">
            <v>0</v>
          </cell>
          <cell r="L1154">
            <v>0.05</v>
          </cell>
          <cell r="M1154">
            <v>0</v>
          </cell>
          <cell r="N1154">
            <v>0</v>
          </cell>
          <cell r="O1154" t="str">
            <v>40V</v>
          </cell>
          <cell r="P1154" t="str">
            <v>1010</v>
          </cell>
          <cell r="Q1154" t="str">
            <v>1010</v>
          </cell>
          <cell r="R1154">
            <v>5</v>
          </cell>
        </row>
        <row r="1155">
          <cell r="A1155" t="str">
            <v>Y009-022</v>
          </cell>
          <cell r="B1155" t="str">
            <v>LCT009-615</v>
          </cell>
          <cell r="C1155" t="str">
            <v>Y009</v>
          </cell>
          <cell r="D1155" t="str">
            <v>P184-143</v>
          </cell>
          <cell r="E1155" t="str">
            <v>Poly Ong do</v>
          </cell>
          <cell r="F1155" t="str">
            <v>Ø1/4"*Ø 18*10mm</v>
          </cell>
          <cell r="G1155" t="str">
            <v>Ø1/4"</v>
          </cell>
          <cell r="H1155" t="str">
            <v>Ø 18</v>
          </cell>
          <cell r="I1155" t="str">
            <v>10mm</v>
          </cell>
          <cell r="J1155">
            <v>10</v>
          </cell>
          <cell r="K1155">
            <v>0</v>
          </cell>
          <cell r="L1155">
            <v>0.05</v>
          </cell>
          <cell r="M1155">
            <v>0</v>
          </cell>
          <cell r="N1155">
            <v>0</v>
          </cell>
          <cell r="O1155" t="str">
            <v>40V</v>
          </cell>
          <cell r="P1155" t="str">
            <v>1010</v>
          </cell>
          <cell r="Q1155" t="str">
            <v>1010</v>
          </cell>
          <cell r="R1155">
            <v>5</v>
          </cell>
        </row>
        <row r="1156">
          <cell r="A1156" t="str">
            <v>Y009-023</v>
          </cell>
          <cell r="B1156" t="str">
            <v>LCT009-616</v>
          </cell>
          <cell r="C1156" t="str">
            <v>Y009</v>
          </cell>
          <cell r="D1156" t="str">
            <v>P184-150 H+F</v>
          </cell>
          <cell r="E1156" t="str">
            <v>Poly Ong do</v>
          </cell>
          <cell r="F1156" t="str">
            <v>Ø1/4"*Ø 18*10mm</v>
          </cell>
          <cell r="G1156" t="str">
            <v>Ø1/4"</v>
          </cell>
          <cell r="H1156" t="str">
            <v>Ø 18</v>
          </cell>
          <cell r="I1156" t="str">
            <v>10mm</v>
          </cell>
          <cell r="J1156">
            <v>10</v>
          </cell>
          <cell r="K1156">
            <v>0</v>
          </cell>
          <cell r="L1156">
            <v>0.05</v>
          </cell>
          <cell r="M1156">
            <v>0</v>
          </cell>
          <cell r="N1156">
            <v>0</v>
          </cell>
          <cell r="O1156" t="str">
            <v>40V</v>
          </cell>
          <cell r="P1156" t="str">
            <v>1010</v>
          </cell>
          <cell r="Q1156" t="str">
            <v>1010</v>
          </cell>
          <cell r="R1156">
            <v>5</v>
          </cell>
        </row>
        <row r="1157">
          <cell r="A1157" t="str">
            <v>Y009-024</v>
          </cell>
          <cell r="B1157" t="str">
            <v>LCT009-617</v>
          </cell>
          <cell r="C1157" t="str">
            <v>Y009</v>
          </cell>
          <cell r="D1157" t="str">
            <v>P184-160 H+F</v>
          </cell>
          <cell r="E1157" t="str">
            <v>Poly Ong do</v>
          </cell>
          <cell r="F1157" t="str">
            <v>Ø1/4"*Ø 18*10mm</v>
          </cell>
          <cell r="G1157" t="str">
            <v>Ø1/4"</v>
          </cell>
          <cell r="H1157" t="str">
            <v>Ø 18</v>
          </cell>
          <cell r="I1157" t="str">
            <v>10mm</v>
          </cell>
          <cell r="J1157">
            <v>10</v>
          </cell>
          <cell r="K1157">
            <v>0</v>
          </cell>
          <cell r="L1157">
            <v>0.05</v>
          </cell>
          <cell r="M1157">
            <v>0</v>
          </cell>
          <cell r="N1157">
            <v>0</v>
          </cell>
          <cell r="O1157" t="str">
            <v>40V</v>
          </cell>
          <cell r="P1157" t="str">
            <v>1010</v>
          </cell>
          <cell r="Q1157" t="str">
            <v>1010</v>
          </cell>
          <cell r="R1157">
            <v>5</v>
          </cell>
        </row>
        <row r="1158">
          <cell r="A1158" t="str">
            <v>Y009-025</v>
          </cell>
          <cell r="B1158" t="str">
            <v>LCT009-618</v>
          </cell>
          <cell r="C1158" t="str">
            <v>Y009</v>
          </cell>
          <cell r="D1158" t="str">
            <v>P884-20RT</v>
          </cell>
          <cell r="E1158" t="str">
            <v>Poly Ong do</v>
          </cell>
          <cell r="F1158" t="str">
            <v>Ø5/16"*Ø 17*12mm</v>
          </cell>
          <cell r="G1158" t="str">
            <v>Ø5/16"</v>
          </cell>
          <cell r="H1158" t="str">
            <v>Ø 17</v>
          </cell>
          <cell r="I1158" t="str">
            <v>12mm</v>
          </cell>
          <cell r="J1158">
            <v>15</v>
          </cell>
          <cell r="K1158">
            <v>0</v>
          </cell>
          <cell r="L1158">
            <v>0.08</v>
          </cell>
          <cell r="M1158">
            <v>0</v>
          </cell>
          <cell r="N1158">
            <v>0</v>
          </cell>
          <cell r="O1158" t="str">
            <v>40V</v>
          </cell>
          <cell r="P1158" t="str">
            <v>1010</v>
          </cell>
          <cell r="Q1158" t="str">
            <v>1010</v>
          </cell>
          <cell r="R1158">
            <v>5.3333333333333339</v>
          </cell>
        </row>
        <row r="1159">
          <cell r="A1159" t="str">
            <v>Y009-026</v>
          </cell>
          <cell r="B1159" t="str">
            <v>LCT009-619</v>
          </cell>
          <cell r="C1159" t="str">
            <v>Y009</v>
          </cell>
          <cell r="D1159" t="str">
            <v>P884-21</v>
          </cell>
          <cell r="E1159" t="str">
            <v>Poly Ong do</v>
          </cell>
          <cell r="F1159" t="str">
            <v>Ø1/4"*Ø 17*12mm</v>
          </cell>
          <cell r="G1159" t="str">
            <v>Ø1/4"</v>
          </cell>
          <cell r="H1159" t="str">
            <v>Ø 17</v>
          </cell>
          <cell r="I1159" t="str">
            <v>12mm</v>
          </cell>
          <cell r="J1159">
            <v>10</v>
          </cell>
          <cell r="K1159">
            <v>0</v>
          </cell>
          <cell r="L1159">
            <v>0.08</v>
          </cell>
          <cell r="M1159">
            <v>0</v>
          </cell>
          <cell r="N1159">
            <v>0</v>
          </cell>
          <cell r="O1159" t="str">
            <v>40V</v>
          </cell>
          <cell r="P1159" t="str">
            <v>1010</v>
          </cell>
          <cell r="Q1159" t="str">
            <v>1010</v>
          </cell>
          <cell r="R1159">
            <v>8</v>
          </cell>
        </row>
        <row r="1160">
          <cell r="A1160" t="str">
            <v>Y009-027</v>
          </cell>
          <cell r="B1160" t="str">
            <v>LCT009-620</v>
          </cell>
          <cell r="C1160" t="str">
            <v>Y009</v>
          </cell>
          <cell r="D1160" t="str">
            <v>P884-21C</v>
          </cell>
          <cell r="E1160" t="str">
            <v>Poly Ong do</v>
          </cell>
          <cell r="F1160" t="str">
            <v>Ø1/4"*Ø 17*12mm</v>
          </cell>
          <cell r="G1160" t="str">
            <v>Ø1/4"</v>
          </cell>
          <cell r="H1160" t="str">
            <v>Ø 17</v>
          </cell>
          <cell r="I1160" t="str">
            <v>12mm</v>
          </cell>
          <cell r="J1160">
            <v>10</v>
          </cell>
          <cell r="K1160">
            <v>0</v>
          </cell>
          <cell r="L1160">
            <v>0.08</v>
          </cell>
          <cell r="M1160">
            <v>0</v>
          </cell>
          <cell r="N1160">
            <v>0</v>
          </cell>
          <cell r="O1160" t="str">
            <v>40V</v>
          </cell>
          <cell r="P1160" t="str">
            <v>1010</v>
          </cell>
          <cell r="Q1160" t="str">
            <v>1010</v>
          </cell>
          <cell r="R1160">
            <v>8</v>
          </cell>
        </row>
        <row r="1161">
          <cell r="A1161" t="str">
            <v>Y009-028</v>
          </cell>
          <cell r="B1161" t="str">
            <v>LCT009-621</v>
          </cell>
          <cell r="C1161" t="str">
            <v>Y009</v>
          </cell>
          <cell r="D1161" t="str">
            <v>P884-20RTG</v>
          </cell>
          <cell r="E1161" t="str">
            <v>Poly Ong do</v>
          </cell>
          <cell r="F1161" t="str">
            <v>Ø5/16"*Ø 17*12mm</v>
          </cell>
          <cell r="G1161" t="str">
            <v>Ø5/16"</v>
          </cell>
          <cell r="H1161" t="str">
            <v>Ø 17</v>
          </cell>
          <cell r="I1161" t="str">
            <v>12mm</v>
          </cell>
          <cell r="J1161">
            <v>15</v>
          </cell>
          <cell r="K1161">
            <v>0</v>
          </cell>
          <cell r="L1161">
            <v>0.08</v>
          </cell>
          <cell r="M1161">
            <v>0</v>
          </cell>
          <cell r="N1161">
            <v>0</v>
          </cell>
          <cell r="O1161" t="str">
            <v>40V</v>
          </cell>
          <cell r="P1161" t="str">
            <v>1010</v>
          </cell>
          <cell r="Q1161" t="str">
            <v>1010</v>
          </cell>
          <cell r="R1161">
            <v>5.3333333333333339</v>
          </cell>
        </row>
        <row r="1162">
          <cell r="A1162" t="str">
            <v>Y009-029</v>
          </cell>
          <cell r="B1162" t="str">
            <v>LCT009-622</v>
          </cell>
          <cell r="C1162" t="str">
            <v>Y009</v>
          </cell>
          <cell r="D1162" t="str">
            <v>B347-135</v>
          </cell>
          <cell r="E1162" t="str">
            <v>Nut Poly</v>
          </cell>
          <cell r="F1162" t="str">
            <v>10*10*12</v>
          </cell>
          <cell r="G1162">
            <v>10</v>
          </cell>
          <cell r="H1162">
            <v>10</v>
          </cell>
          <cell r="I1162">
            <v>12</v>
          </cell>
          <cell r="J1162">
            <v>5</v>
          </cell>
          <cell r="K1162">
            <v>0</v>
          </cell>
          <cell r="L1162">
            <v>0.15</v>
          </cell>
          <cell r="M1162">
            <v>0</v>
          </cell>
          <cell r="N1162">
            <v>0</v>
          </cell>
          <cell r="O1162" t="str">
            <v>40V</v>
          </cell>
          <cell r="P1162" t="str">
            <v>1010</v>
          </cell>
          <cell r="Q1162" t="str">
            <v>1010</v>
          </cell>
          <cell r="R1162">
            <v>30</v>
          </cell>
        </row>
        <row r="1163">
          <cell r="A1163" t="str">
            <v>Y009-030</v>
          </cell>
          <cell r="B1163" t="str">
            <v>LCT009-623</v>
          </cell>
          <cell r="C1163" t="str">
            <v>Y009</v>
          </cell>
          <cell r="D1163" t="str">
            <v>B347-110</v>
          </cell>
          <cell r="E1163" t="str">
            <v>Nut Poly</v>
          </cell>
          <cell r="F1163" t="str">
            <v>10*10*12</v>
          </cell>
          <cell r="G1163">
            <v>10</v>
          </cell>
          <cell r="H1163">
            <v>10</v>
          </cell>
          <cell r="I1163">
            <v>12</v>
          </cell>
          <cell r="J1163">
            <v>5</v>
          </cell>
          <cell r="K1163">
            <v>0</v>
          </cell>
          <cell r="L1163">
            <v>0.15</v>
          </cell>
          <cell r="M1163">
            <v>0</v>
          </cell>
          <cell r="N1163">
            <v>0</v>
          </cell>
          <cell r="O1163" t="str">
            <v>40V</v>
          </cell>
          <cell r="P1163" t="str">
            <v>1010</v>
          </cell>
          <cell r="Q1163" t="str">
            <v>1010</v>
          </cell>
          <cell r="R1163">
            <v>30</v>
          </cell>
        </row>
        <row r="1164">
          <cell r="A1164" t="str">
            <v>Y009-031</v>
          </cell>
          <cell r="B1164" t="str">
            <v>LCT009-624</v>
          </cell>
          <cell r="C1164" t="str">
            <v>Y009</v>
          </cell>
          <cell r="D1164" t="str">
            <v>B347-150HS</v>
          </cell>
          <cell r="E1164" t="str">
            <v>Poly gta da</v>
          </cell>
          <cell r="F1164" t="str">
            <v>289*133*4</v>
          </cell>
          <cell r="G1164">
            <v>289</v>
          </cell>
          <cell r="H1164">
            <v>133</v>
          </cell>
          <cell r="I1164">
            <v>4</v>
          </cell>
          <cell r="J1164">
            <v>280</v>
          </cell>
          <cell r="K1164">
            <v>0</v>
          </cell>
          <cell r="L1164">
            <v>0.69</v>
          </cell>
          <cell r="M1164">
            <v>0</v>
          </cell>
          <cell r="N1164">
            <v>0</v>
          </cell>
          <cell r="O1164" t="str">
            <v>40V</v>
          </cell>
          <cell r="P1164" t="str">
            <v>1010</v>
          </cell>
          <cell r="Q1164" t="str">
            <v>1010</v>
          </cell>
          <cell r="R1164">
            <v>2.464285714285714</v>
          </cell>
        </row>
        <row r="1165">
          <cell r="A1165" t="str">
            <v>Y009-032</v>
          </cell>
          <cell r="B1165" t="str">
            <v>LCT009-625</v>
          </cell>
          <cell r="C1165" t="str">
            <v>Y009</v>
          </cell>
          <cell r="D1165" t="str">
            <v>B347-150HS</v>
          </cell>
          <cell r="E1165" t="str">
            <v>Nut Poly</v>
          </cell>
          <cell r="F1165" t="str">
            <v>10*10*12</v>
          </cell>
          <cell r="G1165">
            <v>10</v>
          </cell>
          <cell r="H1165">
            <v>10</v>
          </cell>
          <cell r="I1165">
            <v>12</v>
          </cell>
          <cell r="J1165">
            <v>5</v>
          </cell>
          <cell r="K1165">
            <v>0</v>
          </cell>
          <cell r="L1165">
            <v>0.15</v>
          </cell>
          <cell r="M1165">
            <v>0</v>
          </cell>
          <cell r="N1165">
            <v>0</v>
          </cell>
          <cell r="O1165" t="str">
            <v>40V</v>
          </cell>
          <cell r="P1165" t="str">
            <v>1010</v>
          </cell>
          <cell r="Q1165" t="str">
            <v>1010</v>
          </cell>
          <cell r="R1165">
            <v>30</v>
          </cell>
        </row>
        <row r="1166">
          <cell r="A1166" t="str">
            <v>Y009-033</v>
          </cell>
          <cell r="B1166" t="str">
            <v>LCT009-626</v>
          </cell>
          <cell r="C1166" t="str">
            <v>Y009</v>
          </cell>
          <cell r="D1166" t="str">
            <v>B347-150F</v>
          </cell>
          <cell r="E1166" t="str">
            <v>Nut Poly</v>
          </cell>
          <cell r="F1166" t="str">
            <v>10*10*12</v>
          </cell>
          <cell r="G1166">
            <v>10</v>
          </cell>
          <cell r="H1166">
            <v>10</v>
          </cell>
          <cell r="I1166">
            <v>12</v>
          </cell>
          <cell r="J1166">
            <v>5</v>
          </cell>
          <cell r="K1166">
            <v>0</v>
          </cell>
          <cell r="L1166">
            <v>0.15</v>
          </cell>
          <cell r="M1166">
            <v>0</v>
          </cell>
          <cell r="N1166">
            <v>0</v>
          </cell>
          <cell r="O1166" t="str">
            <v>40V</v>
          </cell>
          <cell r="P1166" t="str">
            <v>1010</v>
          </cell>
          <cell r="Q1166" t="str">
            <v>1010</v>
          </cell>
          <cell r="R1166">
            <v>30</v>
          </cell>
        </row>
        <row r="1167">
          <cell r="A1167" t="str">
            <v>Y009-034</v>
          </cell>
          <cell r="B1167" t="str">
            <v>LCT009-627</v>
          </cell>
          <cell r="C1167" t="str">
            <v>Y009</v>
          </cell>
          <cell r="D1167" t="str">
            <v>B347-167HS</v>
          </cell>
          <cell r="E1167" t="str">
            <v>Poly gta da</v>
          </cell>
          <cell r="F1167" t="str">
            <v>390*133*4</v>
          </cell>
          <cell r="G1167">
            <v>390</v>
          </cell>
          <cell r="H1167">
            <v>133</v>
          </cell>
          <cell r="I1167">
            <v>4</v>
          </cell>
          <cell r="J1167">
            <v>430</v>
          </cell>
          <cell r="K1167">
            <v>0</v>
          </cell>
          <cell r="L1167">
            <v>0.93</v>
          </cell>
          <cell r="M1167">
            <v>0</v>
          </cell>
          <cell r="N1167">
            <v>0</v>
          </cell>
          <cell r="O1167" t="str">
            <v>40V</v>
          </cell>
          <cell r="P1167" t="str">
            <v>1010</v>
          </cell>
          <cell r="Q1167" t="str">
            <v>1010</v>
          </cell>
          <cell r="R1167">
            <v>2.1627906976744189</v>
          </cell>
        </row>
        <row r="1168">
          <cell r="A1168" t="str">
            <v>Y009-035</v>
          </cell>
          <cell r="B1168" t="str">
            <v>LCT009-628</v>
          </cell>
          <cell r="C1168" t="str">
            <v>Y009</v>
          </cell>
          <cell r="D1168" t="str">
            <v>B347-167HS</v>
          </cell>
          <cell r="E1168" t="str">
            <v>Nut Poly</v>
          </cell>
          <cell r="F1168" t="str">
            <v>10*10*12</v>
          </cell>
          <cell r="G1168">
            <v>10</v>
          </cell>
          <cell r="H1168">
            <v>10</v>
          </cell>
          <cell r="I1168">
            <v>12</v>
          </cell>
          <cell r="J1168">
            <v>5</v>
          </cell>
          <cell r="K1168">
            <v>0</v>
          </cell>
          <cell r="L1168">
            <v>0.15</v>
          </cell>
          <cell r="M1168">
            <v>0</v>
          </cell>
          <cell r="N1168">
            <v>0</v>
          </cell>
          <cell r="O1168" t="str">
            <v>40V</v>
          </cell>
          <cell r="P1168" t="str">
            <v>1010</v>
          </cell>
          <cell r="Q1168" t="str">
            <v>1010</v>
          </cell>
          <cell r="R1168">
            <v>30</v>
          </cell>
        </row>
        <row r="1169">
          <cell r="A1169" t="str">
            <v>Y009-036</v>
          </cell>
          <cell r="B1169" t="str">
            <v>LCT009-629</v>
          </cell>
          <cell r="C1169" t="str">
            <v>Y009</v>
          </cell>
          <cell r="D1169" t="str">
            <v>B347-167F</v>
          </cell>
          <cell r="E1169" t="str">
            <v>Nut Poly</v>
          </cell>
          <cell r="F1169" t="str">
            <v>10*10*12</v>
          </cell>
          <cell r="G1169">
            <v>10</v>
          </cell>
          <cell r="H1169">
            <v>10</v>
          </cell>
          <cell r="I1169">
            <v>12</v>
          </cell>
          <cell r="J1169">
            <v>5</v>
          </cell>
          <cell r="K1169">
            <v>0</v>
          </cell>
          <cell r="L1169">
            <v>0.15</v>
          </cell>
          <cell r="M1169">
            <v>0</v>
          </cell>
          <cell r="N1169">
            <v>0</v>
          </cell>
          <cell r="O1169" t="str">
            <v>40V</v>
          </cell>
          <cell r="P1169" t="str">
            <v>1010</v>
          </cell>
          <cell r="Q1169" t="str">
            <v>1010</v>
          </cell>
          <cell r="R1169">
            <v>30</v>
          </cell>
        </row>
        <row r="1170">
          <cell r="A1170" t="str">
            <v>Y009-037</v>
          </cell>
          <cell r="B1170" t="str">
            <v>LCT009-630</v>
          </cell>
          <cell r="C1170" t="str">
            <v>Y009</v>
          </cell>
          <cell r="D1170" t="str">
            <v>B347-150H</v>
          </cell>
          <cell r="E1170" t="str">
            <v>Poly gia da</v>
          </cell>
          <cell r="F1170" t="str">
            <v>307*133*4</v>
          </cell>
          <cell r="G1170">
            <v>307</v>
          </cell>
          <cell r="H1170">
            <v>133</v>
          </cell>
          <cell r="I1170">
            <v>4</v>
          </cell>
          <cell r="J1170">
            <v>280</v>
          </cell>
          <cell r="K1170">
            <v>0</v>
          </cell>
          <cell r="L1170">
            <v>0.69</v>
          </cell>
          <cell r="M1170">
            <v>0</v>
          </cell>
          <cell r="N1170">
            <v>0</v>
          </cell>
          <cell r="O1170" t="str">
            <v>40V</v>
          </cell>
          <cell r="P1170" t="str">
            <v>1010</v>
          </cell>
          <cell r="Q1170" t="str">
            <v>1010</v>
          </cell>
          <cell r="R1170">
            <v>2.464285714285714</v>
          </cell>
        </row>
        <row r="1171">
          <cell r="A1171" t="str">
            <v>Y009-038</v>
          </cell>
          <cell r="B1171" t="str">
            <v>LCT009-631</v>
          </cell>
          <cell r="C1171" t="str">
            <v>Y009</v>
          </cell>
          <cell r="D1171" t="str">
            <v>B347-167H</v>
          </cell>
          <cell r="E1171" t="str">
            <v>Poly gia da</v>
          </cell>
          <cell r="F1171" t="str">
            <v>409*133*4</v>
          </cell>
          <cell r="G1171">
            <v>409</v>
          </cell>
          <cell r="H1171">
            <v>133</v>
          </cell>
          <cell r="I1171">
            <v>4</v>
          </cell>
          <cell r="J1171">
            <v>340</v>
          </cell>
          <cell r="K1171">
            <v>0</v>
          </cell>
          <cell r="L1171">
            <v>0.93</v>
          </cell>
          <cell r="M1171">
            <v>0</v>
          </cell>
          <cell r="N1171">
            <v>0</v>
          </cell>
          <cell r="O1171" t="str">
            <v>40V</v>
          </cell>
          <cell r="P1171" t="str">
            <v>1010</v>
          </cell>
          <cell r="Q1171" t="str">
            <v>1010</v>
          </cell>
          <cell r="R1171">
            <v>2.7352941176470589</v>
          </cell>
        </row>
        <row r="1172">
          <cell r="A1172" t="str">
            <v>Y009-039</v>
          </cell>
          <cell r="B1172" t="str">
            <v>LCT009-632</v>
          </cell>
          <cell r="C1172" t="str">
            <v>Y009</v>
          </cell>
          <cell r="D1172" t="str">
            <v>033-1404</v>
          </cell>
          <cell r="E1172" t="str">
            <v>Bong poly</v>
          </cell>
          <cell r="F1172" t="str">
            <v>5*41*4</v>
          </cell>
          <cell r="G1172">
            <v>5</v>
          </cell>
          <cell r="H1172">
            <v>41</v>
          </cell>
          <cell r="I1172">
            <v>4</v>
          </cell>
          <cell r="J1172">
            <v>20</v>
          </cell>
          <cell r="K1172">
            <v>0</v>
          </cell>
          <cell r="L1172">
            <v>0.1</v>
          </cell>
          <cell r="M1172">
            <v>0</v>
          </cell>
          <cell r="N1172">
            <v>0</v>
          </cell>
          <cell r="O1172" t="str">
            <v>40V</v>
          </cell>
          <cell r="P1172" t="str">
            <v>1010</v>
          </cell>
          <cell r="Q1172" t="str">
            <v>1010</v>
          </cell>
          <cell r="R1172">
            <v>5</v>
          </cell>
        </row>
        <row r="1173">
          <cell r="A1173" t="str">
            <v>Y009-040</v>
          </cell>
          <cell r="B1173" t="str">
            <v>LCT009-607</v>
          </cell>
          <cell r="C1173" t="str">
            <v>Y009</v>
          </cell>
          <cell r="D1173" t="str">
            <v>BR-13-100</v>
          </cell>
          <cell r="E1173" t="str">
            <v>Chỉ đắp khung gương</v>
          </cell>
          <cell r="F1173" t="str">
            <v>162*162*60</v>
          </cell>
          <cell r="G1173">
            <v>162</v>
          </cell>
          <cell r="H1173">
            <v>162</v>
          </cell>
          <cell r="I1173">
            <v>60</v>
          </cell>
          <cell r="J1173">
            <v>860</v>
          </cell>
          <cell r="K1173">
            <v>0</v>
          </cell>
          <cell r="L1173">
            <v>2.13</v>
          </cell>
          <cell r="M1173">
            <v>0</v>
          </cell>
          <cell r="N1173">
            <v>210</v>
          </cell>
          <cell r="O1173" t="str">
            <v>40V</v>
          </cell>
          <cell r="P1173" t="str">
            <v>1010</v>
          </cell>
          <cell r="Q1173" t="str">
            <v>1010</v>
          </cell>
          <cell r="R1173">
            <v>2.4767441860465116</v>
          </cell>
        </row>
        <row r="1174">
          <cell r="A1174" t="str">
            <v>Y009-041</v>
          </cell>
          <cell r="B1174" t="str">
            <v>LCT009-633</v>
          </cell>
          <cell r="C1174" t="str">
            <v>Y009</v>
          </cell>
          <cell r="D1174" t="str">
            <v>610-02 (118)</v>
          </cell>
          <cell r="E1174" t="str">
            <v xml:space="preserve">Bông trang trí </v>
          </cell>
          <cell r="F1174" t="str">
            <v>98*85*34</v>
          </cell>
          <cell r="G1174">
            <v>98</v>
          </cell>
          <cell r="H1174">
            <v>85</v>
          </cell>
          <cell r="I1174">
            <v>34</v>
          </cell>
          <cell r="J1174">
            <v>210</v>
          </cell>
          <cell r="K1174">
            <v>0</v>
          </cell>
          <cell r="L1174">
            <v>0.56000000000000005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2.666666666666667</v>
          </cell>
        </row>
        <row r="1175">
          <cell r="A1175" t="str">
            <v>Y009-042</v>
          </cell>
          <cell r="B1175" t="str">
            <v>LCT009-634</v>
          </cell>
          <cell r="C1175" t="str">
            <v>Y009</v>
          </cell>
          <cell r="D1175" t="str">
            <v>610-13 (146)</v>
          </cell>
          <cell r="E1175" t="str">
            <v xml:space="preserve">Bông trang trí </v>
          </cell>
          <cell r="F1175" t="str">
            <v>98*85*34</v>
          </cell>
          <cell r="G1175">
            <v>98</v>
          </cell>
          <cell r="H1175">
            <v>85</v>
          </cell>
          <cell r="I1175">
            <v>34</v>
          </cell>
          <cell r="J1175">
            <v>210</v>
          </cell>
          <cell r="K1175">
            <v>0</v>
          </cell>
          <cell r="L1175">
            <v>0.56000000000000005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2.666666666666667</v>
          </cell>
        </row>
        <row r="1176">
          <cell r="A1176" t="str">
            <v>Y009-043</v>
          </cell>
          <cell r="B1176" t="str">
            <v>LCT009-635</v>
          </cell>
          <cell r="C1176" t="str">
            <v>Y009</v>
          </cell>
          <cell r="D1176" t="str">
            <v>610-20M (100)</v>
          </cell>
          <cell r="E1176" t="str">
            <v xml:space="preserve">Bông trang trí </v>
          </cell>
          <cell r="F1176" t="str">
            <v>98*85*34</v>
          </cell>
          <cell r="G1176">
            <v>98</v>
          </cell>
          <cell r="H1176">
            <v>85</v>
          </cell>
          <cell r="I1176">
            <v>34</v>
          </cell>
          <cell r="J1176">
            <v>210</v>
          </cell>
          <cell r="K1176">
            <v>0</v>
          </cell>
          <cell r="L1176">
            <v>0.56000000000000005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2.666666666666667</v>
          </cell>
        </row>
        <row r="1177">
          <cell r="A1177" t="str">
            <v>Y009-044</v>
          </cell>
          <cell r="B1177" t="str">
            <v>LCT009-636</v>
          </cell>
          <cell r="C1177" t="str">
            <v>Y009</v>
          </cell>
          <cell r="D1177" t="str">
            <v>610-25HW (15011)</v>
          </cell>
          <cell r="E1177" t="str">
            <v xml:space="preserve">Bông trang trí </v>
          </cell>
          <cell r="F1177" t="str">
            <v>98*85*34</v>
          </cell>
          <cell r="G1177">
            <v>98</v>
          </cell>
          <cell r="H1177">
            <v>85</v>
          </cell>
          <cell r="I1177">
            <v>34</v>
          </cell>
          <cell r="J1177">
            <v>210</v>
          </cell>
          <cell r="K1177">
            <v>0</v>
          </cell>
          <cell r="L1177">
            <v>0.56000000000000005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2.666666666666667</v>
          </cell>
        </row>
        <row r="1178">
          <cell r="A1178" t="str">
            <v>Y009-045</v>
          </cell>
          <cell r="B1178" t="str">
            <v>LCT009-637</v>
          </cell>
          <cell r="C1178" t="str">
            <v>Y009</v>
          </cell>
          <cell r="D1178" t="str">
            <v>610-25F (150F)</v>
          </cell>
          <cell r="E1178" t="str">
            <v xml:space="preserve">Bông trang trí </v>
          </cell>
          <cell r="F1178" t="str">
            <v>98*85*34</v>
          </cell>
          <cell r="G1178">
            <v>98</v>
          </cell>
          <cell r="H1178">
            <v>85</v>
          </cell>
          <cell r="I1178">
            <v>34</v>
          </cell>
          <cell r="J1178">
            <v>210</v>
          </cell>
          <cell r="K1178">
            <v>0</v>
          </cell>
          <cell r="L1178">
            <v>0.56000000000000005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2.666666666666667</v>
          </cell>
        </row>
        <row r="1179">
          <cell r="A1179" t="str">
            <v>Y009-046</v>
          </cell>
          <cell r="B1179" t="str">
            <v>LCT009-638</v>
          </cell>
          <cell r="C1179" t="str">
            <v>Y009</v>
          </cell>
          <cell r="D1179" t="str">
            <v>610-26HW (167H)</v>
          </cell>
          <cell r="E1179" t="str">
            <v xml:space="preserve">Bông trang trí </v>
          </cell>
          <cell r="F1179" t="str">
            <v>98*85*34</v>
          </cell>
          <cell r="G1179">
            <v>98</v>
          </cell>
          <cell r="H1179">
            <v>85</v>
          </cell>
          <cell r="I1179">
            <v>34</v>
          </cell>
          <cell r="J1179">
            <v>210</v>
          </cell>
          <cell r="K1179">
            <v>0</v>
          </cell>
          <cell r="L1179">
            <v>0.56000000000000005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2.666666666666667</v>
          </cell>
        </row>
        <row r="1180">
          <cell r="A1180" t="str">
            <v>Y009-047</v>
          </cell>
          <cell r="B1180" t="str">
            <v>LCT009-639</v>
          </cell>
          <cell r="C1180" t="str">
            <v>Y009</v>
          </cell>
          <cell r="D1180" t="str">
            <v>610-26F (167F)</v>
          </cell>
          <cell r="E1180" t="str">
            <v xml:space="preserve">Bông trang trí </v>
          </cell>
          <cell r="F1180" t="str">
            <v>98*85*34</v>
          </cell>
          <cell r="G1180">
            <v>98</v>
          </cell>
          <cell r="H1180">
            <v>85</v>
          </cell>
          <cell r="I1180">
            <v>34</v>
          </cell>
          <cell r="J1180">
            <v>210</v>
          </cell>
          <cell r="K1180">
            <v>0</v>
          </cell>
          <cell r="L1180">
            <v>0.56000000000000005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2.666666666666667</v>
          </cell>
        </row>
        <row r="1181">
          <cell r="A1181" t="str">
            <v>Y009-048</v>
          </cell>
          <cell r="B1181" t="str">
            <v>LCT009-640</v>
          </cell>
          <cell r="C1181" t="str">
            <v>Y009</v>
          </cell>
          <cell r="D1181" t="str">
            <v>610-08 (123)</v>
          </cell>
          <cell r="E1181" t="str">
            <v xml:space="preserve">Bông trang trí </v>
          </cell>
          <cell r="F1181" t="str">
            <v>93*70*8</v>
          </cell>
          <cell r="G1181">
            <v>93</v>
          </cell>
          <cell r="H1181">
            <v>70</v>
          </cell>
          <cell r="I1181">
            <v>8</v>
          </cell>
          <cell r="J1181">
            <v>90</v>
          </cell>
          <cell r="K1181">
            <v>0</v>
          </cell>
          <cell r="L1181">
            <v>0.15</v>
          </cell>
          <cell r="M1181">
            <v>0</v>
          </cell>
          <cell r="N1181">
            <v>0</v>
          </cell>
          <cell r="O1181" t="str">
            <v>40V</v>
          </cell>
          <cell r="P1181" t="str">
            <v>1010</v>
          </cell>
          <cell r="Q1181" t="str">
            <v>1010</v>
          </cell>
          <cell r="R1181">
            <v>1.6666666666666667</v>
          </cell>
        </row>
        <row r="1182">
          <cell r="A1182" t="str">
            <v>Y009-049</v>
          </cell>
          <cell r="B1182" t="str">
            <v>LCT009-641</v>
          </cell>
          <cell r="C1182" t="str">
            <v>Y009</v>
          </cell>
          <cell r="D1182" t="str">
            <v>610-05 (136)</v>
          </cell>
          <cell r="E1182" t="str">
            <v xml:space="preserve">Bông trang trí </v>
          </cell>
          <cell r="F1182" t="str">
            <v>93*70*8</v>
          </cell>
          <cell r="G1182">
            <v>93</v>
          </cell>
          <cell r="H1182">
            <v>70</v>
          </cell>
          <cell r="I1182">
            <v>8</v>
          </cell>
          <cell r="J1182">
            <v>90</v>
          </cell>
          <cell r="K1182">
            <v>0</v>
          </cell>
          <cell r="L1182">
            <v>0.15</v>
          </cell>
          <cell r="M1182">
            <v>0</v>
          </cell>
          <cell r="N1182">
            <v>0</v>
          </cell>
          <cell r="O1182" t="str">
            <v>40V</v>
          </cell>
          <cell r="P1182" t="str">
            <v>1010</v>
          </cell>
          <cell r="Q1182" t="str">
            <v>1010</v>
          </cell>
          <cell r="R1182">
            <v>1.6666666666666667</v>
          </cell>
        </row>
        <row r="1183">
          <cell r="A1183" t="str">
            <v>Y009-050</v>
          </cell>
          <cell r="B1183" t="str">
            <v>LCT009-642</v>
          </cell>
          <cell r="C1183" t="str">
            <v>Y009</v>
          </cell>
          <cell r="D1183" t="str">
            <v>610-02 (118)</v>
          </cell>
          <cell r="E1183" t="str">
            <v xml:space="preserve">Bông trang trí </v>
          </cell>
          <cell r="F1183" t="str">
            <v>93*89*8</v>
          </cell>
          <cell r="G1183">
            <v>93</v>
          </cell>
          <cell r="H1183">
            <v>89</v>
          </cell>
          <cell r="I1183">
            <v>8</v>
          </cell>
          <cell r="J1183">
            <v>100</v>
          </cell>
          <cell r="K1183">
            <v>0</v>
          </cell>
          <cell r="L1183">
            <v>0.21</v>
          </cell>
          <cell r="M1183">
            <v>0</v>
          </cell>
          <cell r="N1183">
            <v>0</v>
          </cell>
          <cell r="O1183" t="str">
            <v>40V</v>
          </cell>
          <cell r="P1183" t="str">
            <v>1010</v>
          </cell>
          <cell r="Q1183" t="str">
            <v>1010</v>
          </cell>
          <cell r="R1183">
            <v>2.0999999999999996</v>
          </cell>
        </row>
        <row r="1184">
          <cell r="A1184" t="str">
            <v>Y009-051</v>
          </cell>
          <cell r="B1184" t="str">
            <v>LCT009-643</v>
          </cell>
          <cell r="C1184" t="str">
            <v>Y009</v>
          </cell>
          <cell r="D1184" t="str">
            <v>610-13 (146)</v>
          </cell>
          <cell r="E1184" t="str">
            <v xml:space="preserve">Bông trang trí </v>
          </cell>
          <cell r="F1184" t="str">
            <v>93*89*8</v>
          </cell>
          <cell r="G1184">
            <v>93</v>
          </cell>
          <cell r="H1184">
            <v>89</v>
          </cell>
          <cell r="I1184">
            <v>8</v>
          </cell>
          <cell r="J1184">
            <v>100</v>
          </cell>
          <cell r="K1184">
            <v>0</v>
          </cell>
          <cell r="L1184">
            <v>0.21</v>
          </cell>
          <cell r="M1184">
            <v>0</v>
          </cell>
          <cell r="N1184">
            <v>0</v>
          </cell>
          <cell r="O1184" t="str">
            <v>40V</v>
          </cell>
          <cell r="P1184" t="str">
            <v>1010</v>
          </cell>
          <cell r="Q1184" t="str">
            <v>1010</v>
          </cell>
          <cell r="R1184">
            <v>2.0999999999999996</v>
          </cell>
        </row>
        <row r="1185">
          <cell r="A1185" t="str">
            <v>Y009-052</v>
          </cell>
          <cell r="B1185" t="str">
            <v>LCT009-644</v>
          </cell>
          <cell r="C1185" t="str">
            <v>Y009</v>
          </cell>
          <cell r="D1185" t="str">
            <v>610-02M (160)</v>
          </cell>
          <cell r="E1185" t="str">
            <v xml:space="preserve">Bông trang trí </v>
          </cell>
          <cell r="F1185" t="str">
            <v>93*89*8</v>
          </cell>
          <cell r="G1185">
            <v>93</v>
          </cell>
          <cell r="H1185">
            <v>89</v>
          </cell>
          <cell r="I1185">
            <v>8</v>
          </cell>
          <cell r="J1185">
            <v>100</v>
          </cell>
          <cell r="K1185">
            <v>0</v>
          </cell>
          <cell r="L1185">
            <v>0.21</v>
          </cell>
          <cell r="M1185">
            <v>0</v>
          </cell>
          <cell r="N1185">
            <v>0</v>
          </cell>
          <cell r="O1185" t="str">
            <v>40V</v>
          </cell>
          <cell r="P1185" t="str">
            <v>1010</v>
          </cell>
          <cell r="Q1185" t="str">
            <v>1010</v>
          </cell>
          <cell r="R1185">
            <v>2.0999999999999996</v>
          </cell>
        </row>
        <row r="1186">
          <cell r="A1186" t="str">
            <v>Y009-053</v>
          </cell>
          <cell r="B1186" t="str">
            <v>LCT009-645</v>
          </cell>
          <cell r="C1186" t="str">
            <v>Y009</v>
          </cell>
          <cell r="D1186" t="str">
            <v>610-25HW (15011)</v>
          </cell>
          <cell r="E1186" t="str">
            <v xml:space="preserve">Bông trang trí </v>
          </cell>
          <cell r="F1186" t="str">
            <v>93*89*8</v>
          </cell>
          <cell r="G1186">
            <v>93</v>
          </cell>
          <cell r="H1186">
            <v>89</v>
          </cell>
          <cell r="I1186">
            <v>8</v>
          </cell>
          <cell r="J1186">
            <v>100</v>
          </cell>
          <cell r="K1186">
            <v>0</v>
          </cell>
          <cell r="L1186">
            <v>0.21</v>
          </cell>
          <cell r="M1186">
            <v>0</v>
          </cell>
          <cell r="N1186">
            <v>0</v>
          </cell>
          <cell r="O1186" t="str">
            <v>40V</v>
          </cell>
          <cell r="P1186" t="str">
            <v>1010</v>
          </cell>
          <cell r="Q1186" t="str">
            <v>1010</v>
          </cell>
          <cell r="R1186">
            <v>2.0999999999999996</v>
          </cell>
        </row>
        <row r="1187">
          <cell r="A1187" t="str">
            <v>Y009-054</v>
          </cell>
          <cell r="B1187" t="str">
            <v>LCT009-646</v>
          </cell>
          <cell r="C1187" t="str">
            <v>Y009</v>
          </cell>
          <cell r="D1187" t="str">
            <v>610-25F (150F)</v>
          </cell>
          <cell r="E1187" t="str">
            <v xml:space="preserve">Bông trang trí </v>
          </cell>
          <cell r="F1187" t="str">
            <v>93*89*8</v>
          </cell>
          <cell r="G1187">
            <v>93</v>
          </cell>
          <cell r="H1187">
            <v>89</v>
          </cell>
          <cell r="I1187">
            <v>8</v>
          </cell>
          <cell r="J1187">
            <v>100</v>
          </cell>
          <cell r="K1187">
            <v>0</v>
          </cell>
          <cell r="L1187">
            <v>0.21</v>
          </cell>
          <cell r="M1187">
            <v>0</v>
          </cell>
          <cell r="N1187">
            <v>0</v>
          </cell>
          <cell r="O1187" t="str">
            <v>40V</v>
          </cell>
          <cell r="P1187" t="str">
            <v>1010</v>
          </cell>
          <cell r="Q1187" t="str">
            <v>1010</v>
          </cell>
          <cell r="R1187">
            <v>2.0999999999999996</v>
          </cell>
        </row>
        <row r="1188">
          <cell r="A1188" t="str">
            <v>Y009-055</v>
          </cell>
          <cell r="B1188" t="str">
            <v>LCT009-647</v>
          </cell>
          <cell r="C1188" t="str">
            <v>Y009</v>
          </cell>
          <cell r="D1188" t="str">
            <v>610-25HW(167H)</v>
          </cell>
          <cell r="E1188" t="str">
            <v xml:space="preserve">Bông trang trí </v>
          </cell>
          <cell r="F1188" t="str">
            <v>93*89*8</v>
          </cell>
          <cell r="G1188">
            <v>93</v>
          </cell>
          <cell r="H1188">
            <v>89</v>
          </cell>
          <cell r="I1188">
            <v>8</v>
          </cell>
          <cell r="J1188">
            <v>100</v>
          </cell>
          <cell r="K1188">
            <v>0</v>
          </cell>
          <cell r="L1188">
            <v>0.21</v>
          </cell>
          <cell r="M1188">
            <v>0</v>
          </cell>
          <cell r="N1188">
            <v>0</v>
          </cell>
          <cell r="O1188" t="str">
            <v>40V</v>
          </cell>
          <cell r="P1188" t="str">
            <v>1010</v>
          </cell>
          <cell r="Q1188" t="str">
            <v>1010</v>
          </cell>
          <cell r="R1188">
            <v>2.0999999999999996</v>
          </cell>
        </row>
        <row r="1189">
          <cell r="A1189" t="str">
            <v>Y009-056</v>
          </cell>
          <cell r="B1189" t="str">
            <v>LCT009-648</v>
          </cell>
          <cell r="C1189" t="str">
            <v>Y009</v>
          </cell>
          <cell r="D1189" t="str">
            <v>61026F (167F)</v>
          </cell>
          <cell r="E1189" t="str">
            <v xml:space="preserve">Bông trang trí </v>
          </cell>
          <cell r="F1189" t="str">
            <v>93*89*8</v>
          </cell>
          <cell r="G1189">
            <v>93</v>
          </cell>
          <cell r="H1189">
            <v>89</v>
          </cell>
          <cell r="I1189">
            <v>8</v>
          </cell>
          <cell r="J1189">
            <v>100</v>
          </cell>
          <cell r="K1189">
            <v>0</v>
          </cell>
          <cell r="L1189">
            <v>0.21</v>
          </cell>
          <cell r="M1189">
            <v>0</v>
          </cell>
          <cell r="N1189">
            <v>0</v>
          </cell>
          <cell r="O1189" t="str">
            <v>40V</v>
          </cell>
          <cell r="P1189" t="str">
            <v>1010</v>
          </cell>
          <cell r="Q1189" t="str">
            <v>1010</v>
          </cell>
          <cell r="R1189">
            <v>2.0999999999999996</v>
          </cell>
        </row>
        <row r="1190">
          <cell r="A1190" t="str">
            <v>Y009-057</v>
          </cell>
          <cell r="B1190" t="str">
            <v>LCT009-653</v>
          </cell>
          <cell r="C1190" t="str">
            <v>Y009</v>
          </cell>
          <cell r="D1190" t="str">
            <v>610-25HW (150H)</v>
          </cell>
          <cell r="E1190" t="str">
            <v xml:space="preserve">Chỉ đắp trên </v>
          </cell>
          <cell r="F1190" t="str">
            <v>868*71*17</v>
          </cell>
          <cell r="G1190">
            <v>868</v>
          </cell>
          <cell r="H1190">
            <v>71</v>
          </cell>
          <cell r="I1190">
            <v>17</v>
          </cell>
          <cell r="J1190">
            <v>730</v>
          </cell>
          <cell r="K1190">
            <v>0</v>
          </cell>
          <cell r="L1190">
            <v>1.74</v>
          </cell>
          <cell r="M1190">
            <v>0</v>
          </cell>
          <cell r="N1190">
            <v>180</v>
          </cell>
          <cell r="O1190" t="str">
            <v>40V</v>
          </cell>
          <cell r="P1190" t="str">
            <v>1010</v>
          </cell>
          <cell r="Q1190" t="str">
            <v>1010</v>
          </cell>
          <cell r="R1190">
            <v>2.3835616438356166</v>
          </cell>
        </row>
        <row r="1191">
          <cell r="A1191" t="str">
            <v>Y009-058</v>
          </cell>
          <cell r="B1191" t="str">
            <v>LCT009-654</v>
          </cell>
          <cell r="C1191" t="str">
            <v>Y009</v>
          </cell>
          <cell r="D1191" t="str">
            <v>610-26HW (167H)</v>
          </cell>
          <cell r="E1191" t="str">
            <v xml:space="preserve">Chỉ đắp trên </v>
          </cell>
          <cell r="F1191" t="str">
            <v>868*71*17</v>
          </cell>
          <cell r="G1191">
            <v>868</v>
          </cell>
          <cell r="H1191">
            <v>71</v>
          </cell>
          <cell r="I1191">
            <v>17</v>
          </cell>
          <cell r="J1191">
            <v>730</v>
          </cell>
          <cell r="K1191">
            <v>0</v>
          </cell>
          <cell r="L1191">
            <v>1.74</v>
          </cell>
          <cell r="M1191">
            <v>0</v>
          </cell>
          <cell r="N1191">
            <v>180</v>
          </cell>
          <cell r="O1191" t="str">
            <v>40V</v>
          </cell>
          <cell r="P1191" t="str">
            <v>1010</v>
          </cell>
          <cell r="Q1191" t="str">
            <v>1010</v>
          </cell>
          <cell r="R1191">
            <v>2.3835616438356166</v>
          </cell>
        </row>
        <row r="1192">
          <cell r="A1192" t="str">
            <v>Y009-059</v>
          </cell>
          <cell r="B1192" t="str">
            <v>LCT009-655</v>
          </cell>
          <cell r="C1192" t="str">
            <v>Y009</v>
          </cell>
          <cell r="D1192" t="str">
            <v>610-25HW (15011)</v>
          </cell>
          <cell r="E1192" t="str">
            <v xml:space="preserve">Chỉ đắp trên </v>
          </cell>
          <cell r="F1192" t="str">
            <v>665*71*17</v>
          </cell>
          <cell r="G1192">
            <v>665</v>
          </cell>
          <cell r="H1192">
            <v>71</v>
          </cell>
          <cell r="I1192">
            <v>17</v>
          </cell>
          <cell r="J1192">
            <v>570</v>
          </cell>
          <cell r="K1192">
            <v>0</v>
          </cell>
          <cell r="L1192">
            <v>1.33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2.3333333333333335</v>
          </cell>
        </row>
        <row r="1193">
          <cell r="A1193" t="str">
            <v>Y009-060</v>
          </cell>
          <cell r="B1193" t="str">
            <v>LCT009-656</v>
          </cell>
          <cell r="C1193" t="str">
            <v>Y009</v>
          </cell>
          <cell r="D1193" t="str">
            <v>610-26HW (167H)</v>
          </cell>
          <cell r="E1193" t="str">
            <v xml:space="preserve">Chỉ đắp trên </v>
          </cell>
          <cell r="F1193" t="str">
            <v>868*71*17</v>
          </cell>
          <cell r="G1193">
            <v>868</v>
          </cell>
          <cell r="H1193">
            <v>71</v>
          </cell>
          <cell r="I1193">
            <v>17</v>
          </cell>
          <cell r="J1193">
            <v>730</v>
          </cell>
          <cell r="K1193">
            <v>0</v>
          </cell>
          <cell r="L1193">
            <v>1.74</v>
          </cell>
          <cell r="M1193">
            <v>0</v>
          </cell>
          <cell r="N1193">
            <v>180</v>
          </cell>
          <cell r="O1193" t="str">
            <v>40V</v>
          </cell>
          <cell r="P1193" t="str">
            <v>1010</v>
          </cell>
          <cell r="Q1193" t="str">
            <v>1010</v>
          </cell>
          <cell r="R1193">
            <v>2.3835616438356166</v>
          </cell>
        </row>
        <row r="1194">
          <cell r="A1194" t="str">
            <v>Y009-061</v>
          </cell>
          <cell r="B1194" t="str">
            <v>LCT009-585</v>
          </cell>
          <cell r="C1194" t="str">
            <v>Y009</v>
          </cell>
          <cell r="D1194" t="str">
            <v>B1095-123</v>
          </cell>
          <cell r="E1194" t="str">
            <v>Poly đắp trụ</v>
          </cell>
          <cell r="F1194" t="str">
            <v>8*93*130</v>
          </cell>
          <cell r="G1194">
            <v>8</v>
          </cell>
          <cell r="H1194">
            <v>93</v>
          </cell>
          <cell r="I1194">
            <v>130</v>
          </cell>
          <cell r="J1194">
            <v>100</v>
          </cell>
          <cell r="K1194">
            <v>0</v>
          </cell>
          <cell r="L1194">
            <v>0.3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2.9999999999999996</v>
          </cell>
        </row>
        <row r="1195">
          <cell r="A1195" t="str">
            <v>Y009-062</v>
          </cell>
          <cell r="B1195" t="str">
            <v>LCT009-586</v>
          </cell>
          <cell r="C1195" t="str">
            <v>Y009</v>
          </cell>
          <cell r="D1195" t="str">
            <v>B1095-123</v>
          </cell>
          <cell r="E1195" t="str">
            <v>Poly đắp trụ</v>
          </cell>
          <cell r="F1195" t="str">
            <v>5*10*404</v>
          </cell>
          <cell r="G1195">
            <v>5</v>
          </cell>
          <cell r="H1195">
            <v>10</v>
          </cell>
          <cell r="I1195">
            <v>404</v>
          </cell>
          <cell r="J1195">
            <v>0</v>
          </cell>
          <cell r="K1195">
            <v>0</v>
          </cell>
          <cell r="L1195">
            <v>0.15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 t="e">
            <v>#DIV/0!</v>
          </cell>
        </row>
        <row r="1196">
          <cell r="A1196" t="str">
            <v>Y009-063</v>
          </cell>
          <cell r="B1196" t="str">
            <v>LCT009-587</v>
          </cell>
          <cell r="C1196" t="str">
            <v>Y009</v>
          </cell>
          <cell r="D1196" t="str">
            <v>B1095-123</v>
          </cell>
          <cell r="E1196" t="str">
            <v>Chỉ đắp mặt hộc kéo</v>
          </cell>
          <cell r="F1196" t="str">
            <v>10*18*558</v>
          </cell>
          <cell r="G1196">
            <v>10</v>
          </cell>
          <cell r="H1196">
            <v>18</v>
          </cell>
          <cell r="I1196">
            <v>558</v>
          </cell>
          <cell r="J1196">
            <v>120</v>
          </cell>
          <cell r="K1196">
            <v>0</v>
          </cell>
          <cell r="L1196">
            <v>0.34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2.8333333333333335</v>
          </cell>
        </row>
        <row r="1197">
          <cell r="A1197" t="str">
            <v>Y009-064</v>
          </cell>
          <cell r="B1197" t="str">
            <v>LCT009-588</v>
          </cell>
          <cell r="C1197" t="str">
            <v>Y009</v>
          </cell>
          <cell r="D1197" t="str">
            <v>B1095-123</v>
          </cell>
          <cell r="E1197" t="str">
            <v>Chỉ đắp poly giữa 1</v>
          </cell>
          <cell r="F1197" t="str">
            <v>11*22*826</v>
          </cell>
          <cell r="G1197">
            <v>11</v>
          </cell>
          <cell r="H1197">
            <v>22</v>
          </cell>
          <cell r="I1197">
            <v>826</v>
          </cell>
          <cell r="J1197">
            <v>0</v>
          </cell>
          <cell r="K1197">
            <v>0</v>
          </cell>
          <cell r="L1197">
            <v>0.84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 t="e">
            <v>#DIV/0!</v>
          </cell>
        </row>
        <row r="1198">
          <cell r="A1198" t="str">
            <v>Y009-065</v>
          </cell>
          <cell r="B1198" t="str">
            <v>LCT009-589</v>
          </cell>
          <cell r="C1198" t="str">
            <v>Y009</v>
          </cell>
          <cell r="D1198" t="str">
            <v>B1095-135</v>
          </cell>
          <cell r="E1198" t="str">
            <v>Poly đắp trụ</v>
          </cell>
          <cell r="F1198" t="str">
            <v>8*93*282</v>
          </cell>
          <cell r="G1198">
            <v>8</v>
          </cell>
          <cell r="H1198">
            <v>93</v>
          </cell>
          <cell r="I1198">
            <v>282</v>
          </cell>
          <cell r="J1198">
            <v>260</v>
          </cell>
          <cell r="K1198">
            <v>0</v>
          </cell>
          <cell r="L1198">
            <v>0.78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3</v>
          </cell>
        </row>
        <row r="1199">
          <cell r="A1199" t="str">
            <v>Y009-066</v>
          </cell>
          <cell r="B1199" t="str">
            <v>LCT009-590</v>
          </cell>
          <cell r="C1199" t="str">
            <v>Y009</v>
          </cell>
          <cell r="D1199" t="str">
            <v>B1095-135</v>
          </cell>
          <cell r="E1199" t="str">
            <v>Poly đắp trụ</v>
          </cell>
          <cell r="F1199" t="str">
            <v>5*10*404</v>
          </cell>
          <cell r="G1199">
            <v>5</v>
          </cell>
          <cell r="H1199">
            <v>10</v>
          </cell>
          <cell r="I1199">
            <v>404</v>
          </cell>
          <cell r="J1199">
            <v>0</v>
          </cell>
          <cell r="K1199">
            <v>0</v>
          </cell>
          <cell r="L1199">
            <v>0.15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 t="e">
            <v>#DIV/0!</v>
          </cell>
        </row>
        <row r="1200">
          <cell r="A1200" t="str">
            <v>Y009-067</v>
          </cell>
          <cell r="B1200" t="str">
            <v>LCT009-591</v>
          </cell>
          <cell r="C1200" t="str">
            <v>Y009</v>
          </cell>
          <cell r="D1200" t="str">
            <v>B1095-135</v>
          </cell>
          <cell r="E1200" t="str">
            <v>Chỉ đắp mặt hộc kéo</v>
          </cell>
          <cell r="F1200" t="str">
            <v>10*18*883</v>
          </cell>
          <cell r="G1200">
            <v>10</v>
          </cell>
          <cell r="H1200">
            <v>18</v>
          </cell>
          <cell r="I1200">
            <v>883</v>
          </cell>
          <cell r="J1200">
            <v>190</v>
          </cell>
          <cell r="K1200">
            <v>0</v>
          </cell>
          <cell r="L1200">
            <v>0.53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2.7894736842105265</v>
          </cell>
        </row>
        <row r="1201">
          <cell r="A1201" t="str">
            <v>Y009-068</v>
          </cell>
          <cell r="B1201" t="str">
            <v>LCT009-592</v>
          </cell>
          <cell r="C1201" t="str">
            <v>Y009</v>
          </cell>
          <cell r="D1201" t="str">
            <v>B1095-135</v>
          </cell>
          <cell r="E1201" t="str">
            <v>Chỉ đắp poly giữa 1</v>
          </cell>
          <cell r="F1201" t="str">
            <v>11*22*1154</v>
          </cell>
          <cell r="G1201">
            <v>11</v>
          </cell>
          <cell r="H1201">
            <v>22</v>
          </cell>
          <cell r="I1201">
            <v>1154</v>
          </cell>
          <cell r="J1201">
            <v>0</v>
          </cell>
          <cell r="K1201">
            <v>0</v>
          </cell>
          <cell r="L1201">
            <v>1.18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 t="e">
            <v>#DIV/0!</v>
          </cell>
        </row>
        <row r="1202">
          <cell r="A1202" t="str">
            <v>Y009-069</v>
          </cell>
          <cell r="B1202" t="str">
            <v>LCT009-593</v>
          </cell>
          <cell r="C1202" t="str">
            <v>Y009</v>
          </cell>
          <cell r="D1202" t="str">
            <v>B1095-118</v>
          </cell>
          <cell r="E1202" t="str">
            <v>Poly đắp trụ</v>
          </cell>
          <cell r="F1202" t="str">
            <v>8*93*282</v>
          </cell>
          <cell r="G1202">
            <v>8</v>
          </cell>
          <cell r="H1202">
            <v>93</v>
          </cell>
          <cell r="I1202">
            <v>282</v>
          </cell>
          <cell r="J1202">
            <v>260</v>
          </cell>
          <cell r="K1202">
            <v>0</v>
          </cell>
          <cell r="L1202">
            <v>0.78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3</v>
          </cell>
        </row>
        <row r="1203">
          <cell r="A1203" t="str">
            <v>Y009-070</v>
          </cell>
          <cell r="B1203" t="str">
            <v>LCT009-594</v>
          </cell>
          <cell r="C1203" t="str">
            <v>Y009</v>
          </cell>
          <cell r="D1203" t="str">
            <v>B1095-118</v>
          </cell>
          <cell r="E1203" t="str">
            <v>Poly đắp trụ</v>
          </cell>
          <cell r="F1203" t="str">
            <v>5*10*404</v>
          </cell>
          <cell r="G1203">
            <v>5</v>
          </cell>
          <cell r="H1203">
            <v>10</v>
          </cell>
          <cell r="I1203">
            <v>404</v>
          </cell>
          <cell r="J1203">
            <v>0</v>
          </cell>
          <cell r="K1203">
            <v>0</v>
          </cell>
          <cell r="L1203">
            <v>0.15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 t="e">
            <v>#DIV/0!</v>
          </cell>
        </row>
        <row r="1204">
          <cell r="A1204" t="str">
            <v>Y009-071</v>
          </cell>
          <cell r="B1204" t="str">
            <v>LCT009-595</v>
          </cell>
          <cell r="C1204" t="str">
            <v>Y009</v>
          </cell>
          <cell r="D1204" t="str">
            <v>B1095-118</v>
          </cell>
          <cell r="E1204" t="str">
            <v>Chỉ đắp mặt hộc kéo 1</v>
          </cell>
          <cell r="F1204" t="str">
            <v>10*18*381</v>
          </cell>
          <cell r="G1204">
            <v>10</v>
          </cell>
          <cell r="H1204">
            <v>18</v>
          </cell>
          <cell r="I1204">
            <v>381</v>
          </cell>
          <cell r="J1204">
            <v>90</v>
          </cell>
          <cell r="K1204">
            <v>0</v>
          </cell>
          <cell r="L1204">
            <v>0.23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2.5555555555555558</v>
          </cell>
        </row>
        <row r="1205">
          <cell r="A1205" t="str">
            <v>Y009-072</v>
          </cell>
          <cell r="B1205" t="str">
            <v>LCT009-596</v>
          </cell>
          <cell r="C1205" t="str">
            <v>Y009</v>
          </cell>
          <cell r="D1205" t="str">
            <v>B1095-118</v>
          </cell>
          <cell r="E1205" t="str">
            <v>Chỉ đắp mặt hộc kéo 2</v>
          </cell>
          <cell r="F1205" t="str">
            <v>10*18*728</v>
          </cell>
          <cell r="G1205">
            <v>10</v>
          </cell>
          <cell r="H1205">
            <v>18</v>
          </cell>
          <cell r="I1205">
            <v>728</v>
          </cell>
          <cell r="J1205">
            <v>155</v>
          </cell>
          <cell r="K1205">
            <v>0</v>
          </cell>
          <cell r="L1205">
            <v>0.44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2.838709677419355</v>
          </cell>
        </row>
        <row r="1206">
          <cell r="A1206" t="str">
            <v>Y009-073</v>
          </cell>
          <cell r="B1206" t="str">
            <v>LCT009-597</v>
          </cell>
          <cell r="C1206" t="str">
            <v>Y009</v>
          </cell>
          <cell r="D1206" t="str">
            <v>B1095-118</v>
          </cell>
          <cell r="E1206" t="str">
            <v>Chỉ đắp mặt hộc kéo 3</v>
          </cell>
          <cell r="F1206" t="str">
            <v>10*18*744</v>
          </cell>
          <cell r="G1206">
            <v>10</v>
          </cell>
          <cell r="H1206">
            <v>18</v>
          </cell>
          <cell r="I1206">
            <v>744</v>
          </cell>
          <cell r="J1206">
            <v>160</v>
          </cell>
          <cell r="K1206">
            <v>0</v>
          </cell>
          <cell r="L1206">
            <v>0.45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2.8125</v>
          </cell>
        </row>
        <row r="1207">
          <cell r="A1207" t="str">
            <v>Y009-074</v>
          </cell>
          <cell r="B1207" t="str">
            <v>LCT009-598</v>
          </cell>
          <cell r="C1207" t="str">
            <v>Y009</v>
          </cell>
          <cell r="D1207" t="str">
            <v>B1095-118</v>
          </cell>
          <cell r="E1207" t="str">
            <v>Chỉ đắp poly giữa 1</v>
          </cell>
          <cell r="F1207" t="str">
            <v>11*22*1756</v>
          </cell>
          <cell r="G1207">
            <v>11</v>
          </cell>
          <cell r="H1207">
            <v>22</v>
          </cell>
          <cell r="I1207">
            <v>1756</v>
          </cell>
          <cell r="J1207">
            <v>0</v>
          </cell>
          <cell r="K1207">
            <v>0</v>
          </cell>
          <cell r="L1207">
            <v>1.79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 t="e">
            <v>#DIV/0!</v>
          </cell>
        </row>
        <row r="1208">
          <cell r="A1208" t="str">
            <v>Y009-075</v>
          </cell>
          <cell r="B1208" t="str">
            <v>LCT009-599</v>
          </cell>
          <cell r="C1208" t="str">
            <v>Y009</v>
          </cell>
          <cell r="D1208" t="str">
            <v>B1095-146</v>
          </cell>
          <cell r="E1208" t="str">
            <v>Poly đắp trụ</v>
          </cell>
          <cell r="F1208" t="str">
            <v>8*93*152</v>
          </cell>
          <cell r="G1208">
            <v>8</v>
          </cell>
          <cell r="H1208">
            <v>93</v>
          </cell>
          <cell r="I1208">
            <v>152</v>
          </cell>
          <cell r="J1208">
            <v>110</v>
          </cell>
          <cell r="K1208">
            <v>0</v>
          </cell>
          <cell r="L1208">
            <v>0.33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3</v>
          </cell>
        </row>
        <row r="1209">
          <cell r="A1209" t="str">
            <v>Y009-076</v>
          </cell>
          <cell r="B1209" t="str">
            <v>LCT009-600</v>
          </cell>
          <cell r="C1209" t="str">
            <v>Y009</v>
          </cell>
          <cell r="D1209" t="str">
            <v>B1095-146</v>
          </cell>
          <cell r="E1209" t="str">
            <v>Poly đắp trụ</v>
          </cell>
          <cell r="F1209" t="str">
            <v>5*10*404</v>
          </cell>
          <cell r="G1209">
            <v>5</v>
          </cell>
          <cell r="H1209">
            <v>10</v>
          </cell>
          <cell r="I1209">
            <v>404</v>
          </cell>
          <cell r="J1209">
            <v>0</v>
          </cell>
          <cell r="K1209">
            <v>0</v>
          </cell>
          <cell r="L1209">
            <v>0.15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 t="e">
            <v>#DIV/0!</v>
          </cell>
        </row>
        <row r="1210">
          <cell r="A1210" t="str">
            <v>Y009-077</v>
          </cell>
          <cell r="B1210" t="str">
            <v>LCT009-601</v>
          </cell>
          <cell r="C1210" t="str">
            <v>Y009</v>
          </cell>
          <cell r="D1210" t="str">
            <v>B1095-146</v>
          </cell>
          <cell r="E1210" t="str">
            <v>Chỉ đắp mặt hộc kéo</v>
          </cell>
          <cell r="F1210" t="str">
            <v>10*18*541</v>
          </cell>
          <cell r="G1210">
            <v>10</v>
          </cell>
          <cell r="H1210">
            <v>18</v>
          </cell>
          <cell r="I1210">
            <v>541</v>
          </cell>
          <cell r="J1210">
            <v>115</v>
          </cell>
          <cell r="K1210">
            <v>0</v>
          </cell>
          <cell r="L1210">
            <v>0.33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2.8695652173913042</v>
          </cell>
        </row>
        <row r="1211">
          <cell r="A1211" t="str">
            <v>Y009-078</v>
          </cell>
          <cell r="B1211" t="str">
            <v>LCT009-602</v>
          </cell>
          <cell r="C1211" t="str">
            <v>Y009</v>
          </cell>
          <cell r="D1211" t="str">
            <v>B1095-146</v>
          </cell>
          <cell r="E1211" t="str">
            <v>Chỉ đắp poly giữa 1</v>
          </cell>
          <cell r="F1211" t="str">
            <v>11*22*1348</v>
          </cell>
          <cell r="G1211">
            <v>11</v>
          </cell>
          <cell r="H1211">
            <v>22</v>
          </cell>
          <cell r="I1211">
            <v>1348</v>
          </cell>
          <cell r="J1211">
            <v>0</v>
          </cell>
          <cell r="K1211">
            <v>0</v>
          </cell>
          <cell r="L1211">
            <v>1.38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 t="e">
            <v>#DIV/0!</v>
          </cell>
        </row>
        <row r="1212">
          <cell r="A1212" t="str">
            <v>Y009-079</v>
          </cell>
          <cell r="B1212" t="str">
            <v>LCT009-603</v>
          </cell>
          <cell r="C1212" t="str">
            <v>Y009</v>
          </cell>
          <cell r="D1212" t="str">
            <v>B1095-100</v>
          </cell>
          <cell r="E1212" t="str">
            <v>Poly đắp trụ</v>
          </cell>
          <cell r="F1212" t="str">
            <v>8*54*142</v>
          </cell>
          <cell r="G1212">
            <v>8</v>
          </cell>
          <cell r="H1212">
            <v>54</v>
          </cell>
          <cell r="I1212">
            <v>142</v>
          </cell>
          <cell r="J1212">
            <v>75</v>
          </cell>
          <cell r="K1212">
            <v>0</v>
          </cell>
          <cell r="L1212">
            <v>0.23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3.0666666666666669</v>
          </cell>
        </row>
        <row r="1213">
          <cell r="A1213" t="str">
            <v>Y009-080</v>
          </cell>
          <cell r="B1213" t="str">
            <v>LCT009-604</v>
          </cell>
          <cell r="C1213" t="str">
            <v>Y009</v>
          </cell>
          <cell r="D1213" t="str">
            <v>B1095-100</v>
          </cell>
          <cell r="E1213" t="str">
            <v>Chỉ đắp poly giữa 1</v>
          </cell>
          <cell r="F1213" t="str">
            <v>11*22*1126</v>
          </cell>
          <cell r="G1213">
            <v>11</v>
          </cell>
          <cell r="H1213">
            <v>22</v>
          </cell>
          <cell r="I1213">
            <v>1126</v>
          </cell>
          <cell r="J1213">
            <v>395</v>
          </cell>
          <cell r="K1213">
            <v>0</v>
          </cell>
          <cell r="L1213">
            <v>1.1499999999999999</v>
          </cell>
          <cell r="M1213">
            <v>0</v>
          </cell>
          <cell r="N1213">
            <v>0</v>
          </cell>
          <cell r="O1213">
            <v>0</v>
          </cell>
          <cell r="P1213" t="str">
            <v>1010</v>
          </cell>
          <cell r="Q1213" t="str">
            <v>1010</v>
          </cell>
          <cell r="R1213">
            <v>2.9113924050632907</v>
          </cell>
        </row>
        <row r="1214">
          <cell r="A1214" t="str">
            <v>Y009-081</v>
          </cell>
          <cell r="B1214" t="str">
            <v>LCT009-605</v>
          </cell>
          <cell r="C1214" t="str">
            <v>Y009</v>
          </cell>
          <cell r="D1214" t="str">
            <v>B1095-150+167H</v>
          </cell>
          <cell r="E1214" t="str">
            <v>Miếng đắp tròn đầu đuôi</v>
          </cell>
          <cell r="F1214" t="str">
            <v>5*37*37</v>
          </cell>
          <cell r="G1214">
            <v>5</v>
          </cell>
          <cell r="H1214">
            <v>37</v>
          </cell>
          <cell r="I1214">
            <v>37</v>
          </cell>
          <cell r="J1214">
            <v>0</v>
          </cell>
          <cell r="K1214">
            <v>0</v>
          </cell>
          <cell r="L1214">
            <v>0.08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 t="e">
            <v>#DIV/0!</v>
          </cell>
        </row>
        <row r="1215">
          <cell r="A1215" t="str">
            <v>Y009-082</v>
          </cell>
          <cell r="B1215" t="str">
            <v>LCT009-657</v>
          </cell>
          <cell r="C1215" t="str">
            <v>Y009</v>
          </cell>
          <cell r="D1215" t="str">
            <v>B359-123</v>
          </cell>
          <cell r="E1215" t="str">
            <v>Nút  Poly</v>
          </cell>
          <cell r="F1215" t="str">
            <v>12*12*8</v>
          </cell>
          <cell r="G1215">
            <v>12</v>
          </cell>
          <cell r="H1215">
            <v>12</v>
          </cell>
          <cell r="I1215">
            <v>8</v>
          </cell>
          <cell r="J1215">
            <v>0</v>
          </cell>
          <cell r="K1215">
            <v>0</v>
          </cell>
          <cell r="L1215">
            <v>0.15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 t="e">
            <v>#DIV/0!</v>
          </cell>
        </row>
        <row r="1216">
          <cell r="A1216" t="str">
            <v>Y009-083</v>
          </cell>
          <cell r="B1216" t="str">
            <v>LCT009-658</v>
          </cell>
          <cell r="C1216" t="str">
            <v>Y009</v>
          </cell>
          <cell r="D1216" t="str">
            <v>B359-135</v>
          </cell>
          <cell r="E1216" t="str">
            <v>Nút  Poly</v>
          </cell>
          <cell r="F1216" t="str">
            <v>12*12*8</v>
          </cell>
          <cell r="G1216">
            <v>12</v>
          </cell>
          <cell r="H1216">
            <v>12</v>
          </cell>
          <cell r="I1216">
            <v>8</v>
          </cell>
          <cell r="J1216">
            <v>0</v>
          </cell>
          <cell r="K1216">
            <v>0</v>
          </cell>
          <cell r="L1216">
            <v>0.15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 t="e">
            <v>#DIV/0!</v>
          </cell>
        </row>
        <row r="1217">
          <cell r="A1217" t="str">
            <v>Y009-084</v>
          </cell>
          <cell r="B1217" t="str">
            <v>LCT009-659</v>
          </cell>
          <cell r="C1217" t="str">
            <v>Y009</v>
          </cell>
          <cell r="D1217" t="str">
            <v>B359-118</v>
          </cell>
          <cell r="E1217" t="str">
            <v>Nút  Poly</v>
          </cell>
          <cell r="F1217" t="str">
            <v>12*12*8</v>
          </cell>
          <cell r="G1217">
            <v>12</v>
          </cell>
          <cell r="H1217">
            <v>12</v>
          </cell>
          <cell r="I1217">
            <v>8</v>
          </cell>
          <cell r="J1217">
            <v>0</v>
          </cell>
          <cell r="K1217">
            <v>0</v>
          </cell>
          <cell r="L1217">
            <v>0.15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 t="e">
            <v>#DIV/0!</v>
          </cell>
        </row>
        <row r="1218">
          <cell r="A1218" t="str">
            <v>Y009-085</v>
          </cell>
          <cell r="B1218" t="str">
            <v>LCT009-660</v>
          </cell>
          <cell r="C1218" t="str">
            <v>Y009</v>
          </cell>
          <cell r="D1218" t="str">
            <v>B359-100</v>
          </cell>
          <cell r="E1218" t="str">
            <v>Nút  Poly</v>
          </cell>
          <cell r="F1218" t="str">
            <v>12*12*8</v>
          </cell>
          <cell r="G1218">
            <v>12</v>
          </cell>
          <cell r="H1218">
            <v>12</v>
          </cell>
          <cell r="I1218">
            <v>8</v>
          </cell>
          <cell r="J1218">
            <v>0</v>
          </cell>
          <cell r="K1218">
            <v>0</v>
          </cell>
          <cell r="L1218">
            <v>0.15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 t="e">
            <v>#DIV/0!</v>
          </cell>
        </row>
        <row r="1219">
          <cell r="A1219" t="str">
            <v>Y009-086</v>
          </cell>
          <cell r="B1219" t="str">
            <v>LCT009-661</v>
          </cell>
          <cell r="C1219" t="str">
            <v>Y009</v>
          </cell>
          <cell r="D1219" t="str">
            <v>B359-150H/F</v>
          </cell>
          <cell r="E1219" t="str">
            <v>Nút  Poly</v>
          </cell>
          <cell r="F1219" t="str">
            <v>12*12*8</v>
          </cell>
          <cell r="G1219">
            <v>12</v>
          </cell>
          <cell r="H1219">
            <v>12</v>
          </cell>
          <cell r="I1219">
            <v>8</v>
          </cell>
          <cell r="J1219">
            <v>0</v>
          </cell>
          <cell r="K1219">
            <v>0</v>
          </cell>
          <cell r="L1219">
            <v>0.15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 t="e">
            <v>#DIV/0!</v>
          </cell>
        </row>
        <row r="1220">
          <cell r="A1220" t="str">
            <v>Y009-087</v>
          </cell>
          <cell r="B1220" t="str">
            <v>LCT009-662</v>
          </cell>
          <cell r="C1220" t="str">
            <v>Y009</v>
          </cell>
          <cell r="D1220" t="str">
            <v>B359-167H/F</v>
          </cell>
          <cell r="E1220" t="str">
            <v>Nút  Poly</v>
          </cell>
          <cell r="F1220" t="str">
            <v>12*12*8</v>
          </cell>
          <cell r="G1220">
            <v>12</v>
          </cell>
          <cell r="H1220">
            <v>12</v>
          </cell>
          <cell r="I1220">
            <v>8</v>
          </cell>
          <cell r="J1220">
            <v>0</v>
          </cell>
          <cell r="K1220">
            <v>0</v>
          </cell>
          <cell r="L1220">
            <v>0.15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 t="e">
            <v>#DIV/0!</v>
          </cell>
        </row>
        <row r="1221">
          <cell r="A1221" t="str">
            <v>Y009-088</v>
          </cell>
          <cell r="B1221" t="str">
            <v>LCT009-663</v>
          </cell>
          <cell r="C1221" t="str">
            <v>Y009</v>
          </cell>
          <cell r="D1221" t="str">
            <v>TG-117</v>
          </cell>
          <cell r="E1221" t="str">
            <v xml:space="preserve">Chỉ Hông </v>
          </cell>
          <cell r="F1221" t="str">
            <v>342*11*10</v>
          </cell>
          <cell r="G1221">
            <v>342</v>
          </cell>
          <cell r="H1221">
            <v>11</v>
          </cell>
          <cell r="I1221">
            <v>10</v>
          </cell>
          <cell r="J1221">
            <v>80</v>
          </cell>
          <cell r="K1221" t="str">
            <v>過低</v>
          </cell>
          <cell r="L1221">
            <v>0.15</v>
          </cell>
          <cell r="M1221">
            <v>0</v>
          </cell>
          <cell r="N1221">
            <v>0</v>
          </cell>
          <cell r="O1221" t="str">
            <v>40V</v>
          </cell>
          <cell r="P1221" t="str">
            <v>1010</v>
          </cell>
          <cell r="Q1221" t="str">
            <v>1010</v>
          </cell>
          <cell r="R1221">
            <v>1.875</v>
          </cell>
        </row>
        <row r="1222">
          <cell r="A1222" t="str">
            <v>Y009-089</v>
          </cell>
          <cell r="B1222" t="str">
            <v>LCT009-664</v>
          </cell>
          <cell r="C1222" t="str">
            <v>Y009</v>
          </cell>
          <cell r="D1222" t="str">
            <v>TG-G001-123</v>
          </cell>
          <cell r="E1222" t="str">
            <v xml:space="preserve">Chỉ ngang hộc kéo </v>
          </cell>
          <cell r="F1222" t="str">
            <v>564*28*12</v>
          </cell>
          <cell r="G1222">
            <v>564</v>
          </cell>
          <cell r="H1222">
            <v>28</v>
          </cell>
          <cell r="I1222">
            <v>12</v>
          </cell>
          <cell r="J1222">
            <v>330</v>
          </cell>
          <cell r="K1222">
            <v>0</v>
          </cell>
          <cell r="L1222">
            <v>0.92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2.7878787878787881</v>
          </cell>
        </row>
        <row r="1223">
          <cell r="A1223" t="str">
            <v>Y009-090</v>
          </cell>
          <cell r="B1223" t="str">
            <v>LCT009-666</v>
          </cell>
          <cell r="C1223" t="str">
            <v>Y009</v>
          </cell>
          <cell r="D1223" t="str">
            <v>TG-G001-117</v>
          </cell>
          <cell r="E1223" t="str">
            <v xml:space="preserve">Bông poly đúng khung trước </v>
          </cell>
          <cell r="F1223" t="str">
            <v>625*109*6</v>
          </cell>
          <cell r="G1223">
            <v>625</v>
          </cell>
          <cell r="H1223">
            <v>109</v>
          </cell>
          <cell r="I1223">
            <v>6</v>
          </cell>
          <cell r="J1223">
            <v>860</v>
          </cell>
          <cell r="K1223">
            <v>0</v>
          </cell>
          <cell r="L1223">
            <v>2.7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3.1395348837209305</v>
          </cell>
        </row>
        <row r="1224">
          <cell r="A1224" t="str">
            <v>Y009-091</v>
          </cell>
          <cell r="B1224" t="str">
            <v>LCT009-667</v>
          </cell>
          <cell r="C1224" t="str">
            <v>Y009</v>
          </cell>
          <cell r="D1224" t="str">
            <v>TG-G001-100</v>
          </cell>
          <cell r="E1224" t="str">
            <v>Viền 4 cạnh khung gương- trái</v>
          </cell>
          <cell r="F1224" t="str">
            <v>598*119</v>
          </cell>
          <cell r="G1224">
            <v>598</v>
          </cell>
          <cell r="H1224">
            <v>119</v>
          </cell>
          <cell r="I1224">
            <v>0</v>
          </cell>
          <cell r="J1224">
            <v>0</v>
          </cell>
          <cell r="K1224">
            <v>0</v>
          </cell>
          <cell r="L1224">
            <v>1.54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 t="e">
            <v>#DIV/0!</v>
          </cell>
        </row>
        <row r="1225">
          <cell r="A1225" t="str">
            <v>Y009-092</v>
          </cell>
          <cell r="B1225" t="str">
            <v>LCT009-668</v>
          </cell>
          <cell r="C1225" t="str">
            <v>Y009</v>
          </cell>
          <cell r="D1225" t="str">
            <v>TG-G001-100</v>
          </cell>
          <cell r="E1225" t="str">
            <v>Viền 4 cạnh khung gương- phải</v>
          </cell>
          <cell r="F1225" t="str">
            <v>598*119</v>
          </cell>
          <cell r="G1225">
            <v>598</v>
          </cell>
          <cell r="H1225">
            <v>119</v>
          </cell>
          <cell r="I1225">
            <v>0</v>
          </cell>
          <cell r="J1225">
            <v>0</v>
          </cell>
          <cell r="K1225">
            <v>0</v>
          </cell>
          <cell r="L1225">
            <v>1.54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 t="e">
            <v>#DIV/0!</v>
          </cell>
        </row>
        <row r="1226">
          <cell r="A1226" t="str">
            <v>Y009-093</v>
          </cell>
          <cell r="B1226" t="str">
            <v>LCT009-669</v>
          </cell>
          <cell r="C1226" t="str">
            <v>Y009</v>
          </cell>
          <cell r="D1226" t="str">
            <v>TG-G001-100</v>
          </cell>
          <cell r="E1226" t="str">
            <v xml:space="preserve">Bông poly 4 gốc -2 bên </v>
          </cell>
          <cell r="F1226">
            <v>305</v>
          </cell>
          <cell r="G1226">
            <v>305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0.87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 t="e">
            <v>#DIV/0!</v>
          </cell>
        </row>
        <row r="1227">
          <cell r="A1227" t="str">
            <v>Y009-094</v>
          </cell>
          <cell r="B1227" t="str">
            <v>LCT009-670</v>
          </cell>
          <cell r="C1227" t="str">
            <v>Y009</v>
          </cell>
          <cell r="D1227" t="str">
            <v>TG-G001-100</v>
          </cell>
          <cell r="E1227" t="str">
            <v xml:space="preserve">Bông poly 4 gốc -trên+dưới </v>
          </cell>
          <cell r="F1227">
            <v>311</v>
          </cell>
          <cell r="G1227">
            <v>311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0.87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 t="e">
            <v>#DIV/0!</v>
          </cell>
        </row>
        <row r="1228">
          <cell r="A1228" t="str">
            <v>Y009-095</v>
          </cell>
          <cell r="B1228" t="str">
            <v>LCT009-671</v>
          </cell>
          <cell r="C1228" t="str">
            <v>Y009</v>
          </cell>
          <cell r="D1228" t="str">
            <v>TG-G001-150H</v>
          </cell>
          <cell r="E1228" t="str">
            <v xml:space="preserve">Chỉ ngang trên dầu </v>
          </cell>
          <cell r="F1228" t="str">
            <v>400*11*10</v>
          </cell>
          <cell r="G1228">
            <v>400</v>
          </cell>
          <cell r="H1228">
            <v>11</v>
          </cell>
          <cell r="I1228">
            <v>10</v>
          </cell>
          <cell r="J1228">
            <v>90</v>
          </cell>
          <cell r="K1228">
            <v>0</v>
          </cell>
          <cell r="L1228">
            <v>0.16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1.7777777777777779</v>
          </cell>
        </row>
        <row r="1229">
          <cell r="A1229" t="str">
            <v>Y009-096</v>
          </cell>
          <cell r="B1229" t="str">
            <v>LCT009-672</v>
          </cell>
          <cell r="C1229" t="str">
            <v>Y009</v>
          </cell>
          <cell r="D1229" t="str">
            <v>TG-G001-150H</v>
          </cell>
          <cell r="E1229" t="str">
            <v xml:space="preserve">Chỉ ngang trên dầu </v>
          </cell>
          <cell r="F1229" t="str">
            <v>720*11*10</v>
          </cell>
          <cell r="G1229">
            <v>720</v>
          </cell>
          <cell r="H1229">
            <v>11</v>
          </cell>
          <cell r="I1229">
            <v>10</v>
          </cell>
          <cell r="J1229">
            <v>140</v>
          </cell>
          <cell r="K1229">
            <v>0</v>
          </cell>
          <cell r="L1229">
            <v>0.28999999999999998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2.0714285714285712</v>
          </cell>
        </row>
        <row r="1230">
          <cell r="A1230" t="str">
            <v>Y009-097</v>
          </cell>
          <cell r="B1230" t="str">
            <v>LCT009-673</v>
          </cell>
          <cell r="C1230" t="str">
            <v>Y009</v>
          </cell>
          <cell r="D1230" t="str">
            <v>TG-G001-150H</v>
          </cell>
          <cell r="E1230" t="str">
            <v xml:space="preserve">Chỉ bên dầu giường </v>
          </cell>
          <cell r="F1230" t="str">
            <v>736*11*10</v>
          </cell>
          <cell r="G1230">
            <v>736</v>
          </cell>
          <cell r="H1230">
            <v>11</v>
          </cell>
          <cell r="I1230">
            <v>10</v>
          </cell>
          <cell r="J1230">
            <v>150</v>
          </cell>
          <cell r="K1230">
            <v>0</v>
          </cell>
          <cell r="L1230">
            <v>0.28999999999999998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1.9333333333333333</v>
          </cell>
        </row>
        <row r="1231">
          <cell r="A1231" t="str">
            <v>Y009-098</v>
          </cell>
          <cell r="B1231" t="str">
            <v>LCT009-674</v>
          </cell>
          <cell r="C1231" t="str">
            <v>Y009</v>
          </cell>
          <cell r="D1231" t="str">
            <v>TG-G001-167H</v>
          </cell>
          <cell r="E1231" t="str">
            <v xml:space="preserve">Chỉ ngang trên bên giường đầu </v>
          </cell>
          <cell r="F1231" t="str">
            <v>502*11*10</v>
          </cell>
          <cell r="G1231">
            <v>502</v>
          </cell>
          <cell r="H1231">
            <v>11</v>
          </cell>
          <cell r="I1231">
            <v>10</v>
          </cell>
          <cell r="J1231">
            <v>110</v>
          </cell>
          <cell r="K1231">
            <v>0</v>
          </cell>
          <cell r="L1231">
            <v>0.21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1.9090909090909089</v>
          </cell>
        </row>
        <row r="1232">
          <cell r="A1232" t="str">
            <v>Y009-099</v>
          </cell>
          <cell r="B1232" t="str">
            <v>LCT009-675</v>
          </cell>
          <cell r="C1232" t="str">
            <v>Y009</v>
          </cell>
          <cell r="D1232" t="str">
            <v>TG-G001-167H</v>
          </cell>
          <cell r="E1232" t="str">
            <v xml:space="preserve">Chỉ ngang trên bên giường giữa </v>
          </cell>
          <cell r="F1232" t="str">
            <v>924*11*10</v>
          </cell>
          <cell r="G1232">
            <v>924</v>
          </cell>
          <cell r="H1232">
            <v>11</v>
          </cell>
          <cell r="I1232">
            <v>10</v>
          </cell>
          <cell r="J1232">
            <v>190</v>
          </cell>
          <cell r="K1232">
            <v>0</v>
          </cell>
          <cell r="L1232">
            <v>0.37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1.9473684210526316</v>
          </cell>
        </row>
        <row r="1233">
          <cell r="A1233" t="str">
            <v>Y009-100</v>
          </cell>
          <cell r="B1233" t="str">
            <v>LCT009-676</v>
          </cell>
          <cell r="C1233" t="str">
            <v>Y009</v>
          </cell>
          <cell r="D1233" t="str">
            <v>TG-G001-167H</v>
          </cell>
          <cell r="E1233" t="str">
            <v xml:space="preserve">Chỉ bên dầu giường </v>
          </cell>
          <cell r="F1233" t="str">
            <v>736*11*10</v>
          </cell>
          <cell r="G1233">
            <v>736</v>
          </cell>
          <cell r="H1233">
            <v>11</v>
          </cell>
          <cell r="I1233">
            <v>10</v>
          </cell>
          <cell r="J1233">
            <v>150</v>
          </cell>
          <cell r="K1233">
            <v>0</v>
          </cell>
          <cell r="L1233">
            <v>0.28999999999999998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1.9333333333333333</v>
          </cell>
        </row>
        <row r="1234">
          <cell r="A1234" t="str">
            <v>Y009-101</v>
          </cell>
          <cell r="B1234" t="str">
            <v>LCT009-677</v>
          </cell>
          <cell r="C1234" t="str">
            <v>Y009</v>
          </cell>
          <cell r="D1234" t="str">
            <v>TG-G002-123</v>
          </cell>
          <cell r="E1234" t="str">
            <v xml:space="preserve">Chỉ ngang hộc kéo </v>
          </cell>
          <cell r="F1234" t="str">
            <v>564*28*12</v>
          </cell>
          <cell r="G1234">
            <v>564</v>
          </cell>
          <cell r="H1234">
            <v>28</v>
          </cell>
          <cell r="I1234">
            <v>12</v>
          </cell>
          <cell r="J1234">
            <v>330</v>
          </cell>
          <cell r="K1234">
            <v>0</v>
          </cell>
          <cell r="L1234">
            <v>0.92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2.7878787878787881</v>
          </cell>
        </row>
        <row r="1235">
          <cell r="A1235" t="str">
            <v>Y009-102</v>
          </cell>
          <cell r="B1235" t="str">
            <v>LCT009-678</v>
          </cell>
          <cell r="C1235" t="str">
            <v>Y009</v>
          </cell>
          <cell r="D1235" t="str">
            <v>TG-G002-100</v>
          </cell>
          <cell r="E1235" t="str">
            <v xml:space="preserve">Viền 4 cạnh khung gương -phải </v>
          </cell>
          <cell r="F1235" t="str">
            <v>598*119</v>
          </cell>
          <cell r="G1235">
            <v>598</v>
          </cell>
          <cell r="H1235">
            <v>119</v>
          </cell>
          <cell r="I1235">
            <v>0</v>
          </cell>
          <cell r="J1235">
            <v>0</v>
          </cell>
          <cell r="K1235">
            <v>0</v>
          </cell>
          <cell r="L1235">
            <v>1.54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 t="e">
            <v>#DIV/0!</v>
          </cell>
        </row>
        <row r="1236">
          <cell r="A1236" t="str">
            <v>Y009-103</v>
          </cell>
          <cell r="B1236" t="str">
            <v>LCT009-679</v>
          </cell>
          <cell r="C1236" t="str">
            <v>Y009</v>
          </cell>
          <cell r="D1236" t="str">
            <v>TG-G002-100</v>
          </cell>
          <cell r="E1236" t="str">
            <v>Bông poly 4 gốc-2 bên</v>
          </cell>
          <cell r="F1236">
            <v>305</v>
          </cell>
          <cell r="G1236">
            <v>305</v>
          </cell>
          <cell r="H1236">
            <v>0</v>
          </cell>
          <cell r="I1236">
            <v>0</v>
          </cell>
          <cell r="J1236">
            <v>305</v>
          </cell>
          <cell r="K1236">
            <v>0</v>
          </cell>
          <cell r="L1236">
            <v>0.87</v>
          </cell>
          <cell r="M1236">
            <v>0</v>
          </cell>
          <cell r="N1236">
            <v>0</v>
          </cell>
          <cell r="O1236" t="str">
            <v>40V</v>
          </cell>
          <cell r="P1236" t="str">
            <v>1010</v>
          </cell>
          <cell r="Q1236" t="str">
            <v>1010</v>
          </cell>
          <cell r="R1236">
            <v>2.8524590163934427</v>
          </cell>
        </row>
        <row r="1237">
          <cell r="A1237" t="str">
            <v>Y009-104</v>
          </cell>
          <cell r="B1237" t="str">
            <v>LCT009-680</v>
          </cell>
          <cell r="C1237" t="str">
            <v>Y009</v>
          </cell>
          <cell r="D1237" t="str">
            <v>TG-G002-100</v>
          </cell>
          <cell r="E1237" t="str">
            <v>Viền 4 cạnh khung gương -trái</v>
          </cell>
          <cell r="F1237" t="str">
            <v>598*119</v>
          </cell>
          <cell r="G1237">
            <v>598</v>
          </cell>
          <cell r="H1237">
            <v>119</v>
          </cell>
          <cell r="I1237">
            <v>0</v>
          </cell>
          <cell r="J1237">
            <v>305</v>
          </cell>
          <cell r="K1237">
            <v>0</v>
          </cell>
          <cell r="L1237">
            <v>1.54</v>
          </cell>
          <cell r="M1237">
            <v>0</v>
          </cell>
          <cell r="N1237">
            <v>0</v>
          </cell>
          <cell r="O1237" t="str">
            <v>40V</v>
          </cell>
          <cell r="P1237" t="str">
            <v>1010</v>
          </cell>
          <cell r="Q1237" t="str">
            <v>1010</v>
          </cell>
          <cell r="R1237">
            <v>5.0491803278688527</v>
          </cell>
        </row>
        <row r="1238">
          <cell r="A1238" t="str">
            <v>Y009-105</v>
          </cell>
          <cell r="B1238" t="str">
            <v>LCT009-681</v>
          </cell>
          <cell r="C1238" t="str">
            <v>Y009</v>
          </cell>
          <cell r="D1238" t="str">
            <v>TG-G002-100</v>
          </cell>
          <cell r="E1238" t="str">
            <v xml:space="preserve">Bông poly 4 gốc trên + dưới </v>
          </cell>
          <cell r="F1238">
            <v>311</v>
          </cell>
          <cell r="G1238">
            <v>311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0.87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 t="e">
            <v>#DIV/0!</v>
          </cell>
        </row>
        <row r="1239">
          <cell r="A1239" t="str">
            <v>Y009-106</v>
          </cell>
          <cell r="B1239" t="str">
            <v>LCT009-683</v>
          </cell>
          <cell r="C1239" t="str">
            <v>Y009</v>
          </cell>
          <cell r="D1239" t="str">
            <v>TG-G002-117</v>
          </cell>
          <cell r="E1239" t="str">
            <v xml:space="preserve">Bông poly đúng khung trước </v>
          </cell>
          <cell r="F1239" t="str">
            <v>625*109*6</v>
          </cell>
          <cell r="G1239">
            <v>625</v>
          </cell>
          <cell r="H1239">
            <v>109</v>
          </cell>
          <cell r="I1239">
            <v>6</v>
          </cell>
          <cell r="J1239">
            <v>860</v>
          </cell>
          <cell r="K1239">
            <v>0</v>
          </cell>
          <cell r="L1239">
            <v>2.7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3.1395348837209305</v>
          </cell>
        </row>
        <row r="1240">
          <cell r="A1240" t="str">
            <v>Y009-107</v>
          </cell>
          <cell r="B1240" t="str">
            <v>LCT009-684</v>
          </cell>
          <cell r="C1240" t="str">
            <v>Y009</v>
          </cell>
          <cell r="D1240" t="str">
            <v>TG-G002-167H</v>
          </cell>
          <cell r="E1240" t="str">
            <v xml:space="preserve">Thanh công trên dầu giường -trái </v>
          </cell>
          <cell r="F1240" t="str">
            <v>392*102</v>
          </cell>
          <cell r="G1240">
            <v>392</v>
          </cell>
          <cell r="H1240">
            <v>102</v>
          </cell>
          <cell r="I1240">
            <v>0</v>
          </cell>
          <cell r="J1240">
            <v>0</v>
          </cell>
          <cell r="K1240">
            <v>0</v>
          </cell>
          <cell r="L1240">
            <v>1.74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 t="e">
            <v>#DIV/0!</v>
          </cell>
        </row>
        <row r="1241">
          <cell r="A1241" t="str">
            <v>Y009-108</v>
          </cell>
          <cell r="B1241" t="str">
            <v>LCT009-685</v>
          </cell>
          <cell r="C1241" t="str">
            <v>Y009</v>
          </cell>
          <cell r="D1241" t="str">
            <v>TG-G002-167H</v>
          </cell>
          <cell r="E1241" t="str">
            <v>Thanh công trên dầu giường- phải</v>
          </cell>
          <cell r="F1241" t="str">
            <v>392*102</v>
          </cell>
          <cell r="G1241">
            <v>392</v>
          </cell>
          <cell r="H1241">
            <v>102</v>
          </cell>
          <cell r="I1241">
            <v>0</v>
          </cell>
          <cell r="J1241">
            <v>0</v>
          </cell>
          <cell r="K1241">
            <v>0</v>
          </cell>
          <cell r="L1241">
            <v>1.74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 t="e">
            <v>#DIV/0!</v>
          </cell>
        </row>
        <row r="1242">
          <cell r="A1242" t="str">
            <v>Y009-109</v>
          </cell>
          <cell r="B1242" t="str">
            <v>LCT009-686</v>
          </cell>
          <cell r="C1242" t="str">
            <v>Y009</v>
          </cell>
          <cell r="D1242" t="str">
            <v>TG-G002-167H</v>
          </cell>
          <cell r="E1242" t="str">
            <v>Chỉ  poly ngang trên</v>
          </cell>
          <cell r="F1242" t="str">
            <v>941*36*29</v>
          </cell>
          <cell r="G1242">
            <v>941</v>
          </cell>
          <cell r="H1242">
            <v>36</v>
          </cell>
          <cell r="I1242">
            <v>29</v>
          </cell>
          <cell r="J1242">
            <v>1070</v>
          </cell>
          <cell r="K1242">
            <v>0</v>
          </cell>
          <cell r="L1242">
            <v>2.2000000000000002</v>
          </cell>
          <cell r="M1242">
            <v>0</v>
          </cell>
          <cell r="N1242">
            <v>0</v>
          </cell>
          <cell r="O1242" t="str">
            <v>40V</v>
          </cell>
          <cell r="P1242" t="str">
            <v>1010</v>
          </cell>
          <cell r="Q1242" t="str">
            <v>1010</v>
          </cell>
          <cell r="R1242">
            <v>2.0560747663551404</v>
          </cell>
        </row>
        <row r="1243">
          <cell r="A1243" t="str">
            <v>Y009-110</v>
          </cell>
          <cell r="B1243" t="str">
            <v>LCT009-687</v>
          </cell>
          <cell r="C1243" t="str">
            <v>Y009</v>
          </cell>
          <cell r="D1243" t="str">
            <v>TG-G002-167H</v>
          </cell>
          <cell r="E1243" t="str">
            <v>Chỉ  poly ngang trên</v>
          </cell>
          <cell r="F1243" t="str">
            <v>941*36*29</v>
          </cell>
          <cell r="G1243">
            <v>941</v>
          </cell>
          <cell r="H1243">
            <v>36</v>
          </cell>
          <cell r="I1243">
            <v>29</v>
          </cell>
          <cell r="J1243">
            <v>1070</v>
          </cell>
          <cell r="K1243">
            <v>0</v>
          </cell>
          <cell r="L1243">
            <v>2.2000000000000002</v>
          </cell>
          <cell r="M1243">
            <v>0</v>
          </cell>
          <cell r="N1243">
            <v>0</v>
          </cell>
          <cell r="O1243" t="str">
            <v>40V</v>
          </cell>
          <cell r="P1243" t="str">
            <v>1010</v>
          </cell>
          <cell r="Q1243" t="str">
            <v>1010</v>
          </cell>
          <cell r="R1243">
            <v>2.0560747663551404</v>
          </cell>
        </row>
        <row r="1244">
          <cell r="A1244" t="str">
            <v>Y009-111</v>
          </cell>
          <cell r="B1244" t="str">
            <v>LCT009-688</v>
          </cell>
          <cell r="C1244" t="str">
            <v>Y009</v>
          </cell>
          <cell r="D1244" t="str">
            <v>TG-G002-167H</v>
          </cell>
          <cell r="E1244" t="str">
            <v>Chỉ đứng bên dầu giường</v>
          </cell>
          <cell r="F1244" t="str">
            <v>570*36*22</v>
          </cell>
          <cell r="G1244">
            <v>570</v>
          </cell>
          <cell r="H1244">
            <v>36</v>
          </cell>
          <cell r="I1244">
            <v>22</v>
          </cell>
          <cell r="J1244">
            <v>600</v>
          </cell>
          <cell r="K1244">
            <v>0</v>
          </cell>
          <cell r="L1244">
            <v>1.34</v>
          </cell>
          <cell r="M1244">
            <v>0</v>
          </cell>
          <cell r="N1244">
            <v>0</v>
          </cell>
          <cell r="O1244" t="str">
            <v>40V</v>
          </cell>
          <cell r="P1244" t="str">
            <v>1010</v>
          </cell>
          <cell r="Q1244" t="str">
            <v>1010</v>
          </cell>
          <cell r="R1244">
            <v>2.2333333333333334</v>
          </cell>
          <cell r="S1244">
            <v>0</v>
          </cell>
        </row>
        <row r="1245">
          <cell r="A1245" t="str">
            <v>Y009-112</v>
          </cell>
          <cell r="B1245" t="str">
            <v>LCT009-689</v>
          </cell>
          <cell r="C1245" t="str">
            <v>Y009</v>
          </cell>
          <cell r="D1245" t="str">
            <v>TG-G002-167H</v>
          </cell>
          <cell r="E1245" t="str">
            <v>Chỉ đứng giữa dầu giường</v>
          </cell>
          <cell r="F1245" t="str">
            <v>850*36*22</v>
          </cell>
          <cell r="G1245">
            <v>850</v>
          </cell>
          <cell r="H1245">
            <v>36</v>
          </cell>
          <cell r="I1245">
            <v>22</v>
          </cell>
          <cell r="J1245">
            <v>840</v>
          </cell>
          <cell r="K1245">
            <v>0</v>
          </cell>
          <cell r="L1245">
            <v>2</v>
          </cell>
          <cell r="M1245">
            <v>0</v>
          </cell>
          <cell r="N1245">
            <v>0</v>
          </cell>
          <cell r="O1245" t="str">
            <v>40V</v>
          </cell>
          <cell r="P1245" t="str">
            <v>1010</v>
          </cell>
          <cell r="Q1245" t="str">
            <v>1010</v>
          </cell>
          <cell r="R1245">
            <v>2.3809523809523809</v>
          </cell>
          <cell r="S1245">
            <v>0</v>
          </cell>
        </row>
        <row r="1246">
          <cell r="A1246" t="str">
            <v>Y009-113</v>
          </cell>
          <cell r="B1246" t="str">
            <v>LCT009-690</v>
          </cell>
          <cell r="C1246" t="str">
            <v>Y009</v>
          </cell>
          <cell r="D1246" t="str">
            <v>TG-G002-167F</v>
          </cell>
          <cell r="E1246" t="str">
            <v xml:space="preserve">Chỉ ốp cong 2 bên </v>
          </cell>
          <cell r="F1246" t="str">
            <v>130*140*40</v>
          </cell>
          <cell r="G1246">
            <v>130</v>
          </cell>
          <cell r="H1246">
            <v>140</v>
          </cell>
          <cell r="I1246">
            <v>40</v>
          </cell>
          <cell r="J1246">
            <v>180</v>
          </cell>
          <cell r="K1246">
            <v>0</v>
          </cell>
          <cell r="L1246">
            <v>0.5</v>
          </cell>
          <cell r="M1246">
            <v>0</v>
          </cell>
          <cell r="N1246">
            <v>0</v>
          </cell>
          <cell r="O1246" t="str">
            <v>40V</v>
          </cell>
          <cell r="P1246" t="str">
            <v>1010</v>
          </cell>
          <cell r="Q1246" t="str">
            <v>1010</v>
          </cell>
          <cell r="R1246">
            <v>2.7777777777777777</v>
          </cell>
          <cell r="S1246">
            <v>0</v>
          </cell>
        </row>
        <row r="1247">
          <cell r="A1247" t="str">
            <v>Y009-114</v>
          </cell>
          <cell r="B1247" t="str">
            <v>LCT009-691</v>
          </cell>
          <cell r="C1247" t="str">
            <v>Y009</v>
          </cell>
          <cell r="D1247" t="str">
            <v>TG-G003-123</v>
          </cell>
          <cell r="E1247" t="str">
            <v xml:space="preserve">Chỉ ngang hộc kéo </v>
          </cell>
          <cell r="F1247" t="str">
            <v>564*28*12</v>
          </cell>
          <cell r="G1247">
            <v>564</v>
          </cell>
          <cell r="H1247">
            <v>28</v>
          </cell>
          <cell r="I1247">
            <v>12</v>
          </cell>
          <cell r="J1247">
            <v>330</v>
          </cell>
          <cell r="K1247">
            <v>0</v>
          </cell>
          <cell r="L1247">
            <v>0.92</v>
          </cell>
          <cell r="M1247">
            <v>0</v>
          </cell>
          <cell r="N1247">
            <v>0</v>
          </cell>
          <cell r="O1247" t="str">
            <v>40V</v>
          </cell>
          <cell r="P1247" t="str">
            <v>1010</v>
          </cell>
          <cell r="Q1247" t="str">
            <v>1010</v>
          </cell>
          <cell r="R1247">
            <v>2.7878787878787881</v>
          </cell>
        </row>
        <row r="1248">
          <cell r="A1248" t="str">
            <v>Y009-115</v>
          </cell>
          <cell r="B1248" t="str">
            <v>LCT009-692</v>
          </cell>
          <cell r="C1248" t="str">
            <v>Y009</v>
          </cell>
          <cell r="D1248" t="str">
            <v>TG-G003-100</v>
          </cell>
          <cell r="E1248" t="str">
            <v>Viền 4 cạnh khung gương-trái</v>
          </cell>
          <cell r="F1248" t="str">
            <v>598*119</v>
          </cell>
          <cell r="G1248">
            <v>598</v>
          </cell>
          <cell r="H1248">
            <v>119</v>
          </cell>
          <cell r="I1248">
            <v>0</v>
          </cell>
          <cell r="J1248">
            <v>550</v>
          </cell>
          <cell r="K1248">
            <v>0</v>
          </cell>
          <cell r="L1248">
            <v>1.54</v>
          </cell>
          <cell r="M1248">
            <v>0</v>
          </cell>
          <cell r="N1248">
            <v>0</v>
          </cell>
          <cell r="O1248" t="str">
            <v>40V</v>
          </cell>
          <cell r="P1248" t="str">
            <v>1010</v>
          </cell>
          <cell r="Q1248" t="str">
            <v>1010</v>
          </cell>
          <cell r="R1248">
            <v>2.8</v>
          </cell>
        </row>
        <row r="1249">
          <cell r="A1249" t="str">
            <v>Y009-116</v>
          </cell>
          <cell r="B1249" t="str">
            <v>LCT009-693</v>
          </cell>
          <cell r="C1249" t="str">
            <v>Y009</v>
          </cell>
          <cell r="D1249" t="str">
            <v>TG-G003-100</v>
          </cell>
          <cell r="E1249" t="str">
            <v>Viền 4 cạnh khung gương-phải</v>
          </cell>
          <cell r="F1249" t="str">
            <v>598*119</v>
          </cell>
          <cell r="G1249">
            <v>598</v>
          </cell>
          <cell r="H1249">
            <v>119</v>
          </cell>
          <cell r="I1249">
            <v>0</v>
          </cell>
          <cell r="J1249">
            <v>550</v>
          </cell>
          <cell r="K1249">
            <v>0</v>
          </cell>
          <cell r="L1249">
            <v>1.54</v>
          </cell>
          <cell r="M1249">
            <v>0</v>
          </cell>
          <cell r="N1249">
            <v>0</v>
          </cell>
          <cell r="O1249" t="str">
            <v>40V</v>
          </cell>
          <cell r="P1249" t="str">
            <v>1010</v>
          </cell>
          <cell r="Q1249" t="str">
            <v>1010</v>
          </cell>
          <cell r="R1249">
            <v>2.8</v>
          </cell>
          <cell r="S1249">
            <v>0</v>
          </cell>
        </row>
        <row r="1250">
          <cell r="A1250" t="str">
            <v>Y009-117</v>
          </cell>
          <cell r="B1250" t="str">
            <v>LCT009-694</v>
          </cell>
          <cell r="C1250" t="str">
            <v>Y009</v>
          </cell>
          <cell r="D1250" t="str">
            <v>TG-G003-100</v>
          </cell>
          <cell r="E1250" t="str">
            <v>Bông poly 4 gốc-2 bên</v>
          </cell>
          <cell r="F1250">
            <v>305</v>
          </cell>
          <cell r="G1250">
            <v>305</v>
          </cell>
          <cell r="H1250">
            <v>0</v>
          </cell>
          <cell r="I1250">
            <v>0</v>
          </cell>
          <cell r="J1250">
            <v>305</v>
          </cell>
          <cell r="K1250">
            <v>0</v>
          </cell>
          <cell r="L1250">
            <v>0.87</v>
          </cell>
          <cell r="M1250">
            <v>0</v>
          </cell>
          <cell r="N1250">
            <v>0</v>
          </cell>
          <cell r="O1250" t="str">
            <v>40V</v>
          </cell>
          <cell r="P1250" t="str">
            <v>1010</v>
          </cell>
          <cell r="Q1250" t="str">
            <v>1010</v>
          </cell>
          <cell r="R1250">
            <v>2.8524590163934427</v>
          </cell>
          <cell r="S1250">
            <v>0</v>
          </cell>
        </row>
        <row r="1251">
          <cell r="A1251" t="str">
            <v>Y009-118</v>
          </cell>
          <cell r="B1251" t="str">
            <v>LCT009-695</v>
          </cell>
          <cell r="C1251" t="str">
            <v>Y009</v>
          </cell>
          <cell r="D1251" t="str">
            <v>TG-G003-100</v>
          </cell>
          <cell r="E1251" t="str">
            <v>Bông poly 4 gốc-trên+ dưới</v>
          </cell>
          <cell r="F1251">
            <v>311</v>
          </cell>
          <cell r="G1251">
            <v>311</v>
          </cell>
          <cell r="H1251">
            <v>0</v>
          </cell>
          <cell r="I1251">
            <v>0</v>
          </cell>
          <cell r="J1251">
            <v>305</v>
          </cell>
          <cell r="K1251">
            <v>0</v>
          </cell>
          <cell r="L1251">
            <v>0.87</v>
          </cell>
          <cell r="M1251">
            <v>0</v>
          </cell>
          <cell r="N1251">
            <v>0</v>
          </cell>
          <cell r="O1251" t="str">
            <v>40V</v>
          </cell>
          <cell r="P1251" t="str">
            <v>1010</v>
          </cell>
          <cell r="Q1251" t="str">
            <v>1010</v>
          </cell>
          <cell r="R1251">
            <v>2.8524590163934427</v>
          </cell>
          <cell r="S1251">
            <v>0</v>
          </cell>
        </row>
        <row r="1252">
          <cell r="A1252" t="str">
            <v>Y009-119</v>
          </cell>
          <cell r="B1252" t="str">
            <v>LCT009-697</v>
          </cell>
          <cell r="C1252" t="str">
            <v>Y009</v>
          </cell>
          <cell r="D1252" t="str">
            <v>TG-G003-150H</v>
          </cell>
          <cell r="E1252" t="str">
            <v>Chỉ dắp ngang đầu giường</v>
          </cell>
          <cell r="F1252" t="str">
            <v>690*6*6</v>
          </cell>
          <cell r="G1252">
            <v>690</v>
          </cell>
          <cell r="H1252">
            <v>6</v>
          </cell>
          <cell r="I1252">
            <v>6</v>
          </cell>
          <cell r="J1252">
            <v>70</v>
          </cell>
          <cell r="K1252">
            <v>0</v>
          </cell>
          <cell r="L1252">
            <v>0.15</v>
          </cell>
          <cell r="M1252">
            <v>0</v>
          </cell>
          <cell r="N1252">
            <v>0</v>
          </cell>
          <cell r="O1252" t="str">
            <v>40V</v>
          </cell>
          <cell r="P1252" t="str">
            <v>1010</v>
          </cell>
          <cell r="Q1252" t="str">
            <v>1010</v>
          </cell>
          <cell r="R1252">
            <v>2.1428571428571428</v>
          </cell>
          <cell r="S1252">
            <v>0</v>
          </cell>
        </row>
        <row r="1253">
          <cell r="A1253" t="str">
            <v>Y009-120</v>
          </cell>
          <cell r="B1253" t="str">
            <v>LCT009-698</v>
          </cell>
          <cell r="C1253" t="str">
            <v>Y009</v>
          </cell>
          <cell r="D1253" t="str">
            <v>TG-G003-150H</v>
          </cell>
          <cell r="E1253" t="str">
            <v>Chỉ dắp ngang đầu giường</v>
          </cell>
          <cell r="F1253" t="str">
            <v>720*6*6</v>
          </cell>
          <cell r="G1253">
            <v>720</v>
          </cell>
          <cell r="H1253">
            <v>6</v>
          </cell>
          <cell r="I1253">
            <v>6</v>
          </cell>
          <cell r="J1253">
            <v>75</v>
          </cell>
          <cell r="K1253">
            <v>0</v>
          </cell>
          <cell r="L1253">
            <v>0.16</v>
          </cell>
          <cell r="M1253">
            <v>0</v>
          </cell>
          <cell r="N1253">
            <v>0</v>
          </cell>
          <cell r="O1253" t="str">
            <v>40V</v>
          </cell>
          <cell r="P1253" t="str">
            <v>1010</v>
          </cell>
          <cell r="Q1253" t="str">
            <v>1010</v>
          </cell>
          <cell r="R1253">
            <v>2.1333333333333333</v>
          </cell>
          <cell r="S1253">
            <v>0</v>
          </cell>
        </row>
        <row r="1254">
          <cell r="A1254" t="str">
            <v>Y009-121</v>
          </cell>
          <cell r="B1254" t="str">
            <v>LCT009-699</v>
          </cell>
          <cell r="C1254" t="str">
            <v>Y009</v>
          </cell>
          <cell r="D1254" t="str">
            <v>TG-G003-150H</v>
          </cell>
          <cell r="E1254" t="str">
            <v>Chỉ đứng ngang đầu giường</v>
          </cell>
          <cell r="F1254" t="str">
            <v>730*6*6</v>
          </cell>
          <cell r="G1254">
            <v>730</v>
          </cell>
          <cell r="H1254">
            <v>6</v>
          </cell>
          <cell r="I1254">
            <v>6</v>
          </cell>
          <cell r="J1254">
            <v>80</v>
          </cell>
          <cell r="K1254">
            <v>0</v>
          </cell>
          <cell r="L1254">
            <v>0.16</v>
          </cell>
          <cell r="M1254">
            <v>0</v>
          </cell>
          <cell r="N1254">
            <v>0</v>
          </cell>
          <cell r="O1254" t="str">
            <v>40V</v>
          </cell>
          <cell r="P1254" t="str">
            <v>1010</v>
          </cell>
          <cell r="Q1254" t="str">
            <v>1010</v>
          </cell>
          <cell r="R1254">
            <v>2</v>
          </cell>
          <cell r="S1254">
            <v>0</v>
          </cell>
        </row>
        <row r="1255">
          <cell r="A1255" t="str">
            <v>Y009-122</v>
          </cell>
          <cell r="B1255" t="str">
            <v>LCT009-700</v>
          </cell>
          <cell r="C1255" t="str">
            <v>Y009</v>
          </cell>
          <cell r="D1255" t="str">
            <v>TG-G003-150H</v>
          </cell>
          <cell r="E1255" t="str">
            <v>Chỉ đứng 2 bên đầu giường</v>
          </cell>
          <cell r="F1255" t="str">
            <v>590*6*6</v>
          </cell>
          <cell r="G1255">
            <v>590</v>
          </cell>
          <cell r="H1255">
            <v>6</v>
          </cell>
          <cell r="I1255">
            <v>6</v>
          </cell>
          <cell r="J1255">
            <v>60</v>
          </cell>
          <cell r="K1255">
            <v>0</v>
          </cell>
          <cell r="L1255">
            <v>0.12</v>
          </cell>
          <cell r="M1255">
            <v>0</v>
          </cell>
          <cell r="N1255">
            <v>0</v>
          </cell>
          <cell r="O1255" t="str">
            <v>40V</v>
          </cell>
          <cell r="P1255" t="str">
            <v>1010</v>
          </cell>
          <cell r="Q1255" t="str">
            <v>1010</v>
          </cell>
          <cell r="R1255">
            <v>2</v>
          </cell>
          <cell r="S1255">
            <v>0</v>
          </cell>
        </row>
        <row r="1256">
          <cell r="A1256" t="str">
            <v>Y009-123</v>
          </cell>
          <cell r="B1256" t="str">
            <v>LCT009-701</v>
          </cell>
          <cell r="C1256" t="str">
            <v>Y009</v>
          </cell>
          <cell r="D1256" t="str">
            <v>TG-G003-150F</v>
          </cell>
          <cell r="E1256" t="str">
            <v xml:space="preserve">Chỉ đứng đuôi giường </v>
          </cell>
          <cell r="F1256" t="str">
            <v>350*6*6</v>
          </cell>
          <cell r="G1256">
            <v>350</v>
          </cell>
          <cell r="H1256">
            <v>6</v>
          </cell>
          <cell r="I1256">
            <v>6</v>
          </cell>
          <cell r="J1256">
            <v>50</v>
          </cell>
          <cell r="K1256">
            <v>0</v>
          </cell>
          <cell r="L1256">
            <v>7.0000000000000007E-2</v>
          </cell>
          <cell r="M1256">
            <v>0</v>
          </cell>
          <cell r="N1256">
            <v>0</v>
          </cell>
          <cell r="O1256" t="str">
            <v>40V</v>
          </cell>
          <cell r="P1256" t="str">
            <v>1010</v>
          </cell>
          <cell r="Q1256" t="str">
            <v>1010</v>
          </cell>
          <cell r="R1256">
            <v>1.4000000000000001</v>
          </cell>
          <cell r="S1256">
            <v>0</v>
          </cell>
        </row>
        <row r="1257">
          <cell r="A1257" t="str">
            <v>Y009-124</v>
          </cell>
          <cell r="B1257" t="str">
            <v>LCT009-702</v>
          </cell>
          <cell r="C1257" t="str">
            <v>Y009</v>
          </cell>
          <cell r="D1257" t="str">
            <v>TG-G003-167H</v>
          </cell>
          <cell r="E1257" t="str">
            <v xml:space="preserve">Chỉ  đắp ngang đầu giường </v>
          </cell>
          <cell r="F1257" t="str">
            <v>920*6*6</v>
          </cell>
          <cell r="G1257">
            <v>920</v>
          </cell>
          <cell r="H1257">
            <v>6</v>
          </cell>
          <cell r="I1257">
            <v>6</v>
          </cell>
          <cell r="J1257">
            <v>100</v>
          </cell>
          <cell r="K1257">
            <v>0</v>
          </cell>
          <cell r="L1257">
            <v>0.19</v>
          </cell>
          <cell r="M1257">
            <v>0</v>
          </cell>
          <cell r="N1257">
            <v>0</v>
          </cell>
          <cell r="O1257" t="str">
            <v>40V</v>
          </cell>
          <cell r="P1257" t="str">
            <v>1010</v>
          </cell>
          <cell r="Q1257" t="str">
            <v>1010</v>
          </cell>
          <cell r="R1257">
            <v>1.9</v>
          </cell>
        </row>
        <row r="1258">
          <cell r="A1258" t="str">
            <v>Y009-125</v>
          </cell>
          <cell r="B1258" t="str">
            <v>LCT009-703</v>
          </cell>
          <cell r="C1258" t="str">
            <v>Y009</v>
          </cell>
          <cell r="D1258" t="str">
            <v>TG-G003-167H</v>
          </cell>
          <cell r="E1258" t="str">
            <v xml:space="preserve">Chỉ  đắp ngang đầu giường </v>
          </cell>
          <cell r="F1258" t="str">
            <v>890*6*6</v>
          </cell>
          <cell r="G1258">
            <v>890</v>
          </cell>
          <cell r="H1258">
            <v>6</v>
          </cell>
          <cell r="I1258">
            <v>6</v>
          </cell>
          <cell r="J1258">
            <v>90</v>
          </cell>
          <cell r="K1258">
            <v>0</v>
          </cell>
          <cell r="L1258">
            <v>0.19</v>
          </cell>
          <cell r="M1258">
            <v>0</v>
          </cell>
          <cell r="N1258">
            <v>0</v>
          </cell>
          <cell r="O1258" t="str">
            <v>40V</v>
          </cell>
          <cell r="P1258" t="str">
            <v>1010</v>
          </cell>
          <cell r="Q1258" t="str">
            <v>1010</v>
          </cell>
          <cell r="R1258">
            <v>2.1111111111111112</v>
          </cell>
        </row>
        <row r="1259">
          <cell r="A1259" t="str">
            <v>Y009-126</v>
          </cell>
          <cell r="B1259" t="str">
            <v>LCT009-704</v>
          </cell>
          <cell r="C1259" t="str">
            <v>Y009</v>
          </cell>
          <cell r="D1259" t="str">
            <v>TG-G003-167H</v>
          </cell>
          <cell r="E1259" t="str">
            <v xml:space="preserve">Chỉ đứng giữa đầu giường </v>
          </cell>
          <cell r="F1259" t="str">
            <v>730*6*6</v>
          </cell>
          <cell r="G1259">
            <v>730</v>
          </cell>
          <cell r="H1259">
            <v>6</v>
          </cell>
          <cell r="I1259">
            <v>6</v>
          </cell>
          <cell r="J1259">
            <v>80</v>
          </cell>
          <cell r="K1259">
            <v>0</v>
          </cell>
          <cell r="L1259">
            <v>0.16</v>
          </cell>
          <cell r="M1259">
            <v>0</v>
          </cell>
          <cell r="N1259">
            <v>0</v>
          </cell>
          <cell r="O1259" t="str">
            <v>40V</v>
          </cell>
          <cell r="P1259" t="str">
            <v>1010</v>
          </cell>
          <cell r="Q1259" t="str">
            <v>1010</v>
          </cell>
          <cell r="R1259">
            <v>2</v>
          </cell>
        </row>
        <row r="1260">
          <cell r="A1260" t="str">
            <v>Y009-127</v>
          </cell>
          <cell r="B1260" t="str">
            <v>LCT009-705</v>
          </cell>
          <cell r="C1260" t="str">
            <v>Y009</v>
          </cell>
          <cell r="D1260" t="str">
            <v>TG-G003-167H</v>
          </cell>
          <cell r="E1260" t="str">
            <v xml:space="preserve">Chỉ đứng 2 bên đầu giường </v>
          </cell>
          <cell r="F1260" t="str">
            <v>590*6*6</v>
          </cell>
          <cell r="G1260">
            <v>590</v>
          </cell>
          <cell r="H1260">
            <v>6</v>
          </cell>
          <cell r="I1260">
            <v>6</v>
          </cell>
          <cell r="J1260">
            <v>60</v>
          </cell>
          <cell r="K1260">
            <v>0</v>
          </cell>
          <cell r="L1260">
            <v>0.12</v>
          </cell>
          <cell r="M1260">
            <v>0</v>
          </cell>
          <cell r="N1260">
            <v>0</v>
          </cell>
          <cell r="O1260" t="str">
            <v>40V</v>
          </cell>
          <cell r="P1260" t="str">
            <v>1010</v>
          </cell>
          <cell r="Q1260" t="str">
            <v>1010</v>
          </cell>
          <cell r="R1260">
            <v>2</v>
          </cell>
        </row>
        <row r="1261">
          <cell r="A1261" t="str">
            <v>Y009-128</v>
          </cell>
          <cell r="B1261" t="str">
            <v>LCT009-706</v>
          </cell>
          <cell r="C1261" t="str">
            <v>Y009</v>
          </cell>
          <cell r="D1261" t="str">
            <v>TG-G003-167H</v>
          </cell>
          <cell r="E1261" t="str">
            <v xml:space="preserve">Chỉ ngang đuôi giường </v>
          </cell>
          <cell r="F1261" t="str">
            <v>870*6*6</v>
          </cell>
          <cell r="G1261">
            <v>870</v>
          </cell>
          <cell r="H1261">
            <v>6</v>
          </cell>
          <cell r="I1261">
            <v>6</v>
          </cell>
          <cell r="J1261">
            <v>85</v>
          </cell>
          <cell r="K1261">
            <v>0</v>
          </cell>
          <cell r="L1261">
            <v>0.18</v>
          </cell>
          <cell r="M1261">
            <v>0</v>
          </cell>
          <cell r="N1261">
            <v>0</v>
          </cell>
          <cell r="O1261" t="str">
            <v>40V</v>
          </cell>
          <cell r="P1261" t="str">
            <v>1010</v>
          </cell>
          <cell r="Q1261" t="str">
            <v>1010</v>
          </cell>
          <cell r="R1261">
            <v>2.117647058823529</v>
          </cell>
        </row>
        <row r="1262">
          <cell r="A1262" t="str">
            <v>Y009-129</v>
          </cell>
          <cell r="B1262" t="str">
            <v>LCT009-707</v>
          </cell>
          <cell r="C1262" t="str">
            <v>Y009</v>
          </cell>
          <cell r="D1262" t="str">
            <v>TG-G003-167H</v>
          </cell>
          <cell r="E1262" t="str">
            <v xml:space="preserve">Chỉ đứng đuôi giường </v>
          </cell>
          <cell r="F1262" t="str">
            <v>350*6*6</v>
          </cell>
          <cell r="G1262">
            <v>350</v>
          </cell>
          <cell r="H1262">
            <v>6</v>
          </cell>
          <cell r="I1262">
            <v>6</v>
          </cell>
          <cell r="J1262">
            <v>50</v>
          </cell>
          <cell r="K1262">
            <v>0</v>
          </cell>
          <cell r="L1262">
            <v>7.0000000000000007E-2</v>
          </cell>
          <cell r="M1262">
            <v>0</v>
          </cell>
          <cell r="N1262">
            <v>0</v>
          </cell>
          <cell r="O1262" t="str">
            <v>40V</v>
          </cell>
          <cell r="P1262" t="str">
            <v>1010</v>
          </cell>
          <cell r="Q1262" t="str">
            <v>1010</v>
          </cell>
          <cell r="R1262">
            <v>1.4000000000000001</v>
          </cell>
        </row>
        <row r="1263">
          <cell r="A1263" t="str">
            <v>Y009-130</v>
          </cell>
          <cell r="B1263" t="str">
            <v>LCT009-347</v>
          </cell>
          <cell r="C1263" t="str">
            <v>Y009</v>
          </cell>
          <cell r="D1263" t="str">
            <v>8063-123</v>
          </cell>
          <cell r="E1263" t="str">
            <v>鏡飾花</v>
          </cell>
          <cell r="F1263" t="str">
            <v>6*97*474</v>
          </cell>
          <cell r="G1263">
            <v>6</v>
          </cell>
          <cell r="H1263">
            <v>97</v>
          </cell>
          <cell r="I1263">
            <v>474</v>
          </cell>
          <cell r="J1263">
            <v>0</v>
          </cell>
          <cell r="K1263">
            <v>0</v>
          </cell>
          <cell r="L1263">
            <v>0</v>
          </cell>
          <cell r="M1263">
            <v>7740</v>
          </cell>
          <cell r="N1263">
            <v>0</v>
          </cell>
          <cell r="O1263" t="str">
            <v>V</v>
          </cell>
          <cell r="P1263" t="str">
            <v>1060</v>
          </cell>
          <cell r="Q1263">
            <v>1060</v>
          </cell>
          <cell r="R1263" t="e">
            <v>#DIV/0!</v>
          </cell>
          <cell r="S1263">
            <v>0.42399999999999999</v>
          </cell>
          <cell r="T1263">
            <v>22200</v>
          </cell>
        </row>
        <row r="1264">
          <cell r="A1264" t="str">
            <v>Y009-131</v>
          </cell>
          <cell r="B1264" t="str">
            <v>LCT009-361</v>
          </cell>
          <cell r="C1264" t="str">
            <v>Y009</v>
          </cell>
          <cell r="D1264" t="str">
            <v>8062-135</v>
          </cell>
          <cell r="E1264" t="str">
            <v>後角</v>
          </cell>
          <cell r="F1264" t="str">
            <v>19*97*205</v>
          </cell>
          <cell r="G1264">
            <v>19</v>
          </cell>
          <cell r="H1264">
            <v>97</v>
          </cell>
          <cell r="I1264">
            <v>205</v>
          </cell>
          <cell r="J1264">
            <v>0</v>
          </cell>
          <cell r="K1264">
            <v>0</v>
          </cell>
          <cell r="L1264">
            <v>0</v>
          </cell>
          <cell r="M1264">
            <v>9180</v>
          </cell>
          <cell r="N1264">
            <v>0</v>
          </cell>
          <cell r="O1264" t="str">
            <v>V</v>
          </cell>
          <cell r="P1264" t="str">
            <v>3712</v>
          </cell>
          <cell r="Q1264">
            <v>3712</v>
          </cell>
          <cell r="R1264" t="e">
            <v>#DIV/0!</v>
          </cell>
          <cell r="S1264">
            <v>0.503</v>
          </cell>
          <cell r="T1264">
            <v>22200</v>
          </cell>
        </row>
        <row r="1265">
          <cell r="A1265" t="str">
            <v>Y009-132</v>
          </cell>
          <cell r="B1265" t="str">
            <v>LCT009-412</v>
          </cell>
          <cell r="C1265" t="str">
            <v>Y009</v>
          </cell>
          <cell r="D1265" t="str">
            <v>8063-110</v>
          </cell>
          <cell r="E1265" t="str">
            <v>鏡飾花</v>
          </cell>
          <cell r="F1265" t="str">
            <v>6*97*734</v>
          </cell>
          <cell r="G1265">
            <v>6</v>
          </cell>
          <cell r="H1265">
            <v>97</v>
          </cell>
          <cell r="I1265">
            <v>734</v>
          </cell>
          <cell r="J1265">
            <v>0</v>
          </cell>
          <cell r="K1265">
            <v>0</v>
          </cell>
          <cell r="L1265">
            <v>0</v>
          </cell>
          <cell r="M1265">
            <v>13680</v>
          </cell>
          <cell r="N1265">
            <v>0</v>
          </cell>
          <cell r="O1265" t="str">
            <v>V</v>
          </cell>
          <cell r="P1265" t="str">
            <v>1060</v>
          </cell>
          <cell r="Q1265">
            <v>1060</v>
          </cell>
          <cell r="R1265" t="e">
            <v>#DIV/0!</v>
          </cell>
          <cell r="S1265">
            <v>0.749</v>
          </cell>
          <cell r="T1265">
            <v>22200</v>
          </cell>
        </row>
        <row r="1266">
          <cell r="A1266" t="str">
            <v>Y009-133</v>
          </cell>
          <cell r="B1266" t="str">
            <v>LCT009-399</v>
          </cell>
          <cell r="C1266" t="str">
            <v>Y009</v>
          </cell>
          <cell r="D1266" t="str">
            <v>8063-110</v>
          </cell>
          <cell r="E1266" t="str">
            <v xml:space="preserve"> 2 下前饰条</v>
          </cell>
          <cell r="F1266" t="str">
            <v>28*28*126</v>
          </cell>
          <cell r="G1266">
            <v>28</v>
          </cell>
          <cell r="H1266">
            <v>28</v>
          </cell>
          <cell r="I1266">
            <v>126</v>
          </cell>
          <cell r="J1266">
            <v>0</v>
          </cell>
          <cell r="K1266">
            <v>0</v>
          </cell>
          <cell r="L1266">
            <v>0</v>
          </cell>
          <cell r="M1266">
            <v>3600</v>
          </cell>
          <cell r="N1266">
            <v>0</v>
          </cell>
          <cell r="O1266" t="str">
            <v>V</v>
          </cell>
          <cell r="P1266" t="str">
            <v>1010</v>
          </cell>
          <cell r="Q1266">
            <v>1010</v>
          </cell>
          <cell r="R1266" t="e">
            <v>#DIV/0!</v>
          </cell>
          <cell r="S1266">
            <v>0.19700000000000001</v>
          </cell>
          <cell r="T1266">
            <v>22200</v>
          </cell>
        </row>
        <row r="1267">
          <cell r="A1267" t="str">
            <v>Y009-134</v>
          </cell>
          <cell r="B1267" t="str">
            <v>LCT009-425</v>
          </cell>
          <cell r="C1267" t="str">
            <v>Y009</v>
          </cell>
          <cell r="D1267" t="str">
            <v>8063-110</v>
          </cell>
          <cell r="E1267" t="str">
            <v>前角</v>
          </cell>
          <cell r="F1267" t="str">
            <v>28*97*(210*210)</v>
          </cell>
          <cell r="G1267">
            <v>28</v>
          </cell>
          <cell r="H1267">
            <v>97</v>
          </cell>
          <cell r="I1267" t="str">
            <v>210*210</v>
          </cell>
          <cell r="J1267">
            <v>0</v>
          </cell>
          <cell r="K1267">
            <v>0</v>
          </cell>
          <cell r="L1267">
            <v>0</v>
          </cell>
          <cell r="M1267">
            <v>18000</v>
          </cell>
          <cell r="N1267">
            <v>0</v>
          </cell>
          <cell r="O1267" t="str">
            <v>V</v>
          </cell>
          <cell r="P1267" t="str">
            <v>1010</v>
          </cell>
          <cell r="Q1267">
            <v>1010</v>
          </cell>
          <cell r="R1267" t="e">
            <v>#DIV/0!</v>
          </cell>
          <cell r="S1267">
            <v>0.98599999999999999</v>
          </cell>
          <cell r="T1267">
            <v>22200</v>
          </cell>
        </row>
        <row r="1268">
          <cell r="A1268" t="str">
            <v>Y009-135</v>
          </cell>
          <cell r="B1268" t="str">
            <v>LCT009-378</v>
          </cell>
          <cell r="C1268" t="str">
            <v>Y009</v>
          </cell>
          <cell r="D1268" t="str">
            <v>8063-110</v>
          </cell>
          <cell r="E1268" t="str">
            <v>後角</v>
          </cell>
          <cell r="F1268" t="str">
            <v>19*97*205</v>
          </cell>
          <cell r="G1268">
            <v>19</v>
          </cell>
          <cell r="H1268">
            <v>97</v>
          </cell>
          <cell r="I1268">
            <v>205</v>
          </cell>
          <cell r="J1268">
            <v>0</v>
          </cell>
          <cell r="K1268">
            <v>0</v>
          </cell>
          <cell r="L1268">
            <v>0.503</v>
          </cell>
          <cell r="M1268">
            <v>0</v>
          </cell>
          <cell r="N1268">
            <v>0</v>
          </cell>
          <cell r="O1268" t="str">
            <v>V</v>
          </cell>
          <cell r="P1268" t="str">
            <v>3712</v>
          </cell>
          <cell r="Q1268">
            <v>3712</v>
          </cell>
          <cell r="R1268" t="e">
            <v>#DIV/0!</v>
          </cell>
          <cell r="S1268">
            <v>0.503</v>
          </cell>
          <cell r="T1268">
            <v>22200</v>
          </cell>
        </row>
        <row r="1269">
          <cell r="A1269" t="str">
            <v>Y009-136</v>
          </cell>
          <cell r="B1269" t="str">
            <v>LCT009-363</v>
          </cell>
          <cell r="C1269" t="str">
            <v>Y009</v>
          </cell>
          <cell r="D1269" t="str">
            <v>8063-150 H</v>
          </cell>
          <cell r="E1269" t="str">
            <v>上橫飾條</v>
          </cell>
          <cell r="F1269" t="str">
            <v>11*19*508</v>
          </cell>
          <cell r="G1269">
            <v>11</v>
          </cell>
          <cell r="H1269">
            <v>19</v>
          </cell>
          <cell r="I1269">
            <v>508</v>
          </cell>
          <cell r="J1269">
            <v>0</v>
          </cell>
          <cell r="K1269">
            <v>0</v>
          </cell>
          <cell r="L1269">
            <v>0</v>
          </cell>
          <cell r="M1269">
            <v>4860</v>
          </cell>
          <cell r="N1269">
            <v>0</v>
          </cell>
          <cell r="O1269" t="str">
            <v>V</v>
          </cell>
          <cell r="P1269" t="str">
            <v>1010</v>
          </cell>
          <cell r="Q1269">
            <v>1010</v>
          </cell>
          <cell r="R1269" t="e">
            <v>#DIV/0!</v>
          </cell>
          <cell r="S1269">
            <v>0.26600000000000001</v>
          </cell>
          <cell r="T1269">
            <v>22200</v>
          </cell>
        </row>
        <row r="1270">
          <cell r="A1270" t="str">
            <v>Y009-137</v>
          </cell>
          <cell r="B1270" t="str">
            <v>LCT009-364</v>
          </cell>
          <cell r="C1270" t="str">
            <v>Y009</v>
          </cell>
          <cell r="D1270" t="str">
            <v>8063-150 H</v>
          </cell>
          <cell r="E1270" t="str">
            <v>鏡飾花</v>
          </cell>
          <cell r="F1270" t="str">
            <v>6*97*560</v>
          </cell>
          <cell r="G1270">
            <v>6</v>
          </cell>
          <cell r="H1270">
            <v>97</v>
          </cell>
          <cell r="I1270">
            <v>560</v>
          </cell>
          <cell r="J1270">
            <v>0</v>
          </cell>
          <cell r="K1270">
            <v>0</v>
          </cell>
          <cell r="L1270">
            <v>0.621</v>
          </cell>
          <cell r="M1270">
            <v>0</v>
          </cell>
          <cell r="N1270">
            <v>0</v>
          </cell>
          <cell r="O1270" t="str">
            <v>V</v>
          </cell>
          <cell r="P1270" t="str">
            <v>1060</v>
          </cell>
          <cell r="Q1270">
            <v>1060</v>
          </cell>
          <cell r="R1270" t="e">
            <v>#DIV/0!</v>
          </cell>
          <cell r="S1270">
            <v>0.621</v>
          </cell>
          <cell r="T1270">
            <v>22200</v>
          </cell>
        </row>
        <row r="1271">
          <cell r="A1271" t="str">
            <v>Y009-138</v>
          </cell>
          <cell r="B1271" t="str">
            <v>LCT009-373</v>
          </cell>
          <cell r="C1271" t="str">
            <v>Y009</v>
          </cell>
          <cell r="D1271" t="str">
            <v>8063-150</v>
          </cell>
          <cell r="E1271" t="str">
            <v>鏡飾花</v>
          </cell>
          <cell r="F1271" t="str">
            <v>Ø 102*195</v>
          </cell>
          <cell r="G1271" t="str">
            <v>Ø</v>
          </cell>
          <cell r="H1271">
            <v>102</v>
          </cell>
          <cell r="I1271">
            <v>195</v>
          </cell>
          <cell r="J1271">
            <v>0</v>
          </cell>
          <cell r="K1271">
            <v>0</v>
          </cell>
          <cell r="L1271">
            <v>0</v>
          </cell>
          <cell r="M1271">
            <v>23400</v>
          </cell>
          <cell r="N1271">
            <v>0</v>
          </cell>
          <cell r="O1271" t="str">
            <v>V</v>
          </cell>
          <cell r="P1271" t="str">
            <v>3712</v>
          </cell>
          <cell r="Q1271">
            <v>3712</v>
          </cell>
          <cell r="R1271" t="e">
            <v>#DIV/0!</v>
          </cell>
          <cell r="S1271">
            <v>1.2809999999999999</v>
          </cell>
          <cell r="T1271">
            <v>22200</v>
          </cell>
        </row>
        <row r="1272">
          <cell r="A1272" t="str">
            <v>Y009-139</v>
          </cell>
          <cell r="B1272" t="str">
            <v>LCT009-365</v>
          </cell>
          <cell r="C1272" t="str">
            <v>Y009</v>
          </cell>
          <cell r="D1272" t="str">
            <v>8063-150 F</v>
          </cell>
          <cell r="E1272" t="str">
            <v>上橫飾條</v>
          </cell>
          <cell r="F1272" t="str">
            <v>11*19*150</v>
          </cell>
          <cell r="G1272">
            <v>11</v>
          </cell>
          <cell r="H1272">
            <v>19</v>
          </cell>
          <cell r="I1272">
            <v>150</v>
          </cell>
          <cell r="J1272">
            <v>0</v>
          </cell>
          <cell r="K1272">
            <v>0</v>
          </cell>
          <cell r="L1272">
            <v>0</v>
          </cell>
          <cell r="M1272">
            <v>1980</v>
          </cell>
          <cell r="N1272">
            <v>0</v>
          </cell>
          <cell r="O1272" t="str">
            <v>V</v>
          </cell>
          <cell r="P1272" t="str">
            <v>1010</v>
          </cell>
          <cell r="Q1272">
            <v>1010</v>
          </cell>
          <cell r="R1272" t="e">
            <v>#DIV/0!</v>
          </cell>
          <cell r="S1272">
            <v>0.108</v>
          </cell>
          <cell r="T1272">
            <v>22200</v>
          </cell>
        </row>
        <row r="1273">
          <cell r="A1273" t="str">
            <v>Y009-140</v>
          </cell>
          <cell r="B1273" t="str">
            <v>LCT009-366</v>
          </cell>
          <cell r="C1273" t="str">
            <v>Y009</v>
          </cell>
          <cell r="D1273" t="str">
            <v>8063-150 F</v>
          </cell>
          <cell r="E1273" t="str">
            <v>鏡飾花</v>
          </cell>
          <cell r="F1273" t="str">
            <v>6*97*435</v>
          </cell>
          <cell r="G1273">
            <v>6</v>
          </cell>
          <cell r="H1273">
            <v>97</v>
          </cell>
          <cell r="I1273">
            <v>435</v>
          </cell>
          <cell r="J1273">
            <v>0</v>
          </cell>
          <cell r="K1273">
            <v>0</v>
          </cell>
          <cell r="L1273">
            <v>0.42399999999999999</v>
          </cell>
          <cell r="M1273">
            <v>0</v>
          </cell>
          <cell r="N1273">
            <v>0</v>
          </cell>
          <cell r="O1273" t="str">
            <v>V</v>
          </cell>
          <cell r="P1273" t="str">
            <v>1060</v>
          </cell>
          <cell r="Q1273">
            <v>1060</v>
          </cell>
          <cell r="R1273" t="e">
            <v>#DIV/0!</v>
          </cell>
          <cell r="S1273">
            <v>0.42399999999999999</v>
          </cell>
          <cell r="T1273">
            <v>22200</v>
          </cell>
        </row>
        <row r="1274">
          <cell r="A1274" t="str">
            <v>Y009-141</v>
          </cell>
          <cell r="B1274" t="str">
            <v>LCT009-368</v>
          </cell>
          <cell r="C1274" t="str">
            <v>Y009</v>
          </cell>
          <cell r="D1274" t="str">
            <v>8063-167 H</v>
          </cell>
          <cell r="E1274" t="str">
            <v>上橫飾條-L</v>
          </cell>
          <cell r="F1274" t="str">
            <v>11*19*650</v>
          </cell>
          <cell r="G1274">
            <v>11</v>
          </cell>
          <cell r="H1274">
            <v>19</v>
          </cell>
          <cell r="I1274">
            <v>650</v>
          </cell>
          <cell r="J1274">
            <v>0</v>
          </cell>
          <cell r="K1274">
            <v>0</v>
          </cell>
          <cell r="L1274">
            <v>0</v>
          </cell>
          <cell r="M1274">
            <v>6120</v>
          </cell>
          <cell r="N1274">
            <v>0</v>
          </cell>
          <cell r="O1274" t="str">
            <v>V</v>
          </cell>
          <cell r="P1274" t="str">
            <v>1010</v>
          </cell>
          <cell r="Q1274">
            <v>1010</v>
          </cell>
          <cell r="R1274" t="e">
            <v>#DIV/0!</v>
          </cell>
          <cell r="S1274">
            <v>0.33500000000000002</v>
          </cell>
          <cell r="T1274">
            <v>22200</v>
          </cell>
        </row>
        <row r="1275">
          <cell r="A1275" t="str">
            <v>Y009-142</v>
          </cell>
          <cell r="B1275" t="str">
            <v>LCT009-369</v>
          </cell>
          <cell r="C1275" t="str">
            <v>Y009</v>
          </cell>
          <cell r="D1275" t="str">
            <v>8063-167 H</v>
          </cell>
          <cell r="E1275" t="str">
            <v>鏡飾花</v>
          </cell>
          <cell r="F1275" t="str">
            <v>6*97*560</v>
          </cell>
          <cell r="G1275">
            <v>6</v>
          </cell>
          <cell r="H1275">
            <v>97</v>
          </cell>
          <cell r="I1275">
            <v>560</v>
          </cell>
          <cell r="J1275">
            <v>0</v>
          </cell>
          <cell r="K1275">
            <v>0</v>
          </cell>
          <cell r="L1275">
            <v>0</v>
          </cell>
          <cell r="M1275">
            <v>11340</v>
          </cell>
          <cell r="N1275">
            <v>0</v>
          </cell>
          <cell r="O1275" t="str">
            <v>V</v>
          </cell>
          <cell r="P1275" t="str">
            <v>1060</v>
          </cell>
          <cell r="Q1275">
            <v>1060</v>
          </cell>
          <cell r="R1275" t="e">
            <v>#DIV/0!</v>
          </cell>
          <cell r="S1275">
            <v>0.621</v>
          </cell>
          <cell r="T1275">
            <v>22200</v>
          </cell>
        </row>
        <row r="1276">
          <cell r="A1276" t="str">
            <v>Y009-143</v>
          </cell>
          <cell r="B1276" t="str">
            <v>LCT009-372</v>
          </cell>
          <cell r="C1276" t="str">
            <v>Y009</v>
          </cell>
          <cell r="D1276" t="str">
            <v>8063-167</v>
          </cell>
          <cell r="E1276" t="str">
            <v>鏡飾花</v>
          </cell>
          <cell r="F1276" t="str">
            <v>Ø 102*195</v>
          </cell>
          <cell r="G1276" t="str">
            <v>Ø</v>
          </cell>
          <cell r="H1276">
            <v>102</v>
          </cell>
          <cell r="I1276">
            <v>195</v>
          </cell>
          <cell r="J1276">
            <v>0</v>
          </cell>
          <cell r="K1276">
            <v>0</v>
          </cell>
          <cell r="L1276">
            <v>0</v>
          </cell>
          <cell r="M1276">
            <v>23400</v>
          </cell>
          <cell r="N1276">
            <v>0</v>
          </cell>
          <cell r="O1276" t="str">
            <v>V</v>
          </cell>
          <cell r="P1276" t="str">
            <v>3712</v>
          </cell>
          <cell r="Q1276">
            <v>3712</v>
          </cell>
          <cell r="R1276" t="e">
            <v>#DIV/0!</v>
          </cell>
          <cell r="S1276">
            <v>1.2809999999999999</v>
          </cell>
          <cell r="T1276">
            <v>22200</v>
          </cell>
        </row>
        <row r="1277">
          <cell r="A1277" t="str">
            <v>Y009-144</v>
          </cell>
          <cell r="B1277" t="str">
            <v>LCT009-370</v>
          </cell>
          <cell r="C1277" t="str">
            <v>Y009</v>
          </cell>
          <cell r="D1277" t="str">
            <v>8063-167 F</v>
          </cell>
          <cell r="E1277" t="str">
            <v>上橫飾條</v>
          </cell>
          <cell r="F1277" t="str">
            <v>11*19*150</v>
          </cell>
          <cell r="G1277">
            <v>11</v>
          </cell>
          <cell r="H1277">
            <v>19</v>
          </cell>
          <cell r="I1277">
            <v>150</v>
          </cell>
          <cell r="J1277">
            <v>0</v>
          </cell>
          <cell r="K1277">
            <v>0</v>
          </cell>
          <cell r="L1277">
            <v>0</v>
          </cell>
          <cell r="M1277">
            <v>1980</v>
          </cell>
          <cell r="N1277">
            <v>0</v>
          </cell>
          <cell r="O1277">
            <v>0</v>
          </cell>
          <cell r="P1277" t="str">
            <v>1010</v>
          </cell>
          <cell r="Q1277">
            <v>1010</v>
          </cell>
          <cell r="R1277" t="e">
            <v>#DIV/0!</v>
          </cell>
          <cell r="S1277">
            <v>0.108</v>
          </cell>
          <cell r="T1277">
            <v>22200</v>
          </cell>
        </row>
        <row r="1278">
          <cell r="A1278" t="str">
            <v>Y009-145</v>
          </cell>
          <cell r="B1278" t="str">
            <v>LCT009-371</v>
          </cell>
          <cell r="C1278" t="str">
            <v>Y009</v>
          </cell>
          <cell r="D1278" t="str">
            <v>8063-167 F</v>
          </cell>
          <cell r="E1278" t="str">
            <v>鏡飾花</v>
          </cell>
          <cell r="F1278" t="str">
            <v>6*97*435</v>
          </cell>
          <cell r="G1278">
            <v>6</v>
          </cell>
          <cell r="H1278">
            <v>97</v>
          </cell>
          <cell r="I1278">
            <v>435</v>
          </cell>
          <cell r="J1278">
            <v>0</v>
          </cell>
          <cell r="K1278">
            <v>0</v>
          </cell>
          <cell r="L1278">
            <v>0</v>
          </cell>
          <cell r="M1278">
            <v>7740</v>
          </cell>
          <cell r="N1278">
            <v>0</v>
          </cell>
          <cell r="O1278" t="str">
            <v>V</v>
          </cell>
          <cell r="P1278" t="str">
            <v>1060</v>
          </cell>
          <cell r="Q1278">
            <v>1060</v>
          </cell>
          <cell r="R1278" t="e">
            <v>#DIV/0!</v>
          </cell>
          <cell r="S1278">
            <v>0.42399999999999999</v>
          </cell>
          <cell r="T1278">
            <v>22200</v>
          </cell>
        </row>
        <row r="1279">
          <cell r="A1279" t="str">
            <v>Y009-146</v>
          </cell>
          <cell r="B1279" t="str">
            <v>LCT009-362</v>
          </cell>
          <cell r="C1279" t="str">
            <v>Y009</v>
          </cell>
          <cell r="D1279" t="str">
            <v>8062-150 H</v>
          </cell>
          <cell r="E1279" t="str">
            <v>上橫飾條床尾</v>
          </cell>
          <cell r="F1279" t="str">
            <v>11*19*1840</v>
          </cell>
          <cell r="G1279">
            <v>11</v>
          </cell>
          <cell r="H1279">
            <v>19</v>
          </cell>
          <cell r="I1279">
            <v>1840</v>
          </cell>
          <cell r="J1279">
            <v>400</v>
          </cell>
          <cell r="K1279">
            <v>0</v>
          </cell>
          <cell r="L1279">
            <v>0</v>
          </cell>
          <cell r="M1279">
            <v>17280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0.94599999999999995</v>
          </cell>
          <cell r="T1279">
            <v>22200</v>
          </cell>
        </row>
        <row r="1280">
          <cell r="A1280" t="str">
            <v>Y009-147</v>
          </cell>
          <cell r="B1280" t="str">
            <v>LCT009-367</v>
          </cell>
          <cell r="C1280" t="str">
            <v>Y009</v>
          </cell>
          <cell r="D1280" t="str">
            <v>8063-167 H</v>
          </cell>
          <cell r="E1280" t="str">
            <v>上橫飾條床尾</v>
          </cell>
          <cell r="F1280" t="str">
            <v>11*19*2038</v>
          </cell>
          <cell r="G1280">
            <v>11</v>
          </cell>
          <cell r="H1280">
            <v>19</v>
          </cell>
          <cell r="I1280">
            <v>2038</v>
          </cell>
          <cell r="J1280">
            <v>460</v>
          </cell>
          <cell r="K1280">
            <v>0</v>
          </cell>
          <cell r="L1280">
            <v>0</v>
          </cell>
          <cell r="M1280">
            <v>19440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1.0649999999999999</v>
          </cell>
          <cell r="T1280">
            <v>22200</v>
          </cell>
        </row>
        <row r="1281">
          <cell r="A1281" t="str">
            <v>Y009-148</v>
          </cell>
          <cell r="B1281" t="str">
            <v>LCT009-349</v>
          </cell>
          <cell r="C1281" t="str">
            <v>Y009</v>
          </cell>
          <cell r="D1281" t="str">
            <v>8062-123</v>
          </cell>
          <cell r="E1281" t="str">
            <v>下前飾條 1</v>
          </cell>
          <cell r="F1281" t="str">
            <v>12*28*418*689</v>
          </cell>
          <cell r="G1281" t="str">
            <v>12*28</v>
          </cell>
          <cell r="H1281">
            <v>418</v>
          </cell>
          <cell r="I1281">
            <v>689</v>
          </cell>
          <cell r="J1281">
            <v>540</v>
          </cell>
          <cell r="K1281">
            <v>0</v>
          </cell>
          <cell r="L1281">
            <v>0</v>
          </cell>
          <cell r="M1281">
            <v>27000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1.4790000000000001</v>
          </cell>
          <cell r="T1281">
            <v>22200</v>
          </cell>
        </row>
        <row r="1282">
          <cell r="A1282" t="str">
            <v>Y009-149</v>
          </cell>
          <cell r="B1282" t="str">
            <v>LCT009-354</v>
          </cell>
          <cell r="C1282" t="str">
            <v>Y009</v>
          </cell>
          <cell r="D1282" t="str">
            <v>8063-110</v>
          </cell>
          <cell r="E1282" t="str">
            <v>下前飾條 1</v>
          </cell>
          <cell r="F1282" t="str">
            <v>12*28*442*1496</v>
          </cell>
          <cell r="G1282" t="str">
            <v>12*28</v>
          </cell>
          <cell r="H1282">
            <v>442</v>
          </cell>
          <cell r="I1282">
            <v>1496</v>
          </cell>
          <cell r="J1282">
            <v>810</v>
          </cell>
          <cell r="K1282">
            <v>0</v>
          </cell>
          <cell r="L1282">
            <v>0</v>
          </cell>
          <cell r="M1282">
            <v>42840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2.3460000000000001</v>
          </cell>
          <cell r="T1282">
            <v>22200</v>
          </cell>
        </row>
        <row r="1283">
          <cell r="A1283" t="str">
            <v>Y009-2001</v>
          </cell>
          <cell r="B1283" t="str">
            <v>打樣算錢</v>
          </cell>
          <cell r="C1283" t="str">
            <v>Y009</v>
          </cell>
          <cell r="D1283" t="str">
            <v>8063-110</v>
          </cell>
          <cell r="E1283" t="str">
            <v xml:space="preserve">Chỉ đắp trên </v>
          </cell>
          <cell r="F1283">
            <v>0</v>
          </cell>
          <cell r="G1283">
            <v>786</v>
          </cell>
          <cell r="H1283">
            <v>71</v>
          </cell>
          <cell r="I1283">
            <v>17.5</v>
          </cell>
          <cell r="J1283">
            <v>625</v>
          </cell>
          <cell r="K1283" t="str">
            <v>未確認</v>
          </cell>
          <cell r="L1283">
            <v>1.71</v>
          </cell>
          <cell r="M1283">
            <v>0</v>
          </cell>
          <cell r="N1283">
            <v>156</v>
          </cell>
          <cell r="O1283" t="str">
            <v>40V</v>
          </cell>
          <cell r="P1283" t="str">
            <v>1010</v>
          </cell>
          <cell r="Q1283" t="str">
            <v>1010</v>
          </cell>
          <cell r="R1283">
            <v>2.7359999999999998</v>
          </cell>
          <cell r="S1283">
            <v>0</v>
          </cell>
          <cell r="T1283">
            <v>22200</v>
          </cell>
        </row>
        <row r="1284">
          <cell r="A1284" t="str">
            <v>Y009-2002</v>
          </cell>
          <cell r="B1284" t="str">
            <v>打樣算錢</v>
          </cell>
          <cell r="C1284" t="str">
            <v>Y009</v>
          </cell>
          <cell r="D1284" t="str">
            <v>8063-110</v>
          </cell>
          <cell r="E1284" t="str">
            <v xml:space="preserve">Chỉ đắp trên </v>
          </cell>
          <cell r="F1284">
            <v>0</v>
          </cell>
          <cell r="G1284">
            <v>455.5</v>
          </cell>
          <cell r="H1284">
            <v>71</v>
          </cell>
          <cell r="I1284">
            <v>17.5</v>
          </cell>
          <cell r="J1284">
            <v>354</v>
          </cell>
          <cell r="K1284" t="str">
            <v>未確認</v>
          </cell>
          <cell r="L1284">
            <v>0.97</v>
          </cell>
          <cell r="M1284">
            <v>0</v>
          </cell>
          <cell r="N1284">
            <v>86</v>
          </cell>
          <cell r="O1284" t="str">
            <v>40V</v>
          </cell>
          <cell r="P1284" t="str">
            <v>1010</v>
          </cell>
          <cell r="Q1284" t="str">
            <v>1010</v>
          </cell>
          <cell r="R1284">
            <v>2.7401129943502824</v>
          </cell>
          <cell r="S1284">
            <v>0</v>
          </cell>
          <cell r="T1284">
            <v>22200</v>
          </cell>
        </row>
        <row r="1285">
          <cell r="A1285" t="str">
            <v>Y009-2003</v>
          </cell>
          <cell r="B1285" t="str">
            <v>打樣算錢</v>
          </cell>
          <cell r="C1285" t="str">
            <v>Y009</v>
          </cell>
          <cell r="D1285" t="str">
            <v>8063-110</v>
          </cell>
          <cell r="E1285" t="str">
            <v xml:space="preserve">Chỉ đắp trên </v>
          </cell>
          <cell r="F1285">
            <v>0</v>
          </cell>
          <cell r="G1285">
            <v>900</v>
          </cell>
          <cell r="H1285">
            <v>71</v>
          </cell>
          <cell r="I1285">
            <v>17.5</v>
          </cell>
          <cell r="J1285">
            <v>702</v>
          </cell>
          <cell r="K1285" t="str">
            <v>未確認</v>
          </cell>
          <cell r="L1285">
            <v>1.92</v>
          </cell>
          <cell r="M1285">
            <v>0</v>
          </cell>
          <cell r="N1285">
            <v>200</v>
          </cell>
          <cell r="O1285" t="str">
            <v>40V</v>
          </cell>
          <cell r="P1285" t="str">
            <v>1010</v>
          </cell>
          <cell r="Q1285" t="str">
            <v>1010</v>
          </cell>
          <cell r="R1285">
            <v>2.7350427350427351</v>
          </cell>
          <cell r="S1285">
            <v>0</v>
          </cell>
          <cell r="T1285">
            <v>22200</v>
          </cell>
        </row>
        <row r="1286">
          <cell r="A1286" t="str">
            <v>Y009-2004</v>
          </cell>
          <cell r="B1286" t="str">
            <v>打樣算錢</v>
          </cell>
          <cell r="C1286" t="str">
            <v>Y009</v>
          </cell>
          <cell r="D1286" t="str">
            <v>8063-110</v>
          </cell>
          <cell r="E1286" t="str">
            <v xml:space="preserve">Chỉ đắp trên </v>
          </cell>
          <cell r="F1286">
            <v>0</v>
          </cell>
          <cell r="G1286">
            <v>800</v>
          </cell>
          <cell r="H1286">
            <v>71</v>
          </cell>
          <cell r="I1286">
            <v>17.5</v>
          </cell>
          <cell r="J1286">
            <v>684</v>
          </cell>
          <cell r="K1286" t="str">
            <v>未確認</v>
          </cell>
          <cell r="L1286">
            <v>1.86</v>
          </cell>
          <cell r="M1286">
            <v>0</v>
          </cell>
          <cell r="N1286">
            <v>186</v>
          </cell>
          <cell r="O1286" t="str">
            <v>40V</v>
          </cell>
          <cell r="P1286" t="str">
            <v>1010</v>
          </cell>
          <cell r="Q1286" t="str">
            <v>1010</v>
          </cell>
          <cell r="R1286">
            <v>2.7192982456140351</v>
          </cell>
          <cell r="S1286">
            <v>0</v>
          </cell>
          <cell r="T1286">
            <v>22200</v>
          </cell>
        </row>
        <row r="1287">
          <cell r="A1287" t="str">
            <v>Y010-001</v>
          </cell>
          <cell r="B1287" t="str">
            <v>LCT010-025</v>
          </cell>
          <cell r="C1287" t="str">
            <v>Y010</v>
          </cell>
          <cell r="D1287" t="str">
            <v>361-A/S</v>
          </cell>
          <cell r="E1287" t="str">
            <v>POLY飾條</v>
          </cell>
          <cell r="F1287" t="str">
            <v>8*15*465</v>
          </cell>
          <cell r="G1287">
            <v>8</v>
          </cell>
          <cell r="H1287">
            <v>15</v>
          </cell>
          <cell r="I1287">
            <v>465</v>
          </cell>
          <cell r="J1287">
            <v>70</v>
          </cell>
          <cell r="K1287">
            <v>0</v>
          </cell>
          <cell r="L1287">
            <v>0.127</v>
          </cell>
          <cell r="M1287">
            <v>0</v>
          </cell>
          <cell r="N1287">
            <v>0</v>
          </cell>
          <cell r="O1287" t="str">
            <v>40V</v>
          </cell>
          <cell r="P1287" t="str">
            <v>1010</v>
          </cell>
          <cell r="Q1287" t="str">
            <v>1010</v>
          </cell>
          <cell r="R1287">
            <v>1.8142857142857141</v>
          </cell>
        </row>
        <row r="1288">
          <cell r="A1288" t="str">
            <v>Y010-002</v>
          </cell>
          <cell r="B1288" t="str">
            <v>LCT010-026</v>
          </cell>
          <cell r="C1288" t="str">
            <v>Y010</v>
          </cell>
          <cell r="D1288" t="str">
            <v>361-10/12/14</v>
          </cell>
          <cell r="E1288" t="str">
            <v>砲管</v>
          </cell>
          <cell r="F1288" t="str">
            <v>300*300*502</v>
          </cell>
          <cell r="G1288">
            <v>300</v>
          </cell>
          <cell r="H1288">
            <v>300</v>
          </cell>
          <cell r="I1288">
            <v>502</v>
          </cell>
          <cell r="J1288">
            <v>0</v>
          </cell>
          <cell r="K1288">
            <v>0</v>
          </cell>
          <cell r="L1288">
            <v>14.5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 t="e">
            <v>#DIV/0!</v>
          </cell>
        </row>
        <row r="1289">
          <cell r="A1289" t="str">
            <v>Y010-003</v>
          </cell>
          <cell r="B1289" t="str">
            <v>LCT010-052</v>
          </cell>
          <cell r="C1289" t="str">
            <v>Y010</v>
          </cell>
          <cell r="D1289" t="str">
            <v>361-B</v>
          </cell>
          <cell r="E1289" t="str">
            <v xml:space="preserve">poly cöûa daøi </v>
          </cell>
          <cell r="F1289" t="str">
            <v>8*15*580</v>
          </cell>
          <cell r="G1289">
            <v>8</v>
          </cell>
          <cell r="H1289">
            <v>15</v>
          </cell>
          <cell r="I1289">
            <v>580</v>
          </cell>
          <cell r="J1289">
            <v>90</v>
          </cell>
          <cell r="K1289">
            <v>0</v>
          </cell>
          <cell r="L1289">
            <v>0.153</v>
          </cell>
          <cell r="M1289">
            <v>0</v>
          </cell>
          <cell r="N1289">
            <v>0</v>
          </cell>
          <cell r="O1289" t="str">
            <v>40V</v>
          </cell>
          <cell r="P1289" t="str">
            <v>1010</v>
          </cell>
          <cell r="Q1289" t="str">
            <v>1010</v>
          </cell>
          <cell r="R1289">
            <v>1.7</v>
          </cell>
        </row>
        <row r="1290">
          <cell r="A1290" t="str">
            <v>Y010-004</v>
          </cell>
          <cell r="B1290" t="str">
            <v>LCT010-053</v>
          </cell>
          <cell r="C1290" t="str">
            <v>Y010</v>
          </cell>
          <cell r="D1290" t="str">
            <v>361-B</v>
          </cell>
          <cell r="E1290" t="str">
            <v xml:space="preserve">poly cöûa ngaén </v>
          </cell>
          <cell r="F1290" t="str">
            <v>8*15*710</v>
          </cell>
          <cell r="G1290">
            <v>8</v>
          </cell>
          <cell r="H1290">
            <v>15</v>
          </cell>
          <cell r="I1290">
            <v>710</v>
          </cell>
          <cell r="J1290">
            <v>100</v>
          </cell>
          <cell r="K1290">
            <v>0</v>
          </cell>
          <cell r="L1290">
            <v>0.189</v>
          </cell>
          <cell r="M1290">
            <v>0</v>
          </cell>
          <cell r="N1290">
            <v>0</v>
          </cell>
          <cell r="O1290" t="str">
            <v>40V</v>
          </cell>
          <cell r="P1290" t="str">
            <v>1010</v>
          </cell>
          <cell r="Q1290" t="str">
            <v>1010</v>
          </cell>
          <cell r="R1290">
            <v>1.89</v>
          </cell>
        </row>
        <row r="1291">
          <cell r="A1291" t="str">
            <v>Y010-005</v>
          </cell>
          <cell r="B1291" t="str">
            <v>LCT010-054</v>
          </cell>
          <cell r="C1291" t="str">
            <v>Y010</v>
          </cell>
          <cell r="D1291" t="str">
            <v>361-B</v>
          </cell>
          <cell r="E1291" t="str">
            <v xml:space="preserve">poly maët hoäc daøi </v>
          </cell>
          <cell r="F1291" t="str">
            <v>8*15*710</v>
          </cell>
          <cell r="G1291">
            <v>8</v>
          </cell>
          <cell r="H1291">
            <v>15</v>
          </cell>
          <cell r="I1291">
            <v>710</v>
          </cell>
          <cell r="J1291">
            <v>100</v>
          </cell>
          <cell r="K1291">
            <v>0</v>
          </cell>
          <cell r="L1291">
            <v>0.189</v>
          </cell>
          <cell r="M1291">
            <v>0</v>
          </cell>
          <cell r="N1291">
            <v>0</v>
          </cell>
          <cell r="O1291" t="str">
            <v>40V</v>
          </cell>
          <cell r="P1291" t="str">
            <v>1010</v>
          </cell>
          <cell r="Q1291" t="str">
            <v>1010</v>
          </cell>
          <cell r="R1291">
            <v>1.89</v>
          </cell>
        </row>
        <row r="1292">
          <cell r="A1292" t="str">
            <v>Y010-006</v>
          </cell>
          <cell r="B1292" t="str">
            <v>LCT010-078</v>
          </cell>
          <cell r="C1292" t="str">
            <v>Y010</v>
          </cell>
          <cell r="D1292" t="str">
            <v>400-02</v>
          </cell>
          <cell r="E1292" t="str">
            <v>caäp trang trí thuûy tröôùc</v>
          </cell>
          <cell r="F1292" t="str">
            <v>13*77*386</v>
          </cell>
          <cell r="G1292">
            <v>13</v>
          </cell>
          <cell r="H1292">
            <v>77</v>
          </cell>
          <cell r="I1292">
            <v>386</v>
          </cell>
          <cell r="J1292">
            <v>200</v>
          </cell>
          <cell r="K1292">
            <v>0</v>
          </cell>
          <cell r="L1292">
            <v>0.46</v>
          </cell>
          <cell r="M1292">
            <v>0</v>
          </cell>
          <cell r="N1292">
            <v>0</v>
          </cell>
          <cell r="O1292" t="str">
            <v>40V</v>
          </cell>
          <cell r="P1292" t="str">
            <v>1010</v>
          </cell>
          <cell r="Q1292" t="str">
            <v>1010</v>
          </cell>
          <cell r="R1292">
            <v>2.2999999999999998</v>
          </cell>
        </row>
        <row r="1293">
          <cell r="A1293" t="str">
            <v>Y010-007</v>
          </cell>
          <cell r="B1293" t="str">
            <v>LCT010-092</v>
          </cell>
          <cell r="C1293" t="str">
            <v>Y010</v>
          </cell>
          <cell r="D1293" t="str">
            <v>400-71</v>
          </cell>
          <cell r="E1293" t="str">
            <v xml:space="preserve">goác chæ coã </v>
          </cell>
          <cell r="F1293" t="str">
            <v>29*62*115</v>
          </cell>
          <cell r="G1293">
            <v>29</v>
          </cell>
          <cell r="H1293">
            <v>62</v>
          </cell>
          <cell r="I1293">
            <v>115</v>
          </cell>
          <cell r="J1293">
            <v>142</v>
          </cell>
          <cell r="K1293">
            <v>0</v>
          </cell>
          <cell r="L1293">
            <v>0.25</v>
          </cell>
          <cell r="M1293">
            <v>0</v>
          </cell>
          <cell r="N1293">
            <v>20</v>
          </cell>
          <cell r="O1293" t="str">
            <v>40V</v>
          </cell>
          <cell r="P1293" t="str">
            <v>1910</v>
          </cell>
          <cell r="Q1293" t="str">
            <v>1910</v>
          </cell>
          <cell r="R1293">
            <v>1.7605633802816902</v>
          </cell>
        </row>
        <row r="1294">
          <cell r="A1294" t="str">
            <v>Y010-008</v>
          </cell>
          <cell r="B1294" t="str">
            <v>LCT010-093</v>
          </cell>
          <cell r="C1294" t="str">
            <v>Y010</v>
          </cell>
          <cell r="D1294" t="str">
            <v>400-72</v>
          </cell>
          <cell r="E1294" t="str">
            <v xml:space="preserve">goác chæ coã </v>
          </cell>
          <cell r="F1294" t="str">
            <v>19*54*109</v>
          </cell>
          <cell r="G1294">
            <v>19</v>
          </cell>
          <cell r="H1294">
            <v>54</v>
          </cell>
          <cell r="I1294">
            <v>109</v>
          </cell>
          <cell r="J1294">
            <v>80</v>
          </cell>
          <cell r="K1294">
            <v>0</v>
          </cell>
          <cell r="L1294">
            <v>0.17</v>
          </cell>
          <cell r="M1294">
            <v>0</v>
          </cell>
          <cell r="N1294">
            <v>10</v>
          </cell>
          <cell r="O1294" t="str">
            <v>40V</v>
          </cell>
          <cell r="P1294" t="str">
            <v>1910</v>
          </cell>
          <cell r="Q1294" t="str">
            <v>1910</v>
          </cell>
          <cell r="R1294">
            <v>2.125</v>
          </cell>
        </row>
        <row r="1295">
          <cell r="A1295" t="str">
            <v>Y010-009</v>
          </cell>
          <cell r="B1295" t="str">
            <v>LCT010-094</v>
          </cell>
          <cell r="C1295" t="str">
            <v>Y010</v>
          </cell>
          <cell r="D1295" t="str">
            <v>400-75/78/08</v>
          </cell>
          <cell r="E1295" t="str">
            <v xml:space="preserve">goác chæ coã </v>
          </cell>
          <cell r="F1295" t="str">
            <v>29*62*115</v>
          </cell>
          <cell r="G1295">
            <v>29</v>
          </cell>
          <cell r="H1295">
            <v>62</v>
          </cell>
          <cell r="I1295">
            <v>115</v>
          </cell>
          <cell r="J1295">
            <v>142</v>
          </cell>
          <cell r="K1295">
            <v>0</v>
          </cell>
          <cell r="L1295">
            <v>0.25</v>
          </cell>
          <cell r="M1295">
            <v>0</v>
          </cell>
          <cell r="N1295">
            <v>20</v>
          </cell>
          <cell r="O1295" t="str">
            <v>40V</v>
          </cell>
          <cell r="P1295" t="str">
            <v>1910</v>
          </cell>
          <cell r="Q1295" t="str">
            <v>1910</v>
          </cell>
          <cell r="R1295">
            <v>1.7605633802816902</v>
          </cell>
        </row>
        <row r="1296">
          <cell r="A1296" t="str">
            <v>Y010-010</v>
          </cell>
          <cell r="B1296" t="str">
            <v>LCT010-095</v>
          </cell>
          <cell r="C1296" t="str">
            <v>Y010</v>
          </cell>
          <cell r="D1296" t="str">
            <v>400-75/78/08</v>
          </cell>
          <cell r="E1296" t="str">
            <v xml:space="preserve">goác chæ coã </v>
          </cell>
          <cell r="F1296" t="str">
            <v>19*54*109</v>
          </cell>
          <cell r="G1296">
            <v>19</v>
          </cell>
          <cell r="H1296">
            <v>54</v>
          </cell>
          <cell r="I1296">
            <v>109</v>
          </cell>
          <cell r="J1296">
            <v>80</v>
          </cell>
          <cell r="K1296">
            <v>0</v>
          </cell>
          <cell r="L1296">
            <v>0.17</v>
          </cell>
          <cell r="M1296">
            <v>0</v>
          </cell>
          <cell r="N1296">
            <v>10</v>
          </cell>
          <cell r="O1296" t="str">
            <v>40V</v>
          </cell>
          <cell r="P1296" t="str">
            <v>1910</v>
          </cell>
          <cell r="Q1296" t="str">
            <v>1910</v>
          </cell>
          <cell r="R1296">
            <v>2.125</v>
          </cell>
        </row>
        <row r="1297">
          <cell r="A1297" t="str">
            <v>Y010-011</v>
          </cell>
          <cell r="B1297" t="str">
            <v>LCT010-114</v>
          </cell>
          <cell r="C1297" t="str">
            <v>Y010</v>
          </cell>
          <cell r="D1297" t="str">
            <v>400-02</v>
          </cell>
          <cell r="E1297" t="str">
            <v>cap tru</v>
          </cell>
          <cell r="F1297" t="str">
            <v>32*85*83</v>
          </cell>
          <cell r="G1297">
            <v>32</v>
          </cell>
          <cell r="H1297">
            <v>85</v>
          </cell>
          <cell r="I1297">
            <v>83</v>
          </cell>
          <cell r="J1297">
            <v>110</v>
          </cell>
          <cell r="K1297">
            <v>0</v>
          </cell>
          <cell r="L1297">
            <v>0.2</v>
          </cell>
          <cell r="M1297">
            <v>0</v>
          </cell>
          <cell r="N1297">
            <v>0</v>
          </cell>
          <cell r="O1297" t="str">
            <v>40V</v>
          </cell>
          <cell r="P1297" t="str">
            <v>1010</v>
          </cell>
          <cell r="Q1297" t="str">
            <v>1010</v>
          </cell>
          <cell r="R1297">
            <v>1.8181818181818183</v>
          </cell>
        </row>
        <row r="1298">
          <cell r="A1298" t="str">
            <v>Y010-012</v>
          </cell>
          <cell r="B1298" t="str">
            <v>LCT010-115</v>
          </cell>
          <cell r="C1298" t="str">
            <v>Y010</v>
          </cell>
          <cell r="D1298" t="str">
            <v>420-71</v>
          </cell>
          <cell r="E1298" t="str">
            <v xml:space="preserve">khung hoäc treân </v>
          </cell>
          <cell r="F1298" t="str">
            <v>10*117*502</v>
          </cell>
          <cell r="G1298">
            <v>10</v>
          </cell>
          <cell r="H1298">
            <v>117</v>
          </cell>
          <cell r="I1298">
            <v>502</v>
          </cell>
          <cell r="J1298">
            <v>280</v>
          </cell>
          <cell r="K1298">
            <v>0</v>
          </cell>
          <cell r="L1298">
            <v>0.63</v>
          </cell>
          <cell r="M1298">
            <v>0</v>
          </cell>
          <cell r="N1298">
            <v>0</v>
          </cell>
          <cell r="O1298" t="str">
            <v>40V</v>
          </cell>
          <cell r="P1298" t="str">
            <v>1010</v>
          </cell>
          <cell r="Q1298" t="str">
            <v>1010</v>
          </cell>
          <cell r="R1298">
            <v>2.25</v>
          </cell>
        </row>
        <row r="1299">
          <cell r="A1299" t="str">
            <v>Y010-013</v>
          </cell>
          <cell r="B1299" t="str">
            <v>LCT010-116</v>
          </cell>
          <cell r="C1299" t="str">
            <v>Y010</v>
          </cell>
          <cell r="D1299" t="str">
            <v>420-75</v>
          </cell>
          <cell r="E1299" t="str">
            <v xml:space="preserve">khung hoäc treân </v>
          </cell>
          <cell r="F1299" t="str">
            <v>10*117*375</v>
          </cell>
          <cell r="G1299">
            <v>10</v>
          </cell>
          <cell r="H1299">
            <v>117</v>
          </cell>
          <cell r="I1299">
            <v>375</v>
          </cell>
          <cell r="J1299">
            <v>220</v>
          </cell>
          <cell r="K1299">
            <v>0</v>
          </cell>
          <cell r="L1299">
            <v>0.51</v>
          </cell>
          <cell r="M1299">
            <v>0</v>
          </cell>
          <cell r="N1299">
            <v>0</v>
          </cell>
          <cell r="O1299" t="str">
            <v>40V</v>
          </cell>
          <cell r="P1299" t="str">
            <v>1010</v>
          </cell>
          <cell r="Q1299" t="str">
            <v>1010</v>
          </cell>
          <cell r="R1299">
            <v>2.3181818181818183</v>
          </cell>
        </row>
        <row r="1300">
          <cell r="A1300" t="str">
            <v>Y010-014</v>
          </cell>
          <cell r="B1300" t="str">
            <v>LCT010-117</v>
          </cell>
          <cell r="C1300" t="str">
            <v>Y010</v>
          </cell>
          <cell r="D1300" t="str">
            <v>420-78</v>
          </cell>
          <cell r="E1300" t="str">
            <v>khung hoäc ngoaøi treân  L</v>
          </cell>
          <cell r="F1300" t="str">
            <v>10*117*322</v>
          </cell>
          <cell r="G1300">
            <v>10</v>
          </cell>
          <cell r="H1300">
            <v>117</v>
          </cell>
          <cell r="I1300">
            <v>322</v>
          </cell>
          <cell r="J1300">
            <v>180</v>
          </cell>
          <cell r="K1300">
            <v>0</v>
          </cell>
          <cell r="L1300">
            <v>0.44</v>
          </cell>
          <cell r="M1300">
            <v>0</v>
          </cell>
          <cell r="N1300">
            <v>0</v>
          </cell>
          <cell r="O1300" t="str">
            <v>40V</v>
          </cell>
          <cell r="P1300" t="str">
            <v>1010</v>
          </cell>
          <cell r="Q1300" t="str">
            <v>1010</v>
          </cell>
          <cell r="R1300">
            <v>2.4444444444444446</v>
          </cell>
        </row>
        <row r="1301">
          <cell r="A1301" t="str">
            <v>Y010-015</v>
          </cell>
          <cell r="B1301" t="str">
            <v>LCT010-118</v>
          </cell>
          <cell r="C1301" t="str">
            <v>Y010</v>
          </cell>
          <cell r="D1301" t="str">
            <v>420-78</v>
          </cell>
          <cell r="E1301" t="str">
            <v>khung hoäc ngoaøi treân  R</v>
          </cell>
          <cell r="F1301" t="str">
            <v>10*117*322</v>
          </cell>
          <cell r="G1301">
            <v>10</v>
          </cell>
          <cell r="H1301">
            <v>117</v>
          </cell>
          <cell r="I1301">
            <v>322</v>
          </cell>
          <cell r="J1301">
            <v>180</v>
          </cell>
          <cell r="K1301">
            <v>0</v>
          </cell>
          <cell r="L1301">
            <v>0.44</v>
          </cell>
          <cell r="M1301">
            <v>0</v>
          </cell>
          <cell r="N1301">
            <v>0</v>
          </cell>
          <cell r="O1301" t="str">
            <v>40V</v>
          </cell>
          <cell r="P1301" t="str">
            <v>1010</v>
          </cell>
          <cell r="Q1301" t="str">
            <v>1010</v>
          </cell>
          <cell r="R1301">
            <v>2.4444444444444446</v>
          </cell>
        </row>
        <row r="1302">
          <cell r="A1302" t="str">
            <v>Y010-016</v>
          </cell>
          <cell r="B1302" t="str">
            <v>LCT010-119</v>
          </cell>
          <cell r="C1302" t="str">
            <v>Y010</v>
          </cell>
          <cell r="D1302" t="str">
            <v>420-78</v>
          </cell>
          <cell r="E1302" t="str">
            <v>khung hoäc giöõa  treân</v>
          </cell>
          <cell r="F1302" t="str">
            <v>10*117*661</v>
          </cell>
          <cell r="G1302">
            <v>10</v>
          </cell>
          <cell r="H1302">
            <v>117</v>
          </cell>
          <cell r="I1302">
            <v>661</v>
          </cell>
          <cell r="J1302">
            <v>320</v>
          </cell>
          <cell r="K1302">
            <v>0</v>
          </cell>
          <cell r="L1302">
            <v>0.83</v>
          </cell>
          <cell r="M1302">
            <v>0</v>
          </cell>
          <cell r="N1302">
            <v>0</v>
          </cell>
          <cell r="O1302" t="str">
            <v>40V</v>
          </cell>
          <cell r="P1302" t="str">
            <v>1010</v>
          </cell>
          <cell r="Q1302" t="str">
            <v>1010</v>
          </cell>
          <cell r="R1302">
            <v>2.59375</v>
          </cell>
        </row>
        <row r="1303">
          <cell r="A1303" t="str">
            <v>Y010-017</v>
          </cell>
          <cell r="B1303" t="str">
            <v>LCT010-131</v>
          </cell>
          <cell r="C1303" t="str">
            <v>Y010</v>
          </cell>
          <cell r="D1303" t="str">
            <v>254-10T</v>
          </cell>
          <cell r="E1303" t="str">
            <v xml:space="preserve">chỉ cập </v>
          </cell>
          <cell r="F1303" t="str">
            <v>6*13*1850</v>
          </cell>
          <cell r="G1303">
            <v>6</v>
          </cell>
          <cell r="H1303">
            <v>13</v>
          </cell>
          <cell r="I1303">
            <v>1850</v>
          </cell>
          <cell r="J1303">
            <v>260</v>
          </cell>
          <cell r="K1303">
            <v>0</v>
          </cell>
          <cell r="L1303">
            <v>0.65</v>
          </cell>
          <cell r="M1303">
            <v>0</v>
          </cell>
          <cell r="N1303">
            <v>0</v>
          </cell>
          <cell r="O1303" t="str">
            <v>40V</v>
          </cell>
          <cell r="P1303" t="str">
            <v>1010</v>
          </cell>
          <cell r="Q1303" t="str">
            <v>1010</v>
          </cell>
          <cell r="R1303">
            <v>2.5</v>
          </cell>
        </row>
        <row r="1304">
          <cell r="A1304" t="str">
            <v>Y010-018</v>
          </cell>
          <cell r="B1304" t="str">
            <v>LCT010-081</v>
          </cell>
          <cell r="C1304" t="str">
            <v>Y010</v>
          </cell>
          <cell r="D1304" t="str">
            <v>1758-04</v>
          </cell>
          <cell r="E1304" t="str">
            <v>chæ caäp Lthuûy</v>
          </cell>
          <cell r="F1304" t="str">
            <v>8*13*890</v>
          </cell>
          <cell r="G1304">
            <v>8</v>
          </cell>
          <cell r="H1304">
            <v>13</v>
          </cell>
          <cell r="I1304">
            <v>890</v>
          </cell>
          <cell r="J1304">
            <v>0</v>
          </cell>
          <cell r="K1304">
            <v>0</v>
          </cell>
          <cell r="L1304">
            <v>0.3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 t="e">
            <v>#DIV/0!</v>
          </cell>
        </row>
        <row r="1305">
          <cell r="A1305" t="str">
            <v>Y010-019</v>
          </cell>
          <cell r="B1305" t="str">
            <v>LCT010-082</v>
          </cell>
          <cell r="C1305" t="str">
            <v>Y010</v>
          </cell>
          <cell r="D1305" t="str">
            <v>1758-05</v>
          </cell>
          <cell r="E1305" t="str">
            <v>chæ caäp Lthuûy</v>
          </cell>
          <cell r="F1305" t="str">
            <v>8*13*810</v>
          </cell>
          <cell r="G1305">
            <v>8</v>
          </cell>
          <cell r="H1305">
            <v>13</v>
          </cell>
          <cell r="I1305">
            <v>810</v>
          </cell>
          <cell r="J1305">
            <v>110</v>
          </cell>
          <cell r="K1305">
            <v>0</v>
          </cell>
          <cell r="L1305">
            <v>0.28000000000000003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2.5454545454545459</v>
          </cell>
        </row>
        <row r="1306">
          <cell r="A1306" t="str">
            <v>Y010-020</v>
          </cell>
          <cell r="B1306" t="str">
            <v>LCT010-083</v>
          </cell>
          <cell r="C1306" t="str">
            <v>Y010</v>
          </cell>
          <cell r="D1306" t="str">
            <v>1758-06</v>
          </cell>
          <cell r="E1306" t="str">
            <v>chæ caäp Lthuûy</v>
          </cell>
          <cell r="F1306" t="str">
            <v>8*13*810</v>
          </cell>
          <cell r="G1306">
            <v>8</v>
          </cell>
          <cell r="H1306">
            <v>13</v>
          </cell>
          <cell r="I1306">
            <v>810</v>
          </cell>
          <cell r="J1306">
            <v>110</v>
          </cell>
          <cell r="K1306">
            <v>0</v>
          </cell>
          <cell r="L1306">
            <v>0.28000000000000003</v>
          </cell>
          <cell r="M1306">
            <v>0</v>
          </cell>
          <cell r="N1306">
            <v>0</v>
          </cell>
          <cell r="O1306" t="str">
            <v>40V</v>
          </cell>
          <cell r="P1306" t="str">
            <v>1010</v>
          </cell>
          <cell r="Q1306" t="str">
            <v>1010</v>
          </cell>
          <cell r="R1306">
            <v>2.5454545454545459</v>
          </cell>
        </row>
        <row r="1307">
          <cell r="A1307" t="str">
            <v>Y010-021</v>
          </cell>
          <cell r="B1307" t="str">
            <v>LCT010-096</v>
          </cell>
          <cell r="C1307" t="str">
            <v>Y010</v>
          </cell>
          <cell r="D1307" t="str">
            <v>1648-05</v>
          </cell>
          <cell r="E1307" t="str">
            <v xml:space="preserve">caäp laäp thuûy </v>
          </cell>
          <cell r="F1307" t="str">
            <v>8*13*700</v>
          </cell>
          <cell r="G1307">
            <v>8</v>
          </cell>
          <cell r="H1307">
            <v>13</v>
          </cell>
          <cell r="I1307">
            <v>700</v>
          </cell>
          <cell r="J1307">
            <v>95</v>
          </cell>
          <cell r="K1307">
            <v>0</v>
          </cell>
          <cell r="L1307">
            <v>0.26</v>
          </cell>
          <cell r="M1307">
            <v>0</v>
          </cell>
          <cell r="N1307">
            <v>0</v>
          </cell>
          <cell r="O1307" t="str">
            <v>40V</v>
          </cell>
          <cell r="P1307" t="str">
            <v>1010</v>
          </cell>
          <cell r="Q1307" t="str">
            <v>1010</v>
          </cell>
          <cell r="R1307">
            <v>2.736842105263158</v>
          </cell>
        </row>
        <row r="1308">
          <cell r="A1308" t="str">
            <v>Y010-022</v>
          </cell>
          <cell r="B1308" t="str">
            <v>LCT010-097</v>
          </cell>
          <cell r="C1308" t="str">
            <v>Y010</v>
          </cell>
          <cell r="D1308" t="str">
            <v>1648-05</v>
          </cell>
          <cell r="E1308" t="str">
            <v>caäp laäp thuûy ñeá</v>
          </cell>
          <cell r="F1308" t="str">
            <v>8*13*680</v>
          </cell>
          <cell r="G1308">
            <v>8</v>
          </cell>
          <cell r="H1308">
            <v>13</v>
          </cell>
          <cell r="I1308">
            <v>680</v>
          </cell>
          <cell r="J1308">
            <v>0</v>
          </cell>
          <cell r="K1308">
            <v>0</v>
          </cell>
          <cell r="L1308">
            <v>0.25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 t="e">
            <v>#DIV/0!</v>
          </cell>
        </row>
        <row r="1309">
          <cell r="A1309" t="str">
            <v>Y010-023</v>
          </cell>
          <cell r="B1309" t="str">
            <v>LCT010-098</v>
          </cell>
          <cell r="C1309" t="str">
            <v>Y010</v>
          </cell>
          <cell r="D1309" t="str">
            <v>1648-04</v>
          </cell>
          <cell r="E1309" t="str">
            <v xml:space="preserve">caäp laäp thuûy </v>
          </cell>
          <cell r="F1309" t="str">
            <v>8*13*510</v>
          </cell>
          <cell r="G1309">
            <v>8</v>
          </cell>
          <cell r="H1309">
            <v>13</v>
          </cell>
          <cell r="I1309">
            <v>510</v>
          </cell>
          <cell r="J1309">
            <v>70</v>
          </cell>
          <cell r="K1309">
            <v>0</v>
          </cell>
          <cell r="L1309">
            <v>0.19</v>
          </cell>
          <cell r="M1309">
            <v>0</v>
          </cell>
          <cell r="N1309">
            <v>0</v>
          </cell>
          <cell r="O1309" t="str">
            <v>40V</v>
          </cell>
          <cell r="P1309" t="str">
            <v>1010</v>
          </cell>
          <cell r="Q1309" t="str">
            <v>1010</v>
          </cell>
          <cell r="R1309">
            <v>2.714285714285714</v>
          </cell>
        </row>
        <row r="1310">
          <cell r="A1310" t="str">
            <v>Y010-024</v>
          </cell>
          <cell r="B1310" t="str">
            <v>LCT010-099</v>
          </cell>
          <cell r="C1310" t="str">
            <v>Y010</v>
          </cell>
          <cell r="D1310" t="str">
            <v>1648-04</v>
          </cell>
          <cell r="E1310" t="str">
            <v>caäp laäp thuûy ñeá</v>
          </cell>
          <cell r="F1310" t="str">
            <v>8*13*490</v>
          </cell>
          <cell r="G1310">
            <v>8</v>
          </cell>
          <cell r="H1310">
            <v>13</v>
          </cell>
          <cell r="I1310">
            <v>490</v>
          </cell>
          <cell r="J1310">
            <v>0</v>
          </cell>
          <cell r="K1310">
            <v>0</v>
          </cell>
          <cell r="L1310">
            <v>0.18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 t="e">
            <v>#DIV/0!</v>
          </cell>
        </row>
        <row r="1311">
          <cell r="A1311" t="str">
            <v>Y010-025</v>
          </cell>
          <cell r="B1311" t="str">
            <v>LCT010-100</v>
          </cell>
          <cell r="C1311" t="str">
            <v>Y010</v>
          </cell>
          <cell r="D1311" t="str">
            <v>1738-04R</v>
          </cell>
          <cell r="E1311" t="str">
            <v>caäp laäp thuûy ñeá</v>
          </cell>
          <cell r="F1311" t="str">
            <v>8*13*810</v>
          </cell>
          <cell r="G1311">
            <v>8</v>
          </cell>
          <cell r="H1311">
            <v>13</v>
          </cell>
          <cell r="I1311">
            <v>810</v>
          </cell>
          <cell r="J1311">
            <v>110</v>
          </cell>
          <cell r="K1311">
            <v>0</v>
          </cell>
          <cell r="L1311">
            <v>0.28000000000000003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2.5454545454545459</v>
          </cell>
        </row>
        <row r="1312">
          <cell r="A1312" t="str">
            <v>Y010-026</v>
          </cell>
          <cell r="B1312" t="str">
            <v>LCT010-101</v>
          </cell>
          <cell r="C1312" t="str">
            <v>Y010</v>
          </cell>
          <cell r="D1312" t="str">
            <v>1738-03R</v>
          </cell>
          <cell r="E1312" t="str">
            <v>caäp laäp thuûy ñeá</v>
          </cell>
          <cell r="F1312" t="str">
            <v>8*13*685</v>
          </cell>
          <cell r="G1312">
            <v>8</v>
          </cell>
          <cell r="H1312">
            <v>13</v>
          </cell>
          <cell r="I1312">
            <v>685</v>
          </cell>
          <cell r="J1312">
            <v>0</v>
          </cell>
          <cell r="K1312">
            <v>0</v>
          </cell>
          <cell r="L1312">
            <v>0.26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 t="e">
            <v>#DIV/0!</v>
          </cell>
        </row>
        <row r="1313">
          <cell r="A1313" t="str">
            <v>Y010-027</v>
          </cell>
          <cell r="B1313" t="str">
            <v>LCT010-102</v>
          </cell>
          <cell r="C1313" t="str">
            <v>Y010</v>
          </cell>
          <cell r="D1313" t="str">
            <v>1738-05R</v>
          </cell>
          <cell r="E1313" t="str">
            <v>caäp laäp thuûy ñeá</v>
          </cell>
          <cell r="F1313" t="str">
            <v>8*13*685</v>
          </cell>
          <cell r="G1313">
            <v>8</v>
          </cell>
          <cell r="H1313">
            <v>13</v>
          </cell>
          <cell r="I1313">
            <v>685</v>
          </cell>
          <cell r="J1313">
            <v>0</v>
          </cell>
          <cell r="K1313">
            <v>0</v>
          </cell>
          <cell r="L1313">
            <v>0.26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 t="e">
            <v>#DIV/0!</v>
          </cell>
        </row>
        <row r="1314">
          <cell r="A1314" t="str">
            <v>Y010-028</v>
          </cell>
          <cell r="B1314" t="str">
            <v>LCT010-144</v>
          </cell>
          <cell r="C1314" t="str">
            <v>Y010</v>
          </cell>
          <cell r="D1314" t="str">
            <v>761-T10</v>
          </cell>
          <cell r="E1314" t="str">
            <v>Bong dai</v>
          </cell>
          <cell r="F1314" t="str">
            <v>6*97*1402</v>
          </cell>
          <cell r="G1314">
            <v>6</v>
          </cell>
          <cell r="H1314">
            <v>97</v>
          </cell>
          <cell r="I1314">
            <v>1402</v>
          </cell>
          <cell r="J1314">
            <v>320</v>
          </cell>
          <cell r="K1314">
            <v>0</v>
          </cell>
          <cell r="L1314">
            <v>0.86</v>
          </cell>
          <cell r="M1314">
            <v>0</v>
          </cell>
          <cell r="N1314">
            <v>0</v>
          </cell>
          <cell r="O1314" t="str">
            <v>40V</v>
          </cell>
          <cell r="P1314" t="str">
            <v>1010</v>
          </cell>
          <cell r="Q1314" t="str">
            <v>1010</v>
          </cell>
          <cell r="R1314">
            <v>2.6875</v>
          </cell>
          <cell r="S1314">
            <v>0</v>
          </cell>
        </row>
        <row r="1315">
          <cell r="A1315" t="str">
            <v>Y010-029</v>
          </cell>
          <cell r="B1315" t="str">
            <v>LCT010-145</v>
          </cell>
          <cell r="C1315" t="str">
            <v>Y010</v>
          </cell>
          <cell r="D1315" t="str">
            <v>761-T10</v>
          </cell>
          <cell r="E1315" t="str">
            <v>Bong ngan</v>
          </cell>
          <cell r="F1315" t="str">
            <v>6*97*1000</v>
          </cell>
          <cell r="G1315">
            <v>6</v>
          </cell>
          <cell r="H1315">
            <v>97</v>
          </cell>
          <cell r="I1315">
            <v>1000</v>
          </cell>
          <cell r="J1315">
            <v>220</v>
          </cell>
          <cell r="K1315">
            <v>0</v>
          </cell>
          <cell r="L1315">
            <v>0.6</v>
          </cell>
          <cell r="M1315">
            <v>0</v>
          </cell>
          <cell r="N1315">
            <v>0</v>
          </cell>
          <cell r="O1315" t="str">
            <v>40V</v>
          </cell>
          <cell r="P1315" t="str">
            <v>1010</v>
          </cell>
          <cell r="Q1315" t="str">
            <v>1010</v>
          </cell>
          <cell r="R1315">
            <v>2.7272727272727271</v>
          </cell>
          <cell r="S1315">
            <v>0</v>
          </cell>
        </row>
        <row r="1316">
          <cell r="A1316" t="str">
            <v>Y010-030</v>
          </cell>
          <cell r="B1316" t="str">
            <v>LCT010-146</v>
          </cell>
          <cell r="C1316" t="str">
            <v>Y010</v>
          </cell>
          <cell r="D1316" t="str">
            <v>761-T150R</v>
          </cell>
          <cell r="E1316" t="str">
            <v>Bong lap thuy</v>
          </cell>
          <cell r="F1316" t="str">
            <v>6*97*1063</v>
          </cell>
          <cell r="G1316">
            <v>6</v>
          </cell>
          <cell r="H1316">
            <v>97</v>
          </cell>
          <cell r="I1316">
            <v>1063</v>
          </cell>
          <cell r="J1316">
            <v>230</v>
          </cell>
          <cell r="K1316">
            <v>0</v>
          </cell>
          <cell r="L1316">
            <v>0.62</v>
          </cell>
          <cell r="M1316">
            <v>0</v>
          </cell>
          <cell r="N1316">
            <v>0</v>
          </cell>
          <cell r="O1316" t="str">
            <v>40V</v>
          </cell>
          <cell r="P1316" t="str">
            <v>1010</v>
          </cell>
          <cell r="Q1316" t="str">
            <v>1010</v>
          </cell>
          <cell r="R1316">
            <v>2.6956521739130435</v>
          </cell>
          <cell r="S1316">
            <v>0</v>
          </cell>
        </row>
        <row r="1317">
          <cell r="A1317" t="str">
            <v>Y010-031</v>
          </cell>
          <cell r="B1317" t="str">
            <v>LCT010-126</v>
          </cell>
          <cell r="C1317" t="str">
            <v>Y010</v>
          </cell>
          <cell r="D1317" t="str">
            <v>1771-55/54H</v>
          </cell>
          <cell r="E1317" t="str">
            <v xml:space="preserve">boâng </v>
          </cell>
          <cell r="F1317" t="str">
            <v>9*717*1034</v>
          </cell>
          <cell r="G1317">
            <v>9</v>
          </cell>
          <cell r="H1317">
            <v>717</v>
          </cell>
          <cell r="I1317">
            <v>1034</v>
          </cell>
          <cell r="J1317">
            <v>2000</v>
          </cell>
          <cell r="K1317">
            <v>0</v>
          </cell>
          <cell r="L1317">
            <v>5.4</v>
          </cell>
          <cell r="M1317">
            <v>0</v>
          </cell>
          <cell r="N1317">
            <v>0</v>
          </cell>
          <cell r="O1317" t="str">
            <v>40V</v>
          </cell>
          <cell r="P1317" t="str">
            <v>1010</v>
          </cell>
          <cell r="Q1317" t="str">
            <v>1010</v>
          </cell>
          <cell r="R1317">
            <v>2.7</v>
          </cell>
        </row>
        <row r="1318">
          <cell r="A1318" t="str">
            <v>Y010-032</v>
          </cell>
          <cell r="B1318" t="str">
            <v>LCT010-128</v>
          </cell>
          <cell r="C1318" t="str">
            <v>Y010</v>
          </cell>
          <cell r="D1318" t="str">
            <v>138-04R</v>
          </cell>
          <cell r="E1318" t="str">
            <v>chỉ cập lập thủy</v>
          </cell>
          <cell r="F1318" t="str">
            <v>10*16*1130</v>
          </cell>
          <cell r="G1318">
            <v>10</v>
          </cell>
          <cell r="H1318">
            <v>16</v>
          </cell>
          <cell r="I1318">
            <v>1130</v>
          </cell>
          <cell r="J1318">
            <v>260</v>
          </cell>
          <cell r="K1318">
            <v>0</v>
          </cell>
          <cell r="L1318">
            <v>0.7</v>
          </cell>
          <cell r="M1318">
            <v>0</v>
          </cell>
          <cell r="N1318">
            <v>0</v>
          </cell>
          <cell r="O1318" t="str">
            <v>40V</v>
          </cell>
          <cell r="P1318" t="str">
            <v>1010</v>
          </cell>
          <cell r="Q1318" t="str">
            <v>1010</v>
          </cell>
          <cell r="R1318">
            <v>2.6923076923076921</v>
          </cell>
        </row>
        <row r="1319">
          <cell r="A1319" t="str">
            <v>Y010-033</v>
          </cell>
          <cell r="B1319" t="str">
            <v>LCT010-147</v>
          </cell>
          <cell r="C1319" t="str">
            <v>Y010</v>
          </cell>
          <cell r="D1319" t="str">
            <v>2078-04</v>
          </cell>
          <cell r="E1319" t="str">
            <v>chi lap thuy 1</v>
          </cell>
          <cell r="F1319" t="str">
            <v>10*16*1100</v>
          </cell>
          <cell r="G1319">
            <v>1100</v>
          </cell>
          <cell r="H1319">
            <v>16</v>
          </cell>
          <cell r="I1319">
            <v>10</v>
          </cell>
          <cell r="J1319">
            <v>260</v>
          </cell>
          <cell r="K1319">
            <v>0</v>
          </cell>
          <cell r="L1319">
            <v>0.68</v>
          </cell>
          <cell r="M1319">
            <v>0</v>
          </cell>
          <cell r="N1319">
            <v>0</v>
          </cell>
          <cell r="O1319" t="str">
            <v>40V</v>
          </cell>
          <cell r="P1319" t="str">
            <v>1010</v>
          </cell>
          <cell r="Q1319" t="str">
            <v>1010</v>
          </cell>
          <cell r="R1319">
            <v>2.6153846153846154</v>
          </cell>
          <cell r="S1319">
            <v>0</v>
          </cell>
        </row>
        <row r="1320">
          <cell r="A1320" t="str">
            <v>Y010-034</v>
          </cell>
          <cell r="B1320" t="str">
            <v>LCT010-148</v>
          </cell>
          <cell r="C1320" t="str">
            <v>Y010</v>
          </cell>
          <cell r="D1320" t="str">
            <v>2078-04</v>
          </cell>
          <cell r="E1320" t="str">
            <v>chi lap thuy 2</v>
          </cell>
          <cell r="F1320" t="str">
            <v>10*16*1100</v>
          </cell>
          <cell r="G1320">
            <v>1100</v>
          </cell>
          <cell r="H1320">
            <v>16</v>
          </cell>
          <cell r="I1320">
            <v>10</v>
          </cell>
          <cell r="J1320">
            <v>260</v>
          </cell>
          <cell r="K1320">
            <v>0</v>
          </cell>
          <cell r="L1320">
            <v>0.68</v>
          </cell>
          <cell r="M1320">
            <v>0</v>
          </cell>
          <cell r="N1320">
            <v>0</v>
          </cell>
          <cell r="O1320" t="str">
            <v>40V</v>
          </cell>
          <cell r="P1320" t="str">
            <v>1010</v>
          </cell>
          <cell r="Q1320" t="str">
            <v>1010</v>
          </cell>
          <cell r="R1320">
            <v>2.6153846153846154</v>
          </cell>
          <cell r="S1320">
            <v>0</v>
          </cell>
        </row>
        <row r="1321">
          <cell r="A1321" t="str">
            <v>Y010-035</v>
          </cell>
          <cell r="B1321" t="str">
            <v>LCT010-149</v>
          </cell>
          <cell r="C1321" t="str">
            <v>Y010</v>
          </cell>
          <cell r="D1321" t="str">
            <v>2078-04</v>
          </cell>
          <cell r="E1321" t="str">
            <v>chi mat hoc</v>
          </cell>
          <cell r="F1321" t="str">
            <v>10*16*1100</v>
          </cell>
          <cell r="G1321">
            <v>1100</v>
          </cell>
          <cell r="H1321">
            <v>16</v>
          </cell>
          <cell r="I1321">
            <v>10</v>
          </cell>
          <cell r="J1321">
            <v>260</v>
          </cell>
          <cell r="K1321">
            <v>0</v>
          </cell>
          <cell r="L1321">
            <v>0.68</v>
          </cell>
          <cell r="M1321">
            <v>0</v>
          </cell>
          <cell r="N1321">
            <v>0</v>
          </cell>
          <cell r="O1321" t="str">
            <v>40V</v>
          </cell>
          <cell r="P1321" t="str">
            <v>1010</v>
          </cell>
          <cell r="Q1321" t="str">
            <v>1010</v>
          </cell>
          <cell r="R1321">
            <v>2.6153846153846154</v>
          </cell>
          <cell r="S1321">
            <v>0</v>
          </cell>
        </row>
        <row r="1322">
          <cell r="A1322" t="str">
            <v>Y010-036</v>
          </cell>
          <cell r="B1322" t="str">
            <v>LCT010-150</v>
          </cell>
          <cell r="C1322" t="str">
            <v>Y010</v>
          </cell>
          <cell r="D1322" t="str">
            <v>2078-05</v>
          </cell>
          <cell r="E1322" t="str">
            <v>chi lap thuy 1</v>
          </cell>
          <cell r="F1322" t="str">
            <v>10*16*1100</v>
          </cell>
          <cell r="G1322">
            <v>1100</v>
          </cell>
          <cell r="H1322">
            <v>16</v>
          </cell>
          <cell r="I1322">
            <v>10</v>
          </cell>
          <cell r="J1322">
            <v>260</v>
          </cell>
          <cell r="K1322">
            <v>0</v>
          </cell>
          <cell r="L1322">
            <v>0.68</v>
          </cell>
          <cell r="M1322">
            <v>0</v>
          </cell>
          <cell r="N1322">
            <v>0</v>
          </cell>
          <cell r="O1322" t="str">
            <v>40V</v>
          </cell>
          <cell r="P1322" t="str">
            <v>1010</v>
          </cell>
          <cell r="Q1322" t="str">
            <v>1010</v>
          </cell>
          <cell r="R1322">
            <v>2.6153846153846154</v>
          </cell>
          <cell r="S1322">
            <v>0</v>
          </cell>
        </row>
        <row r="1323">
          <cell r="A1323" t="str">
            <v>Y010-037</v>
          </cell>
          <cell r="B1323" t="str">
            <v>LCT010-151</v>
          </cell>
          <cell r="C1323" t="str">
            <v>Y010</v>
          </cell>
          <cell r="D1323" t="str">
            <v>2078-05</v>
          </cell>
          <cell r="E1323" t="str">
            <v>chi lap thuy 2</v>
          </cell>
          <cell r="F1323" t="str">
            <v>10*16*1100</v>
          </cell>
          <cell r="G1323">
            <v>1100</v>
          </cell>
          <cell r="H1323">
            <v>16</v>
          </cell>
          <cell r="I1323">
            <v>10</v>
          </cell>
          <cell r="J1323">
            <v>260</v>
          </cell>
          <cell r="K1323">
            <v>0</v>
          </cell>
          <cell r="L1323">
            <v>0.68</v>
          </cell>
          <cell r="M1323">
            <v>0</v>
          </cell>
          <cell r="N1323">
            <v>0</v>
          </cell>
          <cell r="O1323" t="str">
            <v>40V</v>
          </cell>
          <cell r="P1323" t="str">
            <v>1010</v>
          </cell>
          <cell r="Q1323" t="str">
            <v>1010</v>
          </cell>
          <cell r="R1323">
            <v>2.6153846153846154</v>
          </cell>
          <cell r="S1323">
            <v>0</v>
          </cell>
        </row>
        <row r="1324">
          <cell r="A1324" t="str">
            <v>Y010-038</v>
          </cell>
          <cell r="B1324" t="str">
            <v>LCT010-152</v>
          </cell>
          <cell r="C1324" t="str">
            <v>Y010</v>
          </cell>
          <cell r="D1324" t="str">
            <v>2078-05</v>
          </cell>
          <cell r="E1324" t="str">
            <v>chi lap thuy 3</v>
          </cell>
          <cell r="F1324" t="str">
            <v>10*16*1100</v>
          </cell>
          <cell r="G1324">
            <v>1100</v>
          </cell>
          <cell r="H1324">
            <v>16</v>
          </cell>
          <cell r="I1324">
            <v>10</v>
          </cell>
          <cell r="J1324">
            <v>260</v>
          </cell>
          <cell r="K1324">
            <v>0</v>
          </cell>
          <cell r="L1324">
            <v>0.68</v>
          </cell>
          <cell r="M1324">
            <v>0</v>
          </cell>
          <cell r="N1324">
            <v>0</v>
          </cell>
          <cell r="O1324" t="str">
            <v>40V</v>
          </cell>
          <cell r="P1324" t="str">
            <v>1010</v>
          </cell>
          <cell r="Q1324" t="str">
            <v>1010</v>
          </cell>
          <cell r="R1324">
            <v>2.6153846153846154</v>
          </cell>
          <cell r="S1324">
            <v>0</v>
          </cell>
        </row>
        <row r="1325">
          <cell r="A1325" t="str">
            <v>Y010-039</v>
          </cell>
          <cell r="B1325" t="str">
            <v>LCT010-153</v>
          </cell>
          <cell r="C1325" t="str">
            <v>Y010</v>
          </cell>
          <cell r="D1325" t="str">
            <v>2078-06</v>
          </cell>
          <cell r="E1325" t="str">
            <v>chi lap thuy 1</v>
          </cell>
          <cell r="F1325" t="str">
            <v>10*16*1100</v>
          </cell>
          <cell r="G1325">
            <v>1100</v>
          </cell>
          <cell r="H1325">
            <v>16</v>
          </cell>
          <cell r="I1325">
            <v>10</v>
          </cell>
          <cell r="J1325">
            <v>260</v>
          </cell>
          <cell r="K1325">
            <v>0</v>
          </cell>
          <cell r="L1325">
            <v>0.68</v>
          </cell>
          <cell r="M1325">
            <v>0</v>
          </cell>
          <cell r="N1325">
            <v>0</v>
          </cell>
          <cell r="O1325" t="str">
            <v>40V</v>
          </cell>
          <cell r="P1325" t="str">
            <v>1010</v>
          </cell>
          <cell r="Q1325" t="str">
            <v>1010</v>
          </cell>
          <cell r="R1325">
            <v>2.6153846153846154</v>
          </cell>
          <cell r="S1325">
            <v>0</v>
          </cell>
        </row>
        <row r="1326">
          <cell r="A1326" t="str">
            <v>Y010-040</v>
          </cell>
          <cell r="B1326" t="str">
            <v>LCT010-154</v>
          </cell>
          <cell r="C1326" t="str">
            <v>Y010</v>
          </cell>
          <cell r="D1326" t="str">
            <v>2078-06</v>
          </cell>
          <cell r="E1326" t="str">
            <v>chi lap thuy 2</v>
          </cell>
          <cell r="F1326" t="str">
            <v>10*16*1100</v>
          </cell>
          <cell r="G1326">
            <v>1100</v>
          </cell>
          <cell r="H1326">
            <v>16</v>
          </cell>
          <cell r="I1326">
            <v>10</v>
          </cell>
          <cell r="J1326">
            <v>260</v>
          </cell>
          <cell r="K1326">
            <v>0</v>
          </cell>
          <cell r="L1326">
            <v>0.68</v>
          </cell>
          <cell r="M1326">
            <v>0</v>
          </cell>
          <cell r="N1326">
            <v>0</v>
          </cell>
          <cell r="O1326" t="str">
            <v>40V</v>
          </cell>
          <cell r="P1326" t="str">
            <v>1010</v>
          </cell>
          <cell r="Q1326" t="str">
            <v>1010</v>
          </cell>
          <cell r="R1326">
            <v>2.6153846153846154</v>
          </cell>
          <cell r="S1326">
            <v>0</v>
          </cell>
        </row>
        <row r="1327">
          <cell r="A1327" t="str">
            <v>Y010-041</v>
          </cell>
          <cell r="B1327" t="str">
            <v>LCT010-127</v>
          </cell>
          <cell r="C1327" t="str">
            <v>Y010</v>
          </cell>
          <cell r="D1327" t="str">
            <v>138-05</v>
          </cell>
          <cell r="E1327" t="str">
            <v>chỉ cập lập thủy</v>
          </cell>
          <cell r="F1327" t="str">
            <v>10*16*660</v>
          </cell>
          <cell r="G1327">
            <v>660</v>
          </cell>
          <cell r="H1327">
            <v>16</v>
          </cell>
          <cell r="I1327">
            <v>10</v>
          </cell>
          <cell r="J1327">
            <v>180</v>
          </cell>
          <cell r="K1327">
            <v>0</v>
          </cell>
          <cell r="L1327">
            <v>0.4</v>
          </cell>
          <cell r="M1327">
            <v>0</v>
          </cell>
          <cell r="N1327">
            <v>0</v>
          </cell>
          <cell r="O1327" t="str">
            <v>40V</v>
          </cell>
          <cell r="P1327" t="str">
            <v>1010</v>
          </cell>
          <cell r="Q1327" t="str">
            <v>1010</v>
          </cell>
          <cell r="R1327">
            <v>2.2222222222222223</v>
          </cell>
        </row>
        <row r="1328">
          <cell r="A1328" t="str">
            <v>Y010-042</v>
          </cell>
          <cell r="B1328" t="str">
            <v>LCT010-155</v>
          </cell>
          <cell r="C1328" t="str">
            <v>Y010</v>
          </cell>
          <cell r="D1328" t="str">
            <v>328-54/55HF</v>
          </cell>
          <cell r="E1328" t="str">
            <v>Hoa cap tru</v>
          </cell>
          <cell r="F1328" t="str">
            <v>10*57*57</v>
          </cell>
          <cell r="G1328">
            <v>10</v>
          </cell>
          <cell r="H1328">
            <v>57</v>
          </cell>
          <cell r="I1328">
            <v>57</v>
          </cell>
          <cell r="J1328">
            <v>40</v>
          </cell>
          <cell r="K1328">
            <v>0</v>
          </cell>
          <cell r="L1328">
            <v>0.13</v>
          </cell>
          <cell r="M1328">
            <v>0</v>
          </cell>
          <cell r="N1328">
            <v>0</v>
          </cell>
          <cell r="O1328" t="str">
            <v>40V</v>
          </cell>
          <cell r="P1328" t="str">
            <v>1010</v>
          </cell>
          <cell r="Q1328" t="str">
            <v>1010</v>
          </cell>
          <cell r="R1328">
            <v>3.25</v>
          </cell>
        </row>
        <row r="1329">
          <cell r="A1329" t="str">
            <v>Y010-043</v>
          </cell>
          <cell r="B1329" t="str">
            <v>LCT010-156</v>
          </cell>
          <cell r="C1329" t="str">
            <v>Y010</v>
          </cell>
          <cell r="D1329" t="str">
            <v>2708-04</v>
          </cell>
          <cell r="E1329" t="str">
            <v>chi lap thuy 1</v>
          </cell>
          <cell r="F1329" t="str">
            <v>900*16*10</v>
          </cell>
          <cell r="G1329">
            <v>900</v>
          </cell>
          <cell r="H1329">
            <v>16</v>
          </cell>
          <cell r="I1329">
            <v>10</v>
          </cell>
          <cell r="J1329">
            <v>240</v>
          </cell>
          <cell r="K1329">
            <v>0</v>
          </cell>
          <cell r="L1329">
            <v>0.56000000000000005</v>
          </cell>
          <cell r="M1329">
            <v>0</v>
          </cell>
          <cell r="N1329">
            <v>0</v>
          </cell>
          <cell r="O1329" t="str">
            <v>40V</v>
          </cell>
          <cell r="P1329" t="str">
            <v>1010</v>
          </cell>
          <cell r="Q1329" t="str">
            <v>1010</v>
          </cell>
          <cell r="R1329">
            <v>2.3333333333333335</v>
          </cell>
        </row>
        <row r="1330">
          <cell r="A1330" t="str">
            <v>Y010-044</v>
          </cell>
          <cell r="B1330" t="str">
            <v>LCT010-110</v>
          </cell>
          <cell r="C1330" t="str">
            <v>Y010</v>
          </cell>
          <cell r="D1330" t="str">
            <v>1738-05R</v>
          </cell>
          <cell r="E1330" t="str">
            <v>caäp laäp thuûy maët</v>
          </cell>
          <cell r="F1330" t="str">
            <v>8*13*670</v>
          </cell>
          <cell r="G1330">
            <v>8</v>
          </cell>
          <cell r="H1330">
            <v>13</v>
          </cell>
          <cell r="I1330">
            <v>670</v>
          </cell>
          <cell r="J1330">
            <v>0</v>
          </cell>
          <cell r="K1330">
            <v>0</v>
          </cell>
          <cell r="L1330">
            <v>0.23</v>
          </cell>
          <cell r="M1330">
            <v>0</v>
          </cell>
          <cell r="N1330">
            <v>0</v>
          </cell>
          <cell r="O1330" t="str">
            <v>40V</v>
          </cell>
          <cell r="P1330" t="str">
            <v>1010</v>
          </cell>
          <cell r="Q1330">
            <v>1010</v>
          </cell>
          <cell r="R1330" t="e">
            <v>#DIV/0!</v>
          </cell>
        </row>
        <row r="1331">
          <cell r="A1331" t="str">
            <v>Y010-045</v>
          </cell>
          <cell r="B1331" t="str">
            <v>LCT010-111</v>
          </cell>
          <cell r="C1331" t="str">
            <v>Y010</v>
          </cell>
          <cell r="D1331" t="str">
            <v>1738-05R</v>
          </cell>
          <cell r="E1331" t="str">
            <v>caäp laäp thuûy ñeá</v>
          </cell>
          <cell r="F1331" t="str">
            <v>8*13*642</v>
          </cell>
          <cell r="G1331">
            <v>8</v>
          </cell>
          <cell r="H1331">
            <v>13</v>
          </cell>
          <cell r="I1331">
            <v>642</v>
          </cell>
          <cell r="J1331">
            <v>0</v>
          </cell>
          <cell r="K1331">
            <v>0</v>
          </cell>
          <cell r="L1331">
            <v>0.22</v>
          </cell>
          <cell r="M1331">
            <v>0</v>
          </cell>
          <cell r="N1331">
            <v>0</v>
          </cell>
          <cell r="O1331" t="str">
            <v>40V</v>
          </cell>
          <cell r="P1331" t="str">
            <v>1010</v>
          </cell>
          <cell r="Q1331">
            <v>1010</v>
          </cell>
          <cell r="R1331" t="e">
            <v>#DIV/0!</v>
          </cell>
        </row>
        <row r="1332">
          <cell r="A1332" t="str">
            <v>Y010-046</v>
          </cell>
          <cell r="B1332" t="str">
            <v>LCT010-112</v>
          </cell>
          <cell r="C1332" t="str">
            <v>Y010</v>
          </cell>
          <cell r="D1332" t="str">
            <v>1738-06R</v>
          </cell>
          <cell r="E1332" t="str">
            <v>caäp laäp thuûy maët</v>
          </cell>
          <cell r="F1332" t="str">
            <v>8*13*690</v>
          </cell>
          <cell r="G1332">
            <v>8</v>
          </cell>
          <cell r="H1332">
            <v>13</v>
          </cell>
          <cell r="I1332">
            <v>690</v>
          </cell>
          <cell r="J1332">
            <v>0</v>
          </cell>
          <cell r="K1332">
            <v>0</v>
          </cell>
          <cell r="L1332">
            <v>0.24</v>
          </cell>
          <cell r="M1332">
            <v>0</v>
          </cell>
          <cell r="N1332">
            <v>0</v>
          </cell>
          <cell r="O1332" t="str">
            <v>40V</v>
          </cell>
          <cell r="P1332" t="str">
            <v>1010</v>
          </cell>
          <cell r="Q1332">
            <v>1010</v>
          </cell>
          <cell r="R1332" t="e">
            <v>#DIV/0!</v>
          </cell>
        </row>
        <row r="1333">
          <cell r="A1333" t="str">
            <v>Y010-047</v>
          </cell>
          <cell r="B1333" t="str">
            <v>LCT010-113</v>
          </cell>
          <cell r="C1333" t="str">
            <v>Y010</v>
          </cell>
          <cell r="D1333" t="str">
            <v>1738-06R</v>
          </cell>
          <cell r="E1333" t="str">
            <v>caäp laäp thuûy ñeá</v>
          </cell>
          <cell r="F1333" t="str">
            <v>8*13*660</v>
          </cell>
          <cell r="G1333">
            <v>8</v>
          </cell>
          <cell r="H1333">
            <v>13</v>
          </cell>
          <cell r="I1333">
            <v>660</v>
          </cell>
          <cell r="J1333">
            <v>0</v>
          </cell>
          <cell r="K1333">
            <v>0</v>
          </cell>
          <cell r="L1333">
            <v>0.22</v>
          </cell>
          <cell r="M1333">
            <v>0</v>
          </cell>
          <cell r="N1333">
            <v>0</v>
          </cell>
          <cell r="O1333" t="str">
            <v>40V</v>
          </cell>
          <cell r="P1333" t="str">
            <v>1010</v>
          </cell>
          <cell r="Q1333">
            <v>1010</v>
          </cell>
          <cell r="R1333" t="e">
            <v>#DIV/0!</v>
          </cell>
        </row>
        <row r="1334">
          <cell r="A1334" t="str">
            <v>Y010-048</v>
          </cell>
          <cell r="B1334">
            <v>0</v>
          </cell>
          <cell r="C1334" t="str">
            <v>Y010</v>
          </cell>
          <cell r="D1334" t="str">
            <v>2078-05/06</v>
          </cell>
          <cell r="E1334" t="str">
            <v>chi mat hoc</v>
          </cell>
          <cell r="F1334" t="str">
            <v>10*16*1100</v>
          </cell>
          <cell r="G1334">
            <v>1100</v>
          </cell>
          <cell r="H1334">
            <v>16</v>
          </cell>
          <cell r="I1334">
            <v>10</v>
          </cell>
          <cell r="J1334">
            <v>260</v>
          </cell>
          <cell r="K1334">
            <v>0</v>
          </cell>
          <cell r="L1334">
            <v>0.68</v>
          </cell>
          <cell r="M1334">
            <v>0</v>
          </cell>
          <cell r="N1334">
            <v>0</v>
          </cell>
          <cell r="O1334" t="str">
            <v>40V</v>
          </cell>
          <cell r="P1334" t="str">
            <v>1010</v>
          </cell>
          <cell r="Q1334" t="str">
            <v>1010</v>
          </cell>
          <cell r="R1334">
            <v>2.6153846153846154</v>
          </cell>
          <cell r="S1334">
            <v>0</v>
          </cell>
        </row>
        <row r="1335">
          <cell r="A1335" t="str">
            <v>Y010-049</v>
          </cell>
          <cell r="B1335" t="str">
            <v>LCT010-125</v>
          </cell>
          <cell r="C1335" t="str">
            <v>Y010</v>
          </cell>
          <cell r="D1335" t="str">
            <v>1738-03R</v>
          </cell>
          <cell r="E1335" t="str">
            <v>cap lap thuy mat/ de</v>
          </cell>
          <cell r="F1335" t="str">
            <v>8*13*650</v>
          </cell>
          <cell r="G1335">
            <v>8</v>
          </cell>
          <cell r="H1335">
            <v>13</v>
          </cell>
          <cell r="I1335">
            <v>650</v>
          </cell>
          <cell r="J1335">
            <v>86</v>
          </cell>
          <cell r="K1335">
            <v>0</v>
          </cell>
          <cell r="L1335">
            <v>0.22</v>
          </cell>
          <cell r="M1335">
            <v>0</v>
          </cell>
          <cell r="N1335">
            <v>0</v>
          </cell>
          <cell r="O1335" t="str">
            <v>40V</v>
          </cell>
          <cell r="P1335" t="str">
            <v>1010</v>
          </cell>
          <cell r="Q1335">
            <v>1010</v>
          </cell>
          <cell r="R1335">
            <v>2.558139534883721</v>
          </cell>
        </row>
        <row r="1336">
          <cell r="A1336" t="str">
            <v>Y010-050</v>
          </cell>
          <cell r="B1336">
            <v>0</v>
          </cell>
          <cell r="C1336" t="str">
            <v>Y010</v>
          </cell>
          <cell r="D1336" t="str">
            <v>1694-63H</v>
          </cell>
          <cell r="E1336" t="str">
            <v>Lỗ tai</v>
          </cell>
          <cell r="F1336" t="str">
            <v>16*44*44</v>
          </cell>
          <cell r="G1336">
            <v>16</v>
          </cell>
          <cell r="H1336">
            <v>44</v>
          </cell>
          <cell r="I1336">
            <v>44</v>
          </cell>
          <cell r="J1336">
            <v>45</v>
          </cell>
          <cell r="K1336">
            <v>0</v>
          </cell>
          <cell r="L1336">
            <v>0.14000000000000001</v>
          </cell>
          <cell r="M1336">
            <v>0</v>
          </cell>
          <cell r="N1336">
            <v>0</v>
          </cell>
          <cell r="O1336" t="str">
            <v>40V</v>
          </cell>
          <cell r="P1336" t="str">
            <v>1010</v>
          </cell>
          <cell r="Q1336">
            <v>1010</v>
          </cell>
          <cell r="R1336">
            <v>3.1111111111111116</v>
          </cell>
        </row>
        <row r="1337">
          <cell r="A1337" t="str">
            <v>Y010-051</v>
          </cell>
          <cell r="B1337">
            <v>0</v>
          </cell>
          <cell r="C1337" t="str">
            <v>Y010</v>
          </cell>
          <cell r="D1337" t="str">
            <v>142-T8</v>
          </cell>
          <cell r="E1337" t="str">
            <v>Cập lập thủy nhỏ 1</v>
          </cell>
          <cell r="F1337" t="str">
            <v>5*20*70</v>
          </cell>
          <cell r="G1337">
            <v>5</v>
          </cell>
          <cell r="H1337">
            <v>20</v>
          </cell>
          <cell r="I1337">
            <v>70</v>
          </cell>
          <cell r="J1337">
            <v>10</v>
          </cell>
          <cell r="K1337">
            <v>0</v>
          </cell>
          <cell r="L1337">
            <v>3.5000000000000003E-2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3.5000000000000004</v>
          </cell>
        </row>
        <row r="1338">
          <cell r="A1338" t="str">
            <v>Y010-052</v>
          </cell>
          <cell r="B1338">
            <v>0</v>
          </cell>
          <cell r="C1338" t="str">
            <v>Y010</v>
          </cell>
          <cell r="D1338" t="str">
            <v>142-T8</v>
          </cell>
          <cell r="E1338" t="str">
            <v>Cập lập thủy nhỏ 2</v>
          </cell>
          <cell r="F1338" t="str">
            <v>5*35*70</v>
          </cell>
          <cell r="G1338">
            <v>5</v>
          </cell>
          <cell r="H1338">
            <v>35</v>
          </cell>
          <cell r="I1338">
            <v>70</v>
          </cell>
          <cell r="J1338">
            <v>15</v>
          </cell>
          <cell r="K1338">
            <v>0</v>
          </cell>
          <cell r="L1338">
            <v>3.5000000000000003E-2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2.3333333333333335</v>
          </cell>
        </row>
        <row r="1339">
          <cell r="A1339" t="str">
            <v>Y010-053</v>
          </cell>
          <cell r="B1339">
            <v>0</v>
          </cell>
          <cell r="C1339" t="str">
            <v>Y010</v>
          </cell>
          <cell r="D1339" t="str">
            <v>142-T8</v>
          </cell>
          <cell r="E1339" t="str">
            <v>Cập lập thủy lớn</v>
          </cell>
          <cell r="F1339" t="str">
            <v>5*70*140</v>
          </cell>
          <cell r="G1339">
            <v>5</v>
          </cell>
          <cell r="H1339">
            <v>70</v>
          </cell>
          <cell r="I1339">
            <v>140</v>
          </cell>
          <cell r="J1339">
            <v>55</v>
          </cell>
          <cell r="K1339">
            <v>0</v>
          </cell>
          <cell r="L1339">
            <v>0.16500000000000001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3</v>
          </cell>
        </row>
        <row r="1340">
          <cell r="A1340" t="str">
            <v>Y010-054</v>
          </cell>
          <cell r="B1340">
            <v>0</v>
          </cell>
          <cell r="C1340" t="str">
            <v>Y010</v>
          </cell>
          <cell r="D1340" t="str">
            <v>142-T10</v>
          </cell>
          <cell r="E1340" t="str">
            <v>Cập lập thủy nhỏ</v>
          </cell>
          <cell r="F1340" t="str">
            <v>5*20*70</v>
          </cell>
          <cell r="G1340">
            <v>5</v>
          </cell>
          <cell r="H1340">
            <v>20</v>
          </cell>
          <cell r="I1340">
            <v>70</v>
          </cell>
          <cell r="J1340">
            <v>10</v>
          </cell>
          <cell r="K1340">
            <v>0</v>
          </cell>
          <cell r="L1340">
            <v>3.5000000000000003E-2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3.5000000000000004</v>
          </cell>
        </row>
        <row r="1341">
          <cell r="A1341" t="str">
            <v>Y010-055</v>
          </cell>
          <cell r="B1341">
            <v>0</v>
          </cell>
          <cell r="C1341" t="str">
            <v>Y010</v>
          </cell>
          <cell r="D1341" t="str">
            <v>142-T10</v>
          </cell>
          <cell r="E1341" t="str">
            <v>Cập lập thủy lớn</v>
          </cell>
          <cell r="F1341" t="str">
            <v>5*70*127</v>
          </cell>
          <cell r="G1341">
            <v>5</v>
          </cell>
          <cell r="H1341">
            <v>70</v>
          </cell>
          <cell r="I1341">
            <v>127</v>
          </cell>
          <cell r="J1341">
            <v>50</v>
          </cell>
          <cell r="K1341">
            <v>0</v>
          </cell>
          <cell r="L1341">
            <v>0.15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2.9999999999999996</v>
          </cell>
        </row>
        <row r="1342">
          <cell r="A1342" t="str">
            <v>Y010-056</v>
          </cell>
          <cell r="B1342">
            <v>0</v>
          </cell>
          <cell r="C1342" t="str">
            <v>Y010</v>
          </cell>
          <cell r="D1342" t="str">
            <v>142-B</v>
          </cell>
          <cell r="E1342" t="str">
            <v>Cập mặt học</v>
          </cell>
          <cell r="F1342" t="str">
            <v>4*100*340</v>
          </cell>
          <cell r="G1342">
            <v>4</v>
          </cell>
          <cell r="H1342">
            <v>100</v>
          </cell>
          <cell r="I1342">
            <v>340</v>
          </cell>
          <cell r="J1342">
            <v>90</v>
          </cell>
          <cell r="K1342">
            <v>0</v>
          </cell>
          <cell r="L1342">
            <v>0.27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3.0000000000000004</v>
          </cell>
        </row>
        <row r="1343">
          <cell r="A1343" t="str">
            <v>Y010-057</v>
          </cell>
          <cell r="B1343">
            <v>0</v>
          </cell>
          <cell r="C1343" t="str">
            <v>Y010</v>
          </cell>
          <cell r="D1343" t="str">
            <v>142-H</v>
          </cell>
          <cell r="E1343" t="str">
            <v>Cập đỉnh</v>
          </cell>
          <cell r="F1343" t="str">
            <v>4*68*105</v>
          </cell>
          <cell r="G1343">
            <v>4</v>
          </cell>
          <cell r="H1343">
            <v>68</v>
          </cell>
          <cell r="I1343">
            <v>105</v>
          </cell>
          <cell r="J1343">
            <v>30</v>
          </cell>
          <cell r="K1343">
            <v>0</v>
          </cell>
          <cell r="L1343">
            <v>0.09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3</v>
          </cell>
        </row>
        <row r="1344">
          <cell r="A1344" t="str">
            <v>Y010-058</v>
          </cell>
          <cell r="B1344">
            <v>0</v>
          </cell>
          <cell r="C1344" t="str">
            <v>Y010</v>
          </cell>
          <cell r="D1344" t="str">
            <v>142-15</v>
          </cell>
          <cell r="E1344" t="str">
            <v>Cập kiếng</v>
          </cell>
          <cell r="F1344" t="str">
            <v>4*56*106</v>
          </cell>
          <cell r="G1344">
            <v>4</v>
          </cell>
          <cell r="H1344">
            <v>56</v>
          </cell>
          <cell r="I1344">
            <v>106</v>
          </cell>
          <cell r="J1344">
            <v>25</v>
          </cell>
          <cell r="K1344">
            <v>0</v>
          </cell>
          <cell r="L1344">
            <v>8.7999999999999995E-2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3.5199999999999996</v>
          </cell>
        </row>
        <row r="1345">
          <cell r="A1345" t="str">
            <v>Y010-059</v>
          </cell>
          <cell r="B1345">
            <v>0</v>
          </cell>
          <cell r="C1345" t="str">
            <v>Y010</v>
          </cell>
          <cell r="D1345" t="str">
            <v>3069-10RT</v>
          </cell>
          <cell r="E1345" t="str">
            <v xml:space="preserve">Chỉ dài </v>
          </cell>
          <cell r="F1345" t="str">
            <v>10*15*2051</v>
          </cell>
          <cell r="G1345">
            <v>10</v>
          </cell>
          <cell r="H1345">
            <v>15</v>
          </cell>
          <cell r="I1345">
            <v>2051</v>
          </cell>
          <cell r="J1345">
            <v>470</v>
          </cell>
          <cell r="K1345">
            <v>0</v>
          </cell>
          <cell r="L1345">
            <v>1.2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2.5531914893617023</v>
          </cell>
        </row>
        <row r="1346">
          <cell r="A1346" t="str">
            <v>Y010-060</v>
          </cell>
          <cell r="B1346">
            <v>0</v>
          </cell>
          <cell r="C1346" t="str">
            <v>Y010</v>
          </cell>
          <cell r="D1346" t="str">
            <v>3069-10T</v>
          </cell>
          <cell r="E1346" t="str">
            <v>Chỉ dài trên</v>
          </cell>
          <cell r="F1346" t="str">
            <v>10*15*841</v>
          </cell>
          <cell r="G1346">
            <v>10</v>
          </cell>
          <cell r="H1346">
            <v>15</v>
          </cell>
          <cell r="I1346">
            <v>841</v>
          </cell>
          <cell r="J1346">
            <v>180</v>
          </cell>
          <cell r="K1346">
            <v>0</v>
          </cell>
          <cell r="L1346">
            <v>0.49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2.7222222222222223</v>
          </cell>
        </row>
        <row r="1347">
          <cell r="A1347" t="str">
            <v>Y010-061</v>
          </cell>
          <cell r="B1347">
            <v>0</v>
          </cell>
          <cell r="C1347" t="str">
            <v>Y010</v>
          </cell>
          <cell r="D1347" t="str">
            <v>3069-10T</v>
          </cell>
          <cell r="E1347" t="str">
            <v>Chỉ dài dưới</v>
          </cell>
          <cell r="F1347" t="str">
            <v>10*15*841</v>
          </cell>
          <cell r="G1347">
            <v>10</v>
          </cell>
          <cell r="H1347">
            <v>15</v>
          </cell>
          <cell r="I1347">
            <v>841</v>
          </cell>
          <cell r="J1347">
            <v>180</v>
          </cell>
          <cell r="K1347">
            <v>0</v>
          </cell>
          <cell r="L1347">
            <v>0.49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2.7222222222222223</v>
          </cell>
        </row>
        <row r="1348">
          <cell r="A1348" t="str">
            <v>Y010-062</v>
          </cell>
          <cell r="B1348">
            <v>0</v>
          </cell>
          <cell r="C1348" t="str">
            <v>Y010</v>
          </cell>
          <cell r="D1348" t="str">
            <v>3069-10T</v>
          </cell>
          <cell r="E1348" t="str">
            <v>Chỉ ngắn trên</v>
          </cell>
          <cell r="F1348" t="str">
            <v>10*15*793</v>
          </cell>
          <cell r="G1348">
            <v>10</v>
          </cell>
          <cell r="H1348">
            <v>15</v>
          </cell>
          <cell r="I1348">
            <v>793</v>
          </cell>
          <cell r="J1348">
            <v>170</v>
          </cell>
          <cell r="K1348">
            <v>0</v>
          </cell>
          <cell r="L1348">
            <v>0.46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2.7058823529411762</v>
          </cell>
        </row>
        <row r="1349">
          <cell r="A1349" t="str">
            <v>Y010-063</v>
          </cell>
          <cell r="B1349">
            <v>0</v>
          </cell>
          <cell r="C1349" t="str">
            <v>Y010</v>
          </cell>
          <cell r="D1349" t="str">
            <v>3069-10T</v>
          </cell>
          <cell r="E1349" t="str">
            <v>Chỉ ngắn dưới</v>
          </cell>
          <cell r="F1349" t="str">
            <v>10*15*793</v>
          </cell>
          <cell r="G1349">
            <v>10</v>
          </cell>
          <cell r="H1349">
            <v>15</v>
          </cell>
          <cell r="I1349">
            <v>793</v>
          </cell>
          <cell r="J1349">
            <v>170</v>
          </cell>
          <cell r="K1349">
            <v>0</v>
          </cell>
          <cell r="L1349">
            <v>0.46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2.7058823529411762</v>
          </cell>
        </row>
        <row r="1350">
          <cell r="A1350" t="str">
            <v>Y010-064</v>
          </cell>
          <cell r="B1350">
            <v>0</v>
          </cell>
          <cell r="C1350" t="str">
            <v>Y010</v>
          </cell>
          <cell r="D1350" t="str">
            <v>3069-10T</v>
          </cell>
          <cell r="E1350" t="str">
            <v>Chỉ giữa trên</v>
          </cell>
          <cell r="F1350" t="str">
            <v>10*15*514</v>
          </cell>
          <cell r="G1350">
            <v>10</v>
          </cell>
          <cell r="H1350">
            <v>15</v>
          </cell>
          <cell r="I1350">
            <v>514</v>
          </cell>
          <cell r="J1350">
            <v>110</v>
          </cell>
          <cell r="K1350">
            <v>0</v>
          </cell>
          <cell r="L1350">
            <v>0.31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2.8181818181818183</v>
          </cell>
        </row>
        <row r="1351">
          <cell r="A1351" t="str">
            <v>Y010-065</v>
          </cell>
          <cell r="B1351">
            <v>0</v>
          </cell>
          <cell r="C1351" t="str">
            <v>Y010</v>
          </cell>
          <cell r="D1351" t="str">
            <v>3069-10T</v>
          </cell>
          <cell r="E1351" t="str">
            <v>Chỉ giữa dưới</v>
          </cell>
          <cell r="F1351" t="str">
            <v>10*15*514</v>
          </cell>
          <cell r="G1351">
            <v>10</v>
          </cell>
          <cell r="H1351">
            <v>15</v>
          </cell>
          <cell r="I1351">
            <v>514</v>
          </cell>
          <cell r="J1351">
            <v>110</v>
          </cell>
          <cell r="K1351">
            <v>0</v>
          </cell>
          <cell r="L1351">
            <v>0.31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2.8181818181818183</v>
          </cell>
        </row>
        <row r="1352">
          <cell r="A1352" t="str">
            <v>Y010-066</v>
          </cell>
          <cell r="B1352">
            <v>0</v>
          </cell>
          <cell r="C1352" t="str">
            <v>Y010</v>
          </cell>
          <cell r="D1352" t="str">
            <v>3069-10T</v>
          </cell>
          <cell r="E1352" t="str">
            <v>Chỉ đứng</v>
          </cell>
          <cell r="F1352" t="str">
            <v>10*15*974</v>
          </cell>
          <cell r="G1352">
            <v>10</v>
          </cell>
          <cell r="H1352">
            <v>15</v>
          </cell>
          <cell r="I1352">
            <v>974</v>
          </cell>
          <cell r="J1352">
            <v>200</v>
          </cell>
          <cell r="K1352">
            <v>0</v>
          </cell>
          <cell r="L1352">
            <v>0.54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2.7</v>
          </cell>
        </row>
        <row r="1353">
          <cell r="A1353" t="str">
            <v>Y010-067</v>
          </cell>
          <cell r="B1353">
            <v>0</v>
          </cell>
          <cell r="C1353" t="str">
            <v>Y010</v>
          </cell>
          <cell r="D1353" t="str">
            <v>3069-10RT</v>
          </cell>
          <cell r="E1353" t="str">
            <v>Chỉ ngắn</v>
          </cell>
          <cell r="F1353" t="str">
            <v>10*15*950</v>
          </cell>
          <cell r="G1353">
            <v>10</v>
          </cell>
          <cell r="H1353">
            <v>15</v>
          </cell>
          <cell r="I1353">
            <v>950</v>
          </cell>
          <cell r="J1353">
            <v>200</v>
          </cell>
          <cell r="K1353">
            <v>0</v>
          </cell>
          <cell r="L1353">
            <v>0.54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2.7</v>
          </cell>
        </row>
        <row r="1354">
          <cell r="A1354" t="str">
            <v>Y010-068</v>
          </cell>
          <cell r="B1354">
            <v>0</v>
          </cell>
          <cell r="C1354" t="str">
            <v>Y010</v>
          </cell>
          <cell r="D1354" t="str">
            <v>3069-09A/S</v>
          </cell>
          <cell r="E1354" t="str">
            <v>Chỉ lập thủy chân sau</v>
          </cell>
          <cell r="F1354" t="str">
            <v>8*11*1020</v>
          </cell>
          <cell r="G1354">
            <v>8</v>
          </cell>
          <cell r="H1354">
            <v>11</v>
          </cell>
          <cell r="I1354">
            <v>1020</v>
          </cell>
          <cell r="J1354">
            <v>0</v>
          </cell>
          <cell r="K1354">
            <v>0</v>
          </cell>
          <cell r="L1354">
            <v>0.36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</row>
        <row r="1355">
          <cell r="A1355" t="str">
            <v>Y010-069</v>
          </cell>
          <cell r="B1355">
            <v>0</v>
          </cell>
          <cell r="C1355" t="str">
            <v>Y010</v>
          </cell>
          <cell r="D1355" t="str">
            <v>3069-09A/S</v>
          </cell>
          <cell r="E1355" t="str">
            <v>Chỉ lập thủy trước</v>
          </cell>
          <cell r="F1355" t="str">
            <v>8*11*990</v>
          </cell>
          <cell r="G1355">
            <v>8</v>
          </cell>
          <cell r="H1355">
            <v>11</v>
          </cell>
          <cell r="I1355">
            <v>990</v>
          </cell>
          <cell r="J1355">
            <v>0</v>
          </cell>
          <cell r="K1355">
            <v>0</v>
          </cell>
          <cell r="L1355">
            <v>0.33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</row>
        <row r="1356">
          <cell r="A1356" t="str">
            <v>Y010-070</v>
          </cell>
          <cell r="B1356">
            <v>0</v>
          </cell>
          <cell r="C1356" t="str">
            <v>Y010</v>
          </cell>
          <cell r="D1356" t="str">
            <v>3069-09A/S</v>
          </cell>
          <cell r="E1356" t="str">
            <v>Chỉ lập thủy hông</v>
          </cell>
          <cell r="F1356" t="str">
            <v>8*11*930</v>
          </cell>
          <cell r="G1356">
            <v>8</v>
          </cell>
          <cell r="H1356">
            <v>11</v>
          </cell>
          <cell r="I1356">
            <v>930</v>
          </cell>
          <cell r="J1356">
            <v>0</v>
          </cell>
          <cell r="K1356">
            <v>0</v>
          </cell>
          <cell r="L1356">
            <v>0.31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</row>
        <row r="1357">
          <cell r="A1357" t="str">
            <v>Y010-071</v>
          </cell>
          <cell r="B1357">
            <v>0</v>
          </cell>
          <cell r="C1357" t="str">
            <v>Y010</v>
          </cell>
          <cell r="D1357" t="str">
            <v>3069-19A/S</v>
          </cell>
          <cell r="E1357" t="str">
            <v>Chỉ lập thủy chân sau</v>
          </cell>
          <cell r="F1357" t="str">
            <v>8*11*890</v>
          </cell>
          <cell r="G1357">
            <v>8</v>
          </cell>
          <cell r="H1357">
            <v>11</v>
          </cell>
          <cell r="I1357">
            <v>890</v>
          </cell>
          <cell r="J1357">
            <v>0</v>
          </cell>
          <cell r="K1357">
            <v>0</v>
          </cell>
          <cell r="L1357">
            <v>0.3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</row>
        <row r="1358">
          <cell r="A1358" t="str">
            <v>Y010-072</v>
          </cell>
          <cell r="B1358">
            <v>0</v>
          </cell>
          <cell r="C1358" t="str">
            <v>Y010</v>
          </cell>
          <cell r="D1358" t="str">
            <v>3069-19A/S</v>
          </cell>
          <cell r="E1358" t="str">
            <v>Chỉ lập thủy trước</v>
          </cell>
          <cell r="F1358" t="str">
            <v>8*11*990</v>
          </cell>
          <cell r="G1358">
            <v>8</v>
          </cell>
          <cell r="H1358">
            <v>11</v>
          </cell>
          <cell r="I1358">
            <v>990</v>
          </cell>
          <cell r="J1358">
            <v>0</v>
          </cell>
          <cell r="K1358">
            <v>0</v>
          </cell>
          <cell r="L1358">
            <v>0.33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</row>
        <row r="1359">
          <cell r="A1359" t="str">
            <v>Y010-073</v>
          </cell>
          <cell r="B1359">
            <v>0</v>
          </cell>
          <cell r="C1359" t="str">
            <v>Y010</v>
          </cell>
          <cell r="D1359" t="str">
            <v>3069-19A/S</v>
          </cell>
          <cell r="E1359" t="str">
            <v>Chỉ lập thủy hông</v>
          </cell>
          <cell r="F1359" t="str">
            <v>8*11*1020</v>
          </cell>
          <cell r="G1359">
            <v>8</v>
          </cell>
          <cell r="H1359">
            <v>11</v>
          </cell>
          <cell r="I1359">
            <v>1020</v>
          </cell>
          <cell r="J1359">
            <v>0</v>
          </cell>
          <cell r="K1359">
            <v>0</v>
          </cell>
          <cell r="L1359">
            <v>0.36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</row>
        <row r="1360">
          <cell r="A1360" t="str">
            <v>Y010-074</v>
          </cell>
          <cell r="B1360">
            <v>0</v>
          </cell>
          <cell r="C1360" t="str">
            <v>Y010</v>
          </cell>
          <cell r="D1360" t="str">
            <v>3904/3514BK/BKD</v>
          </cell>
          <cell r="E1360" t="str">
            <v>Cập thanh ngang</v>
          </cell>
          <cell r="F1360" t="str">
            <v>6*12*835</v>
          </cell>
          <cell r="G1360">
            <v>6</v>
          </cell>
          <cell r="H1360">
            <v>12</v>
          </cell>
          <cell r="I1360">
            <v>835</v>
          </cell>
          <cell r="J1360">
            <v>104</v>
          </cell>
          <cell r="K1360">
            <v>0</v>
          </cell>
          <cell r="L1360">
            <v>0.27100000000000002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</row>
        <row r="1361">
          <cell r="A1361" t="str">
            <v>Y010-075</v>
          </cell>
          <cell r="B1361">
            <v>0</v>
          </cell>
          <cell r="C1361" t="str">
            <v>Y010</v>
          </cell>
          <cell r="D1361">
            <v>0</v>
          </cell>
          <cell r="E1361">
            <v>0</v>
          </cell>
          <cell r="F1361" t="str">
            <v>10*39*83</v>
          </cell>
          <cell r="G1361">
            <v>10</v>
          </cell>
          <cell r="H1361">
            <v>39</v>
          </cell>
          <cell r="I1361">
            <v>83</v>
          </cell>
          <cell r="J1361">
            <v>50</v>
          </cell>
          <cell r="K1361">
            <v>0</v>
          </cell>
          <cell r="L1361">
            <v>0.2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</row>
        <row r="1362">
          <cell r="A1362" t="str">
            <v>Y010-076</v>
          </cell>
          <cell r="B1362" t="str">
            <v>Y005</v>
          </cell>
          <cell r="C1362" t="str">
            <v>Y010</v>
          </cell>
          <cell r="D1362" t="str">
            <v>3341-73/75/7/</v>
          </cell>
          <cell r="E1362" t="str">
            <v>Chỉ cập lập thủy ngắm</v>
          </cell>
          <cell r="F1362" t="str">
            <v>3*6*165</v>
          </cell>
          <cell r="G1362">
            <v>3</v>
          </cell>
          <cell r="H1362">
            <v>6</v>
          </cell>
          <cell r="I1362">
            <v>165</v>
          </cell>
          <cell r="J1362">
            <v>0</v>
          </cell>
          <cell r="K1362">
            <v>0</v>
          </cell>
          <cell r="L1362">
            <v>0.04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</row>
        <row r="1363">
          <cell r="A1363" t="str">
            <v>Y010-077</v>
          </cell>
          <cell r="B1363" t="str">
            <v>Y005</v>
          </cell>
          <cell r="C1363" t="str">
            <v>Y010</v>
          </cell>
          <cell r="D1363" t="str">
            <v>3341-73/75/7/</v>
          </cell>
          <cell r="E1363" t="str">
            <v>Chỉ cập lập thủy ngắm</v>
          </cell>
          <cell r="F1363" t="str">
            <v>3*6*565</v>
          </cell>
          <cell r="G1363">
            <v>3</v>
          </cell>
          <cell r="H1363">
            <v>6</v>
          </cell>
          <cell r="I1363">
            <v>565</v>
          </cell>
          <cell r="J1363">
            <v>0</v>
          </cell>
          <cell r="K1363">
            <v>0</v>
          </cell>
          <cell r="L1363">
            <v>7.0000000000000007E-2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</row>
        <row r="1364">
          <cell r="A1364" t="str">
            <v>Y010-078</v>
          </cell>
          <cell r="B1364">
            <v>0</v>
          </cell>
          <cell r="C1364" t="str">
            <v>Y010</v>
          </cell>
          <cell r="D1364" t="str">
            <v>761/861-T12</v>
          </cell>
          <cell r="E1364" t="str">
            <v>长饰花</v>
          </cell>
          <cell r="F1364" t="str">
            <v>6*97*1760</v>
          </cell>
          <cell r="G1364">
            <v>6</v>
          </cell>
          <cell r="H1364">
            <v>97</v>
          </cell>
          <cell r="I1364">
            <v>1760</v>
          </cell>
          <cell r="J1364">
            <v>0</v>
          </cell>
          <cell r="K1364" t="str">
            <v>未確認</v>
          </cell>
          <cell r="L1364">
            <v>1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</row>
        <row r="1365">
          <cell r="A1365" t="str">
            <v>Y010-079</v>
          </cell>
          <cell r="B1365">
            <v>0</v>
          </cell>
          <cell r="C1365" t="str">
            <v>Y010</v>
          </cell>
          <cell r="D1365" t="str">
            <v>761/861-T16</v>
          </cell>
          <cell r="E1365" t="str">
            <v>长饰花</v>
          </cell>
          <cell r="F1365" t="str">
            <v>6*97*1600</v>
          </cell>
          <cell r="G1365">
            <v>6</v>
          </cell>
          <cell r="H1365">
            <v>97</v>
          </cell>
          <cell r="I1365">
            <v>1600</v>
          </cell>
          <cell r="J1365">
            <v>0</v>
          </cell>
          <cell r="K1365" t="str">
            <v>未確認</v>
          </cell>
          <cell r="L1365">
            <v>0.95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</row>
        <row r="1366">
          <cell r="A1366" t="str">
            <v>Y010-080</v>
          </cell>
          <cell r="B1366">
            <v>0</v>
          </cell>
          <cell r="C1366" t="str">
            <v>Y010</v>
          </cell>
          <cell r="D1366" t="str">
            <v>761/861-T16</v>
          </cell>
          <cell r="E1366" t="str">
            <v>中饰花</v>
          </cell>
          <cell r="F1366" t="str">
            <v>6*97*1702</v>
          </cell>
          <cell r="G1366">
            <v>6</v>
          </cell>
          <cell r="H1366">
            <v>97</v>
          </cell>
          <cell r="I1366">
            <v>1702</v>
          </cell>
          <cell r="J1366">
            <v>0</v>
          </cell>
          <cell r="K1366" t="str">
            <v>未確認</v>
          </cell>
          <cell r="L1366">
            <v>0.97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</row>
        <row r="1367">
          <cell r="A1367" t="str">
            <v>Y011-001</v>
          </cell>
          <cell r="B1367" t="str">
            <v>LCT011-148</v>
          </cell>
          <cell r="C1367" t="str">
            <v>Y011</v>
          </cell>
          <cell r="D1367">
            <v>0</v>
          </cell>
          <cell r="E1367" t="str">
            <v>POLY 飾塊</v>
          </cell>
          <cell r="F1367" t="str">
            <v>57*19*5</v>
          </cell>
          <cell r="G1367">
            <v>57</v>
          </cell>
          <cell r="H1367">
            <v>19</v>
          </cell>
          <cell r="I1367">
            <v>5</v>
          </cell>
          <cell r="J1367">
            <v>20</v>
          </cell>
          <cell r="K1367">
            <v>0</v>
          </cell>
          <cell r="L1367">
            <v>3.9E-2</v>
          </cell>
          <cell r="M1367">
            <v>0</v>
          </cell>
          <cell r="N1367">
            <v>0</v>
          </cell>
          <cell r="O1367" t="str">
            <v>40V</v>
          </cell>
          <cell r="P1367" t="str">
            <v>1010</v>
          </cell>
          <cell r="Q1367" t="str">
            <v>1010</v>
          </cell>
          <cell r="R1367">
            <v>1.95</v>
          </cell>
        </row>
        <row r="1368">
          <cell r="A1368" t="str">
            <v>Y011-002</v>
          </cell>
          <cell r="B1368" t="str">
            <v>LCT011-149</v>
          </cell>
          <cell r="C1368" t="str">
            <v>Y011</v>
          </cell>
          <cell r="D1368" t="str">
            <v>83407-2N</v>
          </cell>
          <cell r="E1368" t="str">
            <v>poly chi tu 2N</v>
          </cell>
          <cell r="F1368" t="str">
            <v>530*8*6</v>
          </cell>
          <cell r="G1368">
            <v>530</v>
          </cell>
          <cell r="H1368">
            <v>8</v>
          </cell>
          <cell r="I1368">
            <v>6</v>
          </cell>
          <cell r="J1368">
            <v>48</v>
          </cell>
          <cell r="K1368">
            <v>0</v>
          </cell>
          <cell r="L1368">
            <v>0.16</v>
          </cell>
          <cell r="M1368">
            <v>0</v>
          </cell>
          <cell r="N1368">
            <v>0</v>
          </cell>
          <cell r="O1368" t="str">
            <v>40V</v>
          </cell>
          <cell r="P1368" t="str">
            <v>1010</v>
          </cell>
          <cell r="Q1368" t="str">
            <v>1010</v>
          </cell>
          <cell r="R1368">
            <v>3.3333333333333335</v>
          </cell>
        </row>
        <row r="1369">
          <cell r="A1369" t="str">
            <v>Y011-003</v>
          </cell>
          <cell r="B1369" t="str">
            <v>LCT011-150</v>
          </cell>
          <cell r="C1369" t="str">
            <v>Y011</v>
          </cell>
          <cell r="D1369" t="str">
            <v>83407-2N</v>
          </cell>
          <cell r="E1369" t="str">
            <v>poly chi tu 2N</v>
          </cell>
          <cell r="F1369" t="str">
            <v>232*8*6</v>
          </cell>
          <cell r="G1369">
            <v>232</v>
          </cell>
          <cell r="H1369">
            <v>8</v>
          </cell>
          <cell r="I1369">
            <v>6</v>
          </cell>
          <cell r="J1369">
            <v>20</v>
          </cell>
          <cell r="K1369">
            <v>0</v>
          </cell>
          <cell r="L1369">
            <v>7.0000000000000007E-2</v>
          </cell>
          <cell r="M1369">
            <v>0</v>
          </cell>
          <cell r="N1369">
            <v>0</v>
          </cell>
          <cell r="O1369" t="str">
            <v>40V</v>
          </cell>
          <cell r="P1369" t="str">
            <v>1010</v>
          </cell>
          <cell r="Q1369" t="str">
            <v>1010</v>
          </cell>
          <cell r="R1369">
            <v>3.5000000000000004</v>
          </cell>
        </row>
        <row r="1370">
          <cell r="A1370" t="str">
            <v>Y011-004</v>
          </cell>
          <cell r="B1370" t="str">
            <v>LCT011-151</v>
          </cell>
          <cell r="C1370" t="str">
            <v>Y011</v>
          </cell>
          <cell r="D1370" t="str">
            <v>83405-5N</v>
          </cell>
          <cell r="E1370" t="str">
            <v>poly chi tu 5N</v>
          </cell>
          <cell r="F1370" t="str">
            <v>806*8*6</v>
          </cell>
          <cell r="G1370">
            <v>806</v>
          </cell>
          <cell r="H1370">
            <v>8</v>
          </cell>
          <cell r="I1370">
            <v>6</v>
          </cell>
          <cell r="J1370">
            <v>60</v>
          </cell>
          <cell r="K1370">
            <v>0</v>
          </cell>
          <cell r="L1370">
            <v>0.24</v>
          </cell>
          <cell r="M1370">
            <v>0</v>
          </cell>
          <cell r="N1370">
            <v>0</v>
          </cell>
          <cell r="O1370" t="str">
            <v>40V</v>
          </cell>
          <cell r="P1370" t="str">
            <v>1010</v>
          </cell>
          <cell r="Q1370" t="str">
            <v>1010</v>
          </cell>
          <cell r="R1370">
            <v>4</v>
          </cell>
        </row>
        <row r="1371">
          <cell r="A1371" t="str">
            <v>Y011-005</v>
          </cell>
          <cell r="B1371" t="str">
            <v>LCT011-152</v>
          </cell>
          <cell r="C1371" t="str">
            <v>Y011</v>
          </cell>
          <cell r="D1371" t="str">
            <v>83405-5N</v>
          </cell>
          <cell r="E1371" t="str">
            <v>poly chi tu 5N</v>
          </cell>
          <cell r="F1371" t="str">
            <v>212*8*6</v>
          </cell>
          <cell r="G1371">
            <v>212</v>
          </cell>
          <cell r="H1371">
            <v>8</v>
          </cell>
          <cell r="I1371">
            <v>6</v>
          </cell>
          <cell r="J1371">
            <v>20</v>
          </cell>
          <cell r="K1371">
            <v>0</v>
          </cell>
          <cell r="L1371">
            <v>0.06</v>
          </cell>
          <cell r="M1371">
            <v>0</v>
          </cell>
          <cell r="N1371">
            <v>0</v>
          </cell>
          <cell r="O1371" t="str">
            <v>40V</v>
          </cell>
          <cell r="P1371" t="str">
            <v>1010</v>
          </cell>
          <cell r="Q1371" t="str">
            <v>1010</v>
          </cell>
          <cell r="R1371">
            <v>3</v>
          </cell>
        </row>
        <row r="1372">
          <cell r="A1372" t="str">
            <v>Y011-006</v>
          </cell>
          <cell r="B1372" t="str">
            <v>LCT011-153</v>
          </cell>
          <cell r="C1372" t="str">
            <v>Y011</v>
          </cell>
          <cell r="D1372" t="str">
            <v>83409-6N</v>
          </cell>
          <cell r="E1372" t="str">
            <v>poly chi tu 6N</v>
          </cell>
          <cell r="F1372" t="str">
            <v>700*8*6</v>
          </cell>
          <cell r="G1372">
            <v>700</v>
          </cell>
          <cell r="H1372">
            <v>8</v>
          </cell>
          <cell r="I1372">
            <v>6</v>
          </cell>
          <cell r="J1372">
            <v>56</v>
          </cell>
          <cell r="K1372">
            <v>0</v>
          </cell>
          <cell r="L1372">
            <v>0.21</v>
          </cell>
          <cell r="M1372">
            <v>0</v>
          </cell>
          <cell r="N1372">
            <v>0</v>
          </cell>
          <cell r="O1372" t="str">
            <v>40V</v>
          </cell>
          <cell r="P1372" t="str">
            <v>1010</v>
          </cell>
          <cell r="Q1372" t="str">
            <v>1010</v>
          </cell>
          <cell r="R1372">
            <v>3.75</v>
          </cell>
        </row>
        <row r="1373">
          <cell r="A1373" t="str">
            <v>Y011-007</v>
          </cell>
          <cell r="B1373" t="str">
            <v>LCT011-154</v>
          </cell>
          <cell r="C1373" t="str">
            <v>Y011</v>
          </cell>
          <cell r="D1373" t="str">
            <v>83409-6N</v>
          </cell>
          <cell r="E1373" t="str">
            <v>poly chi tu 6N</v>
          </cell>
          <cell r="F1373" t="str">
            <v>198*8*6</v>
          </cell>
          <cell r="G1373">
            <v>198</v>
          </cell>
          <cell r="H1373">
            <v>8</v>
          </cell>
          <cell r="I1373">
            <v>6</v>
          </cell>
          <cell r="J1373">
            <v>22</v>
          </cell>
          <cell r="K1373">
            <v>0</v>
          </cell>
          <cell r="L1373">
            <v>0.06</v>
          </cell>
          <cell r="M1373">
            <v>0</v>
          </cell>
          <cell r="N1373">
            <v>0</v>
          </cell>
          <cell r="O1373" t="str">
            <v>40V</v>
          </cell>
          <cell r="P1373" t="str">
            <v>1010</v>
          </cell>
          <cell r="Q1373" t="str">
            <v>1010</v>
          </cell>
          <cell r="R1373">
            <v>2.7272727272727275</v>
          </cell>
        </row>
        <row r="1374">
          <cell r="A1374" t="str">
            <v>Y011-008</v>
          </cell>
          <cell r="B1374" t="str">
            <v>LCT011-155</v>
          </cell>
          <cell r="C1374" t="str">
            <v>Y011</v>
          </cell>
          <cell r="D1374" t="str">
            <v>83409-6N</v>
          </cell>
          <cell r="E1374" t="str">
            <v>poly chi tu 6N</v>
          </cell>
          <cell r="F1374" t="str">
            <v>463*8*6</v>
          </cell>
          <cell r="G1374">
            <v>463</v>
          </cell>
          <cell r="H1374">
            <v>8</v>
          </cell>
          <cell r="I1374">
            <v>6</v>
          </cell>
          <cell r="J1374">
            <v>40</v>
          </cell>
          <cell r="K1374">
            <v>0</v>
          </cell>
          <cell r="L1374">
            <v>0.14000000000000001</v>
          </cell>
          <cell r="M1374">
            <v>0</v>
          </cell>
          <cell r="N1374">
            <v>0</v>
          </cell>
          <cell r="O1374" t="str">
            <v>40V</v>
          </cell>
          <cell r="P1374" t="str">
            <v>1010</v>
          </cell>
          <cell r="Q1374" t="str">
            <v>1010</v>
          </cell>
          <cell r="R1374">
            <v>3.5000000000000004</v>
          </cell>
        </row>
        <row r="1375">
          <cell r="A1375" t="str">
            <v>Y011-009</v>
          </cell>
          <cell r="B1375" t="str">
            <v>LCT011-156</v>
          </cell>
          <cell r="C1375" t="str">
            <v>Y011</v>
          </cell>
          <cell r="D1375" t="str">
            <v>83409-6N</v>
          </cell>
          <cell r="E1375" t="str">
            <v>poly chi tu 6N</v>
          </cell>
          <cell r="F1375" t="str">
            <v>267*8*6</v>
          </cell>
          <cell r="G1375">
            <v>267</v>
          </cell>
          <cell r="H1375">
            <v>8</v>
          </cell>
          <cell r="I1375">
            <v>6</v>
          </cell>
          <cell r="J1375">
            <v>22</v>
          </cell>
          <cell r="K1375">
            <v>0</v>
          </cell>
          <cell r="L1375">
            <v>0.08</v>
          </cell>
          <cell r="M1375">
            <v>0</v>
          </cell>
          <cell r="N1375">
            <v>0</v>
          </cell>
          <cell r="O1375" t="str">
            <v>40V</v>
          </cell>
          <cell r="P1375" t="str">
            <v>1010</v>
          </cell>
          <cell r="Q1375" t="str">
            <v>1010</v>
          </cell>
          <cell r="R1375">
            <v>3.6363636363636367</v>
          </cell>
        </row>
        <row r="1376">
          <cell r="A1376" t="str">
            <v>Y011-010</v>
          </cell>
          <cell r="B1376" t="str">
            <v>LCT011-157</v>
          </cell>
          <cell r="C1376" t="str">
            <v>Y011</v>
          </cell>
          <cell r="D1376" t="str">
            <v>83409-6N</v>
          </cell>
          <cell r="E1376" t="str">
            <v>poly chi tu 6N</v>
          </cell>
          <cell r="F1376" t="str">
            <v>458*8*6</v>
          </cell>
          <cell r="G1376">
            <v>458</v>
          </cell>
          <cell r="H1376">
            <v>8</v>
          </cell>
          <cell r="I1376">
            <v>6</v>
          </cell>
          <cell r="J1376">
            <v>38</v>
          </cell>
          <cell r="K1376">
            <v>0</v>
          </cell>
          <cell r="L1376">
            <v>0.14000000000000001</v>
          </cell>
          <cell r="M1376">
            <v>0</v>
          </cell>
          <cell r="N1376">
            <v>0</v>
          </cell>
          <cell r="O1376" t="str">
            <v>40V</v>
          </cell>
          <cell r="P1376" t="str">
            <v>1010</v>
          </cell>
          <cell r="Q1376" t="str">
            <v>1010</v>
          </cell>
          <cell r="R1376">
            <v>3.6842105263157898</v>
          </cell>
        </row>
        <row r="1377">
          <cell r="A1377" t="str">
            <v>Y011-011</v>
          </cell>
          <cell r="B1377" t="str">
            <v>LCT011-158</v>
          </cell>
          <cell r="C1377" t="str">
            <v>Y011</v>
          </cell>
          <cell r="D1377" t="str">
            <v>83446-TV</v>
          </cell>
          <cell r="E1377" t="str">
            <v>poly chi tu TV</v>
          </cell>
          <cell r="F1377" t="str">
            <v>806*8*6</v>
          </cell>
          <cell r="G1377">
            <v>806</v>
          </cell>
          <cell r="H1377">
            <v>8</v>
          </cell>
          <cell r="I1377">
            <v>6</v>
          </cell>
          <cell r="J1377">
            <v>60</v>
          </cell>
          <cell r="K1377">
            <v>0</v>
          </cell>
          <cell r="L1377">
            <v>0.24</v>
          </cell>
          <cell r="M1377">
            <v>0</v>
          </cell>
          <cell r="N1377">
            <v>0</v>
          </cell>
          <cell r="O1377" t="str">
            <v>40V</v>
          </cell>
          <cell r="P1377" t="str">
            <v>1010</v>
          </cell>
          <cell r="Q1377" t="str">
            <v>1010</v>
          </cell>
          <cell r="R1377">
            <v>4</v>
          </cell>
        </row>
        <row r="1378">
          <cell r="A1378" t="str">
            <v>Y011-012</v>
          </cell>
          <cell r="B1378" t="str">
            <v>LCT011-159</v>
          </cell>
          <cell r="C1378" t="str">
            <v>Y011</v>
          </cell>
          <cell r="D1378" t="str">
            <v>83446-TV</v>
          </cell>
          <cell r="E1378" t="str">
            <v>poly chi tu TV</v>
          </cell>
          <cell r="F1378" t="str">
            <v>202*8*6</v>
          </cell>
          <cell r="G1378">
            <v>202</v>
          </cell>
          <cell r="H1378">
            <v>8</v>
          </cell>
          <cell r="I1378">
            <v>6</v>
          </cell>
          <cell r="J1378">
            <v>19</v>
          </cell>
          <cell r="K1378">
            <v>0</v>
          </cell>
          <cell r="L1378">
            <v>0.06</v>
          </cell>
          <cell r="M1378">
            <v>0</v>
          </cell>
          <cell r="N1378">
            <v>0</v>
          </cell>
          <cell r="O1378" t="str">
            <v>40V</v>
          </cell>
          <cell r="P1378" t="str">
            <v>1010</v>
          </cell>
          <cell r="Q1378" t="str">
            <v>1010</v>
          </cell>
          <cell r="R1378">
            <v>3.1578947368421053</v>
          </cell>
        </row>
        <row r="1379">
          <cell r="A1379" t="str">
            <v>Y011-013</v>
          </cell>
          <cell r="B1379" t="str">
            <v>LCT011-173</v>
          </cell>
          <cell r="C1379" t="str">
            <v>Y011</v>
          </cell>
          <cell r="D1379" t="str">
            <v>WLC025</v>
          </cell>
          <cell r="E1379" t="str">
            <v>poly 82657-2N</v>
          </cell>
          <cell r="F1379" t="str">
            <v>341*8*6</v>
          </cell>
          <cell r="G1379">
            <v>341</v>
          </cell>
          <cell r="H1379">
            <v>8</v>
          </cell>
          <cell r="I1379">
            <v>6</v>
          </cell>
          <cell r="J1379">
            <v>0</v>
          </cell>
          <cell r="K1379">
            <v>0</v>
          </cell>
          <cell r="L1379">
            <v>0.1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 t="e">
            <v>#DIV/0!</v>
          </cell>
        </row>
        <row r="1380">
          <cell r="A1380" t="str">
            <v>Y011-014</v>
          </cell>
          <cell r="B1380" t="str">
            <v>LCT011-174</v>
          </cell>
          <cell r="C1380" t="str">
            <v>Y011</v>
          </cell>
          <cell r="D1380" t="str">
            <v>WLC025</v>
          </cell>
          <cell r="E1380" t="str">
            <v>poly 82657-2N</v>
          </cell>
          <cell r="F1380" t="str">
            <v>245*8*6</v>
          </cell>
          <cell r="G1380">
            <v>245</v>
          </cell>
          <cell r="H1380">
            <v>8</v>
          </cell>
          <cell r="I1380">
            <v>6</v>
          </cell>
          <cell r="J1380">
            <v>0</v>
          </cell>
          <cell r="K1380">
            <v>0</v>
          </cell>
          <cell r="L1380">
            <v>7.0000000000000007E-2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 t="e">
            <v>#DIV/0!</v>
          </cell>
        </row>
        <row r="1381">
          <cell r="A1381" t="str">
            <v>Y011-015</v>
          </cell>
          <cell r="B1381" t="str">
            <v>LCT011-175</v>
          </cell>
          <cell r="C1381" t="str">
            <v>Y011</v>
          </cell>
          <cell r="D1381" t="str">
            <v>WLC025</v>
          </cell>
          <cell r="E1381" t="str">
            <v>poly 82657-2N</v>
          </cell>
          <cell r="F1381" t="str">
            <v>359*12*6</v>
          </cell>
          <cell r="G1381">
            <v>359</v>
          </cell>
          <cell r="H1381">
            <v>12</v>
          </cell>
          <cell r="I1381">
            <v>6</v>
          </cell>
          <cell r="J1381">
            <v>0</v>
          </cell>
          <cell r="K1381">
            <v>0</v>
          </cell>
          <cell r="L1381">
            <v>0.18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 t="e">
            <v>#DIV/0!</v>
          </cell>
        </row>
        <row r="1382">
          <cell r="A1382" t="str">
            <v>Y011-016</v>
          </cell>
          <cell r="B1382" t="str">
            <v>LCT011-176</v>
          </cell>
          <cell r="C1382" t="str">
            <v>Y011</v>
          </cell>
          <cell r="D1382" t="str">
            <v>WLC025</v>
          </cell>
          <cell r="E1382" t="str">
            <v>poly 82657-2N</v>
          </cell>
          <cell r="F1382" t="str">
            <v>610*12*6</v>
          </cell>
          <cell r="G1382">
            <v>610</v>
          </cell>
          <cell r="H1382">
            <v>12</v>
          </cell>
          <cell r="I1382">
            <v>6</v>
          </cell>
          <cell r="J1382">
            <v>0</v>
          </cell>
          <cell r="K1382">
            <v>0</v>
          </cell>
          <cell r="L1382">
            <v>0.31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 t="e">
            <v>#DIV/0!</v>
          </cell>
        </row>
        <row r="1383">
          <cell r="A1383" t="str">
            <v>Y011-017</v>
          </cell>
          <cell r="B1383" t="str">
            <v>LCT011-177</v>
          </cell>
          <cell r="C1383" t="str">
            <v>Y011</v>
          </cell>
          <cell r="D1383" t="str">
            <v>WLC026</v>
          </cell>
          <cell r="E1383" t="str">
            <v>poly 82655-5N</v>
          </cell>
          <cell r="F1383" t="str">
            <v>954*8*6</v>
          </cell>
          <cell r="G1383">
            <v>954</v>
          </cell>
          <cell r="H1383">
            <v>8</v>
          </cell>
          <cell r="I1383">
            <v>6</v>
          </cell>
          <cell r="J1383">
            <v>0</v>
          </cell>
          <cell r="K1383">
            <v>0</v>
          </cell>
          <cell r="L1383">
            <v>0.28999999999999998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 t="e">
            <v>#DIV/0!</v>
          </cell>
        </row>
        <row r="1384">
          <cell r="A1384" t="str">
            <v>Y011-018</v>
          </cell>
          <cell r="B1384" t="str">
            <v>LCT011-178</v>
          </cell>
          <cell r="C1384" t="str">
            <v>Y011</v>
          </cell>
          <cell r="D1384" t="str">
            <v>WLC026</v>
          </cell>
          <cell r="E1384" t="str">
            <v>poly 82655-5N</v>
          </cell>
          <cell r="F1384" t="str">
            <v>916*12*6</v>
          </cell>
          <cell r="G1384">
            <v>916</v>
          </cell>
          <cell r="H1384">
            <v>12</v>
          </cell>
          <cell r="I1384">
            <v>6</v>
          </cell>
          <cell r="J1384">
            <v>0</v>
          </cell>
          <cell r="K1384">
            <v>0</v>
          </cell>
          <cell r="L1384">
            <v>0.46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 t="e">
            <v>#DIV/0!</v>
          </cell>
        </row>
        <row r="1385">
          <cell r="A1385" t="str">
            <v>Y011-019</v>
          </cell>
          <cell r="B1385" t="str">
            <v>LCT011-179</v>
          </cell>
          <cell r="C1385" t="str">
            <v>Y011</v>
          </cell>
          <cell r="D1385" t="str">
            <v>WLC027</v>
          </cell>
          <cell r="E1385" t="str">
            <v>poly 82655-5N</v>
          </cell>
          <cell r="F1385" t="str">
            <v>681*12*6</v>
          </cell>
          <cell r="G1385">
            <v>681</v>
          </cell>
          <cell r="H1385">
            <v>12</v>
          </cell>
          <cell r="I1385">
            <v>6</v>
          </cell>
          <cell r="J1385">
            <v>0</v>
          </cell>
          <cell r="K1385">
            <v>0</v>
          </cell>
          <cell r="L1385">
            <v>0.34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 t="e">
            <v>#DIV/0!</v>
          </cell>
        </row>
        <row r="1386">
          <cell r="A1386" t="str">
            <v>Y011-020</v>
          </cell>
          <cell r="B1386" t="str">
            <v>LCT011-180</v>
          </cell>
          <cell r="C1386" t="str">
            <v>Y011</v>
          </cell>
          <cell r="D1386" t="str">
            <v>WLC028</v>
          </cell>
          <cell r="E1386" t="str">
            <v>poly 82659-6N</v>
          </cell>
          <cell r="F1386" t="str">
            <v>496*8*6</v>
          </cell>
          <cell r="G1386">
            <v>496</v>
          </cell>
          <cell r="H1386">
            <v>8</v>
          </cell>
          <cell r="I1386">
            <v>6</v>
          </cell>
          <cell r="J1386">
            <v>0</v>
          </cell>
          <cell r="K1386">
            <v>0</v>
          </cell>
          <cell r="L1386">
            <v>0.15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 t="e">
            <v>#DIV/0!</v>
          </cell>
        </row>
        <row r="1387">
          <cell r="A1387" t="str">
            <v>Y011-021</v>
          </cell>
          <cell r="B1387" t="str">
            <v>LCT011-181</v>
          </cell>
          <cell r="C1387" t="str">
            <v>Y011</v>
          </cell>
          <cell r="D1387" t="str">
            <v>WLC028</v>
          </cell>
          <cell r="E1387" t="str">
            <v>poly 82659-6N</v>
          </cell>
          <cell r="F1387" t="str">
            <v>773*12*6</v>
          </cell>
          <cell r="G1387">
            <v>773</v>
          </cell>
          <cell r="H1387">
            <v>12</v>
          </cell>
          <cell r="I1387">
            <v>6</v>
          </cell>
          <cell r="J1387">
            <v>0</v>
          </cell>
          <cell r="K1387">
            <v>0</v>
          </cell>
          <cell r="L1387">
            <v>0.39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 t="e">
            <v>#DIV/0!</v>
          </cell>
        </row>
        <row r="1388">
          <cell r="A1388" t="str">
            <v>Y011-022</v>
          </cell>
          <cell r="B1388">
            <v>0</v>
          </cell>
          <cell r="C1388" t="str">
            <v>Y011</v>
          </cell>
          <cell r="D1388" t="str">
            <v>85607-2N</v>
          </cell>
          <cell r="E1388" t="str">
            <v>Poly chi ru 2n</v>
          </cell>
          <cell r="F1388" t="str">
            <v>173*117*8</v>
          </cell>
          <cell r="G1388">
            <v>173</v>
          </cell>
          <cell r="H1388">
            <v>117</v>
          </cell>
          <cell r="I1388">
            <v>8</v>
          </cell>
          <cell r="J1388">
            <v>90</v>
          </cell>
          <cell r="K1388">
            <v>0</v>
          </cell>
          <cell r="L1388">
            <v>0</v>
          </cell>
          <cell r="M1388">
            <v>5118</v>
          </cell>
          <cell r="N1388">
            <v>0</v>
          </cell>
          <cell r="O1388">
            <v>0</v>
          </cell>
          <cell r="P1388" t="str">
            <v>1010</v>
          </cell>
          <cell r="Q1388" t="str">
            <v>1010</v>
          </cell>
          <cell r="R1388">
            <v>2.7079365079365081</v>
          </cell>
          <cell r="S1388">
            <v>0.23</v>
          </cell>
        </row>
        <row r="1389">
          <cell r="A1389" t="str">
            <v>Y011-023</v>
          </cell>
          <cell r="B1389">
            <v>0</v>
          </cell>
          <cell r="C1389" t="str">
            <v>Y011</v>
          </cell>
          <cell r="D1389" t="str">
            <v>85605-5N</v>
          </cell>
          <cell r="E1389" t="str">
            <v>Poly chi ru 5n</v>
          </cell>
          <cell r="F1389" t="str">
            <v>295*103*8</v>
          </cell>
          <cell r="G1389">
            <v>295</v>
          </cell>
          <cell r="H1389">
            <v>103</v>
          </cell>
          <cell r="I1389">
            <v>8</v>
          </cell>
          <cell r="J1389">
            <v>110</v>
          </cell>
          <cell r="K1389">
            <v>0</v>
          </cell>
          <cell r="L1389">
            <v>0</v>
          </cell>
          <cell r="M1389">
            <v>6230</v>
          </cell>
          <cell r="N1389">
            <v>0</v>
          </cell>
          <cell r="O1389">
            <v>0</v>
          </cell>
          <cell r="P1389" t="str">
            <v>1010</v>
          </cell>
          <cell r="Q1389" t="str">
            <v>1010</v>
          </cell>
          <cell r="R1389">
            <v>2.6969696969696972</v>
          </cell>
          <cell r="S1389">
            <v>0.28000000000000003</v>
          </cell>
        </row>
        <row r="1390">
          <cell r="A1390" t="str">
            <v>Y011-024</v>
          </cell>
          <cell r="B1390">
            <v>0</v>
          </cell>
          <cell r="C1390" t="str">
            <v>Y011</v>
          </cell>
          <cell r="D1390" t="str">
            <v>85609-6N</v>
          </cell>
          <cell r="E1390" t="str">
            <v>Poly chi ru 6n</v>
          </cell>
          <cell r="F1390" t="str">
            <v>276*142*8</v>
          </cell>
          <cell r="G1390">
            <v>276</v>
          </cell>
          <cell r="H1390">
            <v>142</v>
          </cell>
          <cell r="I1390">
            <v>8</v>
          </cell>
          <cell r="J1390">
            <v>120</v>
          </cell>
          <cell r="K1390">
            <v>0</v>
          </cell>
          <cell r="L1390">
            <v>0</v>
          </cell>
          <cell r="M1390">
            <v>6675</v>
          </cell>
          <cell r="N1390">
            <v>0</v>
          </cell>
          <cell r="O1390">
            <v>0</v>
          </cell>
          <cell r="P1390" t="str">
            <v>1010</v>
          </cell>
          <cell r="Q1390" t="str">
            <v>1010</v>
          </cell>
          <cell r="R1390">
            <v>2.6488095238095237</v>
          </cell>
          <cell r="S1390">
            <v>0.3</v>
          </cell>
        </row>
        <row r="1391">
          <cell r="A1391" t="str">
            <v>Y011-025</v>
          </cell>
          <cell r="B1391">
            <v>0</v>
          </cell>
          <cell r="C1391" t="str">
            <v>Y011</v>
          </cell>
          <cell r="D1391" t="str">
            <v>85649-TV</v>
          </cell>
          <cell r="E1391" t="str">
            <v>Poly chi ru TV</v>
          </cell>
          <cell r="F1391" t="str">
            <v>302*141*8</v>
          </cell>
          <cell r="G1391">
            <v>302</v>
          </cell>
          <cell r="H1391">
            <v>141</v>
          </cell>
          <cell r="I1391">
            <v>8</v>
          </cell>
          <cell r="J1391">
            <v>125</v>
          </cell>
          <cell r="K1391">
            <v>0</v>
          </cell>
          <cell r="L1391">
            <v>0</v>
          </cell>
          <cell r="M1391">
            <v>7343</v>
          </cell>
          <cell r="N1391">
            <v>0</v>
          </cell>
          <cell r="O1391">
            <v>0</v>
          </cell>
          <cell r="P1391" t="str">
            <v>1010</v>
          </cell>
          <cell r="Q1391" t="str">
            <v>1010</v>
          </cell>
          <cell r="R1391">
            <v>2.7973333333333334</v>
          </cell>
          <cell r="S1391">
            <v>0.33</v>
          </cell>
        </row>
        <row r="1392">
          <cell r="A1392" t="str">
            <v>Y011-026</v>
          </cell>
          <cell r="B1392">
            <v>0</v>
          </cell>
          <cell r="C1392" t="str">
            <v>Y011</v>
          </cell>
          <cell r="D1392" t="str">
            <v>85649-TV</v>
          </cell>
          <cell r="E1392" t="str">
            <v>Poly chi ru TV</v>
          </cell>
          <cell r="F1392" t="str">
            <v>422*291*8</v>
          </cell>
          <cell r="G1392">
            <v>422</v>
          </cell>
          <cell r="H1392">
            <v>291</v>
          </cell>
          <cell r="I1392">
            <v>8</v>
          </cell>
          <cell r="J1392">
            <v>190</v>
          </cell>
          <cell r="K1392">
            <v>0</v>
          </cell>
          <cell r="L1392">
            <v>0</v>
          </cell>
          <cell r="M1392">
            <v>10680</v>
          </cell>
          <cell r="N1392">
            <v>0</v>
          </cell>
          <cell r="O1392">
            <v>0</v>
          </cell>
          <cell r="P1392" t="str">
            <v>1010</v>
          </cell>
          <cell r="Q1392" t="str">
            <v>1010</v>
          </cell>
          <cell r="R1392">
            <v>2.6766917293233083</v>
          </cell>
          <cell r="S1392">
            <v>0.48</v>
          </cell>
        </row>
        <row r="1393">
          <cell r="A1393" t="str">
            <v>Y011-027</v>
          </cell>
          <cell r="B1393">
            <v>0</v>
          </cell>
          <cell r="C1393" t="str">
            <v>Y011</v>
          </cell>
          <cell r="D1393" t="str">
            <v>85601-Q</v>
          </cell>
          <cell r="E1393" t="str">
            <v>Dau giuong Q</v>
          </cell>
          <cell r="F1393" t="str">
            <v>610*213*8</v>
          </cell>
          <cell r="G1393">
            <v>610</v>
          </cell>
          <cell r="H1393">
            <v>213</v>
          </cell>
          <cell r="I1393">
            <v>8</v>
          </cell>
          <cell r="J1393">
            <v>210</v>
          </cell>
          <cell r="K1393">
            <v>0</v>
          </cell>
          <cell r="L1393">
            <v>0</v>
          </cell>
          <cell r="M1393">
            <v>11793</v>
          </cell>
          <cell r="N1393">
            <v>0</v>
          </cell>
          <cell r="O1393">
            <v>0</v>
          </cell>
          <cell r="P1393" t="str">
            <v>1010</v>
          </cell>
          <cell r="Q1393" t="str">
            <v>1010</v>
          </cell>
          <cell r="R1393">
            <v>2.674149659863946</v>
          </cell>
          <cell r="S1393">
            <v>0.53</v>
          </cell>
        </row>
        <row r="1394">
          <cell r="A1394" t="str">
            <v>Y011-028</v>
          </cell>
          <cell r="B1394">
            <v>0</v>
          </cell>
          <cell r="C1394" t="str">
            <v>Y011</v>
          </cell>
          <cell r="D1394" t="str">
            <v>85611-EK</v>
          </cell>
          <cell r="E1394" t="str">
            <v>Dau giuong EK</v>
          </cell>
          <cell r="F1394" t="str">
            <v>816*213*8</v>
          </cell>
          <cell r="G1394">
            <v>816</v>
          </cell>
          <cell r="H1394">
            <v>213</v>
          </cell>
          <cell r="I1394">
            <v>8</v>
          </cell>
          <cell r="J1394">
            <v>250</v>
          </cell>
          <cell r="K1394">
            <v>0</v>
          </cell>
          <cell r="L1394">
            <v>0</v>
          </cell>
          <cell r="M1394">
            <v>14018</v>
          </cell>
          <cell r="N1394">
            <v>0</v>
          </cell>
          <cell r="O1394">
            <v>0</v>
          </cell>
          <cell r="P1394" t="str">
            <v>1010</v>
          </cell>
          <cell r="Q1394" t="str">
            <v>1010</v>
          </cell>
          <cell r="R1394">
            <v>2.6700952380952381</v>
          </cell>
          <cell r="S1394">
            <v>0.63</v>
          </cell>
        </row>
        <row r="1395">
          <cell r="A1395" t="str">
            <v>Y011-029</v>
          </cell>
          <cell r="B1395">
            <v>0</v>
          </cell>
          <cell r="C1395" t="str">
            <v>Y011</v>
          </cell>
          <cell r="D1395" t="str">
            <v>WNC007</v>
          </cell>
          <cell r="E1395" t="str">
            <v>83407-2N CHI PLOY</v>
          </cell>
          <cell r="F1395" t="str">
            <v>1070*8*6</v>
          </cell>
          <cell r="G1395">
            <v>1070</v>
          </cell>
          <cell r="H1395">
            <v>8</v>
          </cell>
          <cell r="I1395">
            <v>6</v>
          </cell>
          <cell r="J1395">
            <v>120</v>
          </cell>
          <cell r="K1395">
            <v>0</v>
          </cell>
          <cell r="L1395">
            <v>0.3</v>
          </cell>
          <cell r="M1395">
            <v>0</v>
          </cell>
          <cell r="N1395">
            <v>0</v>
          </cell>
          <cell r="O1395">
            <v>0</v>
          </cell>
          <cell r="P1395" t="str">
            <v>1010</v>
          </cell>
          <cell r="Q1395" t="str">
            <v>1010</v>
          </cell>
          <cell r="R1395">
            <v>2.5</v>
          </cell>
        </row>
        <row r="1396">
          <cell r="A1396" t="str">
            <v>Y011-030</v>
          </cell>
          <cell r="B1396">
            <v>0</v>
          </cell>
          <cell r="C1396" t="str">
            <v>Y011</v>
          </cell>
          <cell r="D1396" t="str">
            <v>WNC008</v>
          </cell>
          <cell r="E1396" t="str">
            <v>83407-2N CHI PLOY</v>
          </cell>
          <cell r="F1396" t="str">
            <v>928*8*6</v>
          </cell>
          <cell r="G1396">
            <v>928</v>
          </cell>
          <cell r="H1396">
            <v>8</v>
          </cell>
          <cell r="I1396">
            <v>6</v>
          </cell>
          <cell r="J1396">
            <v>80</v>
          </cell>
          <cell r="K1396">
            <v>0</v>
          </cell>
          <cell r="L1396">
            <v>0.28000000000000003</v>
          </cell>
          <cell r="M1396">
            <v>0</v>
          </cell>
          <cell r="N1396">
            <v>0</v>
          </cell>
          <cell r="O1396">
            <v>0</v>
          </cell>
          <cell r="P1396" t="str">
            <v>1010</v>
          </cell>
          <cell r="Q1396" t="str">
            <v>1010</v>
          </cell>
          <cell r="R1396">
            <v>3.5000000000000004</v>
          </cell>
        </row>
        <row r="1397">
          <cell r="A1397" t="str">
            <v>Y011-031</v>
          </cell>
          <cell r="B1397">
            <v>0</v>
          </cell>
          <cell r="C1397" t="str">
            <v>Y011</v>
          </cell>
          <cell r="D1397" t="str">
            <v>WNC009</v>
          </cell>
          <cell r="E1397" t="str">
            <v>83405-5N CHI POLY</v>
          </cell>
          <cell r="F1397" t="str">
            <v>806*8*6</v>
          </cell>
          <cell r="G1397">
            <v>806</v>
          </cell>
          <cell r="H1397">
            <v>8</v>
          </cell>
          <cell r="I1397">
            <v>6</v>
          </cell>
          <cell r="J1397">
            <v>60</v>
          </cell>
          <cell r="K1397">
            <v>0</v>
          </cell>
          <cell r="L1397">
            <v>0.24</v>
          </cell>
          <cell r="M1397">
            <v>0</v>
          </cell>
          <cell r="N1397">
            <v>0</v>
          </cell>
          <cell r="O1397">
            <v>0</v>
          </cell>
          <cell r="P1397" t="str">
            <v>1010</v>
          </cell>
          <cell r="Q1397" t="str">
            <v>1010</v>
          </cell>
          <cell r="R1397">
            <v>4</v>
          </cell>
        </row>
        <row r="1398">
          <cell r="A1398" t="str">
            <v>Y011-032</v>
          </cell>
          <cell r="B1398">
            <v>0</v>
          </cell>
          <cell r="C1398" t="str">
            <v>Y011</v>
          </cell>
          <cell r="D1398" t="str">
            <v>WNC010</v>
          </cell>
          <cell r="E1398" t="str">
            <v>83405-5N CHI POLY</v>
          </cell>
          <cell r="F1398" t="str">
            <v>1070*8*6</v>
          </cell>
          <cell r="G1398">
            <v>1070</v>
          </cell>
          <cell r="H1398">
            <v>8</v>
          </cell>
          <cell r="I1398">
            <v>6</v>
          </cell>
          <cell r="J1398">
            <v>120</v>
          </cell>
          <cell r="K1398">
            <v>0</v>
          </cell>
          <cell r="L1398">
            <v>0.3</v>
          </cell>
          <cell r="M1398">
            <v>0</v>
          </cell>
          <cell r="N1398">
            <v>0</v>
          </cell>
          <cell r="O1398">
            <v>0</v>
          </cell>
          <cell r="P1398" t="str">
            <v>1010</v>
          </cell>
          <cell r="Q1398" t="str">
            <v>1010</v>
          </cell>
          <cell r="R1398">
            <v>2.5</v>
          </cell>
        </row>
        <row r="1399">
          <cell r="A1399" t="str">
            <v>Y011-033</v>
          </cell>
          <cell r="B1399">
            <v>0</v>
          </cell>
          <cell r="C1399" t="str">
            <v>Y011</v>
          </cell>
          <cell r="D1399" t="str">
            <v>WNC011</v>
          </cell>
          <cell r="E1399" t="str">
            <v>83409-6N CHI POLY</v>
          </cell>
          <cell r="F1399" t="str">
            <v>700*8*6</v>
          </cell>
          <cell r="G1399">
            <v>700</v>
          </cell>
          <cell r="H1399">
            <v>8</v>
          </cell>
          <cell r="I1399">
            <v>6</v>
          </cell>
          <cell r="J1399">
            <v>56</v>
          </cell>
          <cell r="K1399">
            <v>0</v>
          </cell>
          <cell r="L1399">
            <v>0.21</v>
          </cell>
          <cell r="M1399">
            <v>0</v>
          </cell>
          <cell r="N1399">
            <v>0</v>
          </cell>
          <cell r="O1399">
            <v>0</v>
          </cell>
          <cell r="P1399" t="str">
            <v>1010</v>
          </cell>
          <cell r="Q1399" t="str">
            <v>1010</v>
          </cell>
          <cell r="R1399">
            <v>3.75</v>
          </cell>
        </row>
        <row r="1400">
          <cell r="A1400" t="str">
            <v>Y011-034</v>
          </cell>
          <cell r="B1400">
            <v>0</v>
          </cell>
          <cell r="C1400" t="str">
            <v>Y011</v>
          </cell>
          <cell r="D1400" t="str">
            <v>WNC012</v>
          </cell>
          <cell r="E1400" t="str">
            <v>83409-6N CHI POLY</v>
          </cell>
          <cell r="F1400" t="str">
            <v>806*8*6</v>
          </cell>
          <cell r="G1400">
            <v>806</v>
          </cell>
          <cell r="H1400">
            <v>8</v>
          </cell>
          <cell r="I1400">
            <v>6</v>
          </cell>
          <cell r="J1400">
            <v>60</v>
          </cell>
          <cell r="K1400">
            <v>0</v>
          </cell>
          <cell r="L1400">
            <v>0.24</v>
          </cell>
          <cell r="M1400">
            <v>0</v>
          </cell>
          <cell r="N1400">
            <v>0</v>
          </cell>
          <cell r="O1400">
            <v>0</v>
          </cell>
          <cell r="P1400" t="str">
            <v>1010</v>
          </cell>
          <cell r="Q1400" t="str">
            <v>1010</v>
          </cell>
          <cell r="R1400">
            <v>4</v>
          </cell>
        </row>
        <row r="1401">
          <cell r="A1401" t="str">
            <v>Y011-035</v>
          </cell>
          <cell r="B1401">
            <v>0</v>
          </cell>
          <cell r="C1401" t="str">
            <v>Y011</v>
          </cell>
          <cell r="D1401" t="str">
            <v>WNC013</v>
          </cell>
          <cell r="E1401" t="str">
            <v>83409-6N CHI POLY</v>
          </cell>
          <cell r="F1401" t="str">
            <v>928*8*6</v>
          </cell>
          <cell r="G1401">
            <v>928</v>
          </cell>
          <cell r="H1401">
            <v>8</v>
          </cell>
          <cell r="I1401">
            <v>6</v>
          </cell>
          <cell r="J1401">
            <v>80</v>
          </cell>
          <cell r="K1401">
            <v>0</v>
          </cell>
          <cell r="L1401">
            <v>0.28000000000000003</v>
          </cell>
          <cell r="M1401">
            <v>0</v>
          </cell>
          <cell r="N1401">
            <v>0</v>
          </cell>
          <cell r="O1401">
            <v>0</v>
          </cell>
          <cell r="P1401" t="str">
            <v>1010</v>
          </cell>
          <cell r="Q1401" t="str">
            <v>1010</v>
          </cell>
          <cell r="R1401">
            <v>3.5000000000000004</v>
          </cell>
        </row>
        <row r="1402">
          <cell r="A1402" t="str">
            <v>Y011-036</v>
          </cell>
          <cell r="B1402">
            <v>0</v>
          </cell>
          <cell r="C1402" t="str">
            <v>Y011</v>
          </cell>
          <cell r="D1402" t="str">
            <v>WNC014</v>
          </cell>
          <cell r="E1402" t="str">
            <v>83409-6N CHI POLY</v>
          </cell>
          <cell r="F1402" t="str">
            <v>534*8*6</v>
          </cell>
          <cell r="G1402">
            <v>534</v>
          </cell>
          <cell r="H1402">
            <v>8</v>
          </cell>
          <cell r="I1402">
            <v>6</v>
          </cell>
          <cell r="J1402">
            <v>50</v>
          </cell>
          <cell r="K1402">
            <v>0</v>
          </cell>
          <cell r="L1402">
            <v>0.16</v>
          </cell>
          <cell r="M1402">
            <v>0</v>
          </cell>
          <cell r="N1402">
            <v>0</v>
          </cell>
          <cell r="O1402">
            <v>0</v>
          </cell>
          <cell r="P1402" t="str">
            <v>1010</v>
          </cell>
          <cell r="Q1402" t="str">
            <v>1010</v>
          </cell>
          <cell r="R1402">
            <v>3.1999999999999997</v>
          </cell>
        </row>
        <row r="1403">
          <cell r="A1403" t="str">
            <v>Y011-037</v>
          </cell>
          <cell r="B1403">
            <v>0</v>
          </cell>
          <cell r="C1403" t="str">
            <v>Y011</v>
          </cell>
          <cell r="D1403" t="str">
            <v>WNC015</v>
          </cell>
          <cell r="E1403" t="str">
            <v>83409-6N CHI POLY</v>
          </cell>
          <cell r="F1403" t="str">
            <v>928*8*6</v>
          </cell>
          <cell r="G1403">
            <v>928</v>
          </cell>
          <cell r="H1403">
            <v>8</v>
          </cell>
          <cell r="I1403">
            <v>6</v>
          </cell>
          <cell r="J1403">
            <v>80</v>
          </cell>
          <cell r="K1403">
            <v>0</v>
          </cell>
          <cell r="L1403">
            <v>0.14000000000000001</v>
          </cell>
          <cell r="M1403">
            <v>0</v>
          </cell>
          <cell r="N1403">
            <v>0</v>
          </cell>
          <cell r="O1403">
            <v>0</v>
          </cell>
          <cell r="P1403" t="str">
            <v>1010</v>
          </cell>
          <cell r="Q1403" t="str">
            <v>1010</v>
          </cell>
          <cell r="R1403">
            <v>1.7500000000000002</v>
          </cell>
        </row>
        <row r="1404">
          <cell r="A1404" t="str">
            <v>Y011-038</v>
          </cell>
          <cell r="B1404">
            <v>0</v>
          </cell>
          <cell r="C1404" t="str">
            <v>Y011</v>
          </cell>
          <cell r="D1404" t="str">
            <v>WNC016</v>
          </cell>
          <cell r="E1404" t="str">
            <v>83446-TVI CHI POLY</v>
          </cell>
          <cell r="F1404" t="str">
            <v>806*8*6</v>
          </cell>
          <cell r="G1404">
            <v>806</v>
          </cell>
          <cell r="H1404">
            <v>8</v>
          </cell>
          <cell r="I1404">
            <v>6</v>
          </cell>
          <cell r="J1404">
            <v>60</v>
          </cell>
          <cell r="K1404">
            <v>0</v>
          </cell>
          <cell r="L1404">
            <v>0.24</v>
          </cell>
          <cell r="M1404">
            <v>0</v>
          </cell>
          <cell r="N1404">
            <v>0</v>
          </cell>
          <cell r="O1404">
            <v>0</v>
          </cell>
          <cell r="P1404" t="str">
            <v>1010</v>
          </cell>
          <cell r="Q1404" t="str">
            <v>1010</v>
          </cell>
          <cell r="R1404">
            <v>4</v>
          </cell>
        </row>
        <row r="1405">
          <cell r="A1405" t="str">
            <v>Y011-039</v>
          </cell>
          <cell r="B1405">
            <v>0</v>
          </cell>
          <cell r="C1405" t="str">
            <v>Y011</v>
          </cell>
          <cell r="D1405" t="str">
            <v>WNC017</v>
          </cell>
          <cell r="E1405" t="str">
            <v>83446-TVI CHI POLY</v>
          </cell>
          <cell r="F1405" t="str">
            <v>606*8*6</v>
          </cell>
          <cell r="G1405">
            <v>606</v>
          </cell>
          <cell r="H1405">
            <v>8</v>
          </cell>
          <cell r="I1405">
            <v>6</v>
          </cell>
          <cell r="J1405">
            <v>54</v>
          </cell>
          <cell r="K1405">
            <v>0</v>
          </cell>
          <cell r="L1405">
            <v>0.17</v>
          </cell>
          <cell r="M1405">
            <v>0</v>
          </cell>
          <cell r="N1405">
            <v>0</v>
          </cell>
          <cell r="O1405">
            <v>0</v>
          </cell>
          <cell r="P1405" t="str">
            <v>1010</v>
          </cell>
          <cell r="Q1405" t="str">
            <v>1010</v>
          </cell>
          <cell r="R1405">
            <v>3.1481481481481484</v>
          </cell>
        </row>
        <row r="1406">
          <cell r="A1406" t="str">
            <v>Y011-040</v>
          </cell>
          <cell r="B1406" t="str">
            <v>11月21出貨改規格</v>
          </cell>
          <cell r="C1406" t="str">
            <v>Y011</v>
          </cell>
          <cell r="D1406">
            <v>0</v>
          </cell>
          <cell r="E1406" t="str">
            <v>POLY飾片</v>
          </cell>
          <cell r="F1406" t="str">
            <v>67*20*4</v>
          </cell>
          <cell r="G1406">
            <v>61</v>
          </cell>
          <cell r="H1406">
            <v>10</v>
          </cell>
          <cell r="I1406">
            <v>4</v>
          </cell>
          <cell r="J1406">
            <v>8</v>
          </cell>
          <cell r="K1406">
            <v>0</v>
          </cell>
          <cell r="L1406">
            <v>0</v>
          </cell>
          <cell r="M1406">
            <v>1000</v>
          </cell>
          <cell r="N1406">
            <v>0</v>
          </cell>
          <cell r="O1406">
            <v>0</v>
          </cell>
          <cell r="P1406" t="str">
            <v>1010</v>
          </cell>
          <cell r="Q1406" t="str">
            <v>1010</v>
          </cell>
          <cell r="R1406">
            <v>0</v>
          </cell>
          <cell r="S1406">
            <v>0</v>
          </cell>
        </row>
        <row r="1407">
          <cell r="A1407" t="str">
            <v>Y011-041</v>
          </cell>
          <cell r="B1407" t="str">
            <v>"</v>
          </cell>
          <cell r="C1407" t="str">
            <v>Y011</v>
          </cell>
          <cell r="D1407">
            <v>0</v>
          </cell>
          <cell r="E1407" t="str">
            <v>POLY飾片</v>
          </cell>
          <cell r="F1407" t="str">
            <v>55*20*4</v>
          </cell>
          <cell r="G1407">
            <v>49.5</v>
          </cell>
          <cell r="H1407">
            <v>10</v>
          </cell>
          <cell r="I1407">
            <v>4</v>
          </cell>
          <cell r="J1407">
            <v>7</v>
          </cell>
          <cell r="K1407">
            <v>0</v>
          </cell>
          <cell r="L1407">
            <v>0</v>
          </cell>
          <cell r="M1407">
            <v>820</v>
          </cell>
          <cell r="N1407">
            <v>0</v>
          </cell>
          <cell r="O1407">
            <v>0</v>
          </cell>
          <cell r="P1407" t="str">
            <v>1010</v>
          </cell>
          <cell r="Q1407" t="str">
            <v>1010</v>
          </cell>
          <cell r="R1407">
            <v>0</v>
          </cell>
          <cell r="S1407">
            <v>0</v>
          </cell>
        </row>
        <row r="1408">
          <cell r="A1408" t="str">
            <v>Y011-042</v>
          </cell>
          <cell r="B1408">
            <v>0</v>
          </cell>
          <cell r="C1408" t="str">
            <v>Y011</v>
          </cell>
          <cell r="D1408" t="str">
            <v>WNC021</v>
          </cell>
          <cell r="E1408" t="str">
            <v>CHI CHAN POLY#8730</v>
          </cell>
          <cell r="F1408" t="str">
            <v>60*60*9</v>
          </cell>
          <cell r="G1408">
            <v>60</v>
          </cell>
          <cell r="H1408">
            <v>60</v>
          </cell>
          <cell r="I1408">
            <v>9</v>
          </cell>
          <cell r="J1408">
            <v>15</v>
          </cell>
          <cell r="K1408">
            <v>0</v>
          </cell>
          <cell r="L1408">
            <v>0</v>
          </cell>
          <cell r="M1408">
            <v>1100</v>
          </cell>
          <cell r="N1408">
            <v>0</v>
          </cell>
          <cell r="O1408">
            <v>0</v>
          </cell>
          <cell r="P1408" t="str">
            <v>1010</v>
          </cell>
          <cell r="Q1408" t="str">
            <v>1010</v>
          </cell>
          <cell r="R1408">
            <v>0</v>
          </cell>
          <cell r="S1408">
            <v>0</v>
          </cell>
        </row>
        <row r="1409">
          <cell r="A1409" t="str">
            <v>Y011-043</v>
          </cell>
          <cell r="B1409">
            <v>0</v>
          </cell>
          <cell r="C1409" t="str">
            <v>Y011</v>
          </cell>
          <cell r="D1409" t="str">
            <v>WNC022</v>
          </cell>
          <cell r="E1409" t="str">
            <v>CHI CHAN POLY#8730</v>
          </cell>
          <cell r="F1409" t="str">
            <v>69*69*9</v>
          </cell>
          <cell r="G1409">
            <v>69</v>
          </cell>
          <cell r="H1409">
            <v>69</v>
          </cell>
          <cell r="I1409">
            <v>9</v>
          </cell>
          <cell r="J1409">
            <v>20</v>
          </cell>
          <cell r="K1409">
            <v>0</v>
          </cell>
          <cell r="L1409">
            <v>0</v>
          </cell>
          <cell r="M1409">
            <v>1400</v>
          </cell>
          <cell r="N1409">
            <v>0</v>
          </cell>
          <cell r="O1409">
            <v>0</v>
          </cell>
          <cell r="P1409" t="str">
            <v>1010</v>
          </cell>
          <cell r="Q1409" t="str">
            <v>1010</v>
          </cell>
          <cell r="R1409">
            <v>0</v>
          </cell>
          <cell r="S1409">
            <v>0</v>
          </cell>
        </row>
        <row r="1410">
          <cell r="A1410" t="str">
            <v>Y011-044</v>
          </cell>
          <cell r="B1410">
            <v>0</v>
          </cell>
          <cell r="C1410" t="str">
            <v>Y011</v>
          </cell>
          <cell r="D1410" t="str">
            <v>WNC023</v>
          </cell>
          <cell r="E1410" t="str">
            <v>POLY # B8000</v>
          </cell>
          <cell r="F1410" t="str">
            <v>58*58*10</v>
          </cell>
          <cell r="G1410">
            <v>58</v>
          </cell>
          <cell r="H1410">
            <v>58</v>
          </cell>
          <cell r="I1410">
            <v>10</v>
          </cell>
          <cell r="J1410">
            <v>0</v>
          </cell>
          <cell r="K1410">
            <v>0</v>
          </cell>
          <cell r="L1410">
            <v>0</v>
          </cell>
          <cell r="M1410">
            <v>2390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</row>
        <row r="1411">
          <cell r="A1411" t="str">
            <v>Y012-001</v>
          </cell>
          <cell r="B1411" t="str">
            <v>LCT012-303</v>
          </cell>
          <cell r="C1411" t="str">
            <v>Y012</v>
          </cell>
          <cell r="D1411" t="str">
            <v>8470-532</v>
          </cell>
          <cell r="E1411" t="str">
            <v>床柱饰花</v>
          </cell>
          <cell r="F1411" t="str">
            <v>217*65*7</v>
          </cell>
          <cell r="G1411">
            <v>217</v>
          </cell>
          <cell r="H1411">
            <v>65</v>
          </cell>
          <cell r="I1411">
            <v>7</v>
          </cell>
          <cell r="J1411">
            <v>40</v>
          </cell>
          <cell r="K1411">
            <v>0</v>
          </cell>
          <cell r="L1411">
            <v>0.25</v>
          </cell>
          <cell r="M1411">
            <v>0</v>
          </cell>
          <cell r="N1411">
            <v>0</v>
          </cell>
          <cell r="O1411" t="str">
            <v>T</v>
          </cell>
          <cell r="P1411" t="str">
            <v>1010</v>
          </cell>
          <cell r="Q1411" t="str">
            <v>1010</v>
          </cell>
          <cell r="R1411">
            <v>6.25</v>
          </cell>
        </row>
        <row r="1412">
          <cell r="A1412" t="str">
            <v>Y012-002</v>
          </cell>
          <cell r="B1412" t="str">
            <v>LCT012-184</v>
          </cell>
          <cell r="C1412" t="str">
            <v>Y012</v>
          </cell>
          <cell r="D1412" t="str">
            <v>1997-01A化妆台</v>
          </cell>
          <cell r="E1412" t="str">
            <v>上抽面飾花</v>
          </cell>
          <cell r="F1412" t="str">
            <v>550*119*3</v>
          </cell>
          <cell r="G1412">
            <v>550</v>
          </cell>
          <cell r="H1412">
            <v>119</v>
          </cell>
          <cell r="I1412">
            <v>3</v>
          </cell>
          <cell r="J1412">
            <v>140</v>
          </cell>
          <cell r="K1412">
            <v>0</v>
          </cell>
          <cell r="L1412">
            <v>0.73899999999999999</v>
          </cell>
          <cell r="M1412">
            <v>0</v>
          </cell>
          <cell r="N1412">
            <v>0</v>
          </cell>
          <cell r="O1412" t="str">
            <v>T</v>
          </cell>
          <cell r="P1412" t="str">
            <v>1010</v>
          </cell>
          <cell r="Q1412" t="str">
            <v>1010</v>
          </cell>
          <cell r="R1412">
            <v>5.2785714285714276</v>
          </cell>
        </row>
        <row r="1413">
          <cell r="A1413" t="str">
            <v>Y012-003</v>
          </cell>
          <cell r="B1413" t="str">
            <v>LCT012-185</v>
          </cell>
          <cell r="C1413" t="str">
            <v>Y012</v>
          </cell>
          <cell r="D1413" t="str">
            <v>1997-01A化妆台</v>
          </cell>
          <cell r="E1413" t="str">
            <v>上抽面飾条</v>
          </cell>
          <cell r="F1413" t="str">
            <v>570*135*5</v>
          </cell>
          <cell r="G1413">
            <v>570</v>
          </cell>
          <cell r="H1413">
            <v>135</v>
          </cell>
          <cell r="I1413">
            <v>5</v>
          </cell>
          <cell r="J1413">
            <v>0</v>
          </cell>
          <cell r="K1413">
            <v>0</v>
          </cell>
          <cell r="L1413">
            <v>0.49299999999999999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 t="e">
            <v>#DIV/0!</v>
          </cell>
        </row>
        <row r="1414">
          <cell r="A1414" t="str">
            <v>Y012-004</v>
          </cell>
          <cell r="B1414" t="str">
            <v>LCT012-186</v>
          </cell>
          <cell r="C1414" t="str">
            <v>Y012</v>
          </cell>
          <cell r="D1414" t="str">
            <v>1997-01A化妆台</v>
          </cell>
          <cell r="E1414" t="str">
            <v>下抽面飾花</v>
          </cell>
          <cell r="F1414" t="str">
            <v>548*133*3</v>
          </cell>
          <cell r="G1414">
            <v>548</v>
          </cell>
          <cell r="H1414">
            <v>133</v>
          </cell>
          <cell r="I1414">
            <v>3</v>
          </cell>
          <cell r="J1414">
            <v>170</v>
          </cell>
          <cell r="K1414">
            <v>0</v>
          </cell>
          <cell r="L1414">
            <v>0.75</v>
          </cell>
          <cell r="M1414">
            <v>0</v>
          </cell>
          <cell r="N1414">
            <v>0</v>
          </cell>
          <cell r="O1414" t="str">
            <v>T</v>
          </cell>
          <cell r="P1414" t="str">
            <v>1010</v>
          </cell>
          <cell r="Q1414" t="str">
            <v>1010</v>
          </cell>
          <cell r="R1414">
            <v>4.4117647058823524</v>
          </cell>
        </row>
        <row r="1415">
          <cell r="A1415" t="str">
            <v>Y012-005</v>
          </cell>
          <cell r="B1415" t="str">
            <v>LCT012-187</v>
          </cell>
          <cell r="C1415" t="str">
            <v>Y012</v>
          </cell>
          <cell r="D1415" t="str">
            <v>1997-01A化妆台</v>
          </cell>
          <cell r="E1415" t="str">
            <v>下抽面飾条</v>
          </cell>
          <cell r="F1415" t="str">
            <v>567*150*5</v>
          </cell>
          <cell r="G1415">
            <v>567</v>
          </cell>
          <cell r="H1415">
            <v>150</v>
          </cell>
          <cell r="I1415">
            <v>5</v>
          </cell>
          <cell r="J1415">
            <v>0</v>
          </cell>
          <cell r="K1415">
            <v>0</v>
          </cell>
          <cell r="L1415">
            <v>0.504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 t="e">
            <v>#DIV/0!</v>
          </cell>
        </row>
        <row r="1416">
          <cell r="A1416" t="str">
            <v>Y012-006</v>
          </cell>
          <cell r="B1416" t="str">
            <v>LCT012-188</v>
          </cell>
          <cell r="C1416" t="str">
            <v>Y012</v>
          </cell>
          <cell r="D1416" t="str">
            <v>1997-01A化妆台</v>
          </cell>
          <cell r="E1416" t="str">
            <v>侧板飾花左</v>
          </cell>
          <cell r="F1416" t="str">
            <v>470*10*3</v>
          </cell>
          <cell r="G1416">
            <v>470</v>
          </cell>
          <cell r="H1416">
            <v>10</v>
          </cell>
          <cell r="I1416">
            <v>3</v>
          </cell>
          <cell r="J1416">
            <v>30</v>
          </cell>
          <cell r="K1416">
            <v>0</v>
          </cell>
          <cell r="L1416">
            <v>0.224</v>
          </cell>
          <cell r="M1416">
            <v>0</v>
          </cell>
          <cell r="N1416">
            <v>0</v>
          </cell>
          <cell r="O1416" t="str">
            <v>T</v>
          </cell>
          <cell r="P1416" t="str">
            <v>1010</v>
          </cell>
          <cell r="Q1416" t="str">
            <v>1010</v>
          </cell>
          <cell r="R1416">
            <v>7.4666666666666668</v>
          </cell>
        </row>
        <row r="1417">
          <cell r="A1417" t="str">
            <v>Y012-007</v>
          </cell>
          <cell r="B1417" t="str">
            <v>LCT012-189</v>
          </cell>
          <cell r="C1417" t="str">
            <v>Y012</v>
          </cell>
          <cell r="D1417" t="str">
            <v>1997-01A化妆台</v>
          </cell>
          <cell r="E1417" t="str">
            <v>侧板飾花右</v>
          </cell>
          <cell r="F1417" t="str">
            <v>470*10*3</v>
          </cell>
          <cell r="G1417">
            <v>470</v>
          </cell>
          <cell r="H1417">
            <v>10</v>
          </cell>
          <cell r="I1417">
            <v>3</v>
          </cell>
          <cell r="J1417">
            <v>30</v>
          </cell>
          <cell r="K1417">
            <v>0</v>
          </cell>
          <cell r="L1417">
            <v>0.224</v>
          </cell>
          <cell r="M1417">
            <v>0</v>
          </cell>
          <cell r="N1417">
            <v>0</v>
          </cell>
          <cell r="O1417" t="str">
            <v>T</v>
          </cell>
          <cell r="P1417" t="str">
            <v>1010</v>
          </cell>
          <cell r="Q1417" t="str">
            <v>1010</v>
          </cell>
          <cell r="R1417">
            <v>7.4666666666666668</v>
          </cell>
        </row>
        <row r="1418">
          <cell r="A1418" t="str">
            <v>Y012-008</v>
          </cell>
          <cell r="B1418" t="str">
            <v>LCT012-190</v>
          </cell>
          <cell r="C1418" t="str">
            <v>Y012</v>
          </cell>
          <cell r="D1418" t="str">
            <v>1997-01A化妆台</v>
          </cell>
          <cell r="E1418" t="str">
            <v>面板飾花</v>
          </cell>
          <cell r="F1418" t="str">
            <v>1270*10*3</v>
          </cell>
          <cell r="G1418">
            <v>1270</v>
          </cell>
          <cell r="H1418">
            <v>10</v>
          </cell>
          <cell r="I1418">
            <v>3</v>
          </cell>
          <cell r="J1418">
            <v>65</v>
          </cell>
          <cell r="K1418">
            <v>0</v>
          </cell>
          <cell r="L1418">
            <v>0.61599999999999999</v>
          </cell>
          <cell r="M1418">
            <v>0</v>
          </cell>
          <cell r="N1418">
            <v>0</v>
          </cell>
          <cell r="O1418" t="str">
            <v>T</v>
          </cell>
          <cell r="P1418" t="str">
            <v>1010</v>
          </cell>
          <cell r="Q1418" t="str">
            <v>1010</v>
          </cell>
          <cell r="R1418">
            <v>9.476923076923077</v>
          </cell>
        </row>
        <row r="1419">
          <cell r="A1419" t="str">
            <v>Y012-009</v>
          </cell>
          <cell r="B1419" t="str">
            <v>LCT012-191</v>
          </cell>
          <cell r="C1419" t="str">
            <v>Y012</v>
          </cell>
          <cell r="D1419" t="str">
            <v>1997-01A化妆台</v>
          </cell>
          <cell r="E1419" t="str">
            <v>侧板雕花飾條左</v>
          </cell>
          <cell r="F1419" t="str">
            <v>380*25*13</v>
          </cell>
          <cell r="G1419">
            <v>380</v>
          </cell>
          <cell r="H1419">
            <v>25</v>
          </cell>
          <cell r="I1419">
            <v>13</v>
          </cell>
          <cell r="J1419">
            <v>160</v>
          </cell>
          <cell r="K1419">
            <v>0</v>
          </cell>
          <cell r="L1419">
            <v>0.57099999999999995</v>
          </cell>
          <cell r="M1419">
            <v>0</v>
          </cell>
          <cell r="N1419">
            <v>0</v>
          </cell>
          <cell r="O1419" t="str">
            <v>T</v>
          </cell>
          <cell r="P1419" t="str">
            <v>1010</v>
          </cell>
          <cell r="Q1419" t="str">
            <v>1010</v>
          </cell>
          <cell r="R1419">
            <v>3.5687499999999996</v>
          </cell>
        </row>
        <row r="1420">
          <cell r="A1420" t="str">
            <v>Y012-010</v>
          </cell>
          <cell r="B1420" t="str">
            <v>LCT012-192</v>
          </cell>
          <cell r="C1420" t="str">
            <v>Y012</v>
          </cell>
          <cell r="D1420" t="str">
            <v>1997-01A化妆台</v>
          </cell>
          <cell r="E1420" t="str">
            <v>侧板雕花飾條左</v>
          </cell>
          <cell r="F1420" t="str">
            <v>380*25*13</v>
          </cell>
          <cell r="G1420">
            <v>380</v>
          </cell>
          <cell r="H1420">
            <v>25</v>
          </cell>
          <cell r="I1420">
            <v>13</v>
          </cell>
          <cell r="J1420">
            <v>160</v>
          </cell>
          <cell r="K1420">
            <v>0</v>
          </cell>
          <cell r="L1420">
            <v>0.57099999999999995</v>
          </cell>
          <cell r="M1420">
            <v>0</v>
          </cell>
          <cell r="N1420">
            <v>0</v>
          </cell>
          <cell r="O1420" t="str">
            <v>T</v>
          </cell>
          <cell r="P1420" t="str">
            <v>1010</v>
          </cell>
          <cell r="Q1420" t="str">
            <v>1010</v>
          </cell>
          <cell r="R1420">
            <v>3.5687499999999996</v>
          </cell>
        </row>
        <row r="1421">
          <cell r="A1421" t="str">
            <v>Y012-011</v>
          </cell>
          <cell r="B1421" t="str">
            <v>LCT012-193</v>
          </cell>
          <cell r="C1421" t="str">
            <v>Y012</v>
          </cell>
          <cell r="D1421" t="str">
            <v>1997-01A化妆台</v>
          </cell>
          <cell r="E1421" t="str">
            <v>前雕花飾花</v>
          </cell>
          <cell r="F1421" t="str">
            <v>1490*23*13</v>
          </cell>
          <cell r="G1421">
            <v>1490</v>
          </cell>
          <cell r="H1421">
            <v>23</v>
          </cell>
          <cell r="I1421">
            <v>13</v>
          </cell>
          <cell r="J1421">
            <v>560</v>
          </cell>
          <cell r="K1421">
            <v>0</v>
          </cell>
          <cell r="L1421">
            <v>2.218</v>
          </cell>
          <cell r="M1421">
            <v>0</v>
          </cell>
          <cell r="N1421">
            <v>0</v>
          </cell>
          <cell r="O1421" t="str">
            <v>T</v>
          </cell>
          <cell r="P1421" t="str">
            <v>1010</v>
          </cell>
          <cell r="Q1421" t="str">
            <v>1010</v>
          </cell>
          <cell r="R1421">
            <v>3.9607142857142854</v>
          </cell>
        </row>
        <row r="1422">
          <cell r="A1422" t="str">
            <v>Y012-012</v>
          </cell>
          <cell r="B1422" t="str">
            <v>LCT012-194</v>
          </cell>
          <cell r="C1422" t="str">
            <v>Y012</v>
          </cell>
          <cell r="D1422" t="str">
            <v>1997-03A床头柜</v>
          </cell>
          <cell r="E1422" t="str">
            <v>上抽面飾花</v>
          </cell>
          <cell r="F1422" t="str">
            <v>389*66*3</v>
          </cell>
          <cell r="G1422">
            <v>389</v>
          </cell>
          <cell r="H1422">
            <v>66</v>
          </cell>
          <cell r="I1422">
            <v>3</v>
          </cell>
          <cell r="J1422">
            <v>110</v>
          </cell>
          <cell r="K1422">
            <v>0</v>
          </cell>
          <cell r="L1422">
            <v>0.437</v>
          </cell>
          <cell r="M1422">
            <v>0</v>
          </cell>
          <cell r="N1422">
            <v>0</v>
          </cell>
          <cell r="O1422" t="str">
            <v>T</v>
          </cell>
          <cell r="P1422" t="str">
            <v>1010</v>
          </cell>
          <cell r="Q1422" t="str">
            <v>1010</v>
          </cell>
          <cell r="R1422">
            <v>3.9727272727272727</v>
          </cell>
        </row>
        <row r="1423">
          <cell r="A1423" t="str">
            <v>Y012-013</v>
          </cell>
          <cell r="B1423" t="str">
            <v>LCT012-195</v>
          </cell>
          <cell r="C1423" t="str">
            <v>Y012</v>
          </cell>
          <cell r="D1423" t="str">
            <v>1997-03A床头柜</v>
          </cell>
          <cell r="E1423" t="str">
            <v>上抽面飾条</v>
          </cell>
          <cell r="F1423" t="str">
            <v>400*88*5</v>
          </cell>
          <cell r="G1423">
            <v>400</v>
          </cell>
          <cell r="H1423">
            <v>88</v>
          </cell>
          <cell r="I1423">
            <v>5</v>
          </cell>
          <cell r="J1423">
            <v>50</v>
          </cell>
          <cell r="K1423">
            <v>0</v>
          </cell>
          <cell r="L1423">
            <v>0.44800000000000001</v>
          </cell>
          <cell r="M1423">
            <v>0</v>
          </cell>
          <cell r="N1423">
            <v>0</v>
          </cell>
          <cell r="O1423" t="str">
            <v>T</v>
          </cell>
          <cell r="P1423" t="str">
            <v>1010</v>
          </cell>
          <cell r="Q1423" t="str">
            <v>1010</v>
          </cell>
          <cell r="R1423">
            <v>8.9599999999999991</v>
          </cell>
        </row>
        <row r="1424">
          <cell r="A1424" t="str">
            <v>Y012-014</v>
          </cell>
          <cell r="B1424" t="str">
            <v>LCT012-196</v>
          </cell>
          <cell r="C1424" t="str">
            <v>Y012</v>
          </cell>
          <cell r="D1424" t="str">
            <v>1997-03床头柜</v>
          </cell>
          <cell r="E1424" t="str">
            <v>下抽面飾花</v>
          </cell>
          <cell r="F1424" t="str">
            <v>379*106*3</v>
          </cell>
          <cell r="G1424">
            <v>379</v>
          </cell>
          <cell r="H1424">
            <v>106</v>
          </cell>
          <cell r="I1424">
            <v>3</v>
          </cell>
          <cell r="J1424">
            <v>130</v>
          </cell>
          <cell r="K1424">
            <v>0</v>
          </cell>
          <cell r="L1424">
            <v>0.47</v>
          </cell>
          <cell r="M1424">
            <v>0</v>
          </cell>
          <cell r="N1424">
            <v>0</v>
          </cell>
          <cell r="O1424" t="str">
            <v>T</v>
          </cell>
          <cell r="P1424" t="str">
            <v>1010</v>
          </cell>
          <cell r="Q1424" t="str">
            <v>1010</v>
          </cell>
          <cell r="R1424">
            <v>3.615384615384615</v>
          </cell>
        </row>
        <row r="1425">
          <cell r="A1425" t="str">
            <v>Y012-015</v>
          </cell>
          <cell r="B1425" t="str">
            <v>LCT012-197</v>
          </cell>
          <cell r="C1425" t="str">
            <v>Y012</v>
          </cell>
          <cell r="D1425" t="str">
            <v>1997-03床头柜</v>
          </cell>
          <cell r="E1425" t="str">
            <v>下抽面飾条</v>
          </cell>
          <cell r="F1425" t="str">
            <v>395*117*5</v>
          </cell>
          <cell r="G1425">
            <v>395</v>
          </cell>
          <cell r="H1425">
            <v>117</v>
          </cell>
          <cell r="I1425">
            <v>5</v>
          </cell>
          <cell r="J1425">
            <v>85</v>
          </cell>
          <cell r="K1425">
            <v>0</v>
          </cell>
          <cell r="L1425">
            <v>0.35799999999999998</v>
          </cell>
          <cell r="M1425">
            <v>0</v>
          </cell>
          <cell r="N1425">
            <v>0</v>
          </cell>
          <cell r="O1425" t="str">
            <v>T</v>
          </cell>
          <cell r="P1425" t="str">
            <v>1010</v>
          </cell>
          <cell r="Q1425" t="str">
            <v>1010</v>
          </cell>
          <cell r="R1425">
            <v>4.2117647058823522</v>
          </cell>
        </row>
        <row r="1426">
          <cell r="A1426" t="str">
            <v>Y012-016</v>
          </cell>
          <cell r="B1426" t="str">
            <v>LCT012-198</v>
          </cell>
          <cell r="C1426" t="str">
            <v>Y012</v>
          </cell>
          <cell r="D1426" t="str">
            <v>1997-10椅子</v>
          </cell>
          <cell r="E1426" t="str">
            <v>椅脑飾花</v>
          </cell>
          <cell r="F1426" t="str">
            <v>55*55*6</v>
          </cell>
          <cell r="G1426">
            <v>55</v>
          </cell>
          <cell r="H1426">
            <v>55</v>
          </cell>
          <cell r="I1426">
            <v>6</v>
          </cell>
          <cell r="J1426">
            <v>20</v>
          </cell>
          <cell r="K1426">
            <v>0</v>
          </cell>
          <cell r="L1426">
            <v>0.123</v>
          </cell>
          <cell r="M1426">
            <v>0</v>
          </cell>
          <cell r="N1426">
            <v>0</v>
          </cell>
          <cell r="O1426" t="str">
            <v>T</v>
          </cell>
          <cell r="P1426" t="str">
            <v>1010</v>
          </cell>
          <cell r="Q1426" t="str">
            <v>1010</v>
          </cell>
          <cell r="R1426">
            <v>6.1499999999999995</v>
          </cell>
        </row>
        <row r="1427">
          <cell r="A1427" t="str">
            <v>Y012-017</v>
          </cell>
          <cell r="B1427" t="str">
            <v>LCT012-199</v>
          </cell>
          <cell r="C1427" t="str">
            <v>Y012</v>
          </cell>
          <cell r="D1427" t="str">
            <v>1997-10化妆镜</v>
          </cell>
          <cell r="E1427" t="str">
            <v>中飾条</v>
          </cell>
          <cell r="F1427" t="str">
            <v>945*465*5</v>
          </cell>
          <cell r="G1427">
            <v>945</v>
          </cell>
          <cell r="H1427">
            <v>465</v>
          </cell>
          <cell r="I1427">
            <v>5</v>
          </cell>
          <cell r="J1427">
            <v>185</v>
          </cell>
          <cell r="K1427">
            <v>0</v>
          </cell>
          <cell r="L1427">
            <v>0.97399999999999998</v>
          </cell>
          <cell r="M1427">
            <v>0</v>
          </cell>
          <cell r="N1427">
            <v>0</v>
          </cell>
          <cell r="O1427" t="str">
            <v>T</v>
          </cell>
          <cell r="P1427" t="str">
            <v>1010</v>
          </cell>
          <cell r="Q1427" t="str">
            <v>1010</v>
          </cell>
          <cell r="R1427">
            <v>5.2648648648648644</v>
          </cell>
        </row>
        <row r="1428">
          <cell r="A1428" t="str">
            <v>Y012-018</v>
          </cell>
          <cell r="B1428" t="str">
            <v>LCT012-200</v>
          </cell>
          <cell r="C1428" t="str">
            <v>Y012</v>
          </cell>
          <cell r="D1428" t="str">
            <v>1997-10化妆镜</v>
          </cell>
          <cell r="E1428" t="str">
            <v>中飾条左</v>
          </cell>
          <cell r="F1428" t="str">
            <v>690*190*5</v>
          </cell>
          <cell r="G1428">
            <v>690</v>
          </cell>
          <cell r="H1428">
            <v>190</v>
          </cell>
          <cell r="I1428">
            <v>5</v>
          </cell>
          <cell r="J1428">
            <v>100</v>
          </cell>
          <cell r="K1428">
            <v>0</v>
          </cell>
          <cell r="L1428">
            <v>0.61599999999999999</v>
          </cell>
          <cell r="M1428">
            <v>0</v>
          </cell>
          <cell r="N1428">
            <v>0</v>
          </cell>
          <cell r="O1428" t="str">
            <v>T</v>
          </cell>
          <cell r="P1428" t="str">
            <v>1010</v>
          </cell>
          <cell r="Q1428" t="str">
            <v>1010</v>
          </cell>
          <cell r="R1428">
            <v>6.1599999999999993</v>
          </cell>
        </row>
        <row r="1429">
          <cell r="A1429" t="str">
            <v>Y012-019</v>
          </cell>
          <cell r="B1429" t="str">
            <v>LCT012-201</v>
          </cell>
          <cell r="C1429" t="str">
            <v>Y012</v>
          </cell>
          <cell r="D1429" t="str">
            <v>1997-10化妆镜</v>
          </cell>
          <cell r="E1429" t="str">
            <v>中飾条右</v>
          </cell>
          <cell r="F1429" t="str">
            <v>690*190*5</v>
          </cell>
          <cell r="G1429">
            <v>690</v>
          </cell>
          <cell r="H1429">
            <v>190</v>
          </cell>
          <cell r="I1429">
            <v>5</v>
          </cell>
          <cell r="J1429">
            <v>100</v>
          </cell>
          <cell r="K1429">
            <v>0</v>
          </cell>
          <cell r="L1429">
            <v>0.61599999999999999</v>
          </cell>
          <cell r="M1429">
            <v>0</v>
          </cell>
          <cell r="N1429">
            <v>0</v>
          </cell>
          <cell r="O1429" t="str">
            <v>T</v>
          </cell>
          <cell r="P1429" t="str">
            <v>1010</v>
          </cell>
          <cell r="Q1429" t="str">
            <v>1010</v>
          </cell>
          <cell r="R1429">
            <v>6.1599999999999993</v>
          </cell>
        </row>
        <row r="1430">
          <cell r="A1430" t="str">
            <v>Y012-020</v>
          </cell>
          <cell r="B1430" t="str">
            <v>LCT012-202</v>
          </cell>
          <cell r="C1430" t="str">
            <v>Y012</v>
          </cell>
          <cell r="D1430" t="str">
            <v>1997-024化妆镜</v>
          </cell>
          <cell r="E1430" t="str">
            <v>中飾条</v>
          </cell>
          <cell r="F1430" t="str">
            <v>970*660*5</v>
          </cell>
          <cell r="G1430">
            <v>970</v>
          </cell>
          <cell r="H1430">
            <v>660</v>
          </cell>
          <cell r="I1430">
            <v>5</v>
          </cell>
          <cell r="J1430">
            <v>210</v>
          </cell>
          <cell r="K1430">
            <v>0</v>
          </cell>
          <cell r="L1430">
            <v>1.1419999999999999</v>
          </cell>
          <cell r="M1430">
            <v>0</v>
          </cell>
          <cell r="N1430">
            <v>0</v>
          </cell>
          <cell r="O1430" t="str">
            <v>T</v>
          </cell>
          <cell r="P1430" t="str">
            <v>1010</v>
          </cell>
          <cell r="Q1430" t="str">
            <v>1010</v>
          </cell>
          <cell r="R1430">
            <v>5.4380952380952374</v>
          </cell>
        </row>
        <row r="1431">
          <cell r="A1431" t="str">
            <v>Y012-021</v>
          </cell>
          <cell r="B1431" t="str">
            <v>LCT012-203</v>
          </cell>
          <cell r="C1431" t="str">
            <v>Y012</v>
          </cell>
          <cell r="D1431" t="str">
            <v>1997-11-2三柜化妆台</v>
          </cell>
          <cell r="E1431" t="str">
            <v>侧板飾花</v>
          </cell>
          <cell r="F1431" t="str">
            <v>1350*10*3</v>
          </cell>
          <cell r="G1431">
            <v>1350</v>
          </cell>
          <cell r="H1431">
            <v>10</v>
          </cell>
          <cell r="I1431">
            <v>3</v>
          </cell>
          <cell r="J1431">
            <v>80</v>
          </cell>
          <cell r="K1431">
            <v>0</v>
          </cell>
          <cell r="L1431">
            <v>0.65</v>
          </cell>
          <cell r="M1431">
            <v>0</v>
          </cell>
          <cell r="N1431">
            <v>0</v>
          </cell>
          <cell r="O1431" t="str">
            <v>T</v>
          </cell>
          <cell r="P1431" t="str">
            <v>1010</v>
          </cell>
          <cell r="Q1431" t="str">
            <v>1010</v>
          </cell>
          <cell r="R1431">
            <v>8.125</v>
          </cell>
        </row>
        <row r="1432">
          <cell r="A1432" t="str">
            <v>Y012-022</v>
          </cell>
          <cell r="B1432" t="str">
            <v>LCT012-204</v>
          </cell>
          <cell r="C1432" t="str">
            <v>Y012</v>
          </cell>
          <cell r="D1432" t="str">
            <v>1997-11-2三柜化妆台</v>
          </cell>
          <cell r="E1432" t="str">
            <v>门片飾花</v>
          </cell>
          <cell r="F1432" t="str">
            <v>587*290*5</v>
          </cell>
          <cell r="G1432">
            <v>587</v>
          </cell>
          <cell r="H1432">
            <v>290</v>
          </cell>
          <cell r="I1432">
            <v>5</v>
          </cell>
          <cell r="J1432">
            <v>120</v>
          </cell>
          <cell r="K1432">
            <v>0</v>
          </cell>
          <cell r="L1432">
            <v>0.60499999999999998</v>
          </cell>
          <cell r="M1432">
            <v>0</v>
          </cell>
          <cell r="N1432">
            <v>0</v>
          </cell>
          <cell r="O1432" t="str">
            <v>T</v>
          </cell>
          <cell r="P1432" t="str">
            <v>1010</v>
          </cell>
          <cell r="Q1432" t="str">
            <v>1010</v>
          </cell>
          <cell r="R1432">
            <v>5.041666666666667</v>
          </cell>
        </row>
        <row r="1433">
          <cell r="A1433" t="str">
            <v>Y012-023</v>
          </cell>
          <cell r="B1433" t="str">
            <v>LCT012-205</v>
          </cell>
          <cell r="C1433" t="str">
            <v>Y012</v>
          </cell>
          <cell r="D1433" t="str">
            <v>1997-11-2三柜化妆台</v>
          </cell>
          <cell r="E1433" t="str">
            <v>抽面飾条</v>
          </cell>
          <cell r="F1433" t="str">
            <v>500*90*5</v>
          </cell>
          <cell r="G1433">
            <v>500</v>
          </cell>
          <cell r="H1433">
            <v>90</v>
          </cell>
          <cell r="I1433">
            <v>5</v>
          </cell>
          <cell r="J1433">
            <v>65</v>
          </cell>
          <cell r="K1433">
            <v>0</v>
          </cell>
          <cell r="L1433">
            <v>0.41399999999999998</v>
          </cell>
          <cell r="M1433">
            <v>0</v>
          </cell>
          <cell r="N1433">
            <v>0</v>
          </cell>
          <cell r="O1433" t="str">
            <v>T</v>
          </cell>
          <cell r="P1433" t="str">
            <v>1010</v>
          </cell>
          <cell r="Q1433" t="str">
            <v>1010</v>
          </cell>
          <cell r="R1433">
            <v>6.3692307692307688</v>
          </cell>
        </row>
        <row r="1434">
          <cell r="A1434" t="str">
            <v>Y012-024</v>
          </cell>
          <cell r="B1434" t="str">
            <v>LCT012-206</v>
          </cell>
          <cell r="C1434" t="str">
            <v>Y012</v>
          </cell>
          <cell r="D1434" t="str">
            <v>1997-13F1三双人床</v>
          </cell>
          <cell r="E1434" t="str">
            <v>中飾花</v>
          </cell>
          <cell r="F1434" t="str">
            <v>666*576*3</v>
          </cell>
          <cell r="G1434">
            <v>666</v>
          </cell>
          <cell r="H1434">
            <v>576</v>
          </cell>
          <cell r="I1434">
            <v>3</v>
          </cell>
          <cell r="J1434">
            <v>280</v>
          </cell>
          <cell r="K1434">
            <v>0</v>
          </cell>
          <cell r="L1434">
            <v>1.3660000000000001</v>
          </cell>
          <cell r="M1434">
            <v>0</v>
          </cell>
          <cell r="N1434">
            <v>0</v>
          </cell>
          <cell r="O1434" t="str">
            <v>T</v>
          </cell>
          <cell r="P1434" t="str">
            <v>1010</v>
          </cell>
          <cell r="Q1434" t="str">
            <v>1010</v>
          </cell>
          <cell r="R1434">
            <v>4.8785714285714281</v>
          </cell>
        </row>
        <row r="1435">
          <cell r="A1435" t="str">
            <v>Y012-025</v>
          </cell>
          <cell r="B1435" t="str">
            <v>LCT012-207</v>
          </cell>
          <cell r="C1435" t="str">
            <v>Y012</v>
          </cell>
          <cell r="D1435" t="str">
            <v>1997-03床头柜</v>
          </cell>
          <cell r="E1435" t="str">
            <v>前雕花飾花</v>
          </cell>
          <cell r="F1435" t="str">
            <v>440*25*13</v>
          </cell>
          <cell r="G1435">
            <v>440</v>
          </cell>
          <cell r="H1435">
            <v>25</v>
          </cell>
          <cell r="I1435">
            <v>13</v>
          </cell>
          <cell r="J1435">
            <v>240</v>
          </cell>
          <cell r="K1435">
            <v>0</v>
          </cell>
          <cell r="L1435">
            <v>0.66100000000000003</v>
          </cell>
          <cell r="M1435">
            <v>0</v>
          </cell>
          <cell r="N1435">
            <v>0</v>
          </cell>
          <cell r="O1435" t="str">
            <v>T</v>
          </cell>
          <cell r="P1435" t="str">
            <v>1010</v>
          </cell>
          <cell r="Q1435" t="str">
            <v>1010</v>
          </cell>
          <cell r="R1435">
            <v>2.7541666666666669</v>
          </cell>
        </row>
        <row r="1436">
          <cell r="A1436" t="str">
            <v>Y012-026</v>
          </cell>
          <cell r="B1436" t="str">
            <v>LCT012-208</v>
          </cell>
          <cell r="C1436" t="str">
            <v>Y012</v>
          </cell>
          <cell r="D1436" t="str">
            <v>1997-07五抽柜</v>
          </cell>
          <cell r="E1436" t="str">
            <v>上抽饰花</v>
          </cell>
          <cell r="F1436" t="str">
            <v>319*124*3</v>
          </cell>
          <cell r="G1436">
            <v>319</v>
          </cell>
          <cell r="H1436">
            <v>124</v>
          </cell>
          <cell r="I1436">
            <v>3</v>
          </cell>
          <cell r="J1436">
            <v>120</v>
          </cell>
          <cell r="K1436">
            <v>0</v>
          </cell>
          <cell r="L1436">
            <v>0.42599999999999999</v>
          </cell>
          <cell r="M1436">
            <v>0</v>
          </cell>
          <cell r="N1436">
            <v>0</v>
          </cell>
          <cell r="O1436" t="str">
            <v>T</v>
          </cell>
          <cell r="P1436" t="str">
            <v>1010</v>
          </cell>
          <cell r="Q1436" t="str">
            <v>1010</v>
          </cell>
          <cell r="R1436">
            <v>3.5500000000000003</v>
          </cell>
        </row>
        <row r="1437">
          <cell r="A1437" t="str">
            <v>Y012-027</v>
          </cell>
          <cell r="B1437" t="str">
            <v>LCT012-209</v>
          </cell>
          <cell r="C1437" t="str">
            <v>Y012</v>
          </cell>
          <cell r="D1437" t="str">
            <v>1997-07五抽柜</v>
          </cell>
          <cell r="E1437" t="str">
            <v>上抽饰条</v>
          </cell>
          <cell r="F1437" t="str">
            <v>340*140*5</v>
          </cell>
          <cell r="G1437">
            <v>340</v>
          </cell>
          <cell r="H1437">
            <v>140</v>
          </cell>
          <cell r="I1437">
            <v>5</v>
          </cell>
          <cell r="J1437">
            <v>0</v>
          </cell>
          <cell r="K1437">
            <v>0</v>
          </cell>
          <cell r="L1437">
            <v>0.33600000000000002</v>
          </cell>
          <cell r="M1437">
            <v>0</v>
          </cell>
          <cell r="N1437">
            <v>0</v>
          </cell>
          <cell r="O1437" t="str">
            <v>T</v>
          </cell>
          <cell r="P1437" t="str">
            <v>1010</v>
          </cell>
          <cell r="Q1437" t="str">
            <v>1010</v>
          </cell>
          <cell r="R1437" t="e">
            <v>#DIV/0!</v>
          </cell>
        </row>
        <row r="1438">
          <cell r="A1438" t="str">
            <v>Y012-028</v>
          </cell>
          <cell r="B1438" t="str">
            <v>LCT012-210</v>
          </cell>
          <cell r="C1438" t="str">
            <v>Y012</v>
          </cell>
          <cell r="D1438" t="str">
            <v>1997-07五抽柜</v>
          </cell>
          <cell r="E1438" t="str">
            <v>下抽饰花</v>
          </cell>
          <cell r="F1438" t="str">
            <v>734*154*3</v>
          </cell>
          <cell r="G1438">
            <v>734</v>
          </cell>
          <cell r="H1438">
            <v>154</v>
          </cell>
          <cell r="I1438">
            <v>3</v>
          </cell>
          <cell r="J1438">
            <v>240</v>
          </cell>
          <cell r="K1438">
            <v>0</v>
          </cell>
          <cell r="L1438">
            <v>0.85099999999999998</v>
          </cell>
          <cell r="M1438">
            <v>0</v>
          </cell>
          <cell r="N1438">
            <v>0</v>
          </cell>
          <cell r="O1438" t="str">
            <v>T</v>
          </cell>
          <cell r="P1438" t="str">
            <v>1010</v>
          </cell>
          <cell r="Q1438" t="str">
            <v>1010</v>
          </cell>
          <cell r="R1438">
            <v>3.5458333333333334</v>
          </cell>
        </row>
        <row r="1439">
          <cell r="A1439" t="str">
            <v>Y012-029</v>
          </cell>
          <cell r="B1439" t="str">
            <v>LCT012-211</v>
          </cell>
          <cell r="C1439" t="str">
            <v>Y012</v>
          </cell>
          <cell r="D1439" t="str">
            <v>1997-07五抽柜</v>
          </cell>
          <cell r="E1439" t="str">
            <v>下抽饰条</v>
          </cell>
          <cell r="F1439" t="str">
            <v>755*172*5</v>
          </cell>
          <cell r="G1439">
            <v>755</v>
          </cell>
          <cell r="H1439">
            <v>172</v>
          </cell>
          <cell r="I1439">
            <v>5</v>
          </cell>
          <cell r="J1439">
            <v>0</v>
          </cell>
          <cell r="K1439">
            <v>0</v>
          </cell>
          <cell r="L1439">
            <v>0.65</v>
          </cell>
          <cell r="M1439">
            <v>0</v>
          </cell>
          <cell r="N1439">
            <v>0</v>
          </cell>
          <cell r="O1439" t="str">
            <v>T</v>
          </cell>
          <cell r="P1439" t="str">
            <v>1010</v>
          </cell>
          <cell r="Q1439" t="str">
            <v>1010</v>
          </cell>
          <cell r="R1439" t="e">
            <v>#DIV/0!</v>
          </cell>
        </row>
        <row r="1440">
          <cell r="A1440" t="str">
            <v>Y012-030</v>
          </cell>
          <cell r="B1440" t="str">
            <v>LCT012-212</v>
          </cell>
          <cell r="C1440" t="str">
            <v>Y012</v>
          </cell>
          <cell r="D1440" t="str">
            <v>1997-07五抽柜</v>
          </cell>
          <cell r="E1440" t="str">
            <v>侧板饰花左</v>
          </cell>
          <cell r="F1440" t="str">
            <v>490*10*3</v>
          </cell>
          <cell r="G1440">
            <v>490</v>
          </cell>
          <cell r="H1440">
            <v>10</v>
          </cell>
          <cell r="I1440">
            <v>3</v>
          </cell>
          <cell r="J1440">
            <v>30</v>
          </cell>
          <cell r="K1440">
            <v>0</v>
          </cell>
          <cell r="L1440">
            <v>0.23499999999999999</v>
          </cell>
          <cell r="M1440">
            <v>0</v>
          </cell>
          <cell r="N1440">
            <v>0</v>
          </cell>
          <cell r="O1440" t="str">
            <v>T</v>
          </cell>
          <cell r="P1440" t="str">
            <v>1010</v>
          </cell>
          <cell r="Q1440" t="str">
            <v>1010</v>
          </cell>
          <cell r="R1440">
            <v>7.833333333333333</v>
          </cell>
        </row>
        <row r="1441">
          <cell r="A1441" t="str">
            <v>Y012-031</v>
          </cell>
          <cell r="B1441" t="str">
            <v>LCT012-213</v>
          </cell>
          <cell r="C1441" t="str">
            <v>Y012</v>
          </cell>
          <cell r="D1441" t="str">
            <v>1997-07五抽柜</v>
          </cell>
          <cell r="E1441" t="str">
            <v>侧板饰花右</v>
          </cell>
          <cell r="F1441" t="str">
            <v>490*10*3</v>
          </cell>
          <cell r="G1441">
            <v>490</v>
          </cell>
          <cell r="H1441">
            <v>10</v>
          </cell>
          <cell r="I1441">
            <v>3</v>
          </cell>
          <cell r="J1441">
            <v>30</v>
          </cell>
          <cell r="K1441">
            <v>0</v>
          </cell>
          <cell r="L1441">
            <v>0.23499999999999999</v>
          </cell>
          <cell r="M1441">
            <v>0</v>
          </cell>
          <cell r="N1441">
            <v>0</v>
          </cell>
          <cell r="O1441" t="str">
            <v>T</v>
          </cell>
          <cell r="P1441" t="str">
            <v>1010</v>
          </cell>
          <cell r="Q1441" t="str">
            <v>1010</v>
          </cell>
          <cell r="R1441">
            <v>7.833333333333333</v>
          </cell>
        </row>
        <row r="1442">
          <cell r="A1442" t="str">
            <v>Y012-032</v>
          </cell>
          <cell r="B1442" t="str">
            <v>LCT012-214</v>
          </cell>
          <cell r="C1442" t="str">
            <v>Y012</v>
          </cell>
          <cell r="D1442" t="str">
            <v>1997-07五抽柜</v>
          </cell>
          <cell r="E1442" t="str">
            <v>面板飾花</v>
          </cell>
          <cell r="F1442" t="str">
            <v>790*10*3</v>
          </cell>
          <cell r="G1442">
            <v>790</v>
          </cell>
          <cell r="H1442">
            <v>10</v>
          </cell>
          <cell r="I1442">
            <v>3</v>
          </cell>
          <cell r="J1442">
            <v>40</v>
          </cell>
          <cell r="K1442">
            <v>0</v>
          </cell>
          <cell r="L1442">
            <v>0.38100000000000001</v>
          </cell>
          <cell r="M1442">
            <v>0</v>
          </cell>
          <cell r="N1442">
            <v>0</v>
          </cell>
          <cell r="O1442" t="str">
            <v>T</v>
          </cell>
          <cell r="P1442" t="str">
            <v>1010</v>
          </cell>
          <cell r="Q1442" t="str">
            <v>1010</v>
          </cell>
          <cell r="R1442">
            <v>9.5250000000000004</v>
          </cell>
        </row>
        <row r="1443">
          <cell r="A1443" t="str">
            <v>Y012-033</v>
          </cell>
          <cell r="B1443" t="str">
            <v>LCT012-215</v>
          </cell>
          <cell r="C1443" t="str">
            <v>Y012</v>
          </cell>
          <cell r="D1443" t="str">
            <v>1997-07五抽柜</v>
          </cell>
          <cell r="E1443" t="str">
            <v>侧板雕花飾條左</v>
          </cell>
          <cell r="F1443" t="str">
            <v>405*25*13</v>
          </cell>
          <cell r="G1443">
            <v>405</v>
          </cell>
          <cell r="H1443">
            <v>25</v>
          </cell>
          <cell r="I1443">
            <v>13</v>
          </cell>
          <cell r="J1443">
            <v>170</v>
          </cell>
          <cell r="K1443">
            <v>0</v>
          </cell>
          <cell r="L1443">
            <v>0.60499999999999998</v>
          </cell>
          <cell r="M1443">
            <v>0</v>
          </cell>
          <cell r="N1443">
            <v>0</v>
          </cell>
          <cell r="O1443" t="str">
            <v>T</v>
          </cell>
          <cell r="P1443" t="str">
            <v>1010</v>
          </cell>
          <cell r="Q1443" t="str">
            <v>1010</v>
          </cell>
          <cell r="R1443">
            <v>3.5588235294117645</v>
          </cell>
        </row>
        <row r="1444">
          <cell r="A1444" t="str">
            <v>Y012-034</v>
          </cell>
          <cell r="B1444" t="str">
            <v>LCT012-216</v>
          </cell>
          <cell r="C1444" t="str">
            <v>Y012</v>
          </cell>
          <cell r="D1444" t="str">
            <v>1997-07五抽柜</v>
          </cell>
          <cell r="E1444" t="str">
            <v>侧板雕花飾條右</v>
          </cell>
          <cell r="F1444" t="str">
            <v>405*25*13</v>
          </cell>
          <cell r="G1444">
            <v>405</v>
          </cell>
          <cell r="H1444">
            <v>25</v>
          </cell>
          <cell r="I1444">
            <v>13</v>
          </cell>
          <cell r="J1444">
            <v>170</v>
          </cell>
          <cell r="K1444">
            <v>0</v>
          </cell>
          <cell r="L1444">
            <v>0.60499999999999998</v>
          </cell>
          <cell r="M1444">
            <v>0</v>
          </cell>
          <cell r="N1444">
            <v>0</v>
          </cell>
          <cell r="O1444" t="str">
            <v>T</v>
          </cell>
          <cell r="P1444" t="str">
            <v>1010</v>
          </cell>
          <cell r="Q1444" t="str">
            <v>1010</v>
          </cell>
          <cell r="R1444">
            <v>3.5588235294117645</v>
          </cell>
        </row>
        <row r="1445">
          <cell r="A1445" t="str">
            <v>Y012-035</v>
          </cell>
          <cell r="B1445" t="str">
            <v>LCT012-217</v>
          </cell>
          <cell r="C1445" t="str">
            <v>Y012</v>
          </cell>
          <cell r="D1445" t="str">
            <v>1997-07五抽柜</v>
          </cell>
          <cell r="E1445" t="str">
            <v>前雕花飾条</v>
          </cell>
          <cell r="F1445" t="str">
            <v>1010*25*13</v>
          </cell>
          <cell r="G1445">
            <v>1010</v>
          </cell>
          <cell r="H1445">
            <v>25</v>
          </cell>
          <cell r="I1445">
            <v>13</v>
          </cell>
          <cell r="J1445">
            <v>400</v>
          </cell>
          <cell r="K1445">
            <v>0</v>
          </cell>
          <cell r="L1445">
            <v>1.5009999999999999</v>
          </cell>
          <cell r="M1445">
            <v>0</v>
          </cell>
          <cell r="N1445">
            <v>0</v>
          </cell>
          <cell r="O1445" t="str">
            <v>T</v>
          </cell>
          <cell r="P1445" t="str">
            <v>1010</v>
          </cell>
          <cell r="Q1445" t="str">
            <v>1010</v>
          </cell>
          <cell r="R1445">
            <v>3.7524999999999995</v>
          </cell>
        </row>
        <row r="1446">
          <cell r="A1446" t="str">
            <v>Y012-036</v>
          </cell>
          <cell r="B1446" t="str">
            <v>LCT012-218</v>
          </cell>
          <cell r="C1446" t="str">
            <v>Y012</v>
          </cell>
          <cell r="D1446" t="str">
            <v>1997-07五抽柜</v>
          </cell>
          <cell r="E1446" t="str">
            <v>门片飾条</v>
          </cell>
          <cell r="F1446" t="str">
            <v>570*325*5</v>
          </cell>
          <cell r="G1446">
            <v>570</v>
          </cell>
          <cell r="H1446">
            <v>325</v>
          </cell>
          <cell r="I1446">
            <v>5</v>
          </cell>
          <cell r="J1446">
            <v>100</v>
          </cell>
          <cell r="K1446">
            <v>0</v>
          </cell>
          <cell r="L1446">
            <v>0.59399999999999997</v>
          </cell>
          <cell r="M1446">
            <v>0</v>
          </cell>
          <cell r="N1446">
            <v>0</v>
          </cell>
          <cell r="O1446" t="str">
            <v>T</v>
          </cell>
          <cell r="P1446" t="str">
            <v>1010</v>
          </cell>
          <cell r="Q1446" t="str">
            <v>1010</v>
          </cell>
          <cell r="R1446">
            <v>5.9399999999999995</v>
          </cell>
        </row>
        <row r="1447">
          <cell r="A1447" t="str">
            <v>Y012-037</v>
          </cell>
          <cell r="B1447" t="str">
            <v>LCT012-219</v>
          </cell>
          <cell r="C1447" t="str">
            <v>Y012</v>
          </cell>
          <cell r="D1447" t="str">
            <v>1997-13F1/2双人床</v>
          </cell>
          <cell r="E1447" t="str">
            <v>中饰花左</v>
          </cell>
          <cell r="F1447" t="str">
            <v>557*238*3</v>
          </cell>
          <cell r="G1447">
            <v>557</v>
          </cell>
          <cell r="H1447">
            <v>238</v>
          </cell>
          <cell r="I1447">
            <v>3</v>
          </cell>
          <cell r="J1447">
            <v>200</v>
          </cell>
          <cell r="K1447">
            <v>0</v>
          </cell>
          <cell r="L1447">
            <v>0.874</v>
          </cell>
          <cell r="M1447">
            <v>0</v>
          </cell>
          <cell r="N1447">
            <v>0</v>
          </cell>
          <cell r="O1447" t="str">
            <v>T</v>
          </cell>
          <cell r="P1447" t="str">
            <v>1010</v>
          </cell>
          <cell r="Q1447" t="str">
            <v>1010</v>
          </cell>
          <cell r="R1447">
            <v>4.37</v>
          </cell>
        </row>
        <row r="1448">
          <cell r="A1448" t="str">
            <v>Y012-038</v>
          </cell>
          <cell r="B1448" t="str">
            <v>LCT012-220</v>
          </cell>
          <cell r="C1448" t="str">
            <v>Y012</v>
          </cell>
          <cell r="D1448" t="str">
            <v>1997-13F1/2双人床</v>
          </cell>
          <cell r="E1448" t="str">
            <v>中饰花右</v>
          </cell>
          <cell r="F1448" t="str">
            <v>557*238*3</v>
          </cell>
          <cell r="G1448">
            <v>557</v>
          </cell>
          <cell r="H1448">
            <v>238</v>
          </cell>
          <cell r="I1448">
            <v>3</v>
          </cell>
          <cell r="J1448">
            <v>200</v>
          </cell>
          <cell r="K1448">
            <v>0</v>
          </cell>
          <cell r="L1448">
            <v>0.874</v>
          </cell>
          <cell r="M1448">
            <v>0</v>
          </cell>
          <cell r="N1448">
            <v>0</v>
          </cell>
          <cell r="O1448" t="str">
            <v>T</v>
          </cell>
          <cell r="P1448" t="str">
            <v>1010</v>
          </cell>
          <cell r="Q1448" t="str">
            <v>1010</v>
          </cell>
          <cell r="R1448">
            <v>4.37</v>
          </cell>
        </row>
        <row r="1449">
          <cell r="A1449" t="str">
            <v>Y012-039</v>
          </cell>
          <cell r="B1449" t="str">
            <v>LCT012-221</v>
          </cell>
          <cell r="C1449" t="str">
            <v>Y012</v>
          </cell>
          <cell r="D1449" t="str">
            <v>1997-13F1/2双人床</v>
          </cell>
          <cell r="E1449" t="str">
            <v>中饰花</v>
          </cell>
          <cell r="F1449" t="str">
            <v>685*585*5</v>
          </cell>
          <cell r="G1449">
            <v>685</v>
          </cell>
          <cell r="H1449">
            <v>585</v>
          </cell>
          <cell r="I1449">
            <v>5</v>
          </cell>
          <cell r="J1449">
            <v>0</v>
          </cell>
          <cell r="K1449">
            <v>0</v>
          </cell>
          <cell r="L1449">
            <v>0.88500000000000001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 t="e">
            <v>#DIV/0!</v>
          </cell>
        </row>
        <row r="1450">
          <cell r="A1450" t="str">
            <v>Y012-040</v>
          </cell>
          <cell r="B1450" t="str">
            <v>LCT012-222</v>
          </cell>
          <cell r="C1450" t="str">
            <v>Y012</v>
          </cell>
          <cell r="D1450" t="str">
            <v>1997-13F1/2双人床</v>
          </cell>
          <cell r="E1450" t="str">
            <v>中饰花左</v>
          </cell>
          <cell r="F1450" t="str">
            <v>585*300*5</v>
          </cell>
          <cell r="G1450">
            <v>585</v>
          </cell>
          <cell r="H1450">
            <v>300</v>
          </cell>
          <cell r="I1450">
            <v>5</v>
          </cell>
          <cell r="J1450">
            <v>0</v>
          </cell>
          <cell r="K1450">
            <v>0</v>
          </cell>
          <cell r="L1450">
            <v>0.61599999999999999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 t="e">
            <v>#DIV/0!</v>
          </cell>
        </row>
        <row r="1451">
          <cell r="A1451" t="str">
            <v>Y012-041</v>
          </cell>
          <cell r="B1451" t="str">
            <v>LCT012-223</v>
          </cell>
          <cell r="C1451" t="str">
            <v>Y012</v>
          </cell>
          <cell r="D1451" t="str">
            <v>1997-13F1/2双人床</v>
          </cell>
          <cell r="E1451" t="str">
            <v>中饰花右</v>
          </cell>
          <cell r="F1451" t="str">
            <v>585*300*5</v>
          </cell>
          <cell r="G1451">
            <v>585</v>
          </cell>
          <cell r="H1451">
            <v>300</v>
          </cell>
          <cell r="I1451">
            <v>5</v>
          </cell>
          <cell r="J1451">
            <v>0</v>
          </cell>
          <cell r="K1451">
            <v>0</v>
          </cell>
          <cell r="L1451">
            <v>0.61599999999999999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 t="e">
            <v>#DIV/0!</v>
          </cell>
        </row>
        <row r="1452">
          <cell r="A1452" t="str">
            <v>Y012-042</v>
          </cell>
          <cell r="B1452" t="str">
            <v>LCT012-224</v>
          </cell>
          <cell r="C1452" t="str">
            <v>Y012</v>
          </cell>
          <cell r="D1452" t="str">
            <v>1997-13T-1/2单人床</v>
          </cell>
          <cell r="E1452" t="str">
            <v>中饰花</v>
          </cell>
          <cell r="F1452" t="str">
            <v>666*364*3</v>
          </cell>
          <cell r="G1452">
            <v>666</v>
          </cell>
          <cell r="H1452">
            <v>364</v>
          </cell>
          <cell r="I1452">
            <v>3</v>
          </cell>
          <cell r="J1452">
            <v>230</v>
          </cell>
          <cell r="K1452">
            <v>0</v>
          </cell>
          <cell r="L1452">
            <v>1.131</v>
          </cell>
          <cell r="M1452">
            <v>0</v>
          </cell>
          <cell r="N1452">
            <v>0</v>
          </cell>
          <cell r="O1452" t="str">
            <v>T</v>
          </cell>
          <cell r="P1452" t="str">
            <v>1010</v>
          </cell>
          <cell r="Q1452" t="str">
            <v>1010</v>
          </cell>
          <cell r="R1452">
            <v>4.9173913043478255</v>
          </cell>
        </row>
        <row r="1453">
          <cell r="A1453" t="str">
            <v>Y012-043</v>
          </cell>
          <cell r="B1453" t="str">
            <v>LCT012-225</v>
          </cell>
          <cell r="C1453" t="str">
            <v>Y012</v>
          </cell>
          <cell r="D1453" t="str">
            <v>1997-13T-1/2单人床</v>
          </cell>
          <cell r="E1453" t="str">
            <v>中饰花左</v>
          </cell>
          <cell r="F1453" t="str">
            <v>543*195*3</v>
          </cell>
          <cell r="G1453">
            <v>543</v>
          </cell>
          <cell r="H1453">
            <v>195</v>
          </cell>
          <cell r="I1453">
            <v>3</v>
          </cell>
          <cell r="J1453">
            <v>150</v>
          </cell>
          <cell r="K1453">
            <v>0</v>
          </cell>
          <cell r="L1453">
            <v>0.80600000000000005</v>
          </cell>
          <cell r="M1453">
            <v>0</v>
          </cell>
          <cell r="N1453">
            <v>0</v>
          </cell>
          <cell r="O1453" t="str">
            <v>T</v>
          </cell>
          <cell r="P1453" t="str">
            <v>1010</v>
          </cell>
          <cell r="Q1453" t="str">
            <v>1010</v>
          </cell>
          <cell r="R1453">
            <v>5.373333333333334</v>
          </cell>
        </row>
        <row r="1454">
          <cell r="A1454" t="str">
            <v>Y012-044</v>
          </cell>
          <cell r="B1454" t="str">
            <v>LCT012-226</v>
          </cell>
          <cell r="C1454" t="str">
            <v>Y012</v>
          </cell>
          <cell r="D1454" t="str">
            <v>1997-13T-1/2单人床</v>
          </cell>
          <cell r="E1454" t="str">
            <v>中饰花右</v>
          </cell>
          <cell r="F1454" t="str">
            <v>543*195*3</v>
          </cell>
          <cell r="G1454">
            <v>543</v>
          </cell>
          <cell r="H1454">
            <v>195</v>
          </cell>
          <cell r="I1454">
            <v>3</v>
          </cell>
          <cell r="J1454">
            <v>150</v>
          </cell>
          <cell r="K1454">
            <v>0</v>
          </cell>
          <cell r="L1454">
            <v>0.80600000000000005</v>
          </cell>
          <cell r="M1454">
            <v>0</v>
          </cell>
          <cell r="N1454">
            <v>0</v>
          </cell>
          <cell r="O1454" t="str">
            <v>T</v>
          </cell>
          <cell r="P1454" t="str">
            <v>1010</v>
          </cell>
          <cell r="Q1454" t="str">
            <v>1010</v>
          </cell>
          <cell r="R1454">
            <v>5.373333333333334</v>
          </cell>
        </row>
        <row r="1455">
          <cell r="A1455" t="str">
            <v>Y012-045</v>
          </cell>
          <cell r="B1455" t="str">
            <v>LCT012-227</v>
          </cell>
          <cell r="C1455" t="str">
            <v>Y012</v>
          </cell>
          <cell r="D1455" t="str">
            <v>1997-13T-1/2单人床</v>
          </cell>
          <cell r="E1455" t="str">
            <v>中饰花</v>
          </cell>
          <cell r="F1455" t="str">
            <v>690*380*5</v>
          </cell>
          <cell r="G1455">
            <v>690</v>
          </cell>
          <cell r="H1455">
            <v>380</v>
          </cell>
          <cell r="I1455">
            <v>5</v>
          </cell>
          <cell r="J1455">
            <v>0</v>
          </cell>
          <cell r="K1455">
            <v>0</v>
          </cell>
          <cell r="L1455">
            <v>0.73899999999999999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 t="e">
            <v>#DIV/0!</v>
          </cell>
        </row>
        <row r="1456">
          <cell r="A1456" t="str">
            <v>Y012-046</v>
          </cell>
          <cell r="B1456" t="str">
            <v>LCT012-228</v>
          </cell>
          <cell r="C1456" t="str">
            <v>Y012</v>
          </cell>
          <cell r="D1456" t="str">
            <v>1997-13T-1/2单人床</v>
          </cell>
          <cell r="E1456" t="str">
            <v>中饰花左</v>
          </cell>
          <cell r="F1456" t="str">
            <v>575*210*5</v>
          </cell>
          <cell r="G1456">
            <v>575</v>
          </cell>
          <cell r="H1456">
            <v>210</v>
          </cell>
          <cell r="I1456">
            <v>5</v>
          </cell>
          <cell r="J1456">
            <v>0</v>
          </cell>
          <cell r="K1456">
            <v>0</v>
          </cell>
          <cell r="L1456">
            <v>0.54900000000000004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 t="e">
            <v>#DIV/0!</v>
          </cell>
        </row>
        <row r="1457">
          <cell r="A1457" t="str">
            <v>Y012-047</v>
          </cell>
          <cell r="B1457" t="str">
            <v>LCT012-229</v>
          </cell>
          <cell r="C1457" t="str">
            <v>Y012</v>
          </cell>
          <cell r="D1457" t="str">
            <v>1997-13T-1/2单人床</v>
          </cell>
          <cell r="E1457" t="str">
            <v>中饰花右</v>
          </cell>
          <cell r="F1457" t="str">
            <v>575*210*5</v>
          </cell>
          <cell r="G1457">
            <v>575</v>
          </cell>
          <cell r="H1457">
            <v>210</v>
          </cell>
          <cell r="I1457">
            <v>5</v>
          </cell>
          <cell r="J1457">
            <v>0</v>
          </cell>
          <cell r="K1457">
            <v>0</v>
          </cell>
          <cell r="L1457">
            <v>0.54900000000000004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 t="e">
            <v>#DIV/0!</v>
          </cell>
        </row>
        <row r="1458">
          <cell r="A1458" t="str">
            <v>Y012-048</v>
          </cell>
          <cell r="B1458" t="str">
            <v>LCT012-230</v>
          </cell>
          <cell r="C1458" t="str">
            <v>Y012</v>
          </cell>
          <cell r="D1458" t="str">
            <v>1997-03床头柜</v>
          </cell>
          <cell r="E1458" t="str">
            <v>侧板饰花左</v>
          </cell>
          <cell r="F1458" t="str">
            <v>460*10*3</v>
          </cell>
          <cell r="G1458">
            <v>460</v>
          </cell>
          <cell r="H1458">
            <v>10</v>
          </cell>
          <cell r="I1458">
            <v>3</v>
          </cell>
          <cell r="J1458">
            <v>28</v>
          </cell>
          <cell r="K1458">
            <v>0</v>
          </cell>
          <cell r="L1458">
            <v>0.224</v>
          </cell>
          <cell r="M1458">
            <v>0</v>
          </cell>
          <cell r="N1458">
            <v>0</v>
          </cell>
          <cell r="O1458" t="str">
            <v>T</v>
          </cell>
          <cell r="P1458" t="str">
            <v>1010</v>
          </cell>
          <cell r="Q1458" t="str">
            <v>1010</v>
          </cell>
          <cell r="R1458">
            <v>8</v>
          </cell>
        </row>
        <row r="1459">
          <cell r="A1459" t="str">
            <v>Y012-049</v>
          </cell>
          <cell r="B1459" t="str">
            <v>LCT012-231</v>
          </cell>
          <cell r="C1459" t="str">
            <v>Y012</v>
          </cell>
          <cell r="D1459" t="str">
            <v>1997-03床头柜</v>
          </cell>
          <cell r="E1459" t="str">
            <v>侧板饰花右</v>
          </cell>
          <cell r="F1459" t="str">
            <v>460*10*3</v>
          </cell>
          <cell r="G1459">
            <v>460</v>
          </cell>
          <cell r="H1459">
            <v>10</v>
          </cell>
          <cell r="I1459">
            <v>3</v>
          </cell>
          <cell r="J1459">
            <v>28</v>
          </cell>
          <cell r="K1459">
            <v>0</v>
          </cell>
          <cell r="L1459">
            <v>0.224</v>
          </cell>
          <cell r="M1459">
            <v>0</v>
          </cell>
          <cell r="N1459">
            <v>0</v>
          </cell>
          <cell r="O1459" t="str">
            <v>T</v>
          </cell>
          <cell r="P1459" t="str">
            <v>1010</v>
          </cell>
          <cell r="Q1459" t="str">
            <v>1010</v>
          </cell>
          <cell r="R1459">
            <v>8</v>
          </cell>
        </row>
        <row r="1460">
          <cell r="A1460" t="str">
            <v>Y012-050</v>
          </cell>
          <cell r="B1460" t="str">
            <v>LCT012-232</v>
          </cell>
          <cell r="C1460" t="str">
            <v>Y012</v>
          </cell>
          <cell r="D1460" t="str">
            <v>1997-03床头柜</v>
          </cell>
          <cell r="E1460" t="str">
            <v>面板飾花</v>
          </cell>
          <cell r="F1460" t="str">
            <v>220*10*3</v>
          </cell>
          <cell r="G1460">
            <v>220</v>
          </cell>
          <cell r="H1460">
            <v>10</v>
          </cell>
          <cell r="I1460" t="str">
            <v>3(455)</v>
          </cell>
          <cell r="J1460">
            <v>0</v>
          </cell>
          <cell r="K1460">
            <v>0</v>
          </cell>
          <cell r="L1460">
            <v>0.112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 t="e">
            <v>#DIV/0!</v>
          </cell>
        </row>
        <row r="1461">
          <cell r="A1461" t="str">
            <v>Y012-051</v>
          </cell>
          <cell r="B1461" t="str">
            <v>LCT012-233</v>
          </cell>
          <cell r="C1461" t="str">
            <v>Y012</v>
          </cell>
          <cell r="D1461" t="str">
            <v>1997-03床头柜</v>
          </cell>
          <cell r="E1461" t="str">
            <v>面板雕花饰条左</v>
          </cell>
          <cell r="F1461" t="str">
            <v>368*25*13</v>
          </cell>
          <cell r="G1461">
            <v>368</v>
          </cell>
          <cell r="H1461">
            <v>25</v>
          </cell>
          <cell r="I1461">
            <v>13</v>
          </cell>
          <cell r="J1461">
            <v>155</v>
          </cell>
          <cell r="K1461">
            <v>0</v>
          </cell>
          <cell r="L1461">
            <v>0.54900000000000004</v>
          </cell>
          <cell r="M1461">
            <v>0</v>
          </cell>
          <cell r="N1461">
            <v>0</v>
          </cell>
          <cell r="O1461" t="str">
            <v>T</v>
          </cell>
          <cell r="P1461" t="str">
            <v>1010</v>
          </cell>
          <cell r="Q1461" t="str">
            <v>1010</v>
          </cell>
          <cell r="R1461">
            <v>3.5419354838709682</v>
          </cell>
        </row>
        <row r="1462">
          <cell r="A1462" t="str">
            <v>Y012-052</v>
          </cell>
          <cell r="B1462" t="str">
            <v>LCT012-234</v>
          </cell>
          <cell r="C1462" t="str">
            <v>Y012</v>
          </cell>
          <cell r="D1462" t="str">
            <v>1997-03床头柜</v>
          </cell>
          <cell r="E1462" t="str">
            <v>面板雕花饰条右</v>
          </cell>
          <cell r="F1462" t="str">
            <v>368*25*13</v>
          </cell>
          <cell r="G1462">
            <v>368</v>
          </cell>
          <cell r="H1462">
            <v>25</v>
          </cell>
          <cell r="I1462">
            <v>13</v>
          </cell>
          <cell r="J1462">
            <v>155</v>
          </cell>
          <cell r="K1462">
            <v>0</v>
          </cell>
          <cell r="L1462">
            <v>0.54900000000000004</v>
          </cell>
          <cell r="M1462">
            <v>0</v>
          </cell>
          <cell r="N1462">
            <v>0</v>
          </cell>
          <cell r="O1462" t="str">
            <v>T</v>
          </cell>
          <cell r="P1462" t="str">
            <v>1010</v>
          </cell>
          <cell r="Q1462" t="str">
            <v>1010</v>
          </cell>
          <cell r="R1462">
            <v>3.5419354838709682</v>
          </cell>
        </row>
        <row r="1463">
          <cell r="A1463" t="str">
            <v>Y012-053</v>
          </cell>
          <cell r="B1463" t="str">
            <v>LCT012-235</v>
          </cell>
          <cell r="C1463" t="str">
            <v>Y012</v>
          </cell>
          <cell r="D1463" t="str">
            <v>1997-11-1化妆镜</v>
          </cell>
          <cell r="E1463" t="str">
            <v>中饰条</v>
          </cell>
          <cell r="F1463" t="str">
            <v>465*10*5</v>
          </cell>
          <cell r="G1463">
            <v>465</v>
          </cell>
          <cell r="H1463">
            <v>10</v>
          </cell>
          <cell r="I1463">
            <v>5</v>
          </cell>
          <cell r="J1463">
            <v>0</v>
          </cell>
          <cell r="K1463">
            <v>0</v>
          </cell>
          <cell r="L1463">
            <v>0.14000000000000001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 t="e">
            <v>#DIV/0!</v>
          </cell>
        </row>
        <row r="1464">
          <cell r="A1464" t="str">
            <v>Y012-054</v>
          </cell>
          <cell r="B1464" t="str">
            <v>LCT012-236</v>
          </cell>
          <cell r="C1464" t="str">
            <v>Y012</v>
          </cell>
          <cell r="D1464" t="str">
            <v>1997-11-1化妆镜</v>
          </cell>
          <cell r="E1464" t="str">
            <v>中饰条 左</v>
          </cell>
          <cell r="F1464" t="str">
            <v>260*10*5</v>
          </cell>
          <cell r="G1464">
            <v>260</v>
          </cell>
          <cell r="H1464">
            <v>10</v>
          </cell>
          <cell r="I1464">
            <v>5</v>
          </cell>
          <cell r="J1464">
            <v>30</v>
          </cell>
          <cell r="K1464">
            <v>0</v>
          </cell>
          <cell r="L1464">
            <v>0.06</v>
          </cell>
          <cell r="M1464">
            <v>0</v>
          </cell>
          <cell r="N1464">
            <v>0</v>
          </cell>
          <cell r="O1464" t="str">
            <v>T</v>
          </cell>
          <cell r="P1464" t="str">
            <v>1010</v>
          </cell>
          <cell r="Q1464" t="str">
            <v>1010</v>
          </cell>
          <cell r="R1464">
            <v>2</v>
          </cell>
        </row>
        <row r="1465">
          <cell r="A1465" t="str">
            <v>Y012-055</v>
          </cell>
          <cell r="B1465" t="str">
            <v>LCT012-237</v>
          </cell>
          <cell r="C1465" t="str">
            <v>Y012</v>
          </cell>
          <cell r="D1465" t="str">
            <v>1997-11-1化妆镜</v>
          </cell>
          <cell r="E1465" t="str">
            <v>中饰条 右</v>
          </cell>
          <cell r="F1465" t="str">
            <v>260*10*5</v>
          </cell>
          <cell r="G1465">
            <v>260</v>
          </cell>
          <cell r="H1465">
            <v>10</v>
          </cell>
          <cell r="I1465">
            <v>6</v>
          </cell>
          <cell r="J1465">
            <v>30</v>
          </cell>
          <cell r="K1465">
            <v>0</v>
          </cell>
          <cell r="L1465">
            <v>0.06</v>
          </cell>
          <cell r="M1465">
            <v>0</v>
          </cell>
          <cell r="N1465">
            <v>0</v>
          </cell>
          <cell r="O1465" t="str">
            <v>T</v>
          </cell>
          <cell r="P1465" t="str">
            <v>1010</v>
          </cell>
          <cell r="Q1465" t="str">
            <v>1010</v>
          </cell>
          <cell r="R1465">
            <v>2</v>
          </cell>
        </row>
        <row r="1466">
          <cell r="A1466" t="str">
            <v>Y012-056</v>
          </cell>
          <cell r="B1466" t="str">
            <v>LCT012-345</v>
          </cell>
          <cell r="C1466" t="str">
            <v>Y012</v>
          </cell>
          <cell r="D1466" t="str">
            <v>1997-15-1</v>
          </cell>
          <cell r="E1466" t="str">
            <v>POLY飾框-在</v>
          </cell>
          <cell r="F1466" t="str">
            <v>824*725*3</v>
          </cell>
          <cell r="G1466">
            <v>824</v>
          </cell>
          <cell r="H1466">
            <v>725</v>
          </cell>
          <cell r="I1466">
            <v>3</v>
          </cell>
          <cell r="J1466">
            <v>320</v>
          </cell>
          <cell r="K1466">
            <v>0</v>
          </cell>
          <cell r="L1466">
            <v>1.18</v>
          </cell>
          <cell r="M1466">
            <v>0</v>
          </cell>
          <cell r="N1466">
            <v>0</v>
          </cell>
          <cell r="O1466" t="str">
            <v>40V</v>
          </cell>
          <cell r="P1466" t="str">
            <v>1010</v>
          </cell>
          <cell r="Q1466" t="str">
            <v>1010</v>
          </cell>
          <cell r="R1466">
            <v>3.6874999999999996</v>
          </cell>
        </row>
        <row r="1467">
          <cell r="A1467" t="str">
            <v>Y012-057</v>
          </cell>
          <cell r="B1467" t="str">
            <v>LCT012-346</v>
          </cell>
          <cell r="C1467" t="str">
            <v>Y012</v>
          </cell>
          <cell r="D1467" t="str">
            <v>1997-15-1</v>
          </cell>
          <cell r="E1467" t="str">
            <v>POLY飾框-右</v>
          </cell>
          <cell r="F1467" t="str">
            <v>824*725*3</v>
          </cell>
          <cell r="G1467">
            <v>824</v>
          </cell>
          <cell r="H1467">
            <v>725</v>
          </cell>
          <cell r="I1467">
            <v>3</v>
          </cell>
          <cell r="J1467">
            <v>320</v>
          </cell>
          <cell r="K1467">
            <v>0</v>
          </cell>
          <cell r="L1467">
            <v>1.18</v>
          </cell>
          <cell r="M1467">
            <v>0</v>
          </cell>
          <cell r="N1467">
            <v>0</v>
          </cell>
          <cell r="O1467" t="str">
            <v>40V</v>
          </cell>
          <cell r="P1467" t="str">
            <v>1010</v>
          </cell>
          <cell r="Q1467" t="str">
            <v>1010</v>
          </cell>
          <cell r="R1467">
            <v>3.6874999999999996</v>
          </cell>
        </row>
        <row r="1468">
          <cell r="A1468" t="str">
            <v>Y012-058</v>
          </cell>
          <cell r="B1468" t="str">
            <v>LCT012-347</v>
          </cell>
          <cell r="C1468" t="str">
            <v>Y012</v>
          </cell>
          <cell r="D1468" t="str">
            <v>1997-15-2</v>
          </cell>
          <cell r="E1468" t="str">
            <v>POLY飾框-在</v>
          </cell>
          <cell r="F1468" t="str">
            <v>490*405*3</v>
          </cell>
          <cell r="G1468">
            <v>490</v>
          </cell>
          <cell r="H1468">
            <v>405</v>
          </cell>
          <cell r="I1468">
            <v>3</v>
          </cell>
          <cell r="J1468">
            <v>190</v>
          </cell>
          <cell r="K1468">
            <v>0</v>
          </cell>
          <cell r="L1468">
            <v>0.68</v>
          </cell>
          <cell r="M1468">
            <v>0</v>
          </cell>
          <cell r="N1468">
            <v>0</v>
          </cell>
          <cell r="O1468" t="str">
            <v>T</v>
          </cell>
          <cell r="P1468" t="str">
            <v>1010</v>
          </cell>
          <cell r="Q1468" t="str">
            <v>1010</v>
          </cell>
          <cell r="R1468">
            <v>3.5789473684210527</v>
          </cell>
        </row>
        <row r="1469">
          <cell r="A1469" t="str">
            <v>Y012-059</v>
          </cell>
          <cell r="B1469" t="str">
            <v>LCT012-348</v>
          </cell>
          <cell r="C1469" t="str">
            <v>Y012</v>
          </cell>
          <cell r="D1469" t="str">
            <v>1997-15-2</v>
          </cell>
          <cell r="E1469" t="str">
            <v>POLY飾框-右</v>
          </cell>
          <cell r="F1469" t="str">
            <v>490*405*3</v>
          </cell>
          <cell r="G1469">
            <v>490</v>
          </cell>
          <cell r="H1469">
            <v>405</v>
          </cell>
          <cell r="I1469">
            <v>3</v>
          </cell>
          <cell r="J1469">
            <v>190</v>
          </cell>
          <cell r="K1469">
            <v>0</v>
          </cell>
          <cell r="L1469">
            <v>0.68</v>
          </cell>
          <cell r="M1469">
            <v>0</v>
          </cell>
          <cell r="N1469">
            <v>0</v>
          </cell>
          <cell r="O1469" t="str">
            <v>T</v>
          </cell>
          <cell r="P1469" t="str">
            <v>1010</v>
          </cell>
          <cell r="Q1469" t="str">
            <v>1010</v>
          </cell>
          <cell r="R1469">
            <v>3.5789473684210527</v>
          </cell>
        </row>
        <row r="1470">
          <cell r="A1470" t="str">
            <v>Y012-060</v>
          </cell>
          <cell r="B1470" t="str">
            <v>LCT012-349</v>
          </cell>
          <cell r="C1470" t="str">
            <v>Y012</v>
          </cell>
          <cell r="D1470" t="str">
            <v>1997-15-2</v>
          </cell>
          <cell r="E1470" t="str">
            <v>POLY飾框</v>
          </cell>
          <cell r="F1470" t="str">
            <v>630*902*3</v>
          </cell>
          <cell r="G1470">
            <v>630</v>
          </cell>
          <cell r="H1470">
            <v>902</v>
          </cell>
          <cell r="I1470">
            <v>3</v>
          </cell>
          <cell r="J1470">
            <v>320</v>
          </cell>
          <cell r="K1470">
            <v>0</v>
          </cell>
          <cell r="L1470">
            <v>1.26</v>
          </cell>
          <cell r="M1470">
            <v>0</v>
          </cell>
          <cell r="N1470">
            <v>0</v>
          </cell>
          <cell r="O1470" t="str">
            <v>T</v>
          </cell>
          <cell r="P1470" t="str">
            <v>1010</v>
          </cell>
          <cell r="Q1470" t="str">
            <v>1010</v>
          </cell>
          <cell r="R1470">
            <v>3.9375</v>
          </cell>
        </row>
        <row r="1471">
          <cell r="A1471" t="str">
            <v>Y012-061</v>
          </cell>
          <cell r="B1471" t="str">
            <v>LCT012-350</v>
          </cell>
          <cell r="C1471" t="str">
            <v>Y012</v>
          </cell>
          <cell r="D1471" t="str">
            <v>1997-15-3</v>
          </cell>
          <cell r="E1471" t="str">
            <v>POLY飾框</v>
          </cell>
          <cell r="F1471" t="str">
            <v>493*120*3</v>
          </cell>
          <cell r="G1471">
            <v>493</v>
          </cell>
          <cell r="H1471">
            <v>120</v>
          </cell>
          <cell r="I1471">
            <v>3</v>
          </cell>
          <cell r="J1471">
            <v>120</v>
          </cell>
          <cell r="K1471">
            <v>0</v>
          </cell>
          <cell r="L1471">
            <v>0.5</v>
          </cell>
          <cell r="M1471">
            <v>0</v>
          </cell>
          <cell r="N1471">
            <v>0</v>
          </cell>
          <cell r="O1471" t="str">
            <v>T</v>
          </cell>
          <cell r="P1471" t="str">
            <v>1010</v>
          </cell>
          <cell r="Q1471" t="str">
            <v>1010</v>
          </cell>
          <cell r="R1471">
            <v>4.166666666666667</v>
          </cell>
        </row>
        <row r="1472">
          <cell r="A1472" t="str">
            <v>Y012-062</v>
          </cell>
          <cell r="B1472" t="str">
            <v>LCT012-351</v>
          </cell>
          <cell r="C1472" t="str">
            <v>Y012</v>
          </cell>
          <cell r="D1472" t="str">
            <v>1997-17</v>
          </cell>
          <cell r="E1472" t="str">
            <v>POLY飾框</v>
          </cell>
          <cell r="F1472" t="str">
            <v>682*112*3</v>
          </cell>
          <cell r="G1472">
            <v>682</v>
          </cell>
          <cell r="H1472">
            <v>112</v>
          </cell>
          <cell r="I1472">
            <v>3</v>
          </cell>
          <cell r="J1472">
            <v>0</v>
          </cell>
          <cell r="K1472">
            <v>0</v>
          </cell>
          <cell r="L1472">
            <v>0.65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 t="e">
            <v>#DIV/0!</v>
          </cell>
        </row>
        <row r="1473">
          <cell r="A1473" t="str">
            <v>Y012-063</v>
          </cell>
          <cell r="B1473" t="str">
            <v>LCT012-352</v>
          </cell>
          <cell r="C1473" t="str">
            <v>Y012</v>
          </cell>
          <cell r="D1473" t="str">
            <v>1997-17</v>
          </cell>
          <cell r="E1473" t="str">
            <v>POLY飾框</v>
          </cell>
          <cell r="F1473" t="str">
            <v>660*140*3</v>
          </cell>
          <cell r="G1473">
            <v>660</v>
          </cell>
          <cell r="H1473">
            <v>140</v>
          </cell>
          <cell r="I1473">
            <v>3</v>
          </cell>
          <cell r="J1473">
            <v>0</v>
          </cell>
          <cell r="K1473">
            <v>0</v>
          </cell>
          <cell r="L1473">
            <v>0.65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 t="e">
            <v>#DIV/0!</v>
          </cell>
        </row>
        <row r="1474">
          <cell r="A1474" t="str">
            <v>Y012-064</v>
          </cell>
          <cell r="B1474" t="str">
            <v>LCT012-353</v>
          </cell>
          <cell r="C1474" t="str">
            <v>Y012</v>
          </cell>
          <cell r="D1474" t="str">
            <v>1997-17</v>
          </cell>
          <cell r="E1474" t="str">
            <v>POLY飾框</v>
          </cell>
          <cell r="F1474" t="str">
            <v>490*15*3</v>
          </cell>
          <cell r="G1474">
            <v>490</v>
          </cell>
          <cell r="H1474">
            <v>15</v>
          </cell>
          <cell r="I1474">
            <v>3</v>
          </cell>
          <cell r="J1474">
            <v>0</v>
          </cell>
          <cell r="K1474">
            <v>0</v>
          </cell>
          <cell r="L1474">
            <v>0.2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 t="e">
            <v>#DIV/0!</v>
          </cell>
        </row>
        <row r="1475">
          <cell r="A1475" t="str">
            <v>Y012-065</v>
          </cell>
          <cell r="B1475" t="str">
            <v>LCT012-354</v>
          </cell>
          <cell r="C1475" t="str">
            <v>Y012</v>
          </cell>
          <cell r="D1475" t="str">
            <v>1997-17</v>
          </cell>
          <cell r="E1475" t="str">
            <v>POLY飾框</v>
          </cell>
          <cell r="F1475" t="str">
            <v>770*15*3</v>
          </cell>
          <cell r="G1475">
            <v>770</v>
          </cell>
          <cell r="H1475">
            <v>15</v>
          </cell>
          <cell r="I1475">
            <v>3</v>
          </cell>
          <cell r="J1475">
            <v>0</v>
          </cell>
          <cell r="K1475">
            <v>0</v>
          </cell>
          <cell r="L1475">
            <v>0.3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 t="e">
            <v>#DIV/0!</v>
          </cell>
        </row>
        <row r="1476">
          <cell r="A1476" t="str">
            <v>Y012-066</v>
          </cell>
          <cell r="B1476" t="str">
            <v>LCT012-355</v>
          </cell>
          <cell r="C1476" t="str">
            <v>Y012</v>
          </cell>
          <cell r="D1476" t="str">
            <v>1997-17</v>
          </cell>
          <cell r="E1476" t="str">
            <v>POLY飾框</v>
          </cell>
          <cell r="F1476" t="str">
            <v>896*47*24</v>
          </cell>
          <cell r="G1476">
            <v>896</v>
          </cell>
          <cell r="H1476">
            <v>47</v>
          </cell>
          <cell r="I1476">
            <v>24</v>
          </cell>
          <cell r="J1476">
            <v>0</v>
          </cell>
          <cell r="K1476">
            <v>0</v>
          </cell>
          <cell r="L1476">
            <v>1.22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 t="e">
            <v>#DIV/0!</v>
          </cell>
        </row>
        <row r="1477">
          <cell r="A1477" t="str">
            <v>Y012-067</v>
          </cell>
          <cell r="B1477" t="str">
            <v>LCT012-356</v>
          </cell>
          <cell r="C1477" t="str">
            <v>Y012</v>
          </cell>
          <cell r="D1477" t="str">
            <v>1997-11-1化妆镜</v>
          </cell>
          <cell r="E1477" t="str">
            <v>中饰条 左</v>
          </cell>
          <cell r="F1477" t="str">
            <v>280*10*5</v>
          </cell>
          <cell r="G1477">
            <v>280</v>
          </cell>
          <cell r="H1477">
            <v>10</v>
          </cell>
          <cell r="I1477">
            <v>5</v>
          </cell>
          <cell r="J1477">
            <v>0</v>
          </cell>
          <cell r="K1477">
            <v>0</v>
          </cell>
          <cell r="L1477">
            <v>0.06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 t="e">
            <v>#DIV/0!</v>
          </cell>
        </row>
        <row r="1478">
          <cell r="A1478" t="str">
            <v>Y012-068</v>
          </cell>
          <cell r="B1478" t="str">
            <v>LCT012-357</v>
          </cell>
          <cell r="C1478" t="str">
            <v>Y012</v>
          </cell>
          <cell r="D1478" t="str">
            <v>1997-11-1化妆镜</v>
          </cell>
          <cell r="E1478" t="str">
            <v>中饰条 右</v>
          </cell>
          <cell r="F1478" t="str">
            <v>280*10*5</v>
          </cell>
          <cell r="G1478">
            <v>280</v>
          </cell>
          <cell r="H1478">
            <v>10</v>
          </cell>
          <cell r="I1478">
            <v>5</v>
          </cell>
          <cell r="J1478">
            <v>0</v>
          </cell>
          <cell r="K1478">
            <v>0</v>
          </cell>
          <cell r="L1478">
            <v>0.06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 t="e">
            <v>#DIV/0!</v>
          </cell>
        </row>
        <row r="1479">
          <cell r="A1479" t="str">
            <v>Y012-069</v>
          </cell>
          <cell r="B1479" t="str">
            <v>LCT012-312</v>
          </cell>
          <cell r="C1479" t="str">
            <v>Y012</v>
          </cell>
          <cell r="D1479" t="str">
            <v>8470-432</v>
          </cell>
          <cell r="E1479" t="str">
            <v>镜框饰花</v>
          </cell>
          <cell r="F1479" t="str">
            <v>97*97*15</v>
          </cell>
          <cell r="G1479">
            <v>97</v>
          </cell>
          <cell r="H1479">
            <v>97</v>
          </cell>
          <cell r="I1479">
            <v>15</v>
          </cell>
          <cell r="J1479">
            <v>60</v>
          </cell>
          <cell r="K1479">
            <v>0</v>
          </cell>
          <cell r="L1479">
            <v>0.51</v>
          </cell>
          <cell r="M1479">
            <v>0</v>
          </cell>
          <cell r="N1479">
            <v>0</v>
          </cell>
          <cell r="O1479" t="str">
            <v>T</v>
          </cell>
          <cell r="P1479" t="str">
            <v>1010</v>
          </cell>
          <cell r="Q1479" t="str">
            <v>1010</v>
          </cell>
          <cell r="R1479">
            <v>8.5</v>
          </cell>
        </row>
        <row r="1480">
          <cell r="A1480" t="str">
            <v>Y012-070</v>
          </cell>
          <cell r="B1480" t="str">
            <v>LCT012-313</v>
          </cell>
          <cell r="C1480" t="str">
            <v>Y012</v>
          </cell>
          <cell r="D1480" t="str">
            <v>8470-445</v>
          </cell>
          <cell r="E1480" t="str">
            <v>衣柜门饰框</v>
          </cell>
          <cell r="F1480" t="str">
            <v>760*400*12</v>
          </cell>
          <cell r="G1480">
            <v>760</v>
          </cell>
          <cell r="H1480">
            <v>400</v>
          </cell>
          <cell r="I1480">
            <v>12</v>
          </cell>
          <cell r="J1480">
            <v>140</v>
          </cell>
          <cell r="K1480">
            <v>0</v>
          </cell>
          <cell r="L1480">
            <v>2.02</v>
          </cell>
          <cell r="M1480">
            <v>0</v>
          </cell>
          <cell r="N1480">
            <v>0</v>
          </cell>
          <cell r="O1480" t="str">
            <v>T</v>
          </cell>
          <cell r="P1480" t="str">
            <v>1010</v>
          </cell>
          <cell r="Q1480" t="str">
            <v>1010</v>
          </cell>
          <cell r="R1480">
            <v>14.428571428571427</v>
          </cell>
        </row>
        <row r="1481">
          <cell r="A1481" t="str">
            <v>Y012-071</v>
          </cell>
          <cell r="B1481" t="str">
            <v>LCT012-328</v>
          </cell>
          <cell r="C1481" t="str">
            <v>Y012</v>
          </cell>
          <cell r="D1481" t="str">
            <v>8470-414</v>
          </cell>
          <cell r="E1481" t="str">
            <v>poly抽饰框</v>
          </cell>
          <cell r="F1481" t="str">
            <v>497*92*12</v>
          </cell>
          <cell r="G1481">
            <v>497</v>
          </cell>
          <cell r="H1481">
            <v>92</v>
          </cell>
          <cell r="I1481">
            <v>12</v>
          </cell>
          <cell r="J1481">
            <v>295</v>
          </cell>
          <cell r="K1481">
            <v>0</v>
          </cell>
          <cell r="L1481">
            <v>0.83</v>
          </cell>
          <cell r="M1481">
            <v>0</v>
          </cell>
          <cell r="N1481">
            <v>0</v>
          </cell>
          <cell r="O1481" t="str">
            <v>T</v>
          </cell>
          <cell r="P1481" t="str">
            <v>1010</v>
          </cell>
          <cell r="Q1481" t="str">
            <v>1010</v>
          </cell>
          <cell r="R1481">
            <v>2.8135593220338984</v>
          </cell>
        </row>
        <row r="1482">
          <cell r="A1482" t="str">
            <v>Y012-072</v>
          </cell>
          <cell r="B1482" t="str">
            <v>LCT012-340</v>
          </cell>
          <cell r="C1482" t="str">
            <v>Y012</v>
          </cell>
          <cell r="D1482" t="str">
            <v>1997-03床头柜</v>
          </cell>
          <cell r="E1482" t="str">
            <v>面板饰花</v>
          </cell>
          <cell r="F1482" t="str">
            <v>455*10*3</v>
          </cell>
          <cell r="G1482">
            <v>455</v>
          </cell>
          <cell r="H1482">
            <v>10</v>
          </cell>
          <cell r="I1482">
            <v>3</v>
          </cell>
          <cell r="J1482">
            <v>28</v>
          </cell>
          <cell r="K1482">
            <v>0</v>
          </cell>
          <cell r="L1482">
            <v>0.112</v>
          </cell>
          <cell r="M1482">
            <v>0</v>
          </cell>
          <cell r="N1482">
            <v>0</v>
          </cell>
          <cell r="O1482" t="str">
            <v>T</v>
          </cell>
          <cell r="P1482" t="str">
            <v>1010</v>
          </cell>
          <cell r="Q1482" t="str">
            <v>1010</v>
          </cell>
          <cell r="R1482">
            <v>4</v>
          </cell>
        </row>
        <row r="1483">
          <cell r="A1483" t="str">
            <v>Y012-073</v>
          </cell>
          <cell r="B1483">
            <v>0</v>
          </cell>
          <cell r="C1483" t="str">
            <v>Y012</v>
          </cell>
          <cell r="D1483" t="str">
            <v>poly 饰条</v>
          </cell>
          <cell r="E1483" t="str">
            <v>大床头 B1492</v>
          </cell>
          <cell r="F1483" t="str">
            <v>1850*150*5</v>
          </cell>
          <cell r="G1483">
            <v>1850</v>
          </cell>
          <cell r="H1483">
            <v>150</v>
          </cell>
          <cell r="I1483">
            <v>5</v>
          </cell>
          <cell r="J1483">
            <v>1030</v>
          </cell>
          <cell r="K1483">
            <v>0</v>
          </cell>
          <cell r="L1483">
            <v>2.1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2.0388349514563107</v>
          </cell>
          <cell r="S1483">
            <v>0</v>
          </cell>
        </row>
        <row r="1484">
          <cell r="A1484" t="str">
            <v>Y012-074</v>
          </cell>
          <cell r="B1484">
            <v>0</v>
          </cell>
          <cell r="C1484" t="str">
            <v>Y012</v>
          </cell>
          <cell r="D1484" t="str">
            <v>poly 饰条</v>
          </cell>
          <cell r="E1484" t="str">
            <v>小床头 B1492</v>
          </cell>
          <cell r="F1484" t="str">
            <v>1442*150*5</v>
          </cell>
          <cell r="G1484">
            <v>1442</v>
          </cell>
          <cell r="H1484">
            <v>150</v>
          </cell>
          <cell r="I1484">
            <v>5</v>
          </cell>
          <cell r="J1484">
            <v>780</v>
          </cell>
          <cell r="K1484">
            <v>0</v>
          </cell>
          <cell r="L1484">
            <v>1.6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2.0512820512820515</v>
          </cell>
          <cell r="S1484">
            <v>0</v>
          </cell>
        </row>
        <row r="1485">
          <cell r="A1485" t="str">
            <v>Y012-075</v>
          </cell>
          <cell r="B1485">
            <v>0</v>
          </cell>
          <cell r="C1485" t="str">
            <v>Y012</v>
          </cell>
          <cell r="D1485" t="str">
            <v>poly 饰条</v>
          </cell>
          <cell r="E1485" t="str">
            <v xml:space="preserve"> B1492</v>
          </cell>
          <cell r="F1485" t="str">
            <v>953*122*5</v>
          </cell>
          <cell r="G1485">
            <v>953</v>
          </cell>
          <cell r="H1485">
            <v>122</v>
          </cell>
          <cell r="I1485">
            <v>5</v>
          </cell>
          <cell r="J1485">
            <v>420</v>
          </cell>
          <cell r="K1485">
            <v>0</v>
          </cell>
          <cell r="L1485">
            <v>1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2.3809523809523809</v>
          </cell>
          <cell r="S1485">
            <v>0</v>
          </cell>
        </row>
        <row r="1486">
          <cell r="A1486" t="str">
            <v>Y012-076</v>
          </cell>
          <cell r="B1486">
            <v>0</v>
          </cell>
          <cell r="C1486" t="str">
            <v>Y012</v>
          </cell>
          <cell r="D1486">
            <v>1004114</v>
          </cell>
          <cell r="E1486" t="str">
            <v>poly 饰条</v>
          </cell>
          <cell r="F1486" t="str">
            <v>480*24*9</v>
          </cell>
          <cell r="G1486">
            <v>480</v>
          </cell>
          <cell r="H1486">
            <v>24</v>
          </cell>
          <cell r="I1486">
            <v>9</v>
          </cell>
          <cell r="J1486">
            <v>130</v>
          </cell>
          <cell r="K1486">
            <v>0</v>
          </cell>
          <cell r="L1486">
            <v>0.3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2.3076923076923075</v>
          </cell>
          <cell r="S1486">
            <v>0</v>
          </cell>
        </row>
        <row r="1487">
          <cell r="A1487" t="str">
            <v>Y012-077</v>
          </cell>
          <cell r="B1487">
            <v>0</v>
          </cell>
          <cell r="C1487" t="str">
            <v>Y012</v>
          </cell>
          <cell r="D1487">
            <v>1004114</v>
          </cell>
          <cell r="E1487" t="str">
            <v>poly 饰条</v>
          </cell>
          <cell r="F1487" t="str">
            <v>310*24*9</v>
          </cell>
          <cell r="G1487">
            <v>310</v>
          </cell>
          <cell r="H1487">
            <v>24</v>
          </cell>
          <cell r="I1487">
            <v>9</v>
          </cell>
          <cell r="J1487">
            <v>85</v>
          </cell>
          <cell r="K1487">
            <v>0</v>
          </cell>
          <cell r="L1487">
            <v>0.2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2.3529411764705883</v>
          </cell>
          <cell r="S1487">
            <v>0</v>
          </cell>
        </row>
        <row r="1488">
          <cell r="A1488" t="str">
            <v>Y012-078</v>
          </cell>
          <cell r="B1488">
            <v>0</v>
          </cell>
          <cell r="C1488" t="str">
            <v>Y012</v>
          </cell>
          <cell r="D1488" t="str">
            <v>B1492A</v>
          </cell>
          <cell r="E1488" t="str">
            <v>poly 饰条</v>
          </cell>
          <cell r="F1488" t="str">
            <v>92*24*9</v>
          </cell>
          <cell r="G1488">
            <v>92</v>
          </cell>
          <cell r="H1488">
            <v>24</v>
          </cell>
          <cell r="I1488">
            <v>9</v>
          </cell>
          <cell r="J1488">
            <v>35</v>
          </cell>
          <cell r="K1488">
            <v>0</v>
          </cell>
          <cell r="L1488">
            <v>9.5000000000000001E-2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2.714285714285714</v>
          </cell>
          <cell r="S1488">
            <v>0</v>
          </cell>
        </row>
        <row r="1489">
          <cell r="A1489" t="str">
            <v>Y012-079</v>
          </cell>
          <cell r="B1489">
            <v>0</v>
          </cell>
          <cell r="C1489" t="str">
            <v>Y012</v>
          </cell>
          <cell r="D1489" t="str">
            <v>B1492B</v>
          </cell>
          <cell r="E1489" t="str">
            <v>poly 饰条</v>
          </cell>
          <cell r="F1489" t="str">
            <v>115*24*9</v>
          </cell>
          <cell r="G1489">
            <v>115</v>
          </cell>
          <cell r="H1489">
            <v>24</v>
          </cell>
          <cell r="I1489">
            <v>9</v>
          </cell>
          <cell r="J1489">
            <v>43</v>
          </cell>
          <cell r="K1489">
            <v>0</v>
          </cell>
          <cell r="L1489">
            <v>0.12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2.7906976744186047</v>
          </cell>
          <cell r="S1489">
            <v>0</v>
          </cell>
        </row>
        <row r="1490">
          <cell r="A1490" t="str">
            <v>Y012-080</v>
          </cell>
          <cell r="B1490" t="str">
            <v>有弧形</v>
          </cell>
          <cell r="C1490" t="str">
            <v>Y012</v>
          </cell>
          <cell r="D1490">
            <v>0</v>
          </cell>
          <cell r="E1490" t="str">
            <v>poly 饰条</v>
          </cell>
          <cell r="F1490" t="str">
            <v>1300*14*12</v>
          </cell>
          <cell r="G1490">
            <v>1300</v>
          </cell>
          <cell r="H1490">
            <v>205</v>
          </cell>
          <cell r="I1490" t="str">
            <v>14*12</v>
          </cell>
          <cell r="J1490">
            <v>0</v>
          </cell>
          <cell r="K1490">
            <v>0</v>
          </cell>
          <cell r="L1490">
            <v>0.84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</row>
        <row r="1491">
          <cell r="A1491" t="str">
            <v>Y012-081</v>
          </cell>
          <cell r="B1491" t="str">
            <v>有弧形</v>
          </cell>
          <cell r="C1491" t="str">
            <v>Y012</v>
          </cell>
          <cell r="D1491">
            <v>0</v>
          </cell>
          <cell r="E1491" t="str">
            <v>poly 饰条</v>
          </cell>
          <cell r="F1491" t="str">
            <v>1110*10*10</v>
          </cell>
          <cell r="G1491">
            <v>1110</v>
          </cell>
          <cell r="H1491">
            <v>10</v>
          </cell>
          <cell r="I1491">
            <v>10</v>
          </cell>
          <cell r="J1491">
            <v>0</v>
          </cell>
          <cell r="K1491">
            <v>0</v>
          </cell>
          <cell r="L1491">
            <v>0.48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</row>
        <row r="1492">
          <cell r="A1492" t="str">
            <v>Y012-082</v>
          </cell>
          <cell r="B1492" t="str">
            <v>有弧形</v>
          </cell>
          <cell r="C1492" t="str">
            <v>Y012</v>
          </cell>
          <cell r="D1492">
            <v>0</v>
          </cell>
          <cell r="E1492" t="str">
            <v>poly 饰条</v>
          </cell>
          <cell r="F1492" t="str">
            <v>110*10*10</v>
          </cell>
          <cell r="G1492">
            <v>110</v>
          </cell>
          <cell r="H1492">
            <v>10</v>
          </cell>
          <cell r="I1492">
            <v>10</v>
          </cell>
          <cell r="J1492">
            <v>0</v>
          </cell>
          <cell r="K1492">
            <v>0</v>
          </cell>
          <cell r="L1492">
            <v>4.8000000000000001E-2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</row>
        <row r="1493">
          <cell r="A1493" t="str">
            <v>Y012-083</v>
          </cell>
          <cell r="B1493" t="str">
            <v>有弧形</v>
          </cell>
          <cell r="C1493" t="str">
            <v>Y012</v>
          </cell>
          <cell r="D1493">
            <v>0</v>
          </cell>
          <cell r="E1493" t="str">
            <v>poly 饰条</v>
          </cell>
          <cell r="F1493" t="str">
            <v>1770*14*12</v>
          </cell>
          <cell r="G1493">
            <v>1770</v>
          </cell>
          <cell r="H1493">
            <v>280</v>
          </cell>
          <cell r="I1493" t="str">
            <v>14*12</v>
          </cell>
          <cell r="J1493">
            <v>0</v>
          </cell>
          <cell r="K1493">
            <v>0</v>
          </cell>
          <cell r="L1493">
            <v>1.1299999999999999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</row>
        <row r="1494">
          <cell r="A1494" t="str">
            <v>Y012-084</v>
          </cell>
          <cell r="B1494" t="str">
            <v>有弧形</v>
          </cell>
          <cell r="C1494" t="str">
            <v>Y012</v>
          </cell>
          <cell r="D1494">
            <v>0</v>
          </cell>
          <cell r="E1494" t="str">
            <v>poly 饰条</v>
          </cell>
          <cell r="F1494" t="str">
            <v>1620*10*10</v>
          </cell>
          <cell r="G1494">
            <v>1620</v>
          </cell>
          <cell r="H1494">
            <v>10</v>
          </cell>
          <cell r="I1494">
            <v>10</v>
          </cell>
          <cell r="J1494">
            <v>0</v>
          </cell>
          <cell r="K1494">
            <v>0</v>
          </cell>
          <cell r="L1494">
            <v>0.71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</row>
        <row r="1495">
          <cell r="A1495" t="str">
            <v>Y012-085</v>
          </cell>
          <cell r="B1495" t="str">
            <v>有弧形</v>
          </cell>
          <cell r="C1495" t="str">
            <v>Y012</v>
          </cell>
          <cell r="D1495">
            <v>0</v>
          </cell>
          <cell r="E1495" t="str">
            <v>poly 饰条</v>
          </cell>
          <cell r="F1495" t="str">
            <v>110*10*10</v>
          </cell>
          <cell r="G1495">
            <v>110</v>
          </cell>
          <cell r="H1495">
            <v>10</v>
          </cell>
          <cell r="I1495">
            <v>10</v>
          </cell>
          <cell r="J1495">
            <v>0</v>
          </cell>
          <cell r="K1495">
            <v>0</v>
          </cell>
          <cell r="L1495">
            <v>4.8000000000000001E-2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</row>
        <row r="1496">
          <cell r="A1496" t="str">
            <v>Y012-086</v>
          </cell>
          <cell r="B1496" t="str">
            <v>有弧形</v>
          </cell>
          <cell r="C1496" t="str">
            <v>Y012</v>
          </cell>
          <cell r="D1496">
            <v>0</v>
          </cell>
          <cell r="E1496" t="str">
            <v>poly 饰条</v>
          </cell>
          <cell r="F1496" t="str">
            <v>1010*14*10</v>
          </cell>
          <cell r="G1496">
            <v>1010</v>
          </cell>
          <cell r="H1496">
            <v>14</v>
          </cell>
          <cell r="I1496">
            <v>10</v>
          </cell>
          <cell r="J1496">
            <v>0</v>
          </cell>
          <cell r="K1496">
            <v>0</v>
          </cell>
          <cell r="L1496">
            <v>0.43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</row>
        <row r="1497">
          <cell r="A1497" t="str">
            <v>Y012-087</v>
          </cell>
          <cell r="B1497" t="str">
            <v>有弧形</v>
          </cell>
          <cell r="C1497" t="str">
            <v>Y012</v>
          </cell>
          <cell r="D1497">
            <v>0</v>
          </cell>
          <cell r="E1497" t="str">
            <v>蘑菇頭</v>
          </cell>
          <cell r="F1497" t="str">
            <v>56.5*56.5*12</v>
          </cell>
          <cell r="G1497">
            <v>56.5</v>
          </cell>
          <cell r="H1497">
            <v>56.5</v>
          </cell>
          <cell r="I1497">
            <v>12</v>
          </cell>
          <cell r="J1497">
            <v>0</v>
          </cell>
          <cell r="K1497">
            <v>0</v>
          </cell>
          <cell r="L1497">
            <v>0.12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</row>
        <row r="1498">
          <cell r="A1498" t="str">
            <v>Y012-088</v>
          </cell>
          <cell r="B1498" t="str">
            <v>110*10*10改木模</v>
          </cell>
          <cell r="C1498" t="str">
            <v>Y012</v>
          </cell>
          <cell r="D1498">
            <v>0</v>
          </cell>
          <cell r="E1498" t="str">
            <v>poly 饰条左 Trái</v>
          </cell>
          <cell r="F1498" t="str">
            <v>92*9*6</v>
          </cell>
          <cell r="G1498">
            <v>92</v>
          </cell>
          <cell r="H1498">
            <v>9</v>
          </cell>
          <cell r="I1498">
            <v>6</v>
          </cell>
          <cell r="J1498">
            <v>0</v>
          </cell>
          <cell r="K1498">
            <v>0</v>
          </cell>
          <cell r="L1498">
            <v>0.04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</row>
        <row r="1499">
          <cell r="A1499" t="str">
            <v>Y012-089</v>
          </cell>
          <cell r="B1499" t="str">
            <v>110*10*10改木模</v>
          </cell>
          <cell r="C1499" t="str">
            <v>Y012</v>
          </cell>
          <cell r="D1499">
            <v>0</v>
          </cell>
          <cell r="E1499" t="str">
            <v>poly 饰条友 Phải</v>
          </cell>
          <cell r="F1499" t="str">
            <v>92*9*6</v>
          </cell>
          <cell r="G1499">
            <v>92</v>
          </cell>
          <cell r="H1499">
            <v>9</v>
          </cell>
          <cell r="I1499">
            <v>6</v>
          </cell>
          <cell r="J1499">
            <v>0</v>
          </cell>
          <cell r="K1499">
            <v>0</v>
          </cell>
          <cell r="L1499">
            <v>0.04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</row>
        <row r="1500">
          <cell r="A1500" t="str">
            <v>Y012-090</v>
          </cell>
          <cell r="B1500">
            <v>0</v>
          </cell>
          <cell r="C1500" t="str">
            <v>Y012</v>
          </cell>
          <cell r="D1500" t="str">
            <v>113-1409/1805/1013-711</v>
          </cell>
          <cell r="E1500" t="str">
            <v>POLY饰框</v>
          </cell>
          <cell r="F1500" t="str">
            <v>259*102*14</v>
          </cell>
          <cell r="G1500">
            <v>259</v>
          </cell>
          <cell r="H1500">
            <v>102</v>
          </cell>
          <cell r="I1500">
            <v>14</v>
          </cell>
          <cell r="J1500">
            <v>295</v>
          </cell>
          <cell r="K1500">
            <v>0</v>
          </cell>
          <cell r="L1500">
            <v>0.92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 t="str">
            <v>1010</v>
          </cell>
          <cell r="R1500">
            <v>3.1186440677966103</v>
          </cell>
          <cell r="S1500">
            <v>0</v>
          </cell>
        </row>
        <row r="1501">
          <cell r="A1501" t="str">
            <v>Y012-091</v>
          </cell>
          <cell r="B1501">
            <v>0</v>
          </cell>
          <cell r="C1501" t="str">
            <v>Y012</v>
          </cell>
          <cell r="D1501" t="str">
            <v>113-1409/1805/1013-742</v>
          </cell>
          <cell r="E1501" t="str">
            <v>POLY饰框</v>
          </cell>
          <cell r="F1501" t="str">
            <v>601*240*14</v>
          </cell>
          <cell r="G1501">
            <v>601</v>
          </cell>
          <cell r="H1501">
            <v>240</v>
          </cell>
          <cell r="I1501">
            <v>14</v>
          </cell>
          <cell r="J1501">
            <v>743</v>
          </cell>
          <cell r="K1501">
            <v>0</v>
          </cell>
          <cell r="L1501">
            <v>2.13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 t="str">
            <v>1010</v>
          </cell>
          <cell r="R1501">
            <v>2.8667563930013458</v>
          </cell>
          <cell r="S1501">
            <v>0</v>
          </cell>
        </row>
        <row r="1502">
          <cell r="A1502" t="str">
            <v>Y012-092</v>
          </cell>
          <cell r="B1502">
            <v>0</v>
          </cell>
          <cell r="C1502" t="str">
            <v>Y012</v>
          </cell>
          <cell r="D1502" t="str">
            <v>113-1409/1805/1013-333A/444A</v>
          </cell>
          <cell r="E1502" t="str">
            <v>POLY饰框</v>
          </cell>
          <cell r="F1502" t="str">
            <v>37*26*11</v>
          </cell>
          <cell r="G1502">
            <v>37</v>
          </cell>
          <cell r="H1502">
            <v>26</v>
          </cell>
          <cell r="I1502">
            <v>11</v>
          </cell>
          <cell r="J1502">
            <v>15</v>
          </cell>
          <cell r="K1502">
            <v>0</v>
          </cell>
          <cell r="L1502">
            <v>0.08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 t="str">
            <v>1010</v>
          </cell>
          <cell r="R1502">
            <v>5.3333333333333339</v>
          </cell>
          <cell r="S1502">
            <v>0</v>
          </cell>
        </row>
        <row r="1503">
          <cell r="A1503" t="str">
            <v>Y012-093</v>
          </cell>
          <cell r="B1503">
            <v>0</v>
          </cell>
          <cell r="C1503" t="str">
            <v>Y012</v>
          </cell>
          <cell r="D1503" t="str">
            <v>113-1409/1805/1013-102</v>
          </cell>
          <cell r="E1503" t="str">
            <v>POLY饰框</v>
          </cell>
          <cell r="F1503" t="str">
            <v>440*195*14</v>
          </cell>
          <cell r="G1503">
            <v>440</v>
          </cell>
          <cell r="H1503">
            <v>195</v>
          </cell>
          <cell r="I1503">
            <v>14</v>
          </cell>
          <cell r="J1503">
            <v>539</v>
          </cell>
          <cell r="K1503">
            <v>0</v>
          </cell>
          <cell r="L1503">
            <v>1.78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 t="str">
            <v>1010</v>
          </cell>
          <cell r="R1503">
            <v>3.3024118738404451</v>
          </cell>
          <cell r="S1503">
            <v>0</v>
          </cell>
        </row>
        <row r="1504">
          <cell r="A1504" t="str">
            <v>Y012-094</v>
          </cell>
          <cell r="B1504">
            <v>0</v>
          </cell>
          <cell r="C1504" t="str">
            <v>Y012</v>
          </cell>
          <cell r="D1504" t="str">
            <v>113-1409/1805/1013-102</v>
          </cell>
          <cell r="E1504" t="str">
            <v>POLY饰框</v>
          </cell>
          <cell r="F1504" t="str">
            <v>659*241*14</v>
          </cell>
          <cell r="G1504">
            <v>659</v>
          </cell>
          <cell r="H1504">
            <v>241</v>
          </cell>
          <cell r="I1504">
            <v>14</v>
          </cell>
          <cell r="J1504">
            <v>813</v>
          </cell>
          <cell r="K1504">
            <v>0</v>
          </cell>
          <cell r="L1504">
            <v>2.2799999999999998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 t="str">
            <v>1010</v>
          </cell>
          <cell r="R1504">
            <v>2.8044280442804426</v>
          </cell>
          <cell r="S1504">
            <v>0</v>
          </cell>
        </row>
        <row r="1505">
          <cell r="A1505" t="str">
            <v>Y012-095</v>
          </cell>
          <cell r="B1505">
            <v>0</v>
          </cell>
          <cell r="C1505" t="str">
            <v>Y012</v>
          </cell>
          <cell r="D1505" t="str">
            <v>113-1409/1805/1013-405</v>
          </cell>
          <cell r="E1505" t="str">
            <v>POLY饰框</v>
          </cell>
          <cell r="F1505" t="str">
            <v>409*208*14</v>
          </cell>
          <cell r="G1505">
            <v>374</v>
          </cell>
          <cell r="H1505">
            <v>208</v>
          </cell>
          <cell r="I1505">
            <v>14</v>
          </cell>
          <cell r="J1505">
            <v>519</v>
          </cell>
          <cell r="K1505">
            <v>0</v>
          </cell>
          <cell r="L1505">
            <v>1.57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 t="str">
            <v>1010</v>
          </cell>
          <cell r="R1505">
            <v>3.0250481695568401</v>
          </cell>
          <cell r="S1505">
            <v>0</v>
          </cell>
        </row>
        <row r="1506">
          <cell r="A1506" t="str">
            <v>Y012-096</v>
          </cell>
          <cell r="B1506">
            <v>0</v>
          </cell>
          <cell r="C1506" t="str">
            <v>Y012</v>
          </cell>
          <cell r="D1506" t="str">
            <v>113-1409/1805/1013-405</v>
          </cell>
          <cell r="E1506" t="str">
            <v>POLY饰框</v>
          </cell>
          <cell r="F1506" t="str">
            <v>753*223*14</v>
          </cell>
          <cell r="G1506">
            <v>753</v>
          </cell>
          <cell r="H1506">
            <v>223</v>
          </cell>
          <cell r="I1506">
            <v>14</v>
          </cell>
          <cell r="J1506">
            <v>894</v>
          </cell>
          <cell r="K1506">
            <v>0</v>
          </cell>
          <cell r="L1506">
            <v>2.4700000000000002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 t="str">
            <v>1010</v>
          </cell>
          <cell r="R1506">
            <v>2.7628635346756152</v>
          </cell>
          <cell r="S1506">
            <v>0</v>
          </cell>
        </row>
        <row r="1507">
          <cell r="A1507" t="str">
            <v>Y012-097</v>
          </cell>
          <cell r="B1507">
            <v>0</v>
          </cell>
          <cell r="C1507" t="str">
            <v>Y012</v>
          </cell>
          <cell r="D1507" t="str">
            <v>113-1409/1805/1013-413</v>
          </cell>
          <cell r="E1507" t="str">
            <v>POLY饰框</v>
          </cell>
          <cell r="F1507" t="str">
            <v>753*239*14</v>
          </cell>
          <cell r="G1507">
            <v>753</v>
          </cell>
          <cell r="H1507">
            <v>239</v>
          </cell>
          <cell r="I1507">
            <v>14</v>
          </cell>
          <cell r="J1507">
            <v>863</v>
          </cell>
          <cell r="K1507">
            <v>0</v>
          </cell>
          <cell r="L1507">
            <v>2.5099999999999998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 t="str">
            <v>1010</v>
          </cell>
          <cell r="R1507">
            <v>2.9084588644264193</v>
          </cell>
          <cell r="S1507">
            <v>0</v>
          </cell>
        </row>
        <row r="1508">
          <cell r="A1508" t="str">
            <v>Y012-098</v>
          </cell>
          <cell r="B1508">
            <v>0</v>
          </cell>
          <cell r="C1508" t="str">
            <v>Y012</v>
          </cell>
          <cell r="D1508" t="str">
            <v>113-1409/1805/1013-413</v>
          </cell>
          <cell r="E1508" t="str">
            <v>POLY饰框</v>
          </cell>
          <cell r="F1508" t="str">
            <v>753*186*14</v>
          </cell>
          <cell r="G1508">
            <v>753</v>
          </cell>
          <cell r="H1508">
            <v>186</v>
          </cell>
          <cell r="I1508">
            <v>14</v>
          </cell>
          <cell r="J1508">
            <v>755</v>
          </cell>
          <cell r="K1508">
            <v>0</v>
          </cell>
          <cell r="L1508">
            <v>2.38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 t="str">
            <v>1010</v>
          </cell>
          <cell r="R1508">
            <v>3.1523178807947017</v>
          </cell>
          <cell r="S1508">
            <v>0</v>
          </cell>
        </row>
        <row r="1509">
          <cell r="A1509" t="str">
            <v>Y012-099</v>
          </cell>
          <cell r="B1509">
            <v>0</v>
          </cell>
          <cell r="C1509" t="str">
            <v>Y012</v>
          </cell>
          <cell r="D1509" t="str">
            <v>113-1409/1805/1013-413</v>
          </cell>
          <cell r="E1509" t="str">
            <v>POLY饰框</v>
          </cell>
          <cell r="F1509" t="str">
            <v>375*186*14</v>
          </cell>
          <cell r="G1509">
            <v>375</v>
          </cell>
          <cell r="H1509">
            <v>186</v>
          </cell>
          <cell r="I1509">
            <v>14</v>
          </cell>
          <cell r="J1509">
            <v>485</v>
          </cell>
          <cell r="K1509">
            <v>0</v>
          </cell>
          <cell r="L1509">
            <v>1.43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 t="str">
            <v>1010</v>
          </cell>
          <cell r="R1509">
            <v>2.9484536082474224</v>
          </cell>
          <cell r="S1509">
            <v>0</v>
          </cell>
        </row>
        <row r="1510">
          <cell r="A1510" t="str">
            <v>Y012-100</v>
          </cell>
          <cell r="B1510">
            <v>0</v>
          </cell>
          <cell r="C1510" t="str">
            <v>Y012</v>
          </cell>
          <cell r="D1510" t="str">
            <v>113-1409/1805/1013-602</v>
          </cell>
          <cell r="E1510" t="str">
            <v>POLY饰框</v>
          </cell>
          <cell r="F1510" t="str">
            <v>470*178*14</v>
          </cell>
          <cell r="G1510">
            <v>470</v>
          </cell>
          <cell r="H1510">
            <v>178</v>
          </cell>
          <cell r="I1510">
            <v>14</v>
          </cell>
          <cell r="J1510">
            <v>573</v>
          </cell>
          <cell r="K1510">
            <v>0</v>
          </cell>
          <cell r="L1510">
            <v>1.65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 t="str">
            <v>1010</v>
          </cell>
          <cell r="R1510">
            <v>2.8795811518324608</v>
          </cell>
          <cell r="S1510">
            <v>0</v>
          </cell>
        </row>
        <row r="1511">
          <cell r="A1511" t="str">
            <v>Y012-101</v>
          </cell>
          <cell r="B1511">
            <v>0</v>
          </cell>
          <cell r="C1511" t="str">
            <v>Y012</v>
          </cell>
          <cell r="D1511" t="str">
            <v>113-1409/1805/1013-701</v>
          </cell>
          <cell r="E1511" t="str">
            <v>POLY饰框</v>
          </cell>
          <cell r="F1511" t="str">
            <v>350*183*14</v>
          </cell>
          <cell r="G1511">
            <v>350</v>
          </cell>
          <cell r="H1511">
            <v>183</v>
          </cell>
          <cell r="I1511">
            <v>14</v>
          </cell>
          <cell r="J1511">
            <v>467</v>
          </cell>
          <cell r="K1511">
            <v>0</v>
          </cell>
          <cell r="L1511">
            <v>1.36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 t="str">
            <v>1010</v>
          </cell>
          <cell r="R1511">
            <v>2.9122055674518204</v>
          </cell>
          <cell r="S1511">
            <v>0</v>
          </cell>
        </row>
        <row r="1512">
          <cell r="A1512" t="str">
            <v>Y012-102</v>
          </cell>
          <cell r="B1512">
            <v>0</v>
          </cell>
          <cell r="C1512" t="str">
            <v>Y012</v>
          </cell>
          <cell r="D1512" t="str">
            <v>113-1409/1805/1013-701</v>
          </cell>
          <cell r="E1512" t="str">
            <v>POLY饰框</v>
          </cell>
          <cell r="F1512" t="str">
            <v>702*87*14</v>
          </cell>
          <cell r="G1512">
            <v>702</v>
          </cell>
          <cell r="H1512">
            <v>87</v>
          </cell>
          <cell r="I1512">
            <v>14</v>
          </cell>
          <cell r="J1512">
            <v>708</v>
          </cell>
          <cell r="K1512">
            <v>0</v>
          </cell>
          <cell r="L1512">
            <v>1.96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 t="str">
            <v>1010</v>
          </cell>
          <cell r="R1512">
            <v>2.768361581920904</v>
          </cell>
          <cell r="S1512">
            <v>0</v>
          </cell>
        </row>
        <row r="1513">
          <cell r="A1513" t="str">
            <v>Y012-103</v>
          </cell>
          <cell r="B1513">
            <v>0</v>
          </cell>
          <cell r="C1513" t="str">
            <v>Y012</v>
          </cell>
          <cell r="D1513">
            <v>0</v>
          </cell>
          <cell r="E1513" t="str">
            <v>poly 饰条</v>
          </cell>
          <cell r="F1513" t="str">
            <v>1490*9*5</v>
          </cell>
          <cell r="G1513">
            <v>1510</v>
          </cell>
          <cell r="H1513">
            <v>9</v>
          </cell>
          <cell r="I1513">
            <v>6</v>
          </cell>
          <cell r="J1513">
            <v>124</v>
          </cell>
          <cell r="K1513">
            <v>0</v>
          </cell>
          <cell r="L1513">
            <v>0.32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 t="str">
            <v>1010</v>
          </cell>
          <cell r="R1513">
            <v>2.5806451612903225</v>
          </cell>
          <cell r="S1513">
            <v>0</v>
          </cell>
        </row>
        <row r="1514">
          <cell r="A1514" t="str">
            <v>Y012-104</v>
          </cell>
          <cell r="B1514" t="str">
            <v>單價低+癈料上順同意</v>
          </cell>
          <cell r="C1514" t="str">
            <v>Y012</v>
          </cell>
          <cell r="D1514">
            <v>0</v>
          </cell>
          <cell r="E1514" t="str">
            <v>poly 饰条</v>
          </cell>
          <cell r="F1514" t="str">
            <v>330*113.5*7</v>
          </cell>
          <cell r="G1514">
            <v>330</v>
          </cell>
          <cell r="H1514">
            <v>113.5</v>
          </cell>
          <cell r="I1514">
            <v>7</v>
          </cell>
          <cell r="J1514">
            <v>380</v>
          </cell>
          <cell r="K1514">
            <v>0</v>
          </cell>
          <cell r="L1514">
            <v>1</v>
          </cell>
          <cell r="M1514">
            <v>0</v>
          </cell>
          <cell r="N1514">
            <v>50</v>
          </cell>
          <cell r="O1514">
            <v>0</v>
          </cell>
          <cell r="P1514">
            <v>0</v>
          </cell>
          <cell r="Q1514" t="str">
            <v>1010</v>
          </cell>
          <cell r="R1514">
            <v>2.6315789473684212</v>
          </cell>
          <cell r="S1514">
            <v>0</v>
          </cell>
        </row>
        <row r="1515">
          <cell r="A1515" t="str">
            <v>Y012-105</v>
          </cell>
          <cell r="B1515" t="str">
            <v>單價低+癈料上順同意</v>
          </cell>
          <cell r="C1515" t="str">
            <v>Y012</v>
          </cell>
          <cell r="D1515">
            <v>0</v>
          </cell>
          <cell r="E1515" t="str">
            <v>poly 饰条</v>
          </cell>
          <cell r="F1515" t="str">
            <v>737*298*7</v>
          </cell>
          <cell r="G1515">
            <v>737</v>
          </cell>
          <cell r="H1515">
            <v>298</v>
          </cell>
          <cell r="I1515">
            <v>7</v>
          </cell>
          <cell r="J1515">
            <v>1820</v>
          </cell>
          <cell r="K1515">
            <v>0</v>
          </cell>
          <cell r="L1515">
            <v>6</v>
          </cell>
          <cell r="M1515">
            <v>0</v>
          </cell>
          <cell r="N1515">
            <v>300</v>
          </cell>
          <cell r="O1515">
            <v>0</v>
          </cell>
          <cell r="P1515">
            <v>0</v>
          </cell>
          <cell r="Q1515" t="str">
            <v>1010</v>
          </cell>
          <cell r="R1515">
            <v>3.2967032967032965</v>
          </cell>
          <cell r="S1515">
            <v>0</v>
          </cell>
        </row>
        <row r="1516">
          <cell r="A1516" t="str">
            <v>Y012-106</v>
          </cell>
          <cell r="B1516" t="str">
            <v>連成小山的</v>
          </cell>
          <cell r="C1516" t="str">
            <v>Y012</v>
          </cell>
          <cell r="D1516" t="str">
            <v>AN014-10B2</v>
          </cell>
          <cell r="E1516" t="str">
            <v>poly 饰条</v>
          </cell>
          <cell r="F1516" t="str">
            <v>1608*14*10</v>
          </cell>
          <cell r="G1516">
            <v>1630</v>
          </cell>
          <cell r="H1516">
            <v>14</v>
          </cell>
          <cell r="I1516">
            <v>10</v>
          </cell>
          <cell r="J1516">
            <v>361</v>
          </cell>
          <cell r="K1516">
            <v>350</v>
          </cell>
          <cell r="L1516">
            <v>0.89300000000000002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 t="str">
            <v>1010</v>
          </cell>
          <cell r="R1516">
            <v>2.4736842105263159</v>
          </cell>
          <cell r="S1516">
            <v>42781</v>
          </cell>
        </row>
        <row r="1517">
          <cell r="A1517" t="str">
            <v>Y012-107</v>
          </cell>
          <cell r="B1517" t="str">
            <v>連成小山的</v>
          </cell>
          <cell r="C1517" t="str">
            <v>Y012</v>
          </cell>
          <cell r="D1517" t="str">
            <v>AN014-11B2/12B2</v>
          </cell>
          <cell r="E1517" t="str">
            <v>poly 饰条</v>
          </cell>
          <cell r="F1517" t="str">
            <v>2008*14*10</v>
          </cell>
          <cell r="G1517">
            <v>2030</v>
          </cell>
          <cell r="H1517">
            <v>14</v>
          </cell>
          <cell r="I1517">
            <v>10</v>
          </cell>
          <cell r="J1517">
            <v>446</v>
          </cell>
          <cell r="K1517">
            <v>428</v>
          </cell>
          <cell r="L1517">
            <v>1.131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 t="str">
            <v>1010</v>
          </cell>
          <cell r="R1517">
            <v>2.5358744394618835</v>
          </cell>
          <cell r="S1517">
            <v>42781</v>
          </cell>
        </row>
        <row r="1518">
          <cell r="A1518" t="str">
            <v>Y012-108</v>
          </cell>
          <cell r="B1518" t="str">
            <v>連成小山的</v>
          </cell>
          <cell r="C1518" t="str">
            <v>Y012</v>
          </cell>
          <cell r="D1518" t="str">
            <v>AN014-02</v>
          </cell>
          <cell r="E1518" t="str">
            <v>poly 饰条</v>
          </cell>
          <cell r="F1518" t="str">
            <v>643*14*10</v>
          </cell>
          <cell r="G1518">
            <v>650</v>
          </cell>
          <cell r="H1518">
            <v>14</v>
          </cell>
          <cell r="I1518">
            <v>10</v>
          </cell>
          <cell r="J1518">
            <v>104</v>
          </cell>
          <cell r="K1518">
            <v>100</v>
          </cell>
          <cell r="L1518">
            <v>0.35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 t="str">
            <v>1010</v>
          </cell>
          <cell r="R1518">
            <v>3.3653846153846154</v>
          </cell>
          <cell r="S1518">
            <v>42781</v>
          </cell>
        </row>
        <row r="1519">
          <cell r="A1519" t="str">
            <v>Y012-109</v>
          </cell>
          <cell r="B1519" t="str">
            <v>連成小山的</v>
          </cell>
          <cell r="C1519" t="str">
            <v>Y012</v>
          </cell>
          <cell r="D1519" t="str">
            <v>AN014-03</v>
          </cell>
          <cell r="E1519" t="str">
            <v>poly 饰条</v>
          </cell>
          <cell r="F1519" t="str">
            <v>1683*14*10</v>
          </cell>
          <cell r="G1519">
            <v>1700</v>
          </cell>
          <cell r="H1519">
            <v>14</v>
          </cell>
          <cell r="I1519">
            <v>10</v>
          </cell>
          <cell r="J1519">
            <v>310</v>
          </cell>
          <cell r="K1519">
            <v>298</v>
          </cell>
          <cell r="L1519">
            <v>0.94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 t="str">
            <v>1010</v>
          </cell>
          <cell r="R1519">
            <v>3.032258064516129</v>
          </cell>
          <cell r="S1519">
            <v>42781</v>
          </cell>
        </row>
        <row r="1520">
          <cell r="A1520" t="str">
            <v>Y012-110</v>
          </cell>
          <cell r="B1520" t="str">
            <v>連成小山的</v>
          </cell>
          <cell r="C1520" t="str">
            <v>Y012</v>
          </cell>
          <cell r="D1520" t="str">
            <v>AN014-05</v>
          </cell>
          <cell r="E1520" t="str">
            <v>poly 饰条</v>
          </cell>
          <cell r="F1520" t="str">
            <v>865*14*10</v>
          </cell>
          <cell r="G1520">
            <v>880</v>
          </cell>
          <cell r="H1520">
            <v>14</v>
          </cell>
          <cell r="I1520">
            <v>10</v>
          </cell>
          <cell r="J1520">
            <v>144</v>
          </cell>
          <cell r="K1520">
            <v>139</v>
          </cell>
          <cell r="L1520">
            <v>0.48499999999999999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 t="str">
            <v>1010</v>
          </cell>
          <cell r="R1520">
            <v>3.3680555555555558</v>
          </cell>
          <cell r="S1520">
            <v>42781</v>
          </cell>
        </row>
        <row r="1521">
          <cell r="A1521" t="str">
            <v>Y012-111</v>
          </cell>
          <cell r="B1521" t="str">
            <v>連成小山的</v>
          </cell>
          <cell r="C1521" t="str">
            <v>Y012</v>
          </cell>
          <cell r="D1521" t="str">
            <v>AN014-02/03/05</v>
          </cell>
          <cell r="E1521" t="str">
            <v>poly 饰条</v>
          </cell>
          <cell r="F1521" t="str">
            <v>470*14*10</v>
          </cell>
          <cell r="G1521">
            <v>480</v>
          </cell>
          <cell r="H1521">
            <v>14</v>
          </cell>
          <cell r="I1521">
            <v>10</v>
          </cell>
          <cell r="J1521">
            <v>94</v>
          </cell>
          <cell r="K1521">
            <v>91</v>
          </cell>
          <cell r="L1521">
            <v>0.27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 t="str">
            <v>1010</v>
          </cell>
          <cell r="R1521">
            <v>2.8723404255319149</v>
          </cell>
          <cell r="S1521">
            <v>42781</v>
          </cell>
        </row>
        <row r="1522">
          <cell r="A1522" t="str">
            <v>Y012-112</v>
          </cell>
          <cell r="B1522">
            <v>0</v>
          </cell>
          <cell r="C1522" t="str">
            <v>Y012</v>
          </cell>
          <cell r="D1522">
            <v>0</v>
          </cell>
          <cell r="E1522" t="str">
            <v>poly 床贴片</v>
          </cell>
          <cell r="F1522" t="str">
            <v>76*38*15</v>
          </cell>
          <cell r="G1522">
            <v>76</v>
          </cell>
          <cell r="H1522">
            <v>38</v>
          </cell>
          <cell r="I1522">
            <v>15</v>
          </cell>
          <cell r="J1522">
            <v>43</v>
          </cell>
          <cell r="K1522">
            <v>0</v>
          </cell>
          <cell r="L1522">
            <v>0.12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 t="str">
            <v>1010</v>
          </cell>
          <cell r="R1522">
            <v>2.7906976744186047</v>
          </cell>
          <cell r="S1522">
            <v>0</v>
          </cell>
          <cell r="T1522">
            <v>0</v>
          </cell>
        </row>
        <row r="1523">
          <cell r="A1523" t="str">
            <v>Y012-113</v>
          </cell>
          <cell r="B1523">
            <v>0</v>
          </cell>
          <cell r="C1523" t="str">
            <v>Y012</v>
          </cell>
          <cell r="D1523">
            <v>0</v>
          </cell>
          <cell r="E1523" t="str">
            <v>poly 床贴花（大）</v>
          </cell>
          <cell r="F1523" t="str">
            <v>165*77*18</v>
          </cell>
          <cell r="G1523">
            <v>165</v>
          </cell>
          <cell r="H1523">
            <v>77</v>
          </cell>
          <cell r="I1523">
            <v>18</v>
          </cell>
          <cell r="J1523">
            <v>183</v>
          </cell>
          <cell r="K1523">
            <v>0</v>
          </cell>
          <cell r="L1523">
            <v>0.47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 t="str">
            <v>1010</v>
          </cell>
          <cell r="R1523">
            <v>2.5683060109289615</v>
          </cell>
          <cell r="S1523">
            <v>0</v>
          </cell>
          <cell r="T1523">
            <v>0</v>
          </cell>
        </row>
        <row r="1524">
          <cell r="A1524" t="str">
            <v>Y012-114</v>
          </cell>
          <cell r="B1524">
            <v>0</v>
          </cell>
          <cell r="C1524" t="str">
            <v>Y012</v>
          </cell>
          <cell r="D1524">
            <v>0</v>
          </cell>
          <cell r="E1524" t="str">
            <v>poly 床贴花（小）</v>
          </cell>
          <cell r="F1524" t="str">
            <v>98*78*22</v>
          </cell>
          <cell r="G1524">
            <v>98</v>
          </cell>
          <cell r="H1524">
            <v>78</v>
          </cell>
          <cell r="I1524">
            <v>22</v>
          </cell>
          <cell r="J1524">
            <v>117</v>
          </cell>
          <cell r="K1524">
            <v>0</v>
          </cell>
          <cell r="L1524">
            <v>0.28999999999999998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 t="str">
            <v>1010</v>
          </cell>
          <cell r="R1524">
            <v>2.4786324786324783</v>
          </cell>
          <cell r="S1524">
            <v>0</v>
          </cell>
          <cell r="T1524">
            <v>0</v>
          </cell>
        </row>
        <row r="1525">
          <cell r="A1525" t="str">
            <v>Y012-115</v>
          </cell>
          <cell r="B1525">
            <v>0</v>
          </cell>
          <cell r="C1525" t="str">
            <v>Y012</v>
          </cell>
          <cell r="D1525">
            <v>0</v>
          </cell>
          <cell r="E1525" t="str">
            <v>poly 柜纇-南瓜脚</v>
          </cell>
          <cell r="F1525" t="str">
            <v>104*104*77</v>
          </cell>
          <cell r="G1525">
            <v>104</v>
          </cell>
          <cell r="H1525">
            <v>104</v>
          </cell>
          <cell r="I1525">
            <v>77</v>
          </cell>
          <cell r="J1525">
            <v>458</v>
          </cell>
          <cell r="K1525">
            <v>0</v>
          </cell>
          <cell r="L1525">
            <v>1.2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 t="str">
            <v>5510</v>
          </cell>
          <cell r="R1525">
            <v>2.6200873362445414</v>
          </cell>
          <cell r="S1525">
            <v>0</v>
          </cell>
          <cell r="T1525">
            <v>0</v>
          </cell>
        </row>
        <row r="1526">
          <cell r="A1526" t="str">
            <v>Y012-116</v>
          </cell>
          <cell r="B1526">
            <v>0</v>
          </cell>
          <cell r="C1526" t="str">
            <v>Y012</v>
          </cell>
          <cell r="D1526">
            <v>0</v>
          </cell>
          <cell r="E1526" t="str">
            <v>poly 床柱头</v>
          </cell>
          <cell r="F1526" t="str">
            <v>152*152*108</v>
          </cell>
          <cell r="G1526">
            <v>152</v>
          </cell>
          <cell r="H1526">
            <v>152</v>
          </cell>
          <cell r="I1526">
            <v>108</v>
          </cell>
          <cell r="J1526">
            <v>1006</v>
          </cell>
          <cell r="K1526">
            <v>0</v>
          </cell>
          <cell r="L1526">
            <v>2.75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 t="str">
            <v>5510</v>
          </cell>
          <cell r="R1526">
            <v>2.7335984095427435</v>
          </cell>
          <cell r="S1526">
            <v>0</v>
          </cell>
          <cell r="T1526">
            <v>0</v>
          </cell>
        </row>
        <row r="1527">
          <cell r="A1527" t="str">
            <v>Y012-117</v>
          </cell>
          <cell r="B1527">
            <v>0</v>
          </cell>
          <cell r="C1527" t="str">
            <v>Y012</v>
          </cell>
          <cell r="D1527">
            <v>0</v>
          </cell>
          <cell r="E1527" t="str">
            <v>poly 饰珠</v>
          </cell>
          <cell r="F1527" t="str">
            <v>521*21*11.5</v>
          </cell>
          <cell r="G1527">
            <v>521</v>
          </cell>
          <cell r="H1527">
            <v>21</v>
          </cell>
          <cell r="I1527">
            <v>11.5</v>
          </cell>
          <cell r="J1527">
            <v>172</v>
          </cell>
          <cell r="K1527">
            <v>0</v>
          </cell>
          <cell r="L1527">
            <v>0.45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 t="str">
            <v>1010</v>
          </cell>
          <cell r="R1527">
            <v>2.6162790697674421</v>
          </cell>
          <cell r="S1527">
            <v>0</v>
          </cell>
          <cell r="T1527">
            <v>0</v>
          </cell>
        </row>
        <row r="1528">
          <cell r="A1528" t="str">
            <v>Y012-118</v>
          </cell>
          <cell r="B1528">
            <v>0</v>
          </cell>
          <cell r="C1528" t="str">
            <v>Y012</v>
          </cell>
          <cell r="D1528">
            <v>0</v>
          </cell>
          <cell r="E1528" t="str">
            <v>poly 饰珠</v>
          </cell>
          <cell r="F1528" t="str">
            <v>107*21*11.5</v>
          </cell>
          <cell r="G1528">
            <v>107</v>
          </cell>
          <cell r="H1528">
            <v>21</v>
          </cell>
          <cell r="I1528">
            <v>11.5</v>
          </cell>
          <cell r="J1528">
            <v>35</v>
          </cell>
          <cell r="K1528">
            <v>0</v>
          </cell>
          <cell r="L1528">
            <v>0.09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 t="str">
            <v>1010</v>
          </cell>
          <cell r="R1528">
            <v>2.5714285714285712</v>
          </cell>
          <cell r="S1528">
            <v>0</v>
          </cell>
          <cell r="T1528">
            <v>0</v>
          </cell>
        </row>
        <row r="1529">
          <cell r="A1529" t="str">
            <v>Y012-119</v>
          </cell>
          <cell r="B1529">
            <v>0</v>
          </cell>
          <cell r="C1529" t="str">
            <v>Y012</v>
          </cell>
          <cell r="D1529">
            <v>0</v>
          </cell>
          <cell r="E1529" t="str">
            <v>poly 饰珠</v>
          </cell>
          <cell r="F1529" t="str">
            <v>481*21*11.5</v>
          </cell>
          <cell r="G1529">
            <v>481</v>
          </cell>
          <cell r="H1529">
            <v>21</v>
          </cell>
          <cell r="I1529">
            <v>11.5</v>
          </cell>
          <cell r="J1529">
            <v>159</v>
          </cell>
          <cell r="K1529">
            <v>0</v>
          </cell>
          <cell r="L1529">
            <v>0.42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 t="str">
            <v>1010</v>
          </cell>
          <cell r="R1529">
            <v>2.641509433962264</v>
          </cell>
          <cell r="S1529">
            <v>0</v>
          </cell>
          <cell r="T1529">
            <v>0</v>
          </cell>
        </row>
        <row r="1530">
          <cell r="A1530" t="str">
            <v>Y012-120</v>
          </cell>
          <cell r="B1530">
            <v>0</v>
          </cell>
          <cell r="C1530" t="str">
            <v>Y012</v>
          </cell>
          <cell r="D1530">
            <v>0</v>
          </cell>
          <cell r="E1530" t="str">
            <v>poly 饰珠</v>
          </cell>
          <cell r="F1530" t="str">
            <v>816*21*11.5</v>
          </cell>
          <cell r="G1530">
            <v>816</v>
          </cell>
          <cell r="H1530">
            <v>21</v>
          </cell>
          <cell r="I1530">
            <v>11.5</v>
          </cell>
          <cell r="J1530">
            <v>269</v>
          </cell>
          <cell r="K1530">
            <v>0</v>
          </cell>
          <cell r="L1530">
            <v>0.71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 t="str">
            <v>1010</v>
          </cell>
          <cell r="R1530">
            <v>2.6394052044609664</v>
          </cell>
          <cell r="S1530">
            <v>0</v>
          </cell>
          <cell r="T1530">
            <v>0</v>
          </cell>
        </row>
        <row r="1531">
          <cell r="A1531" t="str">
            <v>Y012-121</v>
          </cell>
          <cell r="B1531">
            <v>0</v>
          </cell>
          <cell r="C1531" t="str">
            <v>Y012</v>
          </cell>
          <cell r="D1531">
            <v>0</v>
          </cell>
          <cell r="E1531" t="str">
            <v>poly 饰珠</v>
          </cell>
          <cell r="F1531" t="str">
            <v>458*21*11.5</v>
          </cell>
          <cell r="G1531">
            <v>458</v>
          </cell>
          <cell r="H1531">
            <v>21</v>
          </cell>
          <cell r="I1531">
            <v>11.5</v>
          </cell>
          <cell r="J1531">
            <v>151</v>
          </cell>
          <cell r="K1531">
            <v>0</v>
          </cell>
          <cell r="L1531">
            <v>0.4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 t="str">
            <v>1010</v>
          </cell>
          <cell r="R1531">
            <v>2.6490066225165565</v>
          </cell>
          <cell r="S1531">
            <v>0</v>
          </cell>
          <cell r="T1531">
            <v>0</v>
          </cell>
        </row>
        <row r="1532">
          <cell r="A1532" t="str">
            <v>Y012-122</v>
          </cell>
          <cell r="B1532">
            <v>0</v>
          </cell>
          <cell r="C1532" t="str">
            <v>Y012</v>
          </cell>
          <cell r="D1532">
            <v>0</v>
          </cell>
          <cell r="E1532" t="str">
            <v>poly 饰珠</v>
          </cell>
          <cell r="F1532" t="str">
            <v>202*21*11.5</v>
          </cell>
          <cell r="G1532">
            <v>202</v>
          </cell>
          <cell r="H1532">
            <v>21</v>
          </cell>
          <cell r="I1532">
            <v>11.5</v>
          </cell>
          <cell r="J1532">
            <v>66</v>
          </cell>
          <cell r="K1532">
            <v>0</v>
          </cell>
          <cell r="L1532">
            <v>0.17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 t="str">
            <v>1010</v>
          </cell>
          <cell r="R1532">
            <v>2.5757575757575757</v>
          </cell>
          <cell r="S1532">
            <v>0</v>
          </cell>
          <cell r="T1532">
            <v>0</v>
          </cell>
        </row>
        <row r="1533">
          <cell r="A1533" t="str">
            <v>Y012-2001</v>
          </cell>
          <cell r="B1533" t="str">
            <v>樣品收費</v>
          </cell>
          <cell r="C1533" t="str">
            <v>Y012</v>
          </cell>
          <cell r="D1533" t="str">
            <v>CS-161102</v>
          </cell>
          <cell r="E1533" t="str">
            <v>花飾條</v>
          </cell>
          <cell r="F1533">
            <v>0</v>
          </cell>
          <cell r="G1533">
            <v>400</v>
          </cell>
          <cell r="H1533">
            <v>36.5</v>
          </cell>
          <cell r="I1533">
            <v>8.5</v>
          </cell>
          <cell r="J1533">
            <v>168</v>
          </cell>
          <cell r="K1533">
            <v>0</v>
          </cell>
          <cell r="L1533">
            <v>0.45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 t="str">
            <v>1010</v>
          </cell>
          <cell r="R1533">
            <v>2.6785714285714284</v>
          </cell>
          <cell r="S1533">
            <v>0</v>
          </cell>
        </row>
        <row r="1534">
          <cell r="A1534" t="str">
            <v>Y012-2002</v>
          </cell>
          <cell r="B1534" t="str">
            <v>樣品收費</v>
          </cell>
          <cell r="C1534" t="str">
            <v>Y012</v>
          </cell>
          <cell r="D1534" t="str">
            <v>CS-161102</v>
          </cell>
          <cell r="E1534" t="str">
            <v>貼塊</v>
          </cell>
          <cell r="F1534">
            <v>0</v>
          </cell>
          <cell r="G1534">
            <v>148</v>
          </cell>
          <cell r="H1534">
            <v>62</v>
          </cell>
          <cell r="I1534">
            <v>42</v>
          </cell>
          <cell r="J1534">
            <v>282</v>
          </cell>
          <cell r="K1534">
            <v>0</v>
          </cell>
          <cell r="L1534">
            <v>0.76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 t="str">
            <v>1010</v>
          </cell>
          <cell r="R1534">
            <v>2.6950354609929081</v>
          </cell>
          <cell r="S1534">
            <v>0</v>
          </cell>
        </row>
        <row r="1535">
          <cell r="A1535" t="str">
            <v>Y012-2003</v>
          </cell>
          <cell r="B1535" t="str">
            <v>樣品收費</v>
          </cell>
          <cell r="C1535" t="str">
            <v>Y012</v>
          </cell>
          <cell r="D1535" t="str">
            <v>CS-161102</v>
          </cell>
          <cell r="E1535" t="str">
            <v>大飾花</v>
          </cell>
          <cell r="F1535">
            <v>0</v>
          </cell>
          <cell r="G1535">
            <v>58</v>
          </cell>
          <cell r="H1535">
            <v>51</v>
          </cell>
          <cell r="I1535">
            <v>12.5</v>
          </cell>
          <cell r="J1535">
            <v>35</v>
          </cell>
          <cell r="K1535">
            <v>0</v>
          </cell>
          <cell r="L1535">
            <v>0.12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 t="str">
            <v>1010</v>
          </cell>
          <cell r="R1535">
            <v>3.4285714285714279</v>
          </cell>
          <cell r="S1535">
            <v>0</v>
          </cell>
        </row>
        <row r="1536">
          <cell r="A1536" t="str">
            <v>Y012-2004</v>
          </cell>
          <cell r="B1536" t="str">
            <v>樣品收費</v>
          </cell>
          <cell r="C1536" t="str">
            <v>Y012</v>
          </cell>
          <cell r="D1536" t="str">
            <v>CS-161102</v>
          </cell>
          <cell r="E1536" t="str">
            <v>小飾花</v>
          </cell>
          <cell r="F1536">
            <v>0</v>
          </cell>
          <cell r="G1536">
            <v>50</v>
          </cell>
          <cell r="H1536">
            <v>40</v>
          </cell>
          <cell r="I1536">
            <v>9.5</v>
          </cell>
          <cell r="J1536">
            <v>16</v>
          </cell>
          <cell r="K1536">
            <v>0</v>
          </cell>
          <cell r="L1536">
            <v>0.06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 t="str">
            <v>1010</v>
          </cell>
          <cell r="R1536">
            <v>3.75</v>
          </cell>
          <cell r="S1536">
            <v>0</v>
          </cell>
        </row>
        <row r="1537">
          <cell r="A1537" t="str">
            <v>Y012-2005</v>
          </cell>
          <cell r="B1537" t="str">
            <v>樣品收費(5510)</v>
          </cell>
          <cell r="C1537" t="str">
            <v>Y012</v>
          </cell>
          <cell r="D1537">
            <v>0</v>
          </cell>
          <cell r="E1537" t="str">
            <v>POLY飾板</v>
          </cell>
          <cell r="F1537">
            <v>0</v>
          </cell>
          <cell r="G1537">
            <v>1002</v>
          </cell>
          <cell r="H1537">
            <v>272</v>
          </cell>
          <cell r="I1537">
            <v>7</v>
          </cell>
          <cell r="J1537">
            <v>2673</v>
          </cell>
          <cell r="K1537">
            <v>0</v>
          </cell>
          <cell r="L1537">
            <v>6.7</v>
          </cell>
          <cell r="M1537">
            <v>0</v>
          </cell>
          <cell r="N1537">
            <v>0</v>
          </cell>
          <cell r="O1537">
            <v>0</v>
          </cell>
          <cell r="P1537" t="str">
            <v>5510</v>
          </cell>
          <cell r="Q1537" t="str">
            <v>5510</v>
          </cell>
          <cell r="R1537">
            <v>2.5065469509913956</v>
          </cell>
          <cell r="S1537">
            <v>0</v>
          </cell>
        </row>
        <row r="1538">
          <cell r="A1538" t="str">
            <v>Y013-001</v>
          </cell>
          <cell r="B1538" t="str">
            <v>LCT013-167</v>
          </cell>
          <cell r="C1538" t="str">
            <v>Y013</v>
          </cell>
          <cell r="D1538" t="str">
            <v>2A11800400/01/05/08</v>
          </cell>
          <cell r="E1538" t="str">
            <v>I88-400/01/04/05/8/09-2企柱飾</v>
          </cell>
          <cell r="F1538" t="str">
            <v>50*50*8</v>
          </cell>
          <cell r="G1538">
            <v>50</v>
          </cell>
          <cell r="H1538">
            <v>50</v>
          </cell>
          <cell r="I1538">
            <v>8</v>
          </cell>
          <cell r="J1538">
            <v>20</v>
          </cell>
          <cell r="K1538">
            <v>0</v>
          </cell>
          <cell r="L1538">
            <v>8.7999999999999995E-2</v>
          </cell>
          <cell r="M1538">
            <v>0</v>
          </cell>
          <cell r="N1538">
            <v>0</v>
          </cell>
          <cell r="O1538" t="str">
            <v>40V</v>
          </cell>
          <cell r="P1538" t="str">
            <v>1010</v>
          </cell>
          <cell r="Q1538">
            <v>1010</v>
          </cell>
          <cell r="R1538">
            <v>4.3999999999999995</v>
          </cell>
        </row>
        <row r="1539">
          <cell r="A1539" t="str">
            <v>Y013-002</v>
          </cell>
          <cell r="B1539" t="str">
            <v>LCT013-156</v>
          </cell>
          <cell r="C1539" t="str">
            <v>Y013</v>
          </cell>
          <cell r="D1539" t="str">
            <v>2A1I884501</v>
          </cell>
          <cell r="E1539" t="str">
            <v>I88-450-2上後企柱貼塊</v>
          </cell>
          <cell r="F1539" t="str">
            <v>64*46*7</v>
          </cell>
          <cell r="G1539">
            <v>64</v>
          </cell>
          <cell r="H1539">
            <v>46</v>
          </cell>
          <cell r="I1539">
            <v>7</v>
          </cell>
          <cell r="J1539">
            <v>40</v>
          </cell>
          <cell r="K1539">
            <v>0</v>
          </cell>
          <cell r="L1539">
            <v>0.27500000000000002</v>
          </cell>
          <cell r="M1539">
            <v>0</v>
          </cell>
          <cell r="N1539">
            <v>0</v>
          </cell>
          <cell r="O1539" t="str">
            <v>40V</v>
          </cell>
          <cell r="P1539" t="str">
            <v>1010</v>
          </cell>
          <cell r="Q1539">
            <v>1010</v>
          </cell>
          <cell r="R1539">
            <v>6.875</v>
          </cell>
        </row>
        <row r="1540">
          <cell r="A1540" t="str">
            <v>Y013-003</v>
          </cell>
          <cell r="B1540" t="str">
            <v>LCT013-166</v>
          </cell>
          <cell r="C1540" t="str">
            <v>Y013</v>
          </cell>
          <cell r="D1540" t="str">
            <v>2A1188453/561</v>
          </cell>
          <cell r="E1540" t="str">
            <v>I88-4593/56-2前框中企柱上貼塊(三角形雙面花)</v>
          </cell>
          <cell r="F1540" t="str">
            <v>87*64*64</v>
          </cell>
          <cell r="G1540">
            <v>87</v>
          </cell>
          <cell r="H1540">
            <v>64</v>
          </cell>
          <cell r="I1540">
            <v>64</v>
          </cell>
          <cell r="J1540">
            <v>180</v>
          </cell>
          <cell r="K1540">
            <v>0</v>
          </cell>
          <cell r="L1540">
            <v>0.38500000000000001</v>
          </cell>
          <cell r="M1540">
            <v>0</v>
          </cell>
          <cell r="N1540">
            <v>60</v>
          </cell>
          <cell r="O1540" t="str">
            <v>40V</v>
          </cell>
          <cell r="P1540" t="str">
            <v>1010</v>
          </cell>
          <cell r="Q1540">
            <v>1010</v>
          </cell>
          <cell r="R1540">
            <v>2.1388888888888888</v>
          </cell>
        </row>
        <row r="1541">
          <cell r="A1541" t="str">
            <v>Y013-004</v>
          </cell>
          <cell r="B1541" t="str">
            <v>LCT013-145</v>
          </cell>
          <cell r="C1541" t="str">
            <v>Y013</v>
          </cell>
          <cell r="D1541" t="str">
            <v>2A1I88453/562</v>
          </cell>
          <cell r="E1541" t="str">
            <v>I88-663/456-2後上貼塊</v>
          </cell>
          <cell r="F1541" t="str">
            <v>87*46*18</v>
          </cell>
          <cell r="G1541">
            <v>87</v>
          </cell>
          <cell r="H1541">
            <v>46</v>
          </cell>
          <cell r="I1541">
            <v>18</v>
          </cell>
          <cell r="J1541">
            <v>80</v>
          </cell>
          <cell r="K1541">
            <v>0</v>
          </cell>
          <cell r="L1541">
            <v>9.9000000000000005E-2</v>
          </cell>
          <cell r="M1541">
            <v>0</v>
          </cell>
          <cell r="N1541">
            <v>20</v>
          </cell>
          <cell r="O1541" t="str">
            <v>40V</v>
          </cell>
          <cell r="P1541" t="str">
            <v>1010</v>
          </cell>
          <cell r="Q1541">
            <v>1010</v>
          </cell>
          <cell r="R1541">
            <v>1.2375</v>
          </cell>
        </row>
        <row r="1542">
          <cell r="A1542" t="str">
            <v>Y013-005</v>
          </cell>
          <cell r="B1542" t="str">
            <v>LCT013-266</v>
          </cell>
          <cell r="C1542" t="str">
            <v>Y013</v>
          </cell>
          <cell r="D1542" t="str">
            <v>2A11884531</v>
          </cell>
          <cell r="E1542" t="str">
            <v>I88-453-2前柜侧企柱上貼塊(單面花)</v>
          </cell>
          <cell r="F1542" t="str">
            <v>87*64*64</v>
          </cell>
          <cell r="G1542">
            <v>87</v>
          </cell>
          <cell r="H1542">
            <v>64</v>
          </cell>
          <cell r="I1542">
            <v>64</v>
          </cell>
          <cell r="J1542">
            <v>180</v>
          </cell>
          <cell r="K1542">
            <v>0</v>
          </cell>
          <cell r="L1542">
            <v>0.38500000000000001</v>
          </cell>
          <cell r="M1542">
            <v>0</v>
          </cell>
          <cell r="N1542">
            <v>60</v>
          </cell>
          <cell r="O1542" t="str">
            <v>40V</v>
          </cell>
          <cell r="P1542" t="str">
            <v>1010</v>
          </cell>
          <cell r="Q1542">
            <v>1010</v>
          </cell>
          <cell r="R1542">
            <v>2.1388888888888888</v>
          </cell>
        </row>
        <row r="1543">
          <cell r="A1543" t="str">
            <v>Y013-006</v>
          </cell>
          <cell r="B1543" t="str">
            <v>LCT013-267</v>
          </cell>
          <cell r="C1543" t="str">
            <v>Y013</v>
          </cell>
          <cell r="D1543" t="str">
            <v>2A11884531</v>
          </cell>
          <cell r="E1543" t="str">
            <v>I88-453-2前柜侧企柱上貼塊(單面花)</v>
          </cell>
          <cell r="F1543" t="str">
            <v>87*64*64</v>
          </cell>
          <cell r="G1543">
            <v>87</v>
          </cell>
          <cell r="H1543">
            <v>64</v>
          </cell>
          <cell r="I1543">
            <v>64</v>
          </cell>
          <cell r="J1543">
            <v>180</v>
          </cell>
          <cell r="K1543">
            <v>0</v>
          </cell>
          <cell r="L1543">
            <v>0.38500000000000001</v>
          </cell>
          <cell r="M1543">
            <v>0</v>
          </cell>
          <cell r="N1543">
            <v>60</v>
          </cell>
          <cell r="O1543" t="str">
            <v>40V</v>
          </cell>
          <cell r="P1543" t="str">
            <v>1010</v>
          </cell>
          <cell r="Q1543">
            <v>1010</v>
          </cell>
          <cell r="R1543">
            <v>2.1388888888888888</v>
          </cell>
        </row>
        <row r="1544">
          <cell r="A1544" t="str">
            <v>Y013-007</v>
          </cell>
          <cell r="B1544" t="str">
            <v>LCT013-093</v>
          </cell>
          <cell r="C1544" t="str">
            <v>Y013</v>
          </cell>
          <cell r="D1544" t="str">
            <v>2A1I884531</v>
          </cell>
          <cell r="E1544" t="str">
            <v>I88-456-2左侧上贴板企柱（四角形）</v>
          </cell>
          <cell r="F1544" t="str">
            <v>84*64*64</v>
          </cell>
          <cell r="G1544">
            <v>84</v>
          </cell>
          <cell r="H1544">
            <v>64</v>
          </cell>
          <cell r="I1544">
            <v>64</v>
          </cell>
          <cell r="J1544">
            <v>270</v>
          </cell>
          <cell r="K1544">
            <v>0</v>
          </cell>
          <cell r="L1544">
            <v>0.46200000000000002</v>
          </cell>
          <cell r="M1544">
            <v>0</v>
          </cell>
          <cell r="N1544">
            <v>90</v>
          </cell>
          <cell r="O1544" t="str">
            <v>40V</v>
          </cell>
          <cell r="P1544" t="str">
            <v>1010</v>
          </cell>
          <cell r="Q1544" t="str">
            <v>1010</v>
          </cell>
          <cell r="R1544">
            <v>1.711111111111111</v>
          </cell>
        </row>
        <row r="1545">
          <cell r="A1545" t="str">
            <v>Y013-008</v>
          </cell>
          <cell r="B1545" t="str">
            <v>LCT013-157</v>
          </cell>
          <cell r="C1545" t="str">
            <v>Y013</v>
          </cell>
          <cell r="D1545" t="str">
            <v>2A1I88459/62/63/781</v>
          </cell>
          <cell r="E1545" t="str">
            <v>I88-459/62/63/78-2飾花</v>
          </cell>
          <cell r="F1545" t="str">
            <v>54*54*4</v>
          </cell>
          <cell r="G1545">
            <v>54</v>
          </cell>
          <cell r="H1545">
            <v>54</v>
          </cell>
          <cell r="I1545">
            <v>4</v>
          </cell>
          <cell r="J1545">
            <v>10</v>
          </cell>
          <cell r="K1545">
            <v>0</v>
          </cell>
          <cell r="L1545">
            <v>0.20899999999999999</v>
          </cell>
          <cell r="M1545">
            <v>0</v>
          </cell>
          <cell r="N1545">
            <v>0</v>
          </cell>
          <cell r="O1545" t="str">
            <v>40V</v>
          </cell>
          <cell r="P1545" t="str">
            <v>1010</v>
          </cell>
          <cell r="Q1545">
            <v>1010</v>
          </cell>
          <cell r="R1545">
            <v>20.9</v>
          </cell>
        </row>
        <row r="1546">
          <cell r="A1546" t="str">
            <v>Y013-009</v>
          </cell>
          <cell r="B1546" t="str">
            <v>LCT013-147</v>
          </cell>
          <cell r="C1546" t="str">
            <v>Y013</v>
          </cell>
          <cell r="D1546" t="str">
            <v>2AII74450/54/55/56/59</v>
          </cell>
          <cell r="E1546" t="str">
            <v>I74-450/54/55/66/59/85/9450</v>
          </cell>
          <cell r="F1546" t="str">
            <v>128*84*84</v>
          </cell>
          <cell r="G1546">
            <v>128</v>
          </cell>
          <cell r="H1546">
            <v>84</v>
          </cell>
          <cell r="I1546">
            <v>84</v>
          </cell>
          <cell r="J1546">
            <v>710</v>
          </cell>
          <cell r="K1546">
            <v>0</v>
          </cell>
          <cell r="L1546">
            <v>0.85799999999999998</v>
          </cell>
          <cell r="M1546">
            <v>0</v>
          </cell>
          <cell r="N1546">
            <v>170</v>
          </cell>
          <cell r="O1546" t="str">
            <v>40V</v>
          </cell>
          <cell r="P1546" t="str">
            <v>1910</v>
          </cell>
          <cell r="Q1546" t="str">
            <v>1910</v>
          </cell>
          <cell r="R1546">
            <v>1.2084507042253521</v>
          </cell>
        </row>
        <row r="1547">
          <cell r="A1547" t="str">
            <v>Y013-010</v>
          </cell>
          <cell r="B1547" t="str">
            <v>LCT013-159</v>
          </cell>
          <cell r="C1547" t="str">
            <v>Y013</v>
          </cell>
          <cell r="D1547" t="str">
            <v>2AII744512</v>
          </cell>
          <cell r="E1547" t="str">
            <v>I74-451 前下側上飾條</v>
          </cell>
          <cell r="F1547" t="str">
            <v>1750*30*21</v>
          </cell>
          <cell r="G1547">
            <v>1750</v>
          </cell>
          <cell r="H1547">
            <v>30</v>
          </cell>
          <cell r="I1547">
            <v>21</v>
          </cell>
          <cell r="J1547">
            <v>1250</v>
          </cell>
          <cell r="K1547">
            <v>0</v>
          </cell>
          <cell r="L1547">
            <v>3.0030000000000001</v>
          </cell>
          <cell r="M1547">
            <v>0</v>
          </cell>
          <cell r="N1547">
            <v>0</v>
          </cell>
          <cell r="O1547" t="str">
            <v>40V</v>
          </cell>
          <cell r="P1547" t="str">
            <v>1010</v>
          </cell>
          <cell r="Q1547">
            <v>1010</v>
          </cell>
          <cell r="R1547">
            <v>2.4024000000000001</v>
          </cell>
        </row>
        <row r="1548">
          <cell r="A1548" t="str">
            <v>Y013-011</v>
          </cell>
          <cell r="B1548" t="str">
            <v>LCT013-165</v>
          </cell>
          <cell r="C1548" t="str">
            <v>Y013</v>
          </cell>
          <cell r="D1548" t="str">
            <v>2A1174514</v>
          </cell>
          <cell r="E1548" t="str">
            <v>I74-451 拉板上飾條</v>
          </cell>
          <cell r="F1548" t="str">
            <v>511*28*21</v>
          </cell>
          <cell r="G1548">
            <v>511</v>
          </cell>
          <cell r="H1548">
            <v>28</v>
          </cell>
          <cell r="I1548">
            <v>21</v>
          </cell>
          <cell r="J1548">
            <v>400</v>
          </cell>
          <cell r="K1548">
            <v>0</v>
          </cell>
          <cell r="L1548">
            <v>0.95599999999999996</v>
          </cell>
          <cell r="M1548">
            <v>0</v>
          </cell>
          <cell r="N1548">
            <v>0</v>
          </cell>
          <cell r="O1548" t="str">
            <v>40V</v>
          </cell>
          <cell r="P1548" t="str">
            <v>1010</v>
          </cell>
          <cell r="Q1548">
            <v>1010</v>
          </cell>
          <cell r="R1548">
            <v>2.3899999999999997</v>
          </cell>
        </row>
        <row r="1549">
          <cell r="A1549" t="str">
            <v>Y013-012</v>
          </cell>
          <cell r="B1549" t="str">
            <v>LCT013-136</v>
          </cell>
          <cell r="C1549" t="str">
            <v>Y013</v>
          </cell>
          <cell r="D1549" t="str">
            <v>2AII744515</v>
          </cell>
          <cell r="E1549" t="str">
            <v>I74-451 上 / 下抽板飾條</v>
          </cell>
          <cell r="F1549" t="str">
            <v>690*32*20</v>
          </cell>
          <cell r="G1549">
            <v>690</v>
          </cell>
          <cell r="H1549">
            <v>32</v>
          </cell>
          <cell r="I1549">
            <v>20</v>
          </cell>
          <cell r="J1549">
            <v>430</v>
          </cell>
          <cell r="K1549">
            <v>0</v>
          </cell>
          <cell r="L1549">
            <v>1.155</v>
          </cell>
          <cell r="M1549">
            <v>0</v>
          </cell>
          <cell r="N1549">
            <v>0</v>
          </cell>
          <cell r="O1549" t="str">
            <v>40V</v>
          </cell>
          <cell r="P1549" t="str">
            <v>1010</v>
          </cell>
          <cell r="Q1549">
            <v>1010</v>
          </cell>
          <cell r="R1549">
            <v>2.6860465116279069</v>
          </cell>
        </row>
        <row r="1550">
          <cell r="A1550" t="str">
            <v>Y013-013</v>
          </cell>
          <cell r="B1550" t="str">
            <v>LCT013-124</v>
          </cell>
          <cell r="C1550" t="str">
            <v>Y013</v>
          </cell>
          <cell r="D1550" t="str">
            <v>2AII744546</v>
          </cell>
          <cell r="E1550" t="str">
            <v>I74-454 前框上橫飾條</v>
          </cell>
          <cell r="F1550" t="str">
            <v>1619*21*19</v>
          </cell>
          <cell r="G1550">
            <v>1619</v>
          </cell>
          <cell r="H1550">
            <v>21</v>
          </cell>
          <cell r="I1550">
            <v>19</v>
          </cell>
          <cell r="J1550">
            <v>690</v>
          </cell>
          <cell r="K1550">
            <v>0</v>
          </cell>
          <cell r="L1550">
            <v>1.65</v>
          </cell>
          <cell r="M1550">
            <v>0</v>
          </cell>
          <cell r="N1550">
            <v>0</v>
          </cell>
          <cell r="O1550" t="str">
            <v>40V</v>
          </cell>
          <cell r="P1550" t="str">
            <v>1010</v>
          </cell>
          <cell r="Q1550">
            <v>1010</v>
          </cell>
          <cell r="R1550">
            <v>2.3913043478260869</v>
          </cell>
        </row>
        <row r="1551">
          <cell r="A1551" t="str">
            <v>Y013-014</v>
          </cell>
          <cell r="B1551" t="str">
            <v>LCT013-128</v>
          </cell>
          <cell r="C1551" t="str">
            <v>Y013</v>
          </cell>
          <cell r="D1551" t="str">
            <v>2AII744561</v>
          </cell>
          <cell r="E1551" t="str">
            <v>I74-456 前中飾條</v>
          </cell>
          <cell r="F1551" t="str">
            <v>877*21*19</v>
          </cell>
          <cell r="G1551">
            <v>877</v>
          </cell>
          <cell r="H1551">
            <v>21</v>
          </cell>
          <cell r="I1551">
            <v>19</v>
          </cell>
          <cell r="J1551">
            <v>370</v>
          </cell>
          <cell r="K1551">
            <v>0</v>
          </cell>
          <cell r="L1551">
            <v>0.90200000000000002</v>
          </cell>
          <cell r="M1551">
            <v>0</v>
          </cell>
          <cell r="N1551">
            <v>0</v>
          </cell>
          <cell r="O1551" t="str">
            <v>40V</v>
          </cell>
          <cell r="P1551" t="str">
            <v>1010</v>
          </cell>
          <cell r="Q1551">
            <v>1010</v>
          </cell>
          <cell r="R1551">
            <v>2.4378378378378378</v>
          </cell>
        </row>
        <row r="1552">
          <cell r="A1552" t="str">
            <v>Y013-015</v>
          </cell>
          <cell r="B1552" t="str">
            <v>LCT013-158</v>
          </cell>
          <cell r="C1552" t="str">
            <v>Y013</v>
          </cell>
          <cell r="D1552" t="str">
            <v>2AII744911</v>
          </cell>
          <cell r="E1552" t="str">
            <v>I74-491 底板飾條</v>
          </cell>
          <cell r="F1552" t="str">
            <v>2200*19*15</v>
          </cell>
          <cell r="G1552">
            <v>2200</v>
          </cell>
          <cell r="H1552">
            <v>19</v>
          </cell>
          <cell r="I1552">
            <v>15</v>
          </cell>
          <cell r="J1552">
            <v>820</v>
          </cell>
          <cell r="K1552">
            <v>0</v>
          </cell>
          <cell r="L1552">
            <v>1.7909999999999999</v>
          </cell>
          <cell r="M1552">
            <v>0</v>
          </cell>
          <cell r="N1552">
            <v>0</v>
          </cell>
          <cell r="O1552" t="str">
            <v>40V</v>
          </cell>
          <cell r="P1552" t="str">
            <v>1010</v>
          </cell>
          <cell r="Q1552">
            <v>1010</v>
          </cell>
          <cell r="R1552">
            <v>2.1841463414634146</v>
          </cell>
        </row>
        <row r="1553">
          <cell r="A1553" t="str">
            <v>Y013-016</v>
          </cell>
          <cell r="B1553" t="str">
            <v>LCT013-137</v>
          </cell>
          <cell r="C1553" t="str">
            <v>Y013</v>
          </cell>
          <cell r="D1553" t="str">
            <v>2AII7494504501</v>
          </cell>
          <cell r="E1553" t="str">
            <v>I74-9450/450前框上橫飾條</v>
          </cell>
          <cell r="F1553" t="str">
            <v>700*21*19</v>
          </cell>
          <cell r="G1553">
            <v>700</v>
          </cell>
          <cell r="H1553">
            <v>21</v>
          </cell>
          <cell r="I1553">
            <v>19</v>
          </cell>
          <cell r="J1553">
            <v>305</v>
          </cell>
          <cell r="K1553">
            <v>0</v>
          </cell>
          <cell r="L1553">
            <v>0.72599999999999998</v>
          </cell>
          <cell r="M1553">
            <v>0</v>
          </cell>
          <cell r="N1553">
            <v>0</v>
          </cell>
          <cell r="O1553" t="str">
            <v>40V</v>
          </cell>
          <cell r="P1553" t="str">
            <v>1010</v>
          </cell>
          <cell r="Q1553">
            <v>1010</v>
          </cell>
          <cell r="R1553">
            <v>2.3803278688524592</v>
          </cell>
        </row>
        <row r="1554">
          <cell r="A1554" t="str">
            <v>Y013-017</v>
          </cell>
          <cell r="B1554" t="str">
            <v>LCT013-155</v>
          </cell>
          <cell r="C1554" t="str">
            <v>Y013</v>
          </cell>
          <cell r="D1554" t="str">
            <v>3A18894502-2</v>
          </cell>
          <cell r="E1554" t="str">
            <v>I88-9450-2前框側企柱上貼塊</v>
          </cell>
          <cell r="F1554" t="str">
            <v>92*67*67</v>
          </cell>
          <cell r="G1554">
            <v>92</v>
          </cell>
          <cell r="H1554">
            <v>67</v>
          </cell>
          <cell r="I1554">
            <v>67</v>
          </cell>
          <cell r="J1554">
            <v>185</v>
          </cell>
          <cell r="K1554">
            <v>0</v>
          </cell>
          <cell r="L1554">
            <v>0.47299999999999998</v>
          </cell>
          <cell r="M1554">
            <v>0</v>
          </cell>
          <cell r="N1554">
            <v>60</v>
          </cell>
          <cell r="O1554" t="str">
            <v>40V</v>
          </cell>
          <cell r="P1554" t="str">
            <v>1910</v>
          </cell>
          <cell r="Q1554" t="str">
            <v>1910</v>
          </cell>
          <cell r="R1554">
            <v>2.5567567567567568</v>
          </cell>
        </row>
        <row r="1555">
          <cell r="A1555" t="str">
            <v>Y013-018</v>
          </cell>
          <cell r="B1555" t="str">
            <v>LCT013-154</v>
          </cell>
          <cell r="C1555" t="str">
            <v>Y013</v>
          </cell>
          <cell r="D1555" t="str">
            <v>3A18894502-3</v>
          </cell>
          <cell r="E1555" t="str">
            <v>I88-9450-2側板後貼塊</v>
          </cell>
          <cell r="F1555" t="str">
            <v>92*46*18</v>
          </cell>
          <cell r="G1555">
            <v>92</v>
          </cell>
          <cell r="H1555">
            <v>46</v>
          </cell>
          <cell r="I1555">
            <v>18</v>
          </cell>
          <cell r="J1555">
            <v>85</v>
          </cell>
          <cell r="K1555">
            <v>0</v>
          </cell>
          <cell r="L1555">
            <v>0.154</v>
          </cell>
          <cell r="M1555">
            <v>0</v>
          </cell>
          <cell r="N1555">
            <v>20</v>
          </cell>
          <cell r="O1555" t="str">
            <v>40V</v>
          </cell>
          <cell r="P1555" t="str">
            <v>1910</v>
          </cell>
          <cell r="Q1555" t="str">
            <v>1910</v>
          </cell>
          <cell r="R1555">
            <v>1.8117647058823527</v>
          </cell>
        </row>
        <row r="1556">
          <cell r="A1556" t="str">
            <v>Y013-019</v>
          </cell>
          <cell r="B1556" t="str">
            <v>LCT013-232</v>
          </cell>
          <cell r="C1556" t="str">
            <v>Y013</v>
          </cell>
          <cell r="D1556" t="str">
            <v>2A1WW3051</v>
          </cell>
          <cell r="E1556" t="str">
            <v>贴饰块 (软POLY)</v>
          </cell>
          <cell r="F1556" t="str">
            <v>88*46*9</v>
          </cell>
          <cell r="G1556">
            <v>88</v>
          </cell>
          <cell r="H1556">
            <v>46</v>
          </cell>
          <cell r="I1556">
            <v>9</v>
          </cell>
          <cell r="J1556">
            <v>43</v>
          </cell>
          <cell r="K1556">
            <v>0</v>
          </cell>
          <cell r="L1556">
            <v>0.13200000000000001</v>
          </cell>
          <cell r="M1556">
            <v>0</v>
          </cell>
          <cell r="N1556">
            <v>0</v>
          </cell>
          <cell r="O1556" t="str">
            <v>40V</v>
          </cell>
          <cell r="P1556" t="str">
            <v>1010</v>
          </cell>
          <cell r="Q1556">
            <v>1010</v>
          </cell>
          <cell r="R1556">
            <v>3.0697674418604657</v>
          </cell>
        </row>
        <row r="1557">
          <cell r="A1557" t="str">
            <v>Y013-020</v>
          </cell>
          <cell r="B1557" t="str">
            <v>LCT013-384</v>
          </cell>
          <cell r="C1557" t="str">
            <v>Y013</v>
          </cell>
          <cell r="D1557" t="str">
            <v>2AI188441/42/44/45/681</v>
          </cell>
          <cell r="E1557" t="str">
            <v>I88-44/42/44/45/68-2饰花</v>
          </cell>
          <cell r="F1557" t="str">
            <v>65*65*4</v>
          </cell>
          <cell r="G1557">
            <v>65</v>
          </cell>
          <cell r="H1557">
            <v>65</v>
          </cell>
          <cell r="I1557">
            <v>4</v>
          </cell>
          <cell r="J1557">
            <v>25</v>
          </cell>
          <cell r="K1557">
            <v>0</v>
          </cell>
          <cell r="L1557">
            <v>0.04</v>
          </cell>
          <cell r="M1557">
            <v>0</v>
          </cell>
          <cell r="N1557">
            <v>0</v>
          </cell>
          <cell r="O1557" t="str">
            <v>40V</v>
          </cell>
          <cell r="P1557" t="str">
            <v>1010</v>
          </cell>
          <cell r="Q1557">
            <v>1010</v>
          </cell>
          <cell r="R1557">
            <v>1.5999999999999999</v>
          </cell>
        </row>
        <row r="1558">
          <cell r="A1558" t="str">
            <v>Y013-021</v>
          </cell>
          <cell r="B1558" t="str">
            <v>LCT013-385</v>
          </cell>
          <cell r="C1558" t="str">
            <v>Y013</v>
          </cell>
          <cell r="D1558" t="str">
            <v>2AI1886600A1</v>
          </cell>
          <cell r="E1558" t="str">
            <v>角柱飾塊1，軟poly</v>
          </cell>
          <cell r="F1558" t="str">
            <v>40*40*5</v>
          </cell>
          <cell r="G1558">
            <v>40</v>
          </cell>
          <cell r="H1558">
            <v>40</v>
          </cell>
          <cell r="I1558">
            <v>5</v>
          </cell>
          <cell r="J1558">
            <v>15</v>
          </cell>
          <cell r="K1558">
            <v>0</v>
          </cell>
          <cell r="L1558">
            <v>3.5000000000000003E-2</v>
          </cell>
          <cell r="M1558">
            <v>0</v>
          </cell>
          <cell r="N1558">
            <v>0</v>
          </cell>
          <cell r="O1558" t="str">
            <v>40V</v>
          </cell>
          <cell r="P1558" t="str">
            <v>1010</v>
          </cell>
          <cell r="Q1558">
            <v>1010</v>
          </cell>
          <cell r="R1558">
            <v>2.3333333333333335</v>
          </cell>
        </row>
        <row r="1559">
          <cell r="A1559" t="str">
            <v>Y013-022</v>
          </cell>
          <cell r="B1559" t="str">
            <v>LCT013-386</v>
          </cell>
          <cell r="C1559" t="str">
            <v>Y013</v>
          </cell>
          <cell r="D1559" t="str">
            <v>2AI1886600A2</v>
          </cell>
          <cell r="E1559" t="str">
            <v>角柱飾塊2，軟poly</v>
          </cell>
          <cell r="F1559" t="str">
            <v>60*50*5</v>
          </cell>
          <cell r="G1559">
            <v>60</v>
          </cell>
          <cell r="H1559">
            <v>50</v>
          </cell>
          <cell r="I1559">
            <v>5</v>
          </cell>
          <cell r="J1559">
            <v>23</v>
          </cell>
          <cell r="K1559">
            <v>0</v>
          </cell>
          <cell r="L1559">
            <v>5.2999999999999999E-2</v>
          </cell>
          <cell r="M1559">
            <v>0</v>
          </cell>
          <cell r="N1559">
            <v>0</v>
          </cell>
          <cell r="O1559" t="str">
            <v>40V</v>
          </cell>
          <cell r="P1559" t="str">
            <v>1010</v>
          </cell>
          <cell r="Q1559">
            <v>1010</v>
          </cell>
          <cell r="R1559">
            <v>2.3043478260869565</v>
          </cell>
        </row>
        <row r="1560">
          <cell r="A1560" t="str">
            <v>Y013-023</v>
          </cell>
          <cell r="B1560" t="str">
            <v>LCT013-387</v>
          </cell>
          <cell r="C1560" t="str">
            <v>Y013</v>
          </cell>
          <cell r="D1560" t="str">
            <v>2AI1886600S3</v>
          </cell>
          <cell r="E1560" t="str">
            <v>角柱飾塊2，軟poly</v>
          </cell>
          <cell r="F1560" t="str">
            <v>47*47*5</v>
          </cell>
          <cell r="G1560">
            <v>47</v>
          </cell>
          <cell r="H1560">
            <v>47</v>
          </cell>
          <cell r="I1560">
            <v>5</v>
          </cell>
          <cell r="J1560">
            <v>20</v>
          </cell>
          <cell r="K1560">
            <v>0</v>
          </cell>
          <cell r="L1560">
            <v>3.5000000000000003E-2</v>
          </cell>
          <cell r="M1560">
            <v>0</v>
          </cell>
          <cell r="N1560">
            <v>0</v>
          </cell>
          <cell r="O1560" t="str">
            <v>40V</v>
          </cell>
          <cell r="P1560" t="str">
            <v>1010</v>
          </cell>
          <cell r="Q1560">
            <v>1010</v>
          </cell>
          <cell r="R1560">
            <v>1.7500000000000002</v>
          </cell>
        </row>
        <row r="1561">
          <cell r="A1561" t="str">
            <v>Y013-024</v>
          </cell>
          <cell r="B1561" t="str">
            <v>LCT013-388</v>
          </cell>
          <cell r="C1561" t="str">
            <v>Y013</v>
          </cell>
          <cell r="D1561" t="str">
            <v>2AI18868021</v>
          </cell>
          <cell r="E1561" t="str">
            <v>前框企柱上貼塊poly</v>
          </cell>
          <cell r="F1561" t="str">
            <v>64*64*64</v>
          </cell>
          <cell r="G1561">
            <v>64</v>
          </cell>
          <cell r="H1561">
            <v>64</v>
          </cell>
          <cell r="I1561">
            <v>64</v>
          </cell>
          <cell r="J1561">
            <v>120</v>
          </cell>
          <cell r="K1561">
            <v>0</v>
          </cell>
          <cell r="L1561">
            <v>0.36</v>
          </cell>
          <cell r="M1561">
            <v>0</v>
          </cell>
          <cell r="N1561">
            <v>60</v>
          </cell>
          <cell r="O1561" t="str">
            <v>40V</v>
          </cell>
          <cell r="P1561" t="str">
            <v>1010</v>
          </cell>
          <cell r="Q1561">
            <v>1010</v>
          </cell>
          <cell r="R1561">
            <v>3</v>
          </cell>
        </row>
        <row r="1562">
          <cell r="A1562" t="str">
            <v>Y013-025</v>
          </cell>
          <cell r="B1562" t="str">
            <v>LCT013-389</v>
          </cell>
          <cell r="C1562" t="str">
            <v>Y013</v>
          </cell>
          <cell r="D1562" t="str">
            <v>2AI18868022</v>
          </cell>
          <cell r="E1562" t="str">
            <v>側板后上貼塊，poly</v>
          </cell>
          <cell r="F1562" t="str">
            <v>64*46*18</v>
          </cell>
          <cell r="G1562">
            <v>64</v>
          </cell>
          <cell r="H1562">
            <v>46</v>
          </cell>
          <cell r="I1562">
            <v>18</v>
          </cell>
          <cell r="J1562">
            <v>48</v>
          </cell>
          <cell r="K1562">
            <v>0</v>
          </cell>
          <cell r="L1562">
            <v>0.18</v>
          </cell>
          <cell r="M1562">
            <v>0</v>
          </cell>
          <cell r="N1562">
            <v>15</v>
          </cell>
          <cell r="O1562" t="str">
            <v>40V</v>
          </cell>
          <cell r="P1562" t="str">
            <v>1010</v>
          </cell>
          <cell r="Q1562">
            <v>1010</v>
          </cell>
          <cell r="R1562">
            <v>3.75</v>
          </cell>
        </row>
        <row r="1563">
          <cell r="A1563" t="str">
            <v>Y013-026</v>
          </cell>
          <cell r="B1563" t="str">
            <v>LCT013-399</v>
          </cell>
          <cell r="C1563" t="str">
            <v>Y013</v>
          </cell>
          <cell r="D1563" t="str">
            <v>2A1RF1000KFB1</v>
          </cell>
          <cell r="E1563" t="str">
            <v>床尾企柱饰块</v>
          </cell>
          <cell r="F1563" t="str">
            <v>70*51*10</v>
          </cell>
          <cell r="G1563">
            <v>70</v>
          </cell>
          <cell r="H1563">
            <v>51</v>
          </cell>
          <cell r="I1563">
            <v>10</v>
          </cell>
          <cell r="J1563">
            <v>45</v>
          </cell>
          <cell r="K1563">
            <v>0</v>
          </cell>
          <cell r="L1563">
            <v>0.11</v>
          </cell>
          <cell r="M1563">
            <v>0</v>
          </cell>
          <cell r="N1563">
            <v>0</v>
          </cell>
          <cell r="O1563" t="str">
            <v>40V</v>
          </cell>
          <cell r="P1563" t="str">
            <v>1010</v>
          </cell>
          <cell r="Q1563">
            <v>1010</v>
          </cell>
          <cell r="R1563">
            <v>2.4444444444444446</v>
          </cell>
        </row>
        <row r="1564">
          <cell r="A1564" t="str">
            <v>Y013-027</v>
          </cell>
          <cell r="B1564" t="str">
            <v>LCT013-400</v>
          </cell>
          <cell r="C1564" t="str">
            <v>Y013</v>
          </cell>
          <cell r="D1564" t="str">
            <v>2A11025762001</v>
          </cell>
          <cell r="E1564" t="str">
            <v>前立水上下饰条</v>
          </cell>
          <cell r="F1564" t="str">
            <v>65*8*5</v>
          </cell>
          <cell r="G1564">
            <v>65</v>
          </cell>
          <cell r="H1564">
            <v>8</v>
          </cell>
          <cell r="I1564">
            <v>5</v>
          </cell>
          <cell r="J1564">
            <v>10</v>
          </cell>
          <cell r="K1564">
            <v>0</v>
          </cell>
          <cell r="L1564">
            <v>0.03</v>
          </cell>
          <cell r="M1564">
            <v>0</v>
          </cell>
          <cell r="N1564">
            <v>0</v>
          </cell>
          <cell r="O1564" t="str">
            <v>40V</v>
          </cell>
          <cell r="P1564" t="str">
            <v>1010</v>
          </cell>
          <cell r="Q1564">
            <v>1010</v>
          </cell>
          <cell r="R1564">
            <v>3</v>
          </cell>
        </row>
        <row r="1565">
          <cell r="A1565" t="str">
            <v>Y013-028</v>
          </cell>
          <cell r="B1565" t="str">
            <v>LCT013-401</v>
          </cell>
          <cell r="C1565" t="str">
            <v>Y013</v>
          </cell>
          <cell r="D1565" t="str">
            <v>2A11180T05J181</v>
          </cell>
          <cell r="E1565" t="str">
            <v>侧立水飾條poly</v>
          </cell>
          <cell r="F1565" t="str">
            <v>591*12*5</v>
          </cell>
          <cell r="G1565">
            <v>591</v>
          </cell>
          <cell r="H1565">
            <v>12</v>
          </cell>
          <cell r="I1565">
            <v>5</v>
          </cell>
          <cell r="J1565">
            <v>0</v>
          </cell>
          <cell r="K1565">
            <v>0</v>
          </cell>
          <cell r="L1565">
            <v>0.13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 t="e">
            <v>#DIV/0!</v>
          </cell>
        </row>
        <row r="1566">
          <cell r="A1566" t="str">
            <v>Y013-029</v>
          </cell>
          <cell r="B1566" t="str">
            <v>LCT013-402</v>
          </cell>
          <cell r="C1566" t="str">
            <v>Y013</v>
          </cell>
          <cell r="D1566" t="str">
            <v>2A11180T05J182</v>
          </cell>
          <cell r="E1566" t="str">
            <v>后立水飾條poly</v>
          </cell>
          <cell r="F1566" t="str">
            <v>1023*12*5</v>
          </cell>
          <cell r="G1566">
            <v>1023</v>
          </cell>
          <cell r="H1566">
            <v>12</v>
          </cell>
          <cell r="I1566">
            <v>5</v>
          </cell>
          <cell r="J1566">
            <v>0</v>
          </cell>
          <cell r="K1566">
            <v>0</v>
          </cell>
          <cell r="L1566">
            <v>0.27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 t="e">
            <v>#DIV/0!</v>
          </cell>
        </row>
        <row r="1567">
          <cell r="A1567" t="str">
            <v>Y013-030</v>
          </cell>
          <cell r="B1567" t="str">
            <v>LCT013-403</v>
          </cell>
          <cell r="C1567" t="str">
            <v>Y013</v>
          </cell>
          <cell r="D1567" t="str">
            <v>2A179013281</v>
          </cell>
          <cell r="E1567" t="str">
            <v>床頭版角飾條</v>
          </cell>
          <cell r="F1567" t="str">
            <v>202*8*4</v>
          </cell>
          <cell r="G1567">
            <v>202</v>
          </cell>
          <cell r="H1567">
            <v>8</v>
          </cell>
          <cell r="I1567">
            <v>4</v>
          </cell>
          <cell r="J1567">
            <v>0</v>
          </cell>
          <cell r="K1567">
            <v>0</v>
          </cell>
          <cell r="L1567">
            <v>0.04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 t="e">
            <v>#DIV/0!</v>
          </cell>
        </row>
        <row r="1568">
          <cell r="A1568" t="str">
            <v>Y013-031</v>
          </cell>
          <cell r="B1568" t="str">
            <v>LCT013-404</v>
          </cell>
          <cell r="C1568" t="str">
            <v>Y013</v>
          </cell>
          <cell r="D1568" t="str">
            <v>2A179033121</v>
          </cell>
          <cell r="E1568" t="str">
            <v>床头上企柱饰块poly</v>
          </cell>
          <cell r="F1568" t="str">
            <v>55*55*10</v>
          </cell>
          <cell r="G1568">
            <v>55</v>
          </cell>
          <cell r="H1568">
            <v>55</v>
          </cell>
          <cell r="I1568">
            <v>10</v>
          </cell>
          <cell r="J1568">
            <v>0</v>
          </cell>
          <cell r="K1568">
            <v>0</v>
          </cell>
          <cell r="L1568">
            <v>0.19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 t="e">
            <v>#DIV/0!</v>
          </cell>
        </row>
        <row r="1569">
          <cell r="A1569" t="str">
            <v>Y013-032</v>
          </cell>
          <cell r="B1569" t="str">
            <v>LCT013-405</v>
          </cell>
          <cell r="C1569" t="str">
            <v>Y013</v>
          </cell>
          <cell r="D1569" t="str">
            <v>2A1H32A7MR00A01W</v>
          </cell>
          <cell r="E1569" t="str">
            <v>镜框软poly</v>
          </cell>
          <cell r="F1569" t="str">
            <v>813*813*38</v>
          </cell>
          <cell r="G1569">
            <v>813</v>
          </cell>
          <cell r="H1569">
            <v>813</v>
          </cell>
          <cell r="I1569">
            <v>38</v>
          </cell>
          <cell r="J1569">
            <v>0</v>
          </cell>
          <cell r="K1569">
            <v>0</v>
          </cell>
          <cell r="L1569">
            <v>5.3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 t="e">
            <v>#DIV/0!</v>
          </cell>
        </row>
        <row r="1570">
          <cell r="A1570" t="str">
            <v>Y013-033</v>
          </cell>
          <cell r="B1570" t="str">
            <v>LCT013-406</v>
          </cell>
          <cell r="C1570" t="str">
            <v>Y013</v>
          </cell>
          <cell r="D1570" t="str">
            <v>2A15041903681</v>
          </cell>
          <cell r="E1570" t="str">
            <v>床尾肚板下饰条 右</v>
          </cell>
          <cell r="F1570" t="str">
            <v>279*142*38</v>
          </cell>
          <cell r="G1570">
            <v>279</v>
          </cell>
          <cell r="H1570">
            <v>142</v>
          </cell>
          <cell r="I1570">
            <v>38</v>
          </cell>
          <cell r="J1570">
            <v>0</v>
          </cell>
          <cell r="K1570">
            <v>0</v>
          </cell>
          <cell r="L1570">
            <v>0.73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 t="e">
            <v>#DIV/0!</v>
          </cell>
        </row>
        <row r="1571">
          <cell r="A1571" t="str">
            <v>Y013-034</v>
          </cell>
          <cell r="B1571" t="str">
            <v>LCT013-407</v>
          </cell>
          <cell r="C1571" t="str">
            <v>Y013</v>
          </cell>
          <cell r="D1571" t="str">
            <v>2A1199300B1</v>
          </cell>
          <cell r="E1571" t="str">
            <v>上抽面饰框</v>
          </cell>
          <cell r="F1571" t="str">
            <v>465*160*59</v>
          </cell>
          <cell r="G1571">
            <v>465</v>
          </cell>
          <cell r="H1571">
            <v>160</v>
          </cell>
          <cell r="I1571">
            <v>59</v>
          </cell>
          <cell r="J1571">
            <v>0</v>
          </cell>
          <cell r="K1571">
            <v>0</v>
          </cell>
          <cell r="L1571">
            <v>1.1499999999999999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 t="e">
            <v>#DIV/0!</v>
          </cell>
        </row>
        <row r="1572">
          <cell r="A1572" t="str">
            <v>Y013-035</v>
          </cell>
          <cell r="B1572" t="str">
            <v>LCT013-408</v>
          </cell>
          <cell r="C1572" t="str">
            <v>Y013</v>
          </cell>
          <cell r="D1572" t="str">
            <v>2A1199300B2</v>
          </cell>
          <cell r="E1572" t="str">
            <v>下抽面饰框</v>
          </cell>
          <cell r="F1572" t="str">
            <v>465*338*59</v>
          </cell>
          <cell r="G1572">
            <v>465</v>
          </cell>
          <cell r="H1572">
            <v>338</v>
          </cell>
          <cell r="I1572">
            <v>59</v>
          </cell>
          <cell r="J1572">
            <v>520</v>
          </cell>
          <cell r="K1572">
            <v>0</v>
          </cell>
          <cell r="L1572">
            <v>1.46</v>
          </cell>
          <cell r="M1572">
            <v>0</v>
          </cell>
          <cell r="N1572">
            <v>0</v>
          </cell>
          <cell r="O1572" t="str">
            <v>40V</v>
          </cell>
          <cell r="P1572" t="str">
            <v>1010</v>
          </cell>
          <cell r="Q1572">
            <v>1010</v>
          </cell>
          <cell r="R1572">
            <v>2.8076923076923075</v>
          </cell>
        </row>
        <row r="1573">
          <cell r="A1573" t="str">
            <v>Y013-036</v>
          </cell>
          <cell r="B1573" t="str">
            <v>LCT013-409</v>
          </cell>
          <cell r="C1573" t="str">
            <v>Y013</v>
          </cell>
          <cell r="D1573" t="str">
            <v>2A1199300T2</v>
          </cell>
          <cell r="E1573" t="str">
            <v>侧抽面饰框</v>
          </cell>
          <cell r="F1573" t="str">
            <v>465*96*59</v>
          </cell>
          <cell r="G1573">
            <v>465</v>
          </cell>
          <cell r="H1573">
            <v>96</v>
          </cell>
          <cell r="I1573">
            <v>59</v>
          </cell>
          <cell r="J1573">
            <v>0</v>
          </cell>
          <cell r="K1573">
            <v>0</v>
          </cell>
          <cell r="L1573">
            <v>1.0900000000000001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 t="e">
            <v>#DIV/0!</v>
          </cell>
        </row>
        <row r="1574">
          <cell r="A1574" t="str">
            <v>Y013-037</v>
          </cell>
          <cell r="B1574" t="str">
            <v>LCT013-410</v>
          </cell>
          <cell r="C1574" t="str">
            <v>Y013</v>
          </cell>
          <cell r="D1574" t="str">
            <v>2A11993051</v>
          </cell>
          <cell r="E1574" t="str">
            <v>左上抽面饰框</v>
          </cell>
          <cell r="F1574" t="str">
            <v>380*96*57</v>
          </cell>
          <cell r="G1574">
            <v>380</v>
          </cell>
          <cell r="H1574">
            <v>96</v>
          </cell>
          <cell r="I1574">
            <v>57</v>
          </cell>
          <cell r="J1574">
            <v>0</v>
          </cell>
          <cell r="K1574">
            <v>0</v>
          </cell>
          <cell r="L1574">
            <v>0.84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 t="e">
            <v>#DIV/0!</v>
          </cell>
        </row>
        <row r="1575">
          <cell r="A1575" t="str">
            <v>Y013-038</v>
          </cell>
          <cell r="B1575" t="str">
            <v>LCT013-411</v>
          </cell>
          <cell r="C1575" t="str">
            <v>Y013</v>
          </cell>
          <cell r="D1575" t="str">
            <v>2A11993052</v>
          </cell>
          <cell r="E1575" t="str">
            <v>中上抽面饰框</v>
          </cell>
          <cell r="F1575" t="str">
            <v>380*160*57</v>
          </cell>
          <cell r="G1575">
            <v>380</v>
          </cell>
          <cell r="H1575">
            <v>160</v>
          </cell>
          <cell r="I1575">
            <v>57</v>
          </cell>
          <cell r="J1575">
            <v>0</v>
          </cell>
          <cell r="K1575">
            <v>0</v>
          </cell>
          <cell r="L1575">
            <v>0.96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 t="e">
            <v>#DIV/0!</v>
          </cell>
        </row>
        <row r="1576">
          <cell r="A1576" t="str">
            <v>Y013-039</v>
          </cell>
          <cell r="B1576" t="str">
            <v>LCT013-412</v>
          </cell>
          <cell r="C1576" t="str">
            <v>Y013</v>
          </cell>
          <cell r="D1576" t="str">
            <v>2A11993053</v>
          </cell>
          <cell r="E1576" t="str">
            <v>右上抽面饰框</v>
          </cell>
          <cell r="F1576" t="str">
            <v>380*338*57</v>
          </cell>
          <cell r="G1576">
            <v>380</v>
          </cell>
          <cell r="H1576">
            <v>338</v>
          </cell>
          <cell r="I1576">
            <v>57</v>
          </cell>
          <cell r="J1576">
            <v>0</v>
          </cell>
          <cell r="K1576">
            <v>0</v>
          </cell>
          <cell r="L1576">
            <v>1.24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 t="e">
            <v>#DIV/0!</v>
          </cell>
        </row>
        <row r="1577">
          <cell r="A1577" t="str">
            <v>Y013-040</v>
          </cell>
          <cell r="B1577" t="str">
            <v>LCT013-413</v>
          </cell>
          <cell r="C1577" t="str">
            <v>Y013</v>
          </cell>
          <cell r="D1577" t="str">
            <v>2A11993311</v>
          </cell>
          <cell r="E1577" t="str">
            <v>上抽面上饰框</v>
          </cell>
          <cell r="F1577" t="str">
            <v>887*99*64</v>
          </cell>
          <cell r="G1577">
            <v>887</v>
          </cell>
          <cell r="H1577">
            <v>99</v>
          </cell>
          <cell r="I1577">
            <v>64</v>
          </cell>
          <cell r="J1577">
            <v>665</v>
          </cell>
          <cell r="K1577">
            <v>0</v>
          </cell>
          <cell r="L1577">
            <v>1.86</v>
          </cell>
          <cell r="M1577">
            <v>0</v>
          </cell>
          <cell r="N1577">
            <v>0</v>
          </cell>
          <cell r="O1577" t="str">
            <v>40V</v>
          </cell>
          <cell r="P1577" t="str">
            <v>1010</v>
          </cell>
          <cell r="Q1577">
            <v>1010</v>
          </cell>
          <cell r="R1577">
            <v>2.7969924812030076</v>
          </cell>
        </row>
        <row r="1578">
          <cell r="A1578" t="str">
            <v>Y013-041</v>
          </cell>
          <cell r="B1578" t="str">
            <v>LCT013-414</v>
          </cell>
          <cell r="C1578" t="str">
            <v>Y013</v>
          </cell>
          <cell r="D1578" t="str">
            <v>2A11993312</v>
          </cell>
          <cell r="E1578" t="str">
            <v>上抽面下饰框</v>
          </cell>
          <cell r="F1578" t="str">
            <v>887*164*64</v>
          </cell>
          <cell r="G1578">
            <v>887</v>
          </cell>
          <cell r="H1578">
            <v>164</v>
          </cell>
          <cell r="I1578">
            <v>64</v>
          </cell>
          <cell r="J1578">
            <v>730</v>
          </cell>
          <cell r="K1578">
            <v>0</v>
          </cell>
          <cell r="L1578">
            <v>2.0499999999999998</v>
          </cell>
          <cell r="M1578">
            <v>0</v>
          </cell>
          <cell r="N1578">
            <v>0</v>
          </cell>
          <cell r="O1578" t="str">
            <v>40V</v>
          </cell>
          <cell r="P1578" t="str">
            <v>1010</v>
          </cell>
          <cell r="Q1578">
            <v>1010</v>
          </cell>
          <cell r="R1578">
            <v>2.8082191780821915</v>
          </cell>
        </row>
        <row r="1579">
          <cell r="A1579" t="str">
            <v>Y013-042</v>
          </cell>
          <cell r="B1579" t="str">
            <v>LCT013-415</v>
          </cell>
          <cell r="C1579" t="str">
            <v>Y013</v>
          </cell>
          <cell r="D1579" t="str">
            <v>2A11993313</v>
          </cell>
          <cell r="E1579" t="str">
            <v>下抽面饰框</v>
          </cell>
          <cell r="F1579" t="str">
            <v>887*337*64</v>
          </cell>
          <cell r="G1579">
            <v>887</v>
          </cell>
          <cell r="H1579">
            <v>337</v>
          </cell>
          <cell r="I1579">
            <v>64</v>
          </cell>
          <cell r="J1579">
            <v>805</v>
          </cell>
          <cell r="K1579">
            <v>0</v>
          </cell>
          <cell r="L1579">
            <v>2.2599999999999998</v>
          </cell>
          <cell r="M1579">
            <v>0</v>
          </cell>
          <cell r="N1579">
            <v>0</v>
          </cell>
          <cell r="O1579" t="str">
            <v>40V</v>
          </cell>
          <cell r="P1579" t="str">
            <v>1010</v>
          </cell>
          <cell r="Q1579">
            <v>1010</v>
          </cell>
          <cell r="R1579">
            <v>2.8074534161490678</v>
          </cell>
        </row>
        <row r="1580">
          <cell r="A1580" t="str">
            <v>Y013-043</v>
          </cell>
          <cell r="B1580" t="str">
            <v>LCT013-416</v>
          </cell>
          <cell r="C1580" t="str">
            <v>Y013</v>
          </cell>
          <cell r="D1580" t="str">
            <v>2A119960WD4</v>
          </cell>
          <cell r="E1580" t="str">
            <v>上抽饰框</v>
          </cell>
          <cell r="F1580" t="str">
            <v>299*108*54</v>
          </cell>
          <cell r="G1580">
            <v>299</v>
          </cell>
          <cell r="H1580">
            <v>108</v>
          </cell>
          <cell r="I1580">
            <v>54</v>
          </cell>
          <cell r="J1580">
            <v>0</v>
          </cell>
          <cell r="K1580">
            <v>0</v>
          </cell>
          <cell r="L1580">
            <v>0.96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 t="e">
            <v>#DIV/0!</v>
          </cell>
        </row>
        <row r="1581">
          <cell r="A1581" t="str">
            <v>Y013-044</v>
          </cell>
          <cell r="B1581" t="str">
            <v>LCT013-417</v>
          </cell>
          <cell r="C1581" t="str">
            <v>Y013</v>
          </cell>
          <cell r="D1581" t="str">
            <v>2A119960WD5</v>
          </cell>
          <cell r="E1581" t="str">
            <v>下抽饰框</v>
          </cell>
          <cell r="F1581" t="str">
            <v>299*287*54</v>
          </cell>
          <cell r="G1581">
            <v>299</v>
          </cell>
          <cell r="H1581">
            <v>287</v>
          </cell>
          <cell r="I1581">
            <v>54</v>
          </cell>
          <cell r="J1581">
            <v>0</v>
          </cell>
          <cell r="K1581">
            <v>0</v>
          </cell>
          <cell r="L1581">
            <v>1.96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 t="e">
            <v>#DIV/0!</v>
          </cell>
        </row>
        <row r="1582">
          <cell r="A1582" t="str">
            <v>Y013-045</v>
          </cell>
          <cell r="B1582" t="str">
            <v>LCT013-418</v>
          </cell>
          <cell r="C1582" t="str">
            <v>Y013</v>
          </cell>
          <cell r="D1582" t="str">
            <v>2A119960WD1</v>
          </cell>
          <cell r="E1582" t="str">
            <v>侧贴板</v>
          </cell>
          <cell r="F1582" t="str">
            <v>355*104*14</v>
          </cell>
          <cell r="G1582">
            <v>355</v>
          </cell>
          <cell r="H1582">
            <v>104</v>
          </cell>
          <cell r="I1582">
            <v>14</v>
          </cell>
          <cell r="J1582">
            <v>0</v>
          </cell>
          <cell r="K1582">
            <v>0</v>
          </cell>
          <cell r="L1582">
            <v>1.54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 t="e">
            <v>#DIV/0!</v>
          </cell>
        </row>
        <row r="1583">
          <cell r="A1583" t="str">
            <v>Y013-046</v>
          </cell>
          <cell r="B1583" t="str">
            <v>LCT013-419</v>
          </cell>
          <cell r="C1583" t="str">
            <v>Y013</v>
          </cell>
          <cell r="D1583" t="str">
            <v>2A11743358</v>
          </cell>
          <cell r="E1583" t="str">
            <v>左测板中饰条3.poly</v>
          </cell>
          <cell r="F1583" t="str">
            <v>442*32*18</v>
          </cell>
          <cell r="G1583">
            <v>442</v>
          </cell>
          <cell r="H1583">
            <v>32</v>
          </cell>
          <cell r="I1583">
            <v>18</v>
          </cell>
          <cell r="J1583">
            <v>340</v>
          </cell>
          <cell r="K1583">
            <v>0</v>
          </cell>
          <cell r="L1583">
            <v>0.95</v>
          </cell>
          <cell r="M1583">
            <v>0</v>
          </cell>
          <cell r="N1583">
            <v>0</v>
          </cell>
          <cell r="O1583" t="str">
            <v>40V</v>
          </cell>
          <cell r="P1583" t="str">
            <v>1010</v>
          </cell>
          <cell r="Q1583">
            <v>1010</v>
          </cell>
          <cell r="R1583">
            <v>2.7941176470588234</v>
          </cell>
        </row>
        <row r="1584">
          <cell r="A1584" t="str">
            <v>Y013-047</v>
          </cell>
          <cell r="B1584" t="str">
            <v>LCT013-420</v>
          </cell>
          <cell r="C1584" t="str">
            <v>Y013</v>
          </cell>
          <cell r="D1584" t="str">
            <v>2A11743358</v>
          </cell>
          <cell r="E1584" t="str">
            <v>右测板中饰条3.poly</v>
          </cell>
          <cell r="F1584" t="str">
            <v>442*32*18</v>
          </cell>
          <cell r="G1584">
            <v>442</v>
          </cell>
          <cell r="H1584">
            <v>22</v>
          </cell>
          <cell r="I1584">
            <v>18</v>
          </cell>
          <cell r="J1584">
            <v>0</v>
          </cell>
          <cell r="K1584">
            <v>0</v>
          </cell>
          <cell r="L1584">
            <v>0.95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 t="e">
            <v>#DIV/0!</v>
          </cell>
        </row>
        <row r="1585">
          <cell r="A1585" t="str">
            <v>Y013-048</v>
          </cell>
          <cell r="B1585" t="str">
            <v>LCT013-421</v>
          </cell>
          <cell r="C1585" t="str">
            <v>Y013</v>
          </cell>
          <cell r="D1585" t="str">
            <v>2A10795911</v>
          </cell>
          <cell r="E1585" t="str">
            <v>前框转角饰块，硬POLY-L</v>
          </cell>
          <cell r="F1585" t="str">
            <v>81*81*54</v>
          </cell>
          <cell r="G1585">
            <v>81</v>
          </cell>
          <cell r="H1585">
            <v>81</v>
          </cell>
          <cell r="I1585">
            <v>54</v>
          </cell>
          <cell r="J1585">
            <v>150</v>
          </cell>
          <cell r="K1585">
            <v>0</v>
          </cell>
          <cell r="L1585">
            <v>0.84</v>
          </cell>
          <cell r="M1585">
            <v>0</v>
          </cell>
          <cell r="N1585">
            <v>100</v>
          </cell>
          <cell r="O1585" t="str">
            <v>40V</v>
          </cell>
          <cell r="P1585" t="str">
            <v>1010</v>
          </cell>
          <cell r="Q1585">
            <v>1010</v>
          </cell>
          <cell r="R1585">
            <v>5.6</v>
          </cell>
        </row>
        <row r="1586">
          <cell r="A1586" t="str">
            <v>Y013-049</v>
          </cell>
          <cell r="B1586" t="str">
            <v>LCT013-422</v>
          </cell>
          <cell r="C1586" t="str">
            <v>Y013</v>
          </cell>
          <cell r="D1586" t="str">
            <v>2A10795921</v>
          </cell>
          <cell r="E1586" t="str">
            <v>前框企柱饰块1，硬POLY</v>
          </cell>
          <cell r="F1586" t="str">
            <v>123*77*31</v>
          </cell>
          <cell r="G1586">
            <v>123</v>
          </cell>
          <cell r="H1586">
            <v>77</v>
          </cell>
          <cell r="I1586">
            <v>31</v>
          </cell>
          <cell r="J1586">
            <v>170</v>
          </cell>
          <cell r="K1586">
            <v>0</v>
          </cell>
          <cell r="L1586">
            <v>0.45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2.6470588235294117</v>
          </cell>
        </row>
        <row r="1587">
          <cell r="A1587" t="str">
            <v>Y013-050</v>
          </cell>
          <cell r="B1587" t="str">
            <v>LCT013-423</v>
          </cell>
          <cell r="C1587" t="str">
            <v>Y013</v>
          </cell>
          <cell r="D1587" t="str">
            <v>2A10795922</v>
          </cell>
          <cell r="E1587" t="str">
            <v>硬POLY</v>
          </cell>
          <cell r="F1587" t="str">
            <v>520*32*27</v>
          </cell>
          <cell r="G1587">
            <v>520</v>
          </cell>
          <cell r="H1587">
            <v>32</v>
          </cell>
          <cell r="I1587">
            <v>27</v>
          </cell>
          <cell r="J1587">
            <v>150</v>
          </cell>
          <cell r="K1587">
            <v>0</v>
          </cell>
          <cell r="L1587">
            <v>0.95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6.333333333333333</v>
          </cell>
        </row>
        <row r="1588">
          <cell r="A1588" t="str">
            <v>Y013-051</v>
          </cell>
          <cell r="B1588" t="str">
            <v>LCT013-424</v>
          </cell>
          <cell r="C1588" t="str">
            <v>Y013</v>
          </cell>
          <cell r="D1588" t="str">
            <v>2A10795931</v>
          </cell>
          <cell r="E1588" t="str">
            <v>前框中柱，硬POLY</v>
          </cell>
          <cell r="F1588" t="str">
            <v>207*32*27</v>
          </cell>
          <cell r="G1588">
            <v>207</v>
          </cell>
          <cell r="H1588">
            <v>32</v>
          </cell>
          <cell r="I1588">
            <v>27</v>
          </cell>
          <cell r="J1588">
            <v>80</v>
          </cell>
          <cell r="K1588">
            <v>0</v>
          </cell>
          <cell r="L1588">
            <v>0.4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5</v>
          </cell>
        </row>
        <row r="1589">
          <cell r="A1589" t="str">
            <v>Y013-052</v>
          </cell>
          <cell r="B1589" t="str">
            <v>LCT013-425</v>
          </cell>
          <cell r="C1589" t="str">
            <v>Y013</v>
          </cell>
          <cell r="D1589" t="str">
            <v>2A10795941</v>
          </cell>
          <cell r="E1589" t="str">
            <v>立水框企柱,POLY</v>
          </cell>
          <cell r="F1589" t="str">
            <v>87*68*68</v>
          </cell>
          <cell r="G1589">
            <v>87</v>
          </cell>
          <cell r="H1589">
            <v>68</v>
          </cell>
          <cell r="I1589">
            <v>68</v>
          </cell>
          <cell r="J1589">
            <v>180</v>
          </cell>
          <cell r="K1589">
            <v>0</v>
          </cell>
          <cell r="L1589">
            <v>0.98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5.4444444444444446</v>
          </cell>
        </row>
        <row r="1590">
          <cell r="A1590" t="str">
            <v>Y013-053</v>
          </cell>
          <cell r="B1590" t="str">
            <v>LCT013-426</v>
          </cell>
          <cell r="C1590" t="str">
            <v>Y013</v>
          </cell>
          <cell r="D1590" t="str">
            <v>2A10795912</v>
          </cell>
          <cell r="E1590" t="str">
            <v>前框转角饰块，硬POLY-R</v>
          </cell>
          <cell r="F1590" t="str">
            <v>81*81*54</v>
          </cell>
          <cell r="G1590">
            <v>81</v>
          </cell>
          <cell r="H1590">
            <v>81</v>
          </cell>
          <cell r="I1590">
            <v>54</v>
          </cell>
          <cell r="J1590">
            <v>150</v>
          </cell>
          <cell r="K1590">
            <v>0</v>
          </cell>
          <cell r="L1590">
            <v>0.84</v>
          </cell>
          <cell r="M1590">
            <v>0</v>
          </cell>
          <cell r="N1590">
            <v>100</v>
          </cell>
          <cell r="O1590" t="str">
            <v>40V</v>
          </cell>
          <cell r="P1590" t="str">
            <v>1010</v>
          </cell>
          <cell r="Q1590">
            <v>1010</v>
          </cell>
          <cell r="R1590">
            <v>5.6</v>
          </cell>
        </row>
        <row r="1591">
          <cell r="A1591" t="str">
            <v>Y013-054</v>
          </cell>
          <cell r="B1591" t="str">
            <v>LCT013-433</v>
          </cell>
          <cell r="C1591" t="str">
            <v>Y013</v>
          </cell>
          <cell r="D1591" t="str">
            <v>2A16342A1</v>
          </cell>
          <cell r="E1591" t="str">
            <v>飾條，軟POLY</v>
          </cell>
          <cell r="F1591" t="str">
            <v>65*65*12*12MM</v>
          </cell>
          <cell r="G1591" t="str">
            <v>65*65</v>
          </cell>
          <cell r="H1591">
            <v>12</v>
          </cell>
          <cell r="I1591">
            <v>12</v>
          </cell>
          <cell r="J1591">
            <v>0</v>
          </cell>
          <cell r="K1591">
            <v>0</v>
          </cell>
          <cell r="L1591">
            <v>0.12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 t="e">
            <v>#DIV/0!</v>
          </cell>
        </row>
        <row r="1592">
          <cell r="A1592" t="str">
            <v>Y013-055</v>
          </cell>
          <cell r="B1592" t="str">
            <v>LCT013-248</v>
          </cell>
          <cell r="C1592" t="str">
            <v>Y013</v>
          </cell>
          <cell r="D1592" t="str">
            <v>2A179627002</v>
          </cell>
          <cell r="E1592" t="str">
            <v>Poly</v>
          </cell>
          <cell r="F1592" t="str">
            <v>457*64*29</v>
          </cell>
          <cell r="G1592">
            <v>457</v>
          </cell>
          <cell r="H1592">
            <v>64</v>
          </cell>
          <cell r="I1592">
            <v>29</v>
          </cell>
          <cell r="J1592">
            <v>390</v>
          </cell>
          <cell r="K1592">
            <v>0</v>
          </cell>
          <cell r="L1592">
            <v>1.0669999999999999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2.7358974358974355</v>
          </cell>
        </row>
        <row r="1593">
          <cell r="A1593" t="str">
            <v>Y013-056</v>
          </cell>
          <cell r="B1593" t="str">
            <v>LCT013-320</v>
          </cell>
          <cell r="C1593" t="str">
            <v>Y013</v>
          </cell>
          <cell r="D1593" t="str">
            <v>2A11025910021</v>
          </cell>
          <cell r="E1593" t="str">
            <v>上侧抽面板外上/下飾條</v>
          </cell>
          <cell r="F1593" t="str">
            <v>384*25*15</v>
          </cell>
          <cell r="G1593">
            <v>384</v>
          </cell>
          <cell r="H1593">
            <v>25</v>
          </cell>
          <cell r="I1593">
            <v>15</v>
          </cell>
          <cell r="J1593">
            <v>195</v>
          </cell>
          <cell r="K1593">
            <v>0</v>
          </cell>
          <cell r="L1593">
            <v>0.45900000000000002</v>
          </cell>
          <cell r="M1593">
            <v>0</v>
          </cell>
          <cell r="N1593">
            <v>0</v>
          </cell>
          <cell r="O1593" t="str">
            <v>40V</v>
          </cell>
          <cell r="P1593" t="str">
            <v>1010</v>
          </cell>
          <cell r="Q1593">
            <v>1010</v>
          </cell>
          <cell r="R1593">
            <v>2.3538461538461539</v>
          </cell>
        </row>
        <row r="1594">
          <cell r="A1594" t="str">
            <v>Y013-057</v>
          </cell>
          <cell r="B1594" t="str">
            <v>LCT013-321</v>
          </cell>
          <cell r="C1594" t="str">
            <v>Y013</v>
          </cell>
          <cell r="D1594" t="str">
            <v>2A11025910022</v>
          </cell>
          <cell r="E1594" t="str">
            <v>上侧抽面板外豎饰条</v>
          </cell>
          <cell r="F1594" t="str">
            <v>263*25*15</v>
          </cell>
          <cell r="G1594">
            <v>263</v>
          </cell>
          <cell r="H1594">
            <v>25</v>
          </cell>
          <cell r="I1594">
            <v>15</v>
          </cell>
          <cell r="J1594">
            <v>140</v>
          </cell>
          <cell r="K1594">
            <v>0</v>
          </cell>
          <cell r="L1594">
            <v>0.315</v>
          </cell>
          <cell r="M1594">
            <v>0</v>
          </cell>
          <cell r="N1594">
            <v>0</v>
          </cell>
          <cell r="O1594" t="str">
            <v>40V</v>
          </cell>
          <cell r="P1594" t="str">
            <v>1010</v>
          </cell>
          <cell r="Q1594">
            <v>1010</v>
          </cell>
          <cell r="R1594">
            <v>2.25</v>
          </cell>
        </row>
        <row r="1595">
          <cell r="A1595" t="str">
            <v>Y013-058</v>
          </cell>
          <cell r="B1595" t="str">
            <v>LCT013-322</v>
          </cell>
          <cell r="C1595" t="str">
            <v>Y013</v>
          </cell>
          <cell r="D1595" t="str">
            <v>2A11025910023</v>
          </cell>
          <cell r="E1595" t="str">
            <v>上中抽面板外上/下飾條</v>
          </cell>
          <cell r="F1595" t="str">
            <v>744*25*15</v>
          </cell>
          <cell r="G1595">
            <v>744</v>
          </cell>
          <cell r="H1595">
            <v>25</v>
          </cell>
          <cell r="I1595">
            <v>15</v>
          </cell>
          <cell r="J1595">
            <v>355</v>
          </cell>
          <cell r="K1595">
            <v>0</v>
          </cell>
          <cell r="L1595">
            <v>0.89</v>
          </cell>
          <cell r="M1595">
            <v>0</v>
          </cell>
          <cell r="N1595">
            <v>0</v>
          </cell>
          <cell r="O1595" t="str">
            <v>40V</v>
          </cell>
          <cell r="P1595" t="str">
            <v>1010</v>
          </cell>
          <cell r="Q1595">
            <v>1010</v>
          </cell>
          <cell r="R1595">
            <v>2.507042253521127</v>
          </cell>
        </row>
        <row r="1596">
          <cell r="A1596" t="str">
            <v>Y013-059</v>
          </cell>
          <cell r="B1596" t="str">
            <v>LCT013-323</v>
          </cell>
          <cell r="C1596" t="str">
            <v>Y013</v>
          </cell>
          <cell r="D1596" t="str">
            <v>2A11025910024</v>
          </cell>
          <cell r="E1596" t="str">
            <v>上中抽面板豎饰条</v>
          </cell>
          <cell r="F1596" t="str">
            <v>135*25*15</v>
          </cell>
          <cell r="G1596">
            <v>135</v>
          </cell>
          <cell r="H1596">
            <v>25</v>
          </cell>
          <cell r="I1596">
            <v>15</v>
          </cell>
          <cell r="J1596">
            <v>70</v>
          </cell>
          <cell r="K1596">
            <v>0</v>
          </cell>
          <cell r="L1596">
            <v>0.161</v>
          </cell>
          <cell r="M1596">
            <v>0</v>
          </cell>
          <cell r="N1596">
            <v>0</v>
          </cell>
          <cell r="O1596" t="str">
            <v>40V</v>
          </cell>
          <cell r="P1596" t="str">
            <v>1010</v>
          </cell>
          <cell r="Q1596">
            <v>1010</v>
          </cell>
          <cell r="R1596">
            <v>2.2999999999999998</v>
          </cell>
        </row>
        <row r="1597">
          <cell r="A1597" t="str">
            <v>Y013-060</v>
          </cell>
          <cell r="B1597" t="str">
            <v>LCT013-324</v>
          </cell>
          <cell r="C1597" t="str">
            <v>Y013</v>
          </cell>
          <cell r="D1597" t="str">
            <v>2A11025910025</v>
          </cell>
          <cell r="E1597" t="str">
            <v>下抽面板外上/下飾條</v>
          </cell>
          <cell r="F1597" t="str">
            <v>752*25*15</v>
          </cell>
          <cell r="G1597">
            <v>752</v>
          </cell>
          <cell r="H1597">
            <v>25</v>
          </cell>
          <cell r="I1597">
            <v>15</v>
          </cell>
          <cell r="J1597">
            <v>360</v>
          </cell>
          <cell r="K1597">
            <v>0</v>
          </cell>
          <cell r="L1597">
            <v>0.9</v>
          </cell>
          <cell r="M1597">
            <v>0</v>
          </cell>
          <cell r="N1597">
            <v>0</v>
          </cell>
          <cell r="O1597" t="str">
            <v>40V</v>
          </cell>
          <cell r="P1597" t="str">
            <v>1010</v>
          </cell>
          <cell r="Q1597">
            <v>1010</v>
          </cell>
          <cell r="R1597">
            <v>2.5</v>
          </cell>
        </row>
        <row r="1598">
          <cell r="A1598" t="str">
            <v>Y013-061</v>
          </cell>
          <cell r="B1598" t="str">
            <v>LCT013-325</v>
          </cell>
          <cell r="C1598" t="str">
            <v>Y013</v>
          </cell>
          <cell r="D1598" t="str">
            <v>2A11025910026</v>
          </cell>
          <cell r="E1598" t="str">
            <v>下抽面板豎飾條</v>
          </cell>
          <cell r="F1598" t="str">
            <v>208*25*15</v>
          </cell>
          <cell r="G1598">
            <v>208</v>
          </cell>
          <cell r="H1598">
            <v>25</v>
          </cell>
          <cell r="I1598">
            <v>15</v>
          </cell>
          <cell r="J1598">
            <v>118</v>
          </cell>
          <cell r="K1598">
            <v>0</v>
          </cell>
          <cell r="L1598">
            <v>0.249</v>
          </cell>
          <cell r="M1598">
            <v>0</v>
          </cell>
          <cell r="N1598">
            <v>0</v>
          </cell>
          <cell r="O1598" t="str">
            <v>40V</v>
          </cell>
          <cell r="P1598" t="str">
            <v>1010</v>
          </cell>
          <cell r="Q1598">
            <v>1010</v>
          </cell>
          <cell r="R1598">
            <v>2.1101694915254239</v>
          </cell>
        </row>
        <row r="1599">
          <cell r="A1599" t="str">
            <v>Y013-062</v>
          </cell>
          <cell r="B1599" t="str">
            <v>LCT013-326</v>
          </cell>
          <cell r="C1599" t="str">
            <v>Y013</v>
          </cell>
          <cell r="D1599" t="str">
            <v>2A11025910101</v>
          </cell>
          <cell r="E1599" t="str">
            <v>前下饰条</v>
          </cell>
          <cell r="F1599" t="str">
            <v>844*19*6</v>
          </cell>
          <cell r="G1599">
            <v>844</v>
          </cell>
          <cell r="H1599">
            <v>19</v>
          </cell>
          <cell r="I1599">
            <v>6</v>
          </cell>
          <cell r="J1599">
            <v>130</v>
          </cell>
          <cell r="K1599">
            <v>0</v>
          </cell>
          <cell r="L1599">
            <v>0.39</v>
          </cell>
          <cell r="M1599">
            <v>0</v>
          </cell>
          <cell r="N1599">
            <v>0</v>
          </cell>
          <cell r="O1599" t="str">
            <v>40V</v>
          </cell>
          <cell r="P1599" t="str">
            <v>1010</v>
          </cell>
          <cell r="Q1599">
            <v>1010</v>
          </cell>
          <cell r="R1599">
            <v>3</v>
          </cell>
        </row>
        <row r="1600">
          <cell r="A1600" t="str">
            <v>Y013-063</v>
          </cell>
          <cell r="B1600" t="str">
            <v>LCT013-327</v>
          </cell>
          <cell r="C1600" t="str">
            <v>Y013</v>
          </cell>
          <cell r="D1600" t="str">
            <v>2A11025910102</v>
          </cell>
          <cell r="E1600" t="str">
            <v>上抽面板外上/下飾條</v>
          </cell>
          <cell r="F1600" t="str">
            <v>423*25*15</v>
          </cell>
          <cell r="G1600">
            <v>423</v>
          </cell>
          <cell r="H1600">
            <v>25</v>
          </cell>
          <cell r="I1600">
            <v>15</v>
          </cell>
          <cell r="J1600">
            <v>220</v>
          </cell>
          <cell r="K1600">
            <v>0</v>
          </cell>
          <cell r="L1600">
            <v>0.50600000000000001</v>
          </cell>
          <cell r="M1600">
            <v>0</v>
          </cell>
          <cell r="N1600">
            <v>0</v>
          </cell>
          <cell r="O1600" t="str">
            <v>40V</v>
          </cell>
          <cell r="P1600" t="str">
            <v>1010</v>
          </cell>
          <cell r="Q1600">
            <v>1010</v>
          </cell>
          <cell r="R1600">
            <v>2.2999999999999998</v>
          </cell>
        </row>
        <row r="1601">
          <cell r="A1601" t="str">
            <v>Y013-064</v>
          </cell>
          <cell r="B1601" t="str">
            <v>LCT013-328</v>
          </cell>
          <cell r="C1601" t="str">
            <v>Y013</v>
          </cell>
          <cell r="D1601" t="str">
            <v>2A11025910103</v>
          </cell>
          <cell r="E1601" t="str">
            <v>上抽面板外豎饰条</v>
          </cell>
          <cell r="F1601" t="str">
            <v>221*25*15</v>
          </cell>
          <cell r="G1601">
            <v>221</v>
          </cell>
          <cell r="H1601">
            <v>25</v>
          </cell>
          <cell r="I1601">
            <v>15</v>
          </cell>
          <cell r="J1601">
            <v>120</v>
          </cell>
          <cell r="K1601">
            <v>0</v>
          </cell>
          <cell r="L1601">
            <v>0.26400000000000001</v>
          </cell>
          <cell r="M1601">
            <v>0</v>
          </cell>
          <cell r="N1601">
            <v>0</v>
          </cell>
          <cell r="O1601" t="str">
            <v>40V</v>
          </cell>
          <cell r="P1601" t="str">
            <v>1010</v>
          </cell>
          <cell r="Q1601">
            <v>1010</v>
          </cell>
          <cell r="R1601">
            <v>2.2000000000000002</v>
          </cell>
        </row>
        <row r="1602">
          <cell r="A1602" t="str">
            <v>Y013-065</v>
          </cell>
          <cell r="B1602" t="str">
            <v>LCT013-329</v>
          </cell>
          <cell r="C1602" t="str">
            <v>Y013</v>
          </cell>
          <cell r="D1602" t="str">
            <v>2A11025910104</v>
          </cell>
          <cell r="E1602" t="str">
            <v>2.3.4.5.上抽面板外上/下飾條</v>
          </cell>
          <cell r="F1602" t="str">
            <v>840*25*15</v>
          </cell>
          <cell r="G1602">
            <v>840</v>
          </cell>
          <cell r="H1602">
            <v>25</v>
          </cell>
          <cell r="I1602">
            <v>15</v>
          </cell>
          <cell r="J1602">
            <v>400</v>
          </cell>
          <cell r="K1602">
            <v>0</v>
          </cell>
          <cell r="L1602">
            <v>1.0049999999999999</v>
          </cell>
          <cell r="M1602">
            <v>0</v>
          </cell>
          <cell r="N1602">
            <v>0</v>
          </cell>
          <cell r="O1602" t="str">
            <v>40V</v>
          </cell>
          <cell r="P1602" t="str">
            <v>1010</v>
          </cell>
          <cell r="Q1602">
            <v>1010</v>
          </cell>
          <cell r="R1602">
            <v>2.5124999999999997</v>
          </cell>
        </row>
        <row r="1603">
          <cell r="A1603" t="str">
            <v>Y013-066</v>
          </cell>
          <cell r="B1603" t="str">
            <v>LCT013-330</v>
          </cell>
          <cell r="C1603" t="str">
            <v>Y013</v>
          </cell>
          <cell r="D1603" t="str">
            <v>2A11025910105</v>
          </cell>
          <cell r="E1603" t="str">
            <v>2.3.4.5.上抽面板豎飾條</v>
          </cell>
          <cell r="F1603" t="str">
            <v>242*25*15</v>
          </cell>
          <cell r="G1603">
            <v>242</v>
          </cell>
          <cell r="H1603">
            <v>25</v>
          </cell>
          <cell r="I1603">
            <v>15</v>
          </cell>
          <cell r="J1603">
            <v>130</v>
          </cell>
          <cell r="K1603">
            <v>0</v>
          </cell>
          <cell r="L1603">
            <v>0.28899999999999998</v>
          </cell>
          <cell r="M1603">
            <v>0</v>
          </cell>
          <cell r="N1603">
            <v>0</v>
          </cell>
          <cell r="O1603" t="str">
            <v>40V</v>
          </cell>
          <cell r="P1603" t="str">
            <v>1010</v>
          </cell>
          <cell r="Q1603">
            <v>1010</v>
          </cell>
          <cell r="R1603">
            <v>2.2230769230769227</v>
          </cell>
        </row>
        <row r="1604">
          <cell r="A1604" t="str">
            <v>Y013-067</v>
          </cell>
          <cell r="B1604" t="str">
            <v>LCT013-331</v>
          </cell>
          <cell r="C1604" t="str">
            <v>Y013</v>
          </cell>
          <cell r="D1604" t="str">
            <v>2A11025910161</v>
          </cell>
          <cell r="E1604" t="str">
            <v>前下饰条</v>
          </cell>
          <cell r="F1604" t="str">
            <v>585*19*6</v>
          </cell>
          <cell r="G1604">
            <v>585</v>
          </cell>
          <cell r="H1604">
            <v>19</v>
          </cell>
          <cell r="I1604">
            <v>6</v>
          </cell>
          <cell r="J1604">
            <v>100</v>
          </cell>
          <cell r="K1604">
            <v>0</v>
          </cell>
          <cell r="L1604">
            <v>0.27</v>
          </cell>
          <cell r="M1604">
            <v>0</v>
          </cell>
          <cell r="N1604">
            <v>0</v>
          </cell>
          <cell r="O1604" t="str">
            <v>40V</v>
          </cell>
          <cell r="P1604" t="str">
            <v>1010</v>
          </cell>
          <cell r="Q1604">
            <v>1010</v>
          </cell>
          <cell r="R1604">
            <v>2.7</v>
          </cell>
        </row>
        <row r="1605">
          <cell r="A1605" t="str">
            <v>Y013-068</v>
          </cell>
          <cell r="B1605" t="str">
            <v>LCT013-332</v>
          </cell>
          <cell r="C1605" t="str">
            <v>Y013</v>
          </cell>
          <cell r="D1605" t="str">
            <v>2A11025910162</v>
          </cell>
          <cell r="E1605" t="str">
            <v>抽面板外上/下飾條</v>
          </cell>
          <cell r="F1605" t="str">
            <v>581*25*15</v>
          </cell>
          <cell r="G1605">
            <v>581</v>
          </cell>
          <cell r="H1605">
            <v>25</v>
          </cell>
          <cell r="I1605">
            <v>15</v>
          </cell>
          <cell r="J1605">
            <v>290</v>
          </cell>
          <cell r="K1605">
            <v>0</v>
          </cell>
          <cell r="L1605">
            <v>0.69499999999999995</v>
          </cell>
          <cell r="M1605">
            <v>0</v>
          </cell>
          <cell r="N1605">
            <v>0</v>
          </cell>
          <cell r="O1605" t="str">
            <v>40V</v>
          </cell>
          <cell r="P1605" t="str">
            <v>1010</v>
          </cell>
          <cell r="Q1605">
            <v>1010</v>
          </cell>
          <cell r="R1605">
            <v>2.396551724137931</v>
          </cell>
        </row>
        <row r="1606">
          <cell r="A1606" t="str">
            <v>Y013-069</v>
          </cell>
          <cell r="B1606" t="str">
            <v>LCT013-333</v>
          </cell>
          <cell r="C1606" t="str">
            <v>Y013</v>
          </cell>
          <cell r="D1606" t="str">
            <v>2A11025910163</v>
          </cell>
          <cell r="E1606" t="str">
            <v>抽面板豎飾條</v>
          </cell>
          <cell r="F1606" t="str">
            <v>170*25*15</v>
          </cell>
          <cell r="G1606">
            <v>170</v>
          </cell>
          <cell r="H1606">
            <v>25</v>
          </cell>
          <cell r="I1606">
            <v>15</v>
          </cell>
          <cell r="J1606">
            <v>91</v>
          </cell>
          <cell r="K1606">
            <v>0</v>
          </cell>
          <cell r="L1606">
            <v>0.20300000000000001</v>
          </cell>
          <cell r="M1606">
            <v>0</v>
          </cell>
          <cell r="N1606">
            <v>0</v>
          </cell>
          <cell r="O1606" t="str">
            <v>40V</v>
          </cell>
          <cell r="P1606" t="str">
            <v>1010</v>
          </cell>
          <cell r="Q1606">
            <v>1010</v>
          </cell>
          <cell r="R1606">
            <v>2.2307692307692308</v>
          </cell>
        </row>
        <row r="1607">
          <cell r="A1607" t="str">
            <v>Y013-070</v>
          </cell>
          <cell r="B1607" t="str">
            <v>LCT013-334</v>
          </cell>
          <cell r="C1607" t="str">
            <v>Y013</v>
          </cell>
          <cell r="D1607" t="str">
            <v>2A11025911161</v>
          </cell>
          <cell r="E1607" t="str">
            <v>前下饰条</v>
          </cell>
          <cell r="F1607" t="str">
            <v>533*19*6</v>
          </cell>
          <cell r="G1607">
            <v>533</v>
          </cell>
          <cell r="H1607">
            <v>19</v>
          </cell>
          <cell r="I1607">
            <v>6</v>
          </cell>
          <cell r="J1607">
            <v>95</v>
          </cell>
          <cell r="K1607">
            <v>0</v>
          </cell>
          <cell r="L1607">
            <v>0.246</v>
          </cell>
          <cell r="M1607">
            <v>0</v>
          </cell>
          <cell r="N1607">
            <v>0</v>
          </cell>
          <cell r="O1607" t="str">
            <v>40V</v>
          </cell>
          <cell r="P1607" t="str">
            <v>1010</v>
          </cell>
          <cell r="Q1607">
            <v>1010</v>
          </cell>
          <cell r="R1607">
            <v>2.5894736842105264</v>
          </cell>
        </row>
        <row r="1608">
          <cell r="A1608" t="str">
            <v>Y013-071</v>
          </cell>
          <cell r="B1608" t="str">
            <v>LCT013-335</v>
          </cell>
          <cell r="C1608" t="str">
            <v>Y013</v>
          </cell>
          <cell r="D1608" t="str">
            <v>2A11025911162</v>
          </cell>
          <cell r="E1608" t="str">
            <v>抽面板外上/下飾條</v>
          </cell>
          <cell r="F1608" t="str">
            <v>528*25*15</v>
          </cell>
          <cell r="G1608">
            <v>528</v>
          </cell>
          <cell r="H1608">
            <v>25</v>
          </cell>
          <cell r="I1608">
            <v>15</v>
          </cell>
          <cell r="J1608">
            <v>267</v>
          </cell>
          <cell r="K1608">
            <v>0</v>
          </cell>
          <cell r="L1608">
            <v>0.63200000000000001</v>
          </cell>
          <cell r="M1608">
            <v>0</v>
          </cell>
          <cell r="N1608">
            <v>0</v>
          </cell>
          <cell r="O1608" t="str">
            <v>40V</v>
          </cell>
          <cell r="P1608" t="str">
            <v>1010</v>
          </cell>
          <cell r="Q1608">
            <v>1010</v>
          </cell>
          <cell r="R1608">
            <v>2.3670411985018727</v>
          </cell>
        </row>
        <row r="1609">
          <cell r="A1609" t="str">
            <v>Y013-072</v>
          </cell>
          <cell r="B1609" t="str">
            <v>LCT013-336</v>
          </cell>
          <cell r="C1609" t="str">
            <v>Y013</v>
          </cell>
          <cell r="D1609" t="str">
            <v>2A11025911163</v>
          </cell>
          <cell r="E1609" t="str">
            <v>抽面板豎飾條</v>
          </cell>
          <cell r="F1609" t="str">
            <v>189*25*15</v>
          </cell>
          <cell r="G1609">
            <v>189</v>
          </cell>
          <cell r="H1609">
            <v>25</v>
          </cell>
          <cell r="I1609">
            <v>15</v>
          </cell>
          <cell r="J1609">
            <v>103</v>
          </cell>
          <cell r="K1609">
            <v>0</v>
          </cell>
          <cell r="L1609">
            <v>0.22600000000000001</v>
          </cell>
          <cell r="M1609">
            <v>0</v>
          </cell>
          <cell r="N1609">
            <v>0</v>
          </cell>
          <cell r="O1609" t="str">
            <v>40V</v>
          </cell>
          <cell r="P1609" t="str">
            <v>1010</v>
          </cell>
          <cell r="Q1609">
            <v>1010</v>
          </cell>
          <cell r="R1609">
            <v>2.1941747572815538</v>
          </cell>
        </row>
        <row r="1610">
          <cell r="A1610" t="str">
            <v>Y013-073</v>
          </cell>
          <cell r="B1610" t="str">
            <v>LCT013-337</v>
          </cell>
          <cell r="C1610" t="str">
            <v>Y013</v>
          </cell>
          <cell r="D1610" t="str">
            <v>2A11025918511</v>
          </cell>
          <cell r="E1610" t="str">
            <v>床头板外横饰条</v>
          </cell>
          <cell r="F1610" t="str">
            <v>1680*35*16</v>
          </cell>
          <cell r="G1610">
            <v>1680</v>
          </cell>
          <cell r="H1610">
            <v>35</v>
          </cell>
          <cell r="I1610">
            <v>16</v>
          </cell>
          <cell r="J1610">
            <v>1030</v>
          </cell>
          <cell r="K1610">
            <v>0</v>
          </cell>
          <cell r="L1610">
            <v>2.7</v>
          </cell>
          <cell r="M1610">
            <v>0</v>
          </cell>
          <cell r="N1610">
            <v>0</v>
          </cell>
          <cell r="O1610" t="str">
            <v>40V</v>
          </cell>
          <cell r="P1610" t="str">
            <v>1010</v>
          </cell>
          <cell r="Q1610">
            <v>1010</v>
          </cell>
          <cell r="R1610">
            <v>2.621359223300971</v>
          </cell>
        </row>
        <row r="1611">
          <cell r="A1611" t="str">
            <v>Y013-074</v>
          </cell>
          <cell r="B1611" t="str">
            <v>LCT013-338</v>
          </cell>
          <cell r="C1611" t="str">
            <v>Y013</v>
          </cell>
          <cell r="D1611" t="str">
            <v>2A11025918511</v>
          </cell>
          <cell r="E1611" t="str">
            <v>床头板内横饰条</v>
          </cell>
          <cell r="F1611" t="str">
            <v>1530*24*22</v>
          </cell>
          <cell r="G1611">
            <v>1530</v>
          </cell>
          <cell r="H1611">
            <v>24</v>
          </cell>
          <cell r="I1611">
            <v>20</v>
          </cell>
          <cell r="J1611">
            <v>710</v>
          </cell>
          <cell r="K1611">
            <v>0</v>
          </cell>
          <cell r="L1611">
            <v>2.5</v>
          </cell>
          <cell r="M1611">
            <v>0</v>
          </cell>
          <cell r="N1611">
            <v>0</v>
          </cell>
          <cell r="O1611" t="str">
            <v>40V</v>
          </cell>
          <cell r="P1611" t="str">
            <v>1010</v>
          </cell>
          <cell r="Q1611">
            <v>1010</v>
          </cell>
          <cell r="R1611">
            <v>3.5211267605633805</v>
          </cell>
        </row>
        <row r="1612">
          <cell r="A1612" t="str">
            <v>Y013-075</v>
          </cell>
          <cell r="B1612" t="str">
            <v>LCT013-339</v>
          </cell>
          <cell r="C1612" t="str">
            <v>Y013</v>
          </cell>
          <cell r="D1612" t="str">
            <v>2A11025918671</v>
          </cell>
          <cell r="E1612" t="str">
            <v>床头板外横饰条</v>
          </cell>
          <cell r="F1612" t="str">
            <v>2100*35*16</v>
          </cell>
          <cell r="G1612">
            <v>2100</v>
          </cell>
          <cell r="H1612">
            <v>35</v>
          </cell>
          <cell r="I1612">
            <v>16</v>
          </cell>
          <cell r="J1612">
            <v>1270</v>
          </cell>
          <cell r="K1612">
            <v>0</v>
          </cell>
          <cell r="L1612">
            <v>3.375</v>
          </cell>
          <cell r="M1612">
            <v>0</v>
          </cell>
          <cell r="N1612">
            <v>0</v>
          </cell>
          <cell r="O1612" t="str">
            <v>40V</v>
          </cell>
          <cell r="P1612" t="str">
            <v>1010</v>
          </cell>
          <cell r="Q1612">
            <v>1010</v>
          </cell>
          <cell r="R1612">
            <v>2.6574803149606301</v>
          </cell>
        </row>
        <row r="1613">
          <cell r="A1613" t="str">
            <v>Y013-076</v>
          </cell>
          <cell r="B1613" t="str">
            <v>LCT013-340</v>
          </cell>
          <cell r="C1613" t="str">
            <v>Y013</v>
          </cell>
          <cell r="D1613" t="str">
            <v>2A11025918672</v>
          </cell>
          <cell r="E1613" t="str">
            <v>床头板内横饰条</v>
          </cell>
          <cell r="F1613" t="str">
            <v>1950*24*22</v>
          </cell>
          <cell r="G1613">
            <v>1950</v>
          </cell>
          <cell r="H1613">
            <v>24</v>
          </cell>
          <cell r="I1613">
            <v>20</v>
          </cell>
          <cell r="J1613">
            <v>880</v>
          </cell>
          <cell r="K1613">
            <v>0</v>
          </cell>
          <cell r="L1613">
            <v>3.1859999999999999</v>
          </cell>
          <cell r="M1613">
            <v>0</v>
          </cell>
          <cell r="N1613">
            <v>0</v>
          </cell>
          <cell r="O1613" t="str">
            <v>40V</v>
          </cell>
          <cell r="P1613" t="str">
            <v>1010</v>
          </cell>
          <cell r="Q1613">
            <v>1010</v>
          </cell>
          <cell r="R1613">
            <v>3.6204545454545456</v>
          </cell>
        </row>
        <row r="1614">
          <cell r="A1614" t="str">
            <v>Y013-077</v>
          </cell>
          <cell r="B1614" t="str">
            <v>LCT013-394</v>
          </cell>
          <cell r="C1614" t="str">
            <v>Y013</v>
          </cell>
          <cell r="D1614" t="str">
            <v>2A11125910111</v>
          </cell>
          <cell r="E1614" t="str">
            <v>1抽面版上/下饰条</v>
          </cell>
          <cell r="F1614" t="str">
            <v>229*25*15</v>
          </cell>
          <cell r="G1614">
            <v>229</v>
          </cell>
          <cell r="H1614">
            <v>25</v>
          </cell>
          <cell r="I1614">
            <v>15</v>
          </cell>
          <cell r="J1614">
            <v>128</v>
          </cell>
          <cell r="K1614">
            <v>0</v>
          </cell>
          <cell r="L1614">
            <v>0.27</v>
          </cell>
          <cell r="M1614">
            <v>0</v>
          </cell>
          <cell r="N1614">
            <v>0</v>
          </cell>
          <cell r="O1614" t="str">
            <v>40V</v>
          </cell>
          <cell r="P1614" t="str">
            <v>1010</v>
          </cell>
          <cell r="Q1614">
            <v>1010</v>
          </cell>
          <cell r="R1614">
            <v>2.109375</v>
          </cell>
        </row>
        <row r="1615">
          <cell r="A1615" t="str">
            <v>Y013-078</v>
          </cell>
          <cell r="B1615" t="str">
            <v>LCT013-395</v>
          </cell>
          <cell r="C1615" t="str">
            <v>Y013</v>
          </cell>
          <cell r="D1615" t="str">
            <v>2A11125910112</v>
          </cell>
          <cell r="E1615" t="str">
            <v>1抽面版豎饰条</v>
          </cell>
          <cell r="F1615" t="str">
            <v>201*25*15</v>
          </cell>
          <cell r="G1615">
            <v>201</v>
          </cell>
          <cell r="H1615">
            <v>25</v>
          </cell>
          <cell r="I1615">
            <v>15</v>
          </cell>
          <cell r="J1615">
            <v>115</v>
          </cell>
          <cell r="K1615">
            <v>0</v>
          </cell>
          <cell r="L1615">
            <v>0.24</v>
          </cell>
          <cell r="M1615">
            <v>0</v>
          </cell>
          <cell r="N1615">
            <v>0</v>
          </cell>
          <cell r="O1615" t="str">
            <v>40V</v>
          </cell>
          <cell r="P1615" t="str">
            <v>1010</v>
          </cell>
          <cell r="Q1615">
            <v>1010</v>
          </cell>
          <cell r="R1615">
            <v>2.0869565217391304</v>
          </cell>
        </row>
        <row r="1616">
          <cell r="A1616" t="str">
            <v>Y013-079</v>
          </cell>
          <cell r="B1616" t="str">
            <v>LCT013-396</v>
          </cell>
          <cell r="C1616" t="str">
            <v>Y013</v>
          </cell>
          <cell r="D1616" t="str">
            <v>2A11125910113</v>
          </cell>
          <cell r="E1616" t="str">
            <v>2抽面版上/下饰条</v>
          </cell>
          <cell r="F1616" t="str">
            <v>402*25*15</v>
          </cell>
          <cell r="G1616">
            <v>402</v>
          </cell>
          <cell r="H1616">
            <v>25</v>
          </cell>
          <cell r="I1616">
            <v>15</v>
          </cell>
          <cell r="J1616">
            <v>200</v>
          </cell>
          <cell r="K1616">
            <v>0</v>
          </cell>
          <cell r="L1616">
            <v>0.48</v>
          </cell>
          <cell r="M1616">
            <v>0</v>
          </cell>
          <cell r="N1616">
            <v>0</v>
          </cell>
          <cell r="O1616" t="str">
            <v>40V</v>
          </cell>
          <cell r="P1616" t="str">
            <v>1010</v>
          </cell>
          <cell r="Q1616">
            <v>1010</v>
          </cell>
          <cell r="R1616">
            <v>2.4</v>
          </cell>
        </row>
        <row r="1617">
          <cell r="A1617" t="str">
            <v>Y013-080</v>
          </cell>
          <cell r="B1617" t="str">
            <v>LCT013-397</v>
          </cell>
          <cell r="C1617" t="str">
            <v>Y013</v>
          </cell>
          <cell r="D1617" t="str">
            <v>2A11125910114</v>
          </cell>
          <cell r="E1617" t="str">
            <v>2.3.4 抽面版豎饰条</v>
          </cell>
          <cell r="F1617" t="str">
            <v>209*25*15</v>
          </cell>
          <cell r="G1617">
            <v>209</v>
          </cell>
          <cell r="H1617">
            <v>25</v>
          </cell>
          <cell r="I1617">
            <v>15</v>
          </cell>
          <cell r="J1617">
            <v>119</v>
          </cell>
          <cell r="K1617">
            <v>0</v>
          </cell>
          <cell r="L1617">
            <v>0.25</v>
          </cell>
          <cell r="M1617">
            <v>0</v>
          </cell>
          <cell r="N1617">
            <v>0</v>
          </cell>
          <cell r="O1617" t="str">
            <v>40V</v>
          </cell>
          <cell r="P1617" t="str">
            <v>1010</v>
          </cell>
          <cell r="Q1617">
            <v>1010</v>
          </cell>
          <cell r="R1617">
            <v>2.1008403361344539</v>
          </cell>
        </row>
        <row r="1618">
          <cell r="A1618" t="str">
            <v>Y013-081</v>
          </cell>
          <cell r="B1618" t="str">
            <v>LCT013-398</v>
          </cell>
          <cell r="C1618" t="str">
            <v>Y013</v>
          </cell>
          <cell r="D1618" t="str">
            <v>2A11125910115</v>
          </cell>
          <cell r="E1618" t="str">
            <v>3.4 抽面版上/下饰条</v>
          </cell>
          <cell r="F1618" t="str">
            <v>598*25*15</v>
          </cell>
          <cell r="G1618">
            <v>598</v>
          </cell>
          <cell r="H1618">
            <v>25</v>
          </cell>
          <cell r="I1618">
            <v>15</v>
          </cell>
          <cell r="J1618">
            <v>300</v>
          </cell>
          <cell r="K1618">
            <v>0</v>
          </cell>
          <cell r="L1618">
            <v>0.72</v>
          </cell>
          <cell r="M1618">
            <v>0</v>
          </cell>
          <cell r="N1618">
            <v>0</v>
          </cell>
          <cell r="O1618" t="str">
            <v>40V</v>
          </cell>
          <cell r="P1618" t="str">
            <v>1010</v>
          </cell>
          <cell r="Q1618">
            <v>1010</v>
          </cell>
          <cell r="R1618">
            <v>2.4</v>
          </cell>
        </row>
        <row r="1619">
          <cell r="A1619" t="str">
            <v>Y013-082</v>
          </cell>
          <cell r="B1619" t="str">
            <v>LCT013-346</v>
          </cell>
          <cell r="C1619" t="str">
            <v>Y013</v>
          </cell>
          <cell r="D1619" t="str">
            <v>2A11025769001</v>
          </cell>
          <cell r="E1619" t="str">
            <v>侧抽面板門上/下飾条</v>
          </cell>
          <cell r="F1619" t="str">
            <v>414*25*15</v>
          </cell>
          <cell r="G1619">
            <v>414</v>
          </cell>
          <cell r="H1619">
            <v>25</v>
          </cell>
          <cell r="I1619">
            <v>15</v>
          </cell>
          <cell r="J1619">
            <v>200</v>
          </cell>
          <cell r="K1619">
            <v>0</v>
          </cell>
          <cell r="L1619">
            <v>0.495</v>
          </cell>
          <cell r="M1619">
            <v>0</v>
          </cell>
          <cell r="N1619">
            <v>0</v>
          </cell>
          <cell r="O1619" t="str">
            <v>40V</v>
          </cell>
          <cell r="P1619" t="str">
            <v>1010</v>
          </cell>
          <cell r="Q1619">
            <v>1010</v>
          </cell>
          <cell r="R1619">
            <v>2.4749999999999996</v>
          </cell>
        </row>
        <row r="1620">
          <cell r="A1620" t="str">
            <v>Y013-083</v>
          </cell>
          <cell r="B1620" t="str">
            <v>LCT013-347</v>
          </cell>
          <cell r="C1620" t="str">
            <v>Y013</v>
          </cell>
          <cell r="D1620" t="str">
            <v>2A11025769002</v>
          </cell>
          <cell r="E1620" t="str">
            <v>中抽面板上/下飾条</v>
          </cell>
          <cell r="F1620" t="str">
            <v>432*25*15</v>
          </cell>
          <cell r="G1620">
            <v>432</v>
          </cell>
          <cell r="H1620">
            <v>25</v>
          </cell>
          <cell r="I1620">
            <v>15</v>
          </cell>
          <cell r="J1620">
            <v>210</v>
          </cell>
          <cell r="K1620">
            <v>0</v>
          </cell>
          <cell r="L1620">
            <v>0.51600000000000001</v>
          </cell>
          <cell r="M1620">
            <v>0</v>
          </cell>
          <cell r="N1620">
            <v>0</v>
          </cell>
          <cell r="O1620" t="str">
            <v>40V</v>
          </cell>
          <cell r="P1620" t="str">
            <v>1010</v>
          </cell>
          <cell r="Q1620">
            <v>1010</v>
          </cell>
          <cell r="R1620">
            <v>2.4571428571428573</v>
          </cell>
        </row>
        <row r="1621">
          <cell r="A1621" t="str">
            <v>Y013-084</v>
          </cell>
          <cell r="B1621" t="str">
            <v>LCT013-348</v>
          </cell>
          <cell r="C1621" t="str">
            <v>Y013</v>
          </cell>
          <cell r="D1621" t="str">
            <v>2A11025769071</v>
          </cell>
          <cell r="E1621" t="str">
            <v>前上飾条</v>
          </cell>
          <cell r="F1621" t="str">
            <v>1124*19*6</v>
          </cell>
          <cell r="G1621">
            <v>1124</v>
          </cell>
          <cell r="H1621">
            <v>19</v>
          </cell>
          <cell r="I1621">
            <v>6</v>
          </cell>
          <cell r="J1621">
            <v>0</v>
          </cell>
          <cell r="K1621">
            <v>0</v>
          </cell>
          <cell r="L1621">
            <v>0.51900000000000002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 t="e">
            <v>#DIV/0!</v>
          </cell>
        </row>
        <row r="1622">
          <cell r="A1622" t="str">
            <v>Y013-085</v>
          </cell>
          <cell r="B1622" t="str">
            <v>LCT013-349</v>
          </cell>
          <cell r="C1622" t="str">
            <v>Y013</v>
          </cell>
          <cell r="D1622" t="str">
            <v>2A11025769072</v>
          </cell>
          <cell r="E1622" t="str">
            <v>侧門框上/下飾條</v>
          </cell>
          <cell r="F1622" t="str">
            <v>367*25*15</v>
          </cell>
          <cell r="G1622">
            <v>367</v>
          </cell>
          <cell r="H1622">
            <v>25</v>
          </cell>
          <cell r="I1622">
            <v>15</v>
          </cell>
          <cell r="J1622">
            <v>0</v>
          </cell>
          <cell r="K1622">
            <v>0</v>
          </cell>
          <cell r="L1622">
            <v>0.439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 t="e">
            <v>#DIV/0!</v>
          </cell>
        </row>
        <row r="1623">
          <cell r="A1623" t="str">
            <v>Y013-086</v>
          </cell>
          <cell r="B1623" t="str">
            <v>LCT013-350</v>
          </cell>
          <cell r="C1623" t="str">
            <v>Y013</v>
          </cell>
          <cell r="D1623" t="str">
            <v>2A11025769073</v>
          </cell>
          <cell r="E1623" t="str">
            <v>中門框上/下飾條</v>
          </cell>
          <cell r="F1623" t="str">
            <v>396*25*15</v>
          </cell>
          <cell r="G1623">
            <v>396</v>
          </cell>
          <cell r="H1623">
            <v>25</v>
          </cell>
          <cell r="I1623">
            <v>15</v>
          </cell>
          <cell r="J1623">
            <v>0</v>
          </cell>
          <cell r="K1623">
            <v>0</v>
          </cell>
          <cell r="L1623">
            <v>0.47299999999999998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 t="e">
            <v>#DIV/0!</v>
          </cell>
        </row>
        <row r="1624">
          <cell r="A1624" t="str">
            <v>Y013-087</v>
          </cell>
          <cell r="B1624" t="str">
            <v>LCT013-351</v>
          </cell>
          <cell r="C1624" t="str">
            <v>Y013</v>
          </cell>
          <cell r="D1624" t="str">
            <v>2A11025769074</v>
          </cell>
          <cell r="E1624" t="str">
            <v>侧抽面板上/下飾条</v>
          </cell>
          <cell r="F1624" t="str">
            <v>563*25*15</v>
          </cell>
          <cell r="G1624">
            <v>563</v>
          </cell>
          <cell r="H1624">
            <v>25</v>
          </cell>
          <cell r="I1624">
            <v>15</v>
          </cell>
          <cell r="J1624">
            <v>0</v>
          </cell>
          <cell r="K1624">
            <v>0</v>
          </cell>
          <cell r="L1624">
            <v>0.67300000000000004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 t="e">
            <v>#DIV/0!</v>
          </cell>
        </row>
        <row r="1625">
          <cell r="A1625" t="str">
            <v>Y013-088</v>
          </cell>
          <cell r="B1625" t="str">
            <v>LCT013-352</v>
          </cell>
          <cell r="C1625" t="str">
            <v>Y013</v>
          </cell>
          <cell r="D1625" t="str">
            <v>2A11025769075</v>
          </cell>
          <cell r="E1625" t="str">
            <v>中抽面板上/下飾条</v>
          </cell>
          <cell r="F1625" t="str">
            <v>397*25*15</v>
          </cell>
          <cell r="G1625">
            <v>397</v>
          </cell>
          <cell r="H1625">
            <v>25</v>
          </cell>
          <cell r="I1625">
            <v>15</v>
          </cell>
          <cell r="J1625">
            <v>0</v>
          </cell>
          <cell r="K1625">
            <v>0</v>
          </cell>
          <cell r="L1625">
            <v>0.47499999999999998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 t="e">
            <v>#DIV/0!</v>
          </cell>
        </row>
        <row r="1626">
          <cell r="A1626" t="str">
            <v>Y013-089</v>
          </cell>
          <cell r="B1626" t="str">
            <v>LCT013-353</v>
          </cell>
          <cell r="C1626" t="str">
            <v>Y013</v>
          </cell>
          <cell r="D1626" t="str">
            <v>2A11025918341</v>
          </cell>
          <cell r="E1626" t="str">
            <v>床頭外橫飾條</v>
          </cell>
          <cell r="F1626" t="str">
            <v>1150*35*16</v>
          </cell>
          <cell r="G1626">
            <v>1150</v>
          </cell>
          <cell r="H1626">
            <v>35</v>
          </cell>
          <cell r="I1626">
            <v>16</v>
          </cell>
          <cell r="J1626">
            <v>0</v>
          </cell>
          <cell r="K1626">
            <v>0</v>
          </cell>
          <cell r="L1626">
            <v>1.8480000000000001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 t="e">
            <v>#DIV/0!</v>
          </cell>
        </row>
        <row r="1627">
          <cell r="A1627" t="str">
            <v>Y013-090</v>
          </cell>
          <cell r="B1627" t="str">
            <v>LCT013-354</v>
          </cell>
          <cell r="C1627" t="str">
            <v>Y013</v>
          </cell>
          <cell r="D1627" t="str">
            <v>2A11025918342</v>
          </cell>
          <cell r="E1627" t="str">
            <v>床頭內橫飾條</v>
          </cell>
          <cell r="F1627" t="str">
            <v>1010*24*22</v>
          </cell>
          <cell r="G1627">
            <v>1010</v>
          </cell>
          <cell r="H1627">
            <v>24</v>
          </cell>
          <cell r="I1627">
            <v>22</v>
          </cell>
          <cell r="J1627">
            <v>0</v>
          </cell>
          <cell r="K1627">
            <v>0</v>
          </cell>
          <cell r="L1627">
            <v>1.66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 t="e">
            <v>#DIV/0!</v>
          </cell>
        </row>
        <row r="1628">
          <cell r="A1628" t="str">
            <v>Y013-091</v>
          </cell>
          <cell r="B1628" t="str">
            <v>LCT013-355</v>
          </cell>
          <cell r="C1628" t="str">
            <v>Y013</v>
          </cell>
          <cell r="D1628" t="str">
            <v>2A11042564841</v>
          </cell>
          <cell r="E1628" t="str">
            <v>右门框饰板</v>
          </cell>
          <cell r="F1628" t="str">
            <v>380*362*13</v>
          </cell>
          <cell r="G1628">
            <v>380</v>
          </cell>
          <cell r="H1628">
            <v>362</v>
          </cell>
          <cell r="I1628">
            <v>13</v>
          </cell>
          <cell r="J1628">
            <v>0</v>
          </cell>
          <cell r="K1628">
            <v>0</v>
          </cell>
          <cell r="L1628">
            <v>3.68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 t="e">
            <v>#DIV/0!</v>
          </cell>
        </row>
        <row r="1629">
          <cell r="A1629" t="str">
            <v>Y013-092</v>
          </cell>
          <cell r="B1629" t="str">
            <v>LCT013-356</v>
          </cell>
          <cell r="C1629" t="str">
            <v>Y013</v>
          </cell>
          <cell r="D1629" t="str">
            <v>2A11042564851</v>
          </cell>
          <cell r="E1629" t="str">
            <v>门框饰板</v>
          </cell>
          <cell r="F1629" t="str">
            <v>380*213*13</v>
          </cell>
          <cell r="G1629">
            <v>380</v>
          </cell>
          <cell r="H1629">
            <v>213</v>
          </cell>
          <cell r="I1629">
            <v>13</v>
          </cell>
          <cell r="J1629">
            <v>0</v>
          </cell>
          <cell r="K1629">
            <v>0</v>
          </cell>
          <cell r="L1629">
            <v>2.13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 t="e">
            <v>#DIV/0!</v>
          </cell>
        </row>
        <row r="1630">
          <cell r="A1630" t="str">
            <v>Y013-093</v>
          </cell>
          <cell r="B1630" t="str">
            <v>LCT013-357</v>
          </cell>
          <cell r="C1630" t="str">
            <v>Y013</v>
          </cell>
          <cell r="D1630" t="str">
            <v>2A11025911512</v>
          </cell>
          <cell r="E1630" t="str">
            <v>床头板內上橫飾條</v>
          </cell>
          <cell r="F1630" t="str">
            <v>1570*29*27</v>
          </cell>
          <cell r="G1630">
            <v>1570</v>
          </cell>
          <cell r="H1630">
            <v>29</v>
          </cell>
          <cell r="I1630">
            <v>27</v>
          </cell>
          <cell r="J1630">
            <v>0</v>
          </cell>
          <cell r="K1630">
            <v>0</v>
          </cell>
          <cell r="L1630">
            <v>3.17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 t="e">
            <v>#DIV/0!</v>
          </cell>
        </row>
        <row r="1631">
          <cell r="A1631" t="str">
            <v>Y013-094</v>
          </cell>
          <cell r="B1631" t="str">
            <v>LCT013-358</v>
          </cell>
          <cell r="C1631" t="str">
            <v>Y013</v>
          </cell>
          <cell r="D1631" t="str">
            <v>2A11025911672</v>
          </cell>
          <cell r="E1631" t="str">
            <v>床头板內上橫飾條-左</v>
          </cell>
          <cell r="F1631" t="str">
            <v>1000*29*27</v>
          </cell>
          <cell r="G1631">
            <v>1000</v>
          </cell>
          <cell r="H1631">
            <v>29</v>
          </cell>
          <cell r="I1631">
            <v>27</v>
          </cell>
          <cell r="J1631">
            <v>0</v>
          </cell>
          <cell r="K1631">
            <v>0</v>
          </cell>
          <cell r="L1631">
            <v>2.0499999999999998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 t="e">
            <v>#DIV/0!</v>
          </cell>
        </row>
        <row r="1632">
          <cell r="A1632" t="str">
            <v>Y013-095</v>
          </cell>
          <cell r="B1632" t="str">
            <v>LCT013-359</v>
          </cell>
          <cell r="C1632" t="str">
            <v>Y013</v>
          </cell>
          <cell r="D1632" t="str">
            <v>2A11025911672</v>
          </cell>
          <cell r="E1632" t="str">
            <v>床头板內上橫飾條-右</v>
          </cell>
          <cell r="F1632" t="str">
            <v>1000*29*27</v>
          </cell>
          <cell r="G1632">
            <v>1000</v>
          </cell>
          <cell r="H1632">
            <v>29</v>
          </cell>
          <cell r="I1632">
            <v>27</v>
          </cell>
          <cell r="J1632">
            <v>0</v>
          </cell>
          <cell r="K1632">
            <v>0</v>
          </cell>
          <cell r="L1632">
            <v>2.0499999999999998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 t="e">
            <v>#DIV/0!</v>
          </cell>
        </row>
        <row r="1633">
          <cell r="A1633" t="str">
            <v>Y013-096</v>
          </cell>
          <cell r="B1633" t="str">
            <v>LCT013-360</v>
          </cell>
          <cell r="C1633" t="str">
            <v>Y013</v>
          </cell>
          <cell r="D1633" t="str">
            <v>2A11025811132</v>
          </cell>
          <cell r="E1633" t="str">
            <v>侧立水上/下饰条</v>
          </cell>
          <cell r="F1633" t="str">
            <v>557*8*5</v>
          </cell>
          <cell r="G1633">
            <v>557</v>
          </cell>
          <cell r="H1633">
            <v>8</v>
          </cell>
          <cell r="I1633">
            <v>5</v>
          </cell>
          <cell r="J1633">
            <v>40</v>
          </cell>
          <cell r="K1633">
            <v>0</v>
          </cell>
          <cell r="L1633">
            <v>0.26</v>
          </cell>
          <cell r="M1633">
            <v>0</v>
          </cell>
          <cell r="N1633">
            <v>0</v>
          </cell>
          <cell r="O1633" t="str">
            <v>40V</v>
          </cell>
          <cell r="P1633" t="str">
            <v>1010</v>
          </cell>
          <cell r="Q1633">
            <v>1010</v>
          </cell>
          <cell r="R1633">
            <v>6.5</v>
          </cell>
        </row>
        <row r="1634">
          <cell r="A1634" t="str">
            <v>Y013-097</v>
          </cell>
          <cell r="B1634" t="str">
            <v>LCT013-361</v>
          </cell>
          <cell r="C1634" t="str">
            <v>Y013</v>
          </cell>
          <cell r="D1634" t="str">
            <v>2A11025114581</v>
          </cell>
          <cell r="E1634" t="str">
            <v>侧板上/下饰条</v>
          </cell>
          <cell r="F1634" t="str">
            <v>593*25*15</v>
          </cell>
          <cell r="G1634">
            <v>593</v>
          </cell>
          <cell r="H1634">
            <v>25</v>
          </cell>
          <cell r="I1634">
            <v>15</v>
          </cell>
          <cell r="J1634">
            <v>0</v>
          </cell>
          <cell r="K1634">
            <v>0</v>
          </cell>
          <cell r="L1634">
            <v>0.71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 t="e">
            <v>#DIV/0!</v>
          </cell>
        </row>
        <row r="1635">
          <cell r="A1635" t="str">
            <v>Y013-098</v>
          </cell>
          <cell r="B1635" t="str">
            <v>LCT013-362</v>
          </cell>
          <cell r="C1635" t="str">
            <v>Y013</v>
          </cell>
          <cell r="D1635" t="str">
            <v>2A11025114582</v>
          </cell>
          <cell r="E1635" t="str">
            <v>侧/后板豎饰条</v>
          </cell>
          <cell r="F1635" t="str">
            <v>151*25*15</v>
          </cell>
          <cell r="G1635">
            <v>151</v>
          </cell>
          <cell r="H1635">
            <v>25</v>
          </cell>
          <cell r="I1635">
            <v>15</v>
          </cell>
          <cell r="J1635">
            <v>80</v>
          </cell>
          <cell r="K1635">
            <v>0</v>
          </cell>
          <cell r="L1635">
            <v>0.18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2.25</v>
          </cell>
        </row>
        <row r="1636">
          <cell r="A1636" t="str">
            <v>Y013-099</v>
          </cell>
          <cell r="B1636" t="str">
            <v>LCT013-363</v>
          </cell>
          <cell r="C1636" t="str">
            <v>Y013</v>
          </cell>
          <cell r="D1636" t="str">
            <v>2A11025114583</v>
          </cell>
          <cell r="E1636" t="str">
            <v>背板上/下饰条</v>
          </cell>
          <cell r="F1636" t="str">
            <v>1300*25*15</v>
          </cell>
          <cell r="G1636">
            <v>1300</v>
          </cell>
          <cell r="H1636">
            <v>25</v>
          </cell>
          <cell r="I1636">
            <v>15</v>
          </cell>
          <cell r="J1636">
            <v>0</v>
          </cell>
          <cell r="K1636">
            <v>0</v>
          </cell>
          <cell r="L1636">
            <v>1.56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 t="e">
            <v>#DIV/0!</v>
          </cell>
        </row>
        <row r="1637">
          <cell r="A1637" t="str">
            <v>Y013-100</v>
          </cell>
          <cell r="B1637" t="str">
            <v>LCT013-364</v>
          </cell>
          <cell r="C1637" t="str">
            <v>Y013</v>
          </cell>
          <cell r="D1637" t="str">
            <v>2A11025114584</v>
          </cell>
          <cell r="E1637" t="str">
            <v>侧抽面板上下饰条</v>
          </cell>
          <cell r="F1637" t="str">
            <v>285*25*15</v>
          </cell>
          <cell r="G1637">
            <v>285</v>
          </cell>
          <cell r="H1637">
            <v>25</v>
          </cell>
          <cell r="I1637">
            <v>15</v>
          </cell>
          <cell r="J1637">
            <v>0</v>
          </cell>
          <cell r="K1637">
            <v>0</v>
          </cell>
          <cell r="L1637">
            <v>0.34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 t="e">
            <v>#DIV/0!</v>
          </cell>
        </row>
        <row r="1638">
          <cell r="A1638" t="str">
            <v>Y013-101</v>
          </cell>
          <cell r="B1638" t="str">
            <v>LCT013-365</v>
          </cell>
          <cell r="C1638" t="str">
            <v>Y013</v>
          </cell>
          <cell r="D1638" t="str">
            <v>2A11025114585</v>
          </cell>
          <cell r="E1638" t="str">
            <v>侧/中抽面板豎饰条</v>
          </cell>
          <cell r="F1638" t="str">
            <v>128*25*15</v>
          </cell>
          <cell r="G1638">
            <v>128</v>
          </cell>
          <cell r="H1638">
            <v>25</v>
          </cell>
          <cell r="I1638">
            <v>15</v>
          </cell>
          <cell r="J1638">
            <v>0</v>
          </cell>
          <cell r="K1638">
            <v>0</v>
          </cell>
          <cell r="L1638">
            <v>0.15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 t="e">
            <v>#DIV/0!</v>
          </cell>
        </row>
        <row r="1639">
          <cell r="A1639" t="str">
            <v>Y013-102</v>
          </cell>
          <cell r="B1639" t="str">
            <v>LCT013-366</v>
          </cell>
          <cell r="C1639" t="str">
            <v>Y013</v>
          </cell>
          <cell r="D1639" t="str">
            <v>2A11025114586</v>
          </cell>
          <cell r="E1639" t="str">
            <v>中抽面板上/下飾条</v>
          </cell>
          <cell r="F1639" t="str">
            <v>742*25*15</v>
          </cell>
          <cell r="G1639">
            <v>742</v>
          </cell>
          <cell r="H1639">
            <v>25</v>
          </cell>
          <cell r="I1639">
            <v>15</v>
          </cell>
          <cell r="J1639">
            <v>0</v>
          </cell>
          <cell r="K1639">
            <v>0</v>
          </cell>
          <cell r="L1639">
            <v>0.89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 t="e">
            <v>#DIV/0!</v>
          </cell>
        </row>
        <row r="1640">
          <cell r="A1640" t="str">
            <v>Y013-103</v>
          </cell>
          <cell r="B1640" t="str">
            <v>LCT013-367</v>
          </cell>
          <cell r="C1640" t="str">
            <v>Y013</v>
          </cell>
          <cell r="D1640" t="str">
            <v>2A11025564802</v>
          </cell>
          <cell r="E1640" t="str">
            <v>抽面板上下飾条</v>
          </cell>
          <cell r="F1640" t="str">
            <v>380*25*15</v>
          </cell>
          <cell r="G1640">
            <v>380</v>
          </cell>
          <cell r="H1640">
            <v>25</v>
          </cell>
          <cell r="I1640">
            <v>15</v>
          </cell>
          <cell r="J1640">
            <v>190</v>
          </cell>
          <cell r="K1640">
            <v>0</v>
          </cell>
          <cell r="L1640">
            <v>0.45</v>
          </cell>
          <cell r="M1640">
            <v>0</v>
          </cell>
          <cell r="N1640">
            <v>0</v>
          </cell>
          <cell r="O1640" t="str">
            <v>40V</v>
          </cell>
          <cell r="P1640" t="str">
            <v>1010</v>
          </cell>
          <cell r="Q1640">
            <v>1010</v>
          </cell>
          <cell r="R1640">
            <v>2.3684210526315788</v>
          </cell>
        </row>
        <row r="1641">
          <cell r="A1641" t="str">
            <v>Y013-104</v>
          </cell>
          <cell r="B1641" t="str">
            <v>LCT013-368</v>
          </cell>
          <cell r="C1641" t="str">
            <v>Y013</v>
          </cell>
          <cell r="D1641" t="str">
            <v>2A11025564803</v>
          </cell>
          <cell r="E1641" t="str">
            <v>上抽面板豎饰条</v>
          </cell>
          <cell r="F1641" t="str">
            <v>165*26.5*15</v>
          </cell>
          <cell r="G1641">
            <v>165</v>
          </cell>
          <cell r="H1641">
            <v>26.5</v>
          </cell>
          <cell r="I1641">
            <v>15</v>
          </cell>
          <cell r="J1641">
            <v>93</v>
          </cell>
          <cell r="K1641">
            <v>0</v>
          </cell>
          <cell r="L1641">
            <v>0.2</v>
          </cell>
          <cell r="M1641">
            <v>0</v>
          </cell>
          <cell r="N1641">
            <v>0</v>
          </cell>
          <cell r="O1641" t="str">
            <v>40V</v>
          </cell>
          <cell r="P1641" t="str">
            <v>1010</v>
          </cell>
          <cell r="Q1641">
            <v>1010</v>
          </cell>
          <cell r="R1641">
            <v>2.1505376344086025</v>
          </cell>
        </row>
        <row r="1642">
          <cell r="A1642" t="str">
            <v>Y013-105</v>
          </cell>
          <cell r="B1642" t="str">
            <v>LCT013-369</v>
          </cell>
          <cell r="C1642" t="str">
            <v>Y013</v>
          </cell>
          <cell r="D1642" t="str">
            <v>2A11025564804</v>
          </cell>
          <cell r="E1642" t="str">
            <v>中/下抽面板豎饰条</v>
          </cell>
          <cell r="F1642" t="str">
            <v>201*26.5*15</v>
          </cell>
          <cell r="G1642">
            <v>201</v>
          </cell>
          <cell r="H1642">
            <v>26.5</v>
          </cell>
          <cell r="I1642">
            <v>15</v>
          </cell>
          <cell r="J1642">
            <v>105</v>
          </cell>
          <cell r="K1642">
            <v>0</v>
          </cell>
          <cell r="L1642">
            <v>0.24</v>
          </cell>
          <cell r="M1642">
            <v>0</v>
          </cell>
          <cell r="N1642">
            <v>0</v>
          </cell>
          <cell r="O1642" t="str">
            <v>40V</v>
          </cell>
          <cell r="P1642" t="str">
            <v>1010</v>
          </cell>
          <cell r="Q1642">
            <v>1010</v>
          </cell>
          <cell r="R1642">
            <v>2.2857142857142856</v>
          </cell>
        </row>
        <row r="1643">
          <cell r="A1643" t="str">
            <v>Y013-106</v>
          </cell>
          <cell r="B1643" t="str">
            <v>LCT013-370</v>
          </cell>
          <cell r="C1643" t="str">
            <v>Y013</v>
          </cell>
          <cell r="D1643" t="str">
            <v>2A11025564805</v>
          </cell>
          <cell r="E1643" t="str">
            <v>门框上/下饰条</v>
          </cell>
          <cell r="F1643" t="str">
            <v>519*25*15</v>
          </cell>
          <cell r="G1643">
            <v>519</v>
          </cell>
          <cell r="H1643">
            <v>25</v>
          </cell>
          <cell r="I1643">
            <v>15</v>
          </cell>
          <cell r="J1643">
            <v>262</v>
          </cell>
          <cell r="K1643">
            <v>0</v>
          </cell>
          <cell r="L1643">
            <v>0.62</v>
          </cell>
          <cell r="M1643">
            <v>0</v>
          </cell>
          <cell r="N1643">
            <v>0</v>
          </cell>
          <cell r="O1643" t="str">
            <v>40V</v>
          </cell>
          <cell r="P1643" t="str">
            <v>1010</v>
          </cell>
          <cell r="Q1643">
            <v>1010</v>
          </cell>
          <cell r="R1643">
            <v>2.3664122137404577</v>
          </cell>
        </row>
        <row r="1644">
          <cell r="A1644" t="str">
            <v>Y013-107</v>
          </cell>
          <cell r="B1644" t="str">
            <v>LCT013-371</v>
          </cell>
          <cell r="C1644" t="str">
            <v>Y013</v>
          </cell>
          <cell r="D1644" t="str">
            <v>2A11025811101</v>
          </cell>
          <cell r="E1644" t="str">
            <v>前/后立水1横饰条</v>
          </cell>
          <cell r="F1644" t="str">
            <v>1093*25*15</v>
          </cell>
          <cell r="G1644">
            <v>1093</v>
          </cell>
          <cell r="H1644">
            <v>25</v>
          </cell>
          <cell r="I1644">
            <v>15</v>
          </cell>
          <cell r="J1644">
            <v>0</v>
          </cell>
          <cell r="K1644">
            <v>0</v>
          </cell>
          <cell r="L1644">
            <v>1.31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 t="e">
            <v>#DIV/0!</v>
          </cell>
        </row>
        <row r="1645">
          <cell r="A1645" t="str">
            <v>Y013-108</v>
          </cell>
          <cell r="B1645" t="str">
            <v>LCT013-372</v>
          </cell>
          <cell r="C1645" t="str">
            <v>Y013</v>
          </cell>
          <cell r="D1645" t="str">
            <v>2A11025811102</v>
          </cell>
          <cell r="E1645" t="str">
            <v>侧立水1横饰条</v>
          </cell>
          <cell r="F1645" t="str">
            <v>615*25*15</v>
          </cell>
          <cell r="G1645">
            <v>615</v>
          </cell>
          <cell r="H1645">
            <v>25</v>
          </cell>
          <cell r="I1645">
            <v>15</v>
          </cell>
          <cell r="J1645">
            <v>0</v>
          </cell>
          <cell r="K1645">
            <v>0</v>
          </cell>
          <cell r="L1645">
            <v>0.74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 t="e">
            <v>#DIV/0!</v>
          </cell>
        </row>
        <row r="1646">
          <cell r="A1646" t="str">
            <v>Y013-109</v>
          </cell>
          <cell r="B1646" t="str">
            <v>LCT013-373</v>
          </cell>
          <cell r="C1646" t="str">
            <v>Y013</v>
          </cell>
          <cell r="D1646" t="str">
            <v>2A11025811135</v>
          </cell>
          <cell r="E1646" t="str">
            <v>抽面板上下飾条</v>
          </cell>
          <cell r="F1646" t="str">
            <v>453*25*15</v>
          </cell>
          <cell r="G1646">
            <v>453</v>
          </cell>
          <cell r="H1646">
            <v>25</v>
          </cell>
          <cell r="I1646">
            <v>15</v>
          </cell>
          <cell r="J1646">
            <v>230</v>
          </cell>
          <cell r="K1646">
            <v>0</v>
          </cell>
          <cell r="L1646">
            <v>0.54</v>
          </cell>
          <cell r="M1646">
            <v>0</v>
          </cell>
          <cell r="N1646">
            <v>0</v>
          </cell>
          <cell r="O1646" t="str">
            <v>40V</v>
          </cell>
          <cell r="P1646" t="str">
            <v>1010</v>
          </cell>
          <cell r="Q1646">
            <v>1010</v>
          </cell>
          <cell r="R1646">
            <v>2.347826086956522</v>
          </cell>
        </row>
        <row r="1647">
          <cell r="A1647" t="str">
            <v>Y013-110</v>
          </cell>
          <cell r="B1647" t="str">
            <v>LCT013-374</v>
          </cell>
          <cell r="C1647" t="str">
            <v>Y013</v>
          </cell>
          <cell r="D1647" t="str">
            <v>2A11025811136</v>
          </cell>
          <cell r="E1647" t="str">
            <v>抽面板侧饰条</v>
          </cell>
          <cell r="F1647" t="str">
            <v>178*25*15</v>
          </cell>
          <cell r="G1647">
            <v>178</v>
          </cell>
          <cell r="H1647">
            <v>25</v>
          </cell>
          <cell r="I1647">
            <v>15</v>
          </cell>
          <cell r="J1647">
            <v>98</v>
          </cell>
          <cell r="K1647">
            <v>0</v>
          </cell>
          <cell r="L1647">
            <v>0.21</v>
          </cell>
          <cell r="M1647">
            <v>0</v>
          </cell>
          <cell r="N1647">
            <v>0</v>
          </cell>
          <cell r="O1647" t="str">
            <v>40V</v>
          </cell>
          <cell r="P1647" t="str">
            <v>1010</v>
          </cell>
          <cell r="Q1647">
            <v>1010</v>
          </cell>
          <cell r="R1647">
            <v>2.1428571428571428</v>
          </cell>
        </row>
        <row r="1648">
          <cell r="A1648" t="str">
            <v>Y013-111</v>
          </cell>
          <cell r="B1648" t="str">
            <v>LCT013-375</v>
          </cell>
          <cell r="C1648" t="str">
            <v>Y013</v>
          </cell>
          <cell r="D1648" t="str">
            <v>2A11025811511</v>
          </cell>
          <cell r="E1648" t="str">
            <v>前立水1横饰条</v>
          </cell>
          <cell r="F1648" t="str">
            <v>1152*25*15</v>
          </cell>
          <cell r="G1648">
            <v>1152</v>
          </cell>
          <cell r="H1648">
            <v>25</v>
          </cell>
          <cell r="I1648">
            <v>15</v>
          </cell>
          <cell r="J1648">
            <v>520</v>
          </cell>
          <cell r="K1648">
            <v>0</v>
          </cell>
          <cell r="L1648">
            <v>1.38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2.6538461538461537</v>
          </cell>
        </row>
        <row r="1649">
          <cell r="A1649" t="str">
            <v>Y013-112</v>
          </cell>
          <cell r="B1649" t="str">
            <v>LCT013-133</v>
          </cell>
          <cell r="C1649" t="str">
            <v>Y013</v>
          </cell>
          <cell r="D1649" t="str">
            <v>2A1I74454J1</v>
          </cell>
          <cell r="E1649" t="str">
            <v>174-454J 底框前飾條</v>
          </cell>
          <cell r="F1649" t="str">
            <v>2203*21*19</v>
          </cell>
          <cell r="G1649">
            <v>2203</v>
          </cell>
          <cell r="H1649">
            <v>21</v>
          </cell>
          <cell r="I1649">
            <v>19</v>
          </cell>
          <cell r="J1649">
            <v>880</v>
          </cell>
          <cell r="K1649">
            <v>0</v>
          </cell>
          <cell r="L1649">
            <v>2.1779999999999999</v>
          </cell>
          <cell r="M1649">
            <v>0</v>
          </cell>
          <cell r="N1649">
            <v>0</v>
          </cell>
          <cell r="O1649" t="str">
            <v>40V</v>
          </cell>
          <cell r="P1649" t="str">
            <v>1010</v>
          </cell>
          <cell r="Q1649">
            <v>1010</v>
          </cell>
          <cell r="R1649">
            <v>2.4750000000000001</v>
          </cell>
        </row>
        <row r="1650">
          <cell r="A1650" t="str">
            <v>Y013-113</v>
          </cell>
          <cell r="B1650" t="str">
            <v>LCY013-434</v>
          </cell>
          <cell r="C1650" t="str">
            <v>Y013</v>
          </cell>
          <cell r="D1650" t="str">
            <v>2A1BW103BASE1</v>
          </cell>
          <cell r="E1650" t="str">
            <v>門板/側抽面角飾條</v>
          </cell>
          <cell r="F1650" t="str">
            <v>1200*6*3</v>
          </cell>
          <cell r="G1650">
            <v>1200</v>
          </cell>
          <cell r="H1650">
            <v>6</v>
          </cell>
          <cell r="I1650">
            <v>3</v>
          </cell>
          <cell r="J1650">
            <v>40</v>
          </cell>
          <cell r="K1650">
            <v>0</v>
          </cell>
          <cell r="L1650">
            <v>0.216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5.3999999999999995</v>
          </cell>
        </row>
        <row r="1651">
          <cell r="A1651" t="str">
            <v>Y013-114</v>
          </cell>
          <cell r="B1651" t="str">
            <v>LCT013-141</v>
          </cell>
          <cell r="C1651" t="str">
            <v>Y013</v>
          </cell>
          <cell r="D1651" t="str">
            <v>3A188402</v>
          </cell>
          <cell r="E1651" t="str">
            <v>188-441/42/44/45/88-2飾花</v>
          </cell>
          <cell r="F1651" t="str">
            <v>65*65*4</v>
          </cell>
          <cell r="G1651">
            <v>65</v>
          </cell>
          <cell r="H1651">
            <v>65</v>
          </cell>
          <cell r="I1651">
            <v>4</v>
          </cell>
          <cell r="J1651">
            <v>25</v>
          </cell>
          <cell r="K1651">
            <v>0</v>
          </cell>
          <cell r="L1651">
            <v>4.3999999999999997E-2</v>
          </cell>
          <cell r="M1651">
            <v>0</v>
          </cell>
          <cell r="N1651">
            <v>0</v>
          </cell>
          <cell r="O1651" t="str">
            <v>40V</v>
          </cell>
          <cell r="P1651" t="str">
            <v>1010</v>
          </cell>
          <cell r="Q1651">
            <v>1010</v>
          </cell>
          <cell r="R1651">
            <v>1.7599999999999998</v>
          </cell>
        </row>
        <row r="1652">
          <cell r="A1652" t="str">
            <v>Y013-115</v>
          </cell>
          <cell r="B1652" t="str">
            <v>LCT013-127</v>
          </cell>
          <cell r="C1652" t="str">
            <v>Y013</v>
          </cell>
          <cell r="D1652" t="str">
            <v>2A1I744851</v>
          </cell>
          <cell r="E1652" t="str">
            <v>174-485 前框上橫飾條</v>
          </cell>
          <cell r="F1652" t="str">
            <v>1051*21*19</v>
          </cell>
          <cell r="G1652">
            <v>1051</v>
          </cell>
          <cell r="H1652">
            <v>21</v>
          </cell>
          <cell r="I1652">
            <v>19</v>
          </cell>
          <cell r="J1652">
            <v>520</v>
          </cell>
          <cell r="K1652">
            <v>0</v>
          </cell>
          <cell r="L1652">
            <v>1.089</v>
          </cell>
          <cell r="M1652">
            <v>0</v>
          </cell>
          <cell r="N1652">
            <v>0</v>
          </cell>
          <cell r="O1652" t="str">
            <v>40V</v>
          </cell>
          <cell r="P1652" t="str">
            <v>1010</v>
          </cell>
          <cell r="Q1652">
            <v>1010</v>
          </cell>
          <cell r="R1652">
            <v>2.0942307692307689</v>
          </cell>
        </row>
        <row r="1653">
          <cell r="A1653" t="str">
            <v>Y013-116</v>
          </cell>
          <cell r="B1653" t="str">
            <v>LCT013-446</v>
          </cell>
          <cell r="C1653" t="str">
            <v>Y013</v>
          </cell>
          <cell r="D1653" t="str">
            <v>2A14169161</v>
          </cell>
          <cell r="E1653" t="str">
            <v>抽面板豎飾條(891mm-1切10)</v>
          </cell>
          <cell r="F1653" t="str">
            <v>74*16*13</v>
          </cell>
          <cell r="G1653">
            <v>74</v>
          </cell>
          <cell r="H1653">
            <v>16</v>
          </cell>
          <cell r="I1653">
            <v>13</v>
          </cell>
          <cell r="J1653">
            <v>40</v>
          </cell>
          <cell r="K1653">
            <v>0</v>
          </cell>
          <cell r="L1653">
            <v>8.5000000000000006E-2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2.125</v>
          </cell>
        </row>
        <row r="1654">
          <cell r="A1654" t="str">
            <v>Y013-117</v>
          </cell>
          <cell r="B1654" t="str">
            <v>LCT013-447</v>
          </cell>
          <cell r="C1654" t="str">
            <v>Y013</v>
          </cell>
          <cell r="D1654" t="str">
            <v>2A14169162</v>
          </cell>
          <cell r="E1654" t="str">
            <v>抽面板橫飾條(800mm-1切2)</v>
          </cell>
          <cell r="F1654" t="str">
            <v>370*16*13</v>
          </cell>
          <cell r="G1654">
            <v>370</v>
          </cell>
          <cell r="H1654">
            <v>16</v>
          </cell>
          <cell r="I1654">
            <v>13</v>
          </cell>
          <cell r="J1654">
            <v>130</v>
          </cell>
          <cell r="K1654">
            <v>0</v>
          </cell>
          <cell r="L1654">
            <v>0.38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2.9230769230769229</v>
          </cell>
        </row>
        <row r="1655">
          <cell r="A1655" t="str">
            <v>Y013-118</v>
          </cell>
          <cell r="B1655" t="str">
            <v>LCT013-448</v>
          </cell>
          <cell r="C1655" t="str">
            <v>Y013</v>
          </cell>
          <cell r="D1655" t="str">
            <v>2A1875332B1</v>
          </cell>
          <cell r="E1655" t="str">
            <v>飾條 1-L</v>
          </cell>
          <cell r="F1655" t="str">
            <v>1000*8*4</v>
          </cell>
          <cell r="G1655">
            <v>1000</v>
          </cell>
          <cell r="H1655">
            <v>8</v>
          </cell>
          <cell r="I1655">
            <v>4</v>
          </cell>
          <cell r="J1655">
            <v>60</v>
          </cell>
          <cell r="K1655">
            <v>0</v>
          </cell>
          <cell r="L1655">
            <v>0.31</v>
          </cell>
          <cell r="M1655">
            <v>0</v>
          </cell>
          <cell r="N1655">
            <v>0</v>
          </cell>
          <cell r="O1655" t="str">
            <v>40V</v>
          </cell>
          <cell r="P1655" t="str">
            <v>1010</v>
          </cell>
          <cell r="Q1655">
            <v>1010</v>
          </cell>
          <cell r="R1655">
            <v>5.166666666666667</v>
          </cell>
        </row>
        <row r="1656">
          <cell r="A1656" t="str">
            <v>Y013-119</v>
          </cell>
          <cell r="B1656" t="str">
            <v>LCT013-449</v>
          </cell>
          <cell r="C1656" t="str">
            <v>Y013</v>
          </cell>
          <cell r="D1656" t="str">
            <v>2A1875332B2</v>
          </cell>
          <cell r="E1656" t="str">
            <v>飾條 1-R</v>
          </cell>
          <cell r="F1656" t="str">
            <v>1000*8*4</v>
          </cell>
          <cell r="G1656">
            <v>1000</v>
          </cell>
          <cell r="H1656">
            <v>8</v>
          </cell>
          <cell r="I1656">
            <v>4</v>
          </cell>
          <cell r="J1656">
            <v>60</v>
          </cell>
          <cell r="K1656">
            <v>0</v>
          </cell>
          <cell r="L1656">
            <v>0.31</v>
          </cell>
          <cell r="M1656">
            <v>0</v>
          </cell>
          <cell r="N1656">
            <v>0</v>
          </cell>
          <cell r="O1656" t="str">
            <v>40V</v>
          </cell>
          <cell r="P1656" t="str">
            <v>1010</v>
          </cell>
          <cell r="Q1656">
            <v>1010</v>
          </cell>
          <cell r="R1656">
            <v>5.166666666666667</v>
          </cell>
        </row>
        <row r="1657">
          <cell r="A1657" t="str">
            <v>Y013-120</v>
          </cell>
          <cell r="B1657" t="str">
            <v>LCT013-450</v>
          </cell>
          <cell r="C1657" t="str">
            <v>Y013</v>
          </cell>
          <cell r="D1657" t="str">
            <v>2A1875332B3</v>
          </cell>
          <cell r="E1657" t="str">
            <v>飾條 2</v>
          </cell>
          <cell r="F1657" t="str">
            <v>790*8*4</v>
          </cell>
          <cell r="G1657">
            <v>790</v>
          </cell>
          <cell r="H1657">
            <v>8</v>
          </cell>
          <cell r="I1657">
            <v>4</v>
          </cell>
          <cell r="J1657">
            <v>50</v>
          </cell>
          <cell r="K1657">
            <v>0</v>
          </cell>
          <cell r="L1657">
            <v>0.25</v>
          </cell>
          <cell r="M1657">
            <v>0</v>
          </cell>
          <cell r="N1657">
            <v>0</v>
          </cell>
          <cell r="O1657" t="str">
            <v>40V</v>
          </cell>
          <cell r="P1657" t="str">
            <v>1010</v>
          </cell>
          <cell r="Q1657">
            <v>1010</v>
          </cell>
          <cell r="R1657">
            <v>5</v>
          </cell>
        </row>
        <row r="1658">
          <cell r="A1658" t="str">
            <v>Y013-121</v>
          </cell>
          <cell r="B1658" t="str">
            <v>LCT013-451</v>
          </cell>
          <cell r="C1658" t="str">
            <v>Y013</v>
          </cell>
          <cell r="D1658" t="str">
            <v>2A1875H641</v>
          </cell>
          <cell r="E1658" t="str">
            <v>飾條 1-L</v>
          </cell>
          <cell r="F1658" t="str">
            <v>970*10*5</v>
          </cell>
          <cell r="G1658">
            <v>970</v>
          </cell>
          <cell r="H1658">
            <v>10</v>
          </cell>
          <cell r="I1658">
            <v>5</v>
          </cell>
          <cell r="J1658">
            <v>65</v>
          </cell>
          <cell r="K1658">
            <v>0</v>
          </cell>
          <cell r="L1658">
            <v>0.28000000000000003</v>
          </cell>
          <cell r="M1658">
            <v>0</v>
          </cell>
          <cell r="N1658">
            <v>0</v>
          </cell>
          <cell r="O1658" t="str">
            <v>40V</v>
          </cell>
          <cell r="P1658" t="str">
            <v>1010</v>
          </cell>
          <cell r="Q1658">
            <v>1010</v>
          </cell>
          <cell r="R1658">
            <v>4.3076923076923084</v>
          </cell>
        </row>
        <row r="1659">
          <cell r="A1659" t="str">
            <v>Y013-122</v>
          </cell>
          <cell r="B1659" t="str">
            <v>LCT013-452</v>
          </cell>
          <cell r="C1659" t="str">
            <v>Y013</v>
          </cell>
          <cell r="D1659" t="str">
            <v>2A1875H642</v>
          </cell>
          <cell r="E1659" t="str">
            <v>飾條 1-R</v>
          </cell>
          <cell r="F1659" t="str">
            <v>970*10*5</v>
          </cell>
          <cell r="G1659">
            <v>970</v>
          </cell>
          <cell r="H1659">
            <v>10</v>
          </cell>
          <cell r="I1659">
            <v>5</v>
          </cell>
          <cell r="J1659">
            <v>65</v>
          </cell>
          <cell r="K1659">
            <v>0</v>
          </cell>
          <cell r="L1659">
            <v>0.28000000000000003</v>
          </cell>
          <cell r="M1659">
            <v>0</v>
          </cell>
          <cell r="N1659">
            <v>0</v>
          </cell>
          <cell r="O1659" t="str">
            <v>40V</v>
          </cell>
          <cell r="P1659" t="str">
            <v>1010</v>
          </cell>
          <cell r="Q1659">
            <v>1010</v>
          </cell>
          <cell r="R1659">
            <v>4.3076923076923084</v>
          </cell>
        </row>
        <row r="1660">
          <cell r="A1660" t="str">
            <v>Y013-123</v>
          </cell>
          <cell r="B1660" t="str">
            <v>LCT013-453</v>
          </cell>
          <cell r="C1660" t="str">
            <v>Y013</v>
          </cell>
          <cell r="D1660" t="str">
            <v>2A1875H643</v>
          </cell>
          <cell r="E1660" t="str">
            <v>飾條 2-L</v>
          </cell>
          <cell r="F1660" t="str">
            <v>390*10*5</v>
          </cell>
          <cell r="G1660">
            <v>390</v>
          </cell>
          <cell r="H1660">
            <v>10</v>
          </cell>
          <cell r="I1660">
            <v>5</v>
          </cell>
          <cell r="J1660">
            <v>35</v>
          </cell>
          <cell r="K1660">
            <v>0</v>
          </cell>
          <cell r="L1660">
            <v>0.11</v>
          </cell>
          <cell r="M1660">
            <v>0</v>
          </cell>
          <cell r="N1660">
            <v>0</v>
          </cell>
          <cell r="O1660" t="str">
            <v>40V</v>
          </cell>
          <cell r="P1660" t="str">
            <v>1010</v>
          </cell>
          <cell r="Q1660">
            <v>1010</v>
          </cell>
          <cell r="R1660">
            <v>3.1428571428571428</v>
          </cell>
        </row>
        <row r="1661">
          <cell r="A1661" t="str">
            <v>Y013-124</v>
          </cell>
          <cell r="B1661" t="str">
            <v>LCT013-454</v>
          </cell>
          <cell r="C1661" t="str">
            <v>Y013</v>
          </cell>
          <cell r="D1661" t="str">
            <v>2A1875H644</v>
          </cell>
          <cell r="E1661" t="str">
            <v>飾條 2-R</v>
          </cell>
          <cell r="F1661" t="str">
            <v>390*10*5</v>
          </cell>
          <cell r="G1661">
            <v>390</v>
          </cell>
          <cell r="H1661">
            <v>10</v>
          </cell>
          <cell r="I1661">
            <v>5</v>
          </cell>
          <cell r="J1661">
            <v>35</v>
          </cell>
          <cell r="K1661">
            <v>0</v>
          </cell>
          <cell r="L1661">
            <v>0.11</v>
          </cell>
          <cell r="M1661">
            <v>0</v>
          </cell>
          <cell r="N1661">
            <v>0</v>
          </cell>
          <cell r="O1661" t="str">
            <v>40V</v>
          </cell>
          <cell r="P1661" t="str">
            <v>1010</v>
          </cell>
          <cell r="Q1661">
            <v>1010</v>
          </cell>
          <cell r="R1661">
            <v>3.1428571428571428</v>
          </cell>
        </row>
        <row r="1662">
          <cell r="A1662" t="str">
            <v>Y013-125</v>
          </cell>
          <cell r="B1662" t="str">
            <v>LCT013-455</v>
          </cell>
          <cell r="C1662" t="str">
            <v>Y013</v>
          </cell>
          <cell r="D1662" t="str">
            <v>2A1875H645</v>
          </cell>
          <cell r="E1662" t="str">
            <v>飾條 3</v>
          </cell>
          <cell r="F1662" t="str">
            <v>930*10*5</v>
          </cell>
          <cell r="G1662">
            <v>930</v>
          </cell>
          <cell r="H1662">
            <v>10</v>
          </cell>
          <cell r="I1662">
            <v>5</v>
          </cell>
          <cell r="J1662">
            <v>60</v>
          </cell>
          <cell r="K1662">
            <v>0</v>
          </cell>
          <cell r="L1662">
            <v>0.27</v>
          </cell>
          <cell r="M1662">
            <v>0</v>
          </cell>
          <cell r="N1662">
            <v>0</v>
          </cell>
          <cell r="O1662" t="str">
            <v>40V</v>
          </cell>
          <cell r="P1662" t="str">
            <v>1010</v>
          </cell>
          <cell r="Q1662">
            <v>1010</v>
          </cell>
          <cell r="R1662">
            <v>4.5000000000000009</v>
          </cell>
        </row>
        <row r="1663">
          <cell r="A1663" t="str">
            <v>Y013-126</v>
          </cell>
          <cell r="B1663" t="str">
            <v>LCT013-456</v>
          </cell>
          <cell r="C1663" t="str">
            <v>Y013</v>
          </cell>
          <cell r="D1663" t="str">
            <v>2A1875H661</v>
          </cell>
          <cell r="E1663" t="str">
            <v>飾條 2-L</v>
          </cell>
          <cell r="F1663" t="str">
            <v>500*10*5</v>
          </cell>
          <cell r="G1663">
            <v>500</v>
          </cell>
          <cell r="H1663">
            <v>10</v>
          </cell>
          <cell r="I1663">
            <v>5</v>
          </cell>
          <cell r="J1663">
            <v>40</v>
          </cell>
          <cell r="K1663">
            <v>0</v>
          </cell>
          <cell r="L1663">
            <v>0.15</v>
          </cell>
          <cell r="M1663">
            <v>0</v>
          </cell>
          <cell r="N1663">
            <v>0</v>
          </cell>
          <cell r="O1663" t="str">
            <v>40V</v>
          </cell>
          <cell r="P1663" t="str">
            <v>1010</v>
          </cell>
          <cell r="Q1663">
            <v>1010</v>
          </cell>
          <cell r="R1663">
            <v>3.75</v>
          </cell>
        </row>
        <row r="1664">
          <cell r="A1664" t="str">
            <v>Y013-127</v>
          </cell>
          <cell r="B1664" t="str">
            <v>LCT013-457</v>
          </cell>
          <cell r="C1664" t="str">
            <v>Y013</v>
          </cell>
          <cell r="D1664" t="str">
            <v>2A1875H662</v>
          </cell>
          <cell r="E1664" t="str">
            <v>飾條 2-R</v>
          </cell>
          <cell r="F1664" t="str">
            <v>500*10*5</v>
          </cell>
          <cell r="G1664">
            <v>500</v>
          </cell>
          <cell r="H1664">
            <v>10</v>
          </cell>
          <cell r="I1664">
            <v>5</v>
          </cell>
          <cell r="J1664">
            <v>40</v>
          </cell>
          <cell r="K1664">
            <v>0</v>
          </cell>
          <cell r="L1664">
            <v>0.15</v>
          </cell>
          <cell r="M1664">
            <v>0</v>
          </cell>
          <cell r="N1664">
            <v>0</v>
          </cell>
          <cell r="O1664" t="str">
            <v>40V</v>
          </cell>
          <cell r="P1664" t="str">
            <v>1010</v>
          </cell>
          <cell r="Q1664">
            <v>1010</v>
          </cell>
          <cell r="R1664">
            <v>3.75</v>
          </cell>
        </row>
        <row r="1665">
          <cell r="A1665" t="str">
            <v>Y013-128</v>
          </cell>
          <cell r="B1665" t="str">
            <v>LCT013-458</v>
          </cell>
          <cell r="C1665" t="str">
            <v>Y013</v>
          </cell>
          <cell r="D1665" t="str">
            <v>2A1875H663</v>
          </cell>
          <cell r="E1665" t="str">
            <v>飾條 3</v>
          </cell>
          <cell r="F1665" t="str">
            <v>1210*10*5</v>
          </cell>
          <cell r="G1665">
            <v>1210</v>
          </cell>
          <cell r="H1665">
            <v>10</v>
          </cell>
          <cell r="I1665">
            <v>5</v>
          </cell>
          <cell r="J1665">
            <v>80</v>
          </cell>
          <cell r="K1665">
            <v>0</v>
          </cell>
          <cell r="L1665">
            <v>0.37</v>
          </cell>
          <cell r="M1665">
            <v>0</v>
          </cell>
          <cell r="N1665">
            <v>0</v>
          </cell>
          <cell r="O1665" t="str">
            <v>40V</v>
          </cell>
          <cell r="P1665" t="str">
            <v>1010</v>
          </cell>
          <cell r="Q1665">
            <v>1010</v>
          </cell>
          <cell r="R1665">
            <v>4.625</v>
          </cell>
        </row>
        <row r="1666">
          <cell r="A1666" t="str">
            <v>Y013-129</v>
          </cell>
          <cell r="B1666" t="str">
            <v>LCT013-459</v>
          </cell>
          <cell r="C1666" t="str">
            <v>Y013</v>
          </cell>
          <cell r="D1666">
            <v>0</v>
          </cell>
          <cell r="E1666">
            <v>0</v>
          </cell>
          <cell r="F1666" t="str">
            <v>453*52*27</v>
          </cell>
          <cell r="G1666">
            <v>453</v>
          </cell>
          <cell r="H1666">
            <v>52</v>
          </cell>
          <cell r="I1666">
            <v>27</v>
          </cell>
          <cell r="J1666">
            <v>380</v>
          </cell>
          <cell r="K1666">
            <v>0</v>
          </cell>
          <cell r="L1666">
            <v>1.1000000000000001</v>
          </cell>
          <cell r="M1666">
            <v>0</v>
          </cell>
          <cell r="N1666">
            <v>0</v>
          </cell>
          <cell r="O1666" t="str">
            <v>40V</v>
          </cell>
          <cell r="P1666" t="str">
            <v>1010</v>
          </cell>
          <cell r="Q1666">
            <v>1010</v>
          </cell>
          <cell r="R1666">
            <v>2.8947368421052633</v>
          </cell>
        </row>
        <row r="1667">
          <cell r="A1667" t="str">
            <v>Y013-130</v>
          </cell>
          <cell r="B1667" t="str">
            <v>LCT013-247</v>
          </cell>
          <cell r="C1667" t="str">
            <v>Y013</v>
          </cell>
          <cell r="D1667" t="str">
            <v>2A179627001</v>
          </cell>
          <cell r="E1667" t="str">
            <v>Poly</v>
          </cell>
          <cell r="F1667" t="str">
            <v>899*1037*64</v>
          </cell>
          <cell r="G1667">
            <v>899</v>
          </cell>
          <cell r="H1667">
            <v>1037</v>
          </cell>
          <cell r="I1667">
            <v>64</v>
          </cell>
          <cell r="J1667">
            <v>1990</v>
          </cell>
          <cell r="K1667">
            <v>0</v>
          </cell>
          <cell r="L1667">
            <v>6.38</v>
          </cell>
          <cell r="M1667">
            <v>0</v>
          </cell>
          <cell r="N1667">
            <v>0</v>
          </cell>
          <cell r="O1667">
            <v>60</v>
          </cell>
          <cell r="P1667" t="str">
            <v>3712</v>
          </cell>
          <cell r="Q1667">
            <v>3712</v>
          </cell>
          <cell r="R1667">
            <v>3.2060301507537687</v>
          </cell>
        </row>
        <row r="1668">
          <cell r="A1668" t="str">
            <v>Y013-131</v>
          </cell>
          <cell r="B1668" t="str">
            <v>LCT013-249</v>
          </cell>
          <cell r="C1668" t="str">
            <v>Y013</v>
          </cell>
          <cell r="D1668" t="str">
            <v>2A179627061</v>
          </cell>
          <cell r="E1668" t="str">
            <v>Poly</v>
          </cell>
          <cell r="F1668" t="str">
            <v>1356*52*29</v>
          </cell>
          <cell r="G1668">
            <v>1356</v>
          </cell>
          <cell r="H1668">
            <v>52</v>
          </cell>
          <cell r="I1668">
            <v>29</v>
          </cell>
          <cell r="J1668">
            <v>1060</v>
          </cell>
          <cell r="K1668">
            <v>0</v>
          </cell>
          <cell r="L1668">
            <v>2.508</v>
          </cell>
          <cell r="M1668">
            <v>0</v>
          </cell>
          <cell r="N1668">
            <v>0</v>
          </cell>
          <cell r="O1668">
            <v>60</v>
          </cell>
          <cell r="P1668" t="str">
            <v>3712</v>
          </cell>
          <cell r="Q1668">
            <v>3712</v>
          </cell>
          <cell r="R1668">
            <v>2.3660377358490563</v>
          </cell>
        </row>
        <row r="1669">
          <cell r="A1669" t="str">
            <v>Y013-132</v>
          </cell>
          <cell r="B1669" t="str">
            <v>LCT013-250</v>
          </cell>
          <cell r="C1669" t="str">
            <v>Y013</v>
          </cell>
          <cell r="D1669" t="str">
            <v>2A179627062</v>
          </cell>
          <cell r="E1669" t="str">
            <v>Poly</v>
          </cell>
          <cell r="F1669" t="str">
            <v>419*51*10</v>
          </cell>
          <cell r="G1669">
            <v>419</v>
          </cell>
          <cell r="H1669">
            <v>51</v>
          </cell>
          <cell r="I1669">
            <v>10</v>
          </cell>
          <cell r="J1669">
            <v>265</v>
          </cell>
          <cell r="K1669">
            <v>0</v>
          </cell>
          <cell r="L1669">
            <v>0.78100000000000003</v>
          </cell>
          <cell r="M1669">
            <v>0</v>
          </cell>
          <cell r="N1669">
            <v>0</v>
          </cell>
          <cell r="O1669">
            <v>60</v>
          </cell>
          <cell r="P1669" t="str">
            <v>1010</v>
          </cell>
          <cell r="Q1669">
            <v>1010</v>
          </cell>
          <cell r="R1669">
            <v>2.9471698113207547</v>
          </cell>
        </row>
        <row r="1670">
          <cell r="A1670" t="str">
            <v>Y013-133</v>
          </cell>
          <cell r="B1670" t="str">
            <v>LCT013-460</v>
          </cell>
          <cell r="C1670" t="str">
            <v>Y013</v>
          </cell>
          <cell r="D1670" t="str">
            <v>2A11125554722</v>
          </cell>
          <cell r="E1670">
            <v>0</v>
          </cell>
          <cell r="F1670" t="str">
            <v>372*25*15</v>
          </cell>
          <cell r="G1670">
            <v>372</v>
          </cell>
          <cell r="H1670">
            <v>25</v>
          </cell>
          <cell r="I1670">
            <v>15</v>
          </cell>
          <cell r="J1670">
            <v>0</v>
          </cell>
          <cell r="K1670">
            <v>0</v>
          </cell>
          <cell r="L1670">
            <v>0.44500000000000001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 t="e">
            <v>#DIV/0!</v>
          </cell>
        </row>
        <row r="1671">
          <cell r="A1671" t="str">
            <v>Y013-134</v>
          </cell>
          <cell r="B1671" t="str">
            <v>LCT013-461</v>
          </cell>
          <cell r="C1671" t="str">
            <v>Y013</v>
          </cell>
          <cell r="D1671" t="str">
            <v>2A11125554722</v>
          </cell>
          <cell r="E1671">
            <v>0</v>
          </cell>
          <cell r="F1671" t="str">
            <v>487*25*15</v>
          </cell>
          <cell r="G1671">
            <v>487</v>
          </cell>
          <cell r="H1671">
            <v>25</v>
          </cell>
          <cell r="I1671">
            <v>15</v>
          </cell>
          <cell r="J1671">
            <v>0</v>
          </cell>
          <cell r="K1671">
            <v>0</v>
          </cell>
          <cell r="L1671">
            <v>0.58299999999999996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 t="e">
            <v>#DIV/0!</v>
          </cell>
        </row>
        <row r="1672">
          <cell r="A1672" t="str">
            <v>Y013-135</v>
          </cell>
          <cell r="B1672">
            <v>0</v>
          </cell>
          <cell r="C1672" t="str">
            <v>Y013</v>
          </cell>
          <cell r="D1672" t="str">
            <v>2A1I743356</v>
          </cell>
          <cell r="E1672" t="str">
            <v>右側板中飾條-R</v>
          </cell>
          <cell r="F1672" t="str">
            <v>437*19*15</v>
          </cell>
          <cell r="G1672">
            <v>437</v>
          </cell>
          <cell r="H1672">
            <v>19</v>
          </cell>
          <cell r="I1672">
            <v>15</v>
          </cell>
          <cell r="J1672">
            <v>210</v>
          </cell>
          <cell r="K1672">
            <v>0</v>
          </cell>
          <cell r="L1672">
            <v>0.49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2.3333333333333335</v>
          </cell>
        </row>
        <row r="1673">
          <cell r="A1673" t="str">
            <v>Y013-136</v>
          </cell>
          <cell r="B1673">
            <v>0</v>
          </cell>
          <cell r="C1673" t="str">
            <v>Y013</v>
          </cell>
          <cell r="D1673" t="str">
            <v>2A1I743346</v>
          </cell>
          <cell r="E1673" t="str">
            <v>左側板中飾條-L</v>
          </cell>
          <cell r="F1673" t="str">
            <v>437*19*15</v>
          </cell>
          <cell r="G1673">
            <v>437</v>
          </cell>
          <cell r="H1673">
            <v>19</v>
          </cell>
          <cell r="I1673">
            <v>15</v>
          </cell>
          <cell r="J1673">
            <v>210</v>
          </cell>
          <cell r="K1673">
            <v>0</v>
          </cell>
          <cell r="L1673">
            <v>0.49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2.3333333333333335</v>
          </cell>
        </row>
        <row r="1674">
          <cell r="A1674" t="str">
            <v>Y013-137</v>
          </cell>
          <cell r="B1674">
            <v>0</v>
          </cell>
          <cell r="C1674" t="str">
            <v>Y013</v>
          </cell>
          <cell r="D1674" t="str">
            <v>2A1I743234</v>
          </cell>
          <cell r="E1674" t="str">
            <v>側上中飾條-L</v>
          </cell>
          <cell r="F1674" t="str">
            <v>421*19*15</v>
          </cell>
          <cell r="G1674">
            <v>421</v>
          </cell>
          <cell r="H1674">
            <v>19</v>
          </cell>
          <cell r="I1674">
            <v>15</v>
          </cell>
          <cell r="J1674">
            <v>200</v>
          </cell>
          <cell r="K1674">
            <v>0</v>
          </cell>
          <cell r="L1674">
            <v>0.47899999999999998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2.3949999999999996</v>
          </cell>
        </row>
        <row r="1675">
          <cell r="A1675" t="str">
            <v>Y013-138</v>
          </cell>
          <cell r="B1675">
            <v>0</v>
          </cell>
          <cell r="C1675" t="str">
            <v>Y013</v>
          </cell>
          <cell r="D1675" t="str">
            <v>2A1I743235</v>
          </cell>
          <cell r="E1675" t="str">
            <v>側上中飾條-R</v>
          </cell>
          <cell r="F1675" t="str">
            <v>421*19*15</v>
          </cell>
          <cell r="G1675">
            <v>421</v>
          </cell>
          <cell r="H1675">
            <v>19</v>
          </cell>
          <cell r="I1675">
            <v>15</v>
          </cell>
          <cell r="J1675">
            <v>200</v>
          </cell>
          <cell r="K1675">
            <v>0</v>
          </cell>
          <cell r="L1675">
            <v>0.47899999999999998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2.3949999999999996</v>
          </cell>
        </row>
        <row r="1676">
          <cell r="A1676" t="str">
            <v>Y013-139</v>
          </cell>
          <cell r="B1676">
            <v>0</v>
          </cell>
          <cell r="C1676" t="str">
            <v>Y013</v>
          </cell>
          <cell r="D1676" t="str">
            <v>2A18758191</v>
          </cell>
          <cell r="E1676" t="str">
            <v>上門框-外上飾條</v>
          </cell>
          <cell r="F1676" t="str">
            <v>900*8*5</v>
          </cell>
          <cell r="G1676">
            <v>900</v>
          </cell>
          <cell r="H1676">
            <v>8</v>
          </cell>
          <cell r="I1676">
            <v>5</v>
          </cell>
          <cell r="J1676">
            <v>75</v>
          </cell>
          <cell r="K1676">
            <v>0</v>
          </cell>
          <cell r="L1676">
            <v>0.28000000000000003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3.7333333333333338</v>
          </cell>
        </row>
        <row r="1677">
          <cell r="A1677" t="str">
            <v>Y013-140</v>
          </cell>
          <cell r="B1677">
            <v>0</v>
          </cell>
          <cell r="C1677" t="str">
            <v>Y013</v>
          </cell>
          <cell r="D1677" t="str">
            <v>2A18758192</v>
          </cell>
          <cell r="E1677" t="str">
            <v>上門框-內上飾條</v>
          </cell>
          <cell r="F1677" t="str">
            <v>774*8*5</v>
          </cell>
          <cell r="G1677">
            <v>774</v>
          </cell>
          <cell r="H1677">
            <v>8</v>
          </cell>
          <cell r="I1677">
            <v>5</v>
          </cell>
          <cell r="J1677">
            <v>70</v>
          </cell>
          <cell r="K1677">
            <v>0</v>
          </cell>
          <cell r="L1677">
            <v>0.24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3.4285714285714279</v>
          </cell>
        </row>
        <row r="1678">
          <cell r="A1678" t="str">
            <v>Y013-141</v>
          </cell>
          <cell r="B1678">
            <v>0</v>
          </cell>
          <cell r="C1678" t="str">
            <v>Y013</v>
          </cell>
          <cell r="D1678" t="str">
            <v>2A18750321</v>
          </cell>
          <cell r="E1678" t="str">
            <v>前框企柱-上橫飾條(彎角)</v>
          </cell>
          <cell r="F1678" t="str">
            <v>118*32*8</v>
          </cell>
          <cell r="G1678">
            <v>118</v>
          </cell>
          <cell r="H1678">
            <v>32</v>
          </cell>
          <cell r="I1678">
            <v>8</v>
          </cell>
          <cell r="J1678">
            <v>30</v>
          </cell>
          <cell r="K1678">
            <v>0</v>
          </cell>
          <cell r="L1678">
            <v>0.1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3.3333333333333335</v>
          </cell>
        </row>
        <row r="1679">
          <cell r="A1679" t="str">
            <v>Y013-142</v>
          </cell>
          <cell r="B1679">
            <v>0</v>
          </cell>
          <cell r="C1679" t="str">
            <v>Y013</v>
          </cell>
          <cell r="D1679" t="str">
            <v>2A18750322</v>
          </cell>
          <cell r="E1679" t="str">
            <v>前框企柱-下橫飾條(弧形)</v>
          </cell>
          <cell r="F1679" t="str">
            <v>118*12*8</v>
          </cell>
          <cell r="G1679">
            <v>118</v>
          </cell>
          <cell r="H1679">
            <v>12</v>
          </cell>
          <cell r="I1679">
            <v>8</v>
          </cell>
          <cell r="J1679">
            <v>30</v>
          </cell>
          <cell r="K1679">
            <v>0</v>
          </cell>
          <cell r="L1679">
            <v>0.09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3</v>
          </cell>
        </row>
        <row r="1680">
          <cell r="A1680" t="str">
            <v>Y013-143</v>
          </cell>
          <cell r="B1680">
            <v>0</v>
          </cell>
          <cell r="C1680" t="str">
            <v>Y013</v>
          </cell>
          <cell r="D1680" t="str">
            <v>2A1I743319</v>
          </cell>
          <cell r="E1680" t="str">
            <v>前中立水飾條</v>
          </cell>
          <cell r="F1680" t="str">
            <v>1174*19*15</v>
          </cell>
          <cell r="G1680">
            <v>1174</v>
          </cell>
          <cell r="H1680">
            <v>19</v>
          </cell>
          <cell r="I1680">
            <v>15</v>
          </cell>
          <cell r="J1680">
            <v>510</v>
          </cell>
          <cell r="K1680">
            <v>0</v>
          </cell>
          <cell r="L1680">
            <v>1.28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2.5098039215686274</v>
          </cell>
        </row>
        <row r="1681">
          <cell r="A1681" t="str">
            <v>Y013-144</v>
          </cell>
          <cell r="B1681" t="str">
            <v>看型號不看左右</v>
          </cell>
          <cell r="C1681" t="str">
            <v>Y013</v>
          </cell>
          <cell r="D1681" t="str">
            <v>2A1I743341</v>
          </cell>
          <cell r="E1681" t="str">
            <v>中頂冠飾條-L</v>
          </cell>
          <cell r="F1681" t="str">
            <v>1005*19*15</v>
          </cell>
          <cell r="G1681">
            <v>1005</v>
          </cell>
          <cell r="H1681">
            <v>19</v>
          </cell>
          <cell r="I1681">
            <v>15</v>
          </cell>
          <cell r="J1681">
            <v>450</v>
          </cell>
          <cell r="K1681">
            <v>0</v>
          </cell>
          <cell r="L1681">
            <v>1.1200000000000001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2.4888888888888889</v>
          </cell>
        </row>
        <row r="1682">
          <cell r="A1682" t="str">
            <v>Y013-145</v>
          </cell>
          <cell r="B1682" t="str">
            <v>看型號不看左右</v>
          </cell>
          <cell r="C1682" t="str">
            <v>Y013</v>
          </cell>
          <cell r="D1682" t="str">
            <v>2A1I743351</v>
          </cell>
          <cell r="E1682" t="str">
            <v>中頂冠飾條-R</v>
          </cell>
          <cell r="F1682" t="str">
            <v>1005*19*15</v>
          </cell>
          <cell r="G1682">
            <v>1005</v>
          </cell>
          <cell r="H1682">
            <v>19</v>
          </cell>
          <cell r="I1682">
            <v>15</v>
          </cell>
          <cell r="J1682">
            <v>450</v>
          </cell>
          <cell r="K1682">
            <v>0</v>
          </cell>
          <cell r="L1682">
            <v>1.1200000000000001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2.4888888888888889</v>
          </cell>
        </row>
        <row r="1683">
          <cell r="A1683" t="str">
            <v>Y013-146</v>
          </cell>
          <cell r="B1683">
            <v>0</v>
          </cell>
          <cell r="C1683" t="str">
            <v>Y013</v>
          </cell>
          <cell r="D1683" t="str">
            <v>2A1I743345</v>
          </cell>
          <cell r="E1683" t="str">
            <v>層板下橫2飾條-L</v>
          </cell>
          <cell r="F1683" t="str">
            <v>682*19*15</v>
          </cell>
          <cell r="G1683">
            <v>682</v>
          </cell>
          <cell r="H1683">
            <v>19</v>
          </cell>
          <cell r="I1683">
            <v>15</v>
          </cell>
          <cell r="J1683">
            <v>320</v>
          </cell>
          <cell r="K1683">
            <v>0</v>
          </cell>
          <cell r="L1683">
            <v>0.8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2.5</v>
          </cell>
        </row>
        <row r="1684">
          <cell r="A1684" t="str">
            <v>Y013-147</v>
          </cell>
          <cell r="B1684">
            <v>0</v>
          </cell>
          <cell r="C1684" t="str">
            <v>Y013</v>
          </cell>
          <cell r="D1684" t="str">
            <v>2A1I743355</v>
          </cell>
          <cell r="E1684" t="str">
            <v>層板下橫2飾條-R</v>
          </cell>
          <cell r="F1684" t="str">
            <v>682*19*15</v>
          </cell>
          <cell r="G1684">
            <v>682</v>
          </cell>
          <cell r="H1684">
            <v>19</v>
          </cell>
          <cell r="I1684">
            <v>15</v>
          </cell>
          <cell r="J1684">
            <v>320</v>
          </cell>
          <cell r="K1684">
            <v>0</v>
          </cell>
          <cell r="L1684">
            <v>0.8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2.5</v>
          </cell>
        </row>
        <row r="1685">
          <cell r="A1685" t="str">
            <v>Y013-148</v>
          </cell>
          <cell r="B1685">
            <v>0</v>
          </cell>
          <cell r="C1685" t="str">
            <v>Y013</v>
          </cell>
          <cell r="D1685" t="str">
            <v>2A1I743346</v>
          </cell>
          <cell r="E1685" t="str">
            <v>左側板中飾條2</v>
          </cell>
          <cell r="F1685" t="str">
            <v>437*19*15</v>
          </cell>
          <cell r="G1685">
            <v>437</v>
          </cell>
          <cell r="H1685">
            <v>19</v>
          </cell>
          <cell r="I1685">
            <v>15</v>
          </cell>
          <cell r="J1685">
            <v>220</v>
          </cell>
          <cell r="K1685">
            <v>0</v>
          </cell>
          <cell r="L1685">
            <v>0.49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2.2272727272727271</v>
          </cell>
        </row>
        <row r="1686">
          <cell r="A1686" t="str">
            <v>Y013-149</v>
          </cell>
          <cell r="B1686">
            <v>0</v>
          </cell>
          <cell r="C1686" t="str">
            <v>Y013</v>
          </cell>
          <cell r="D1686" t="str">
            <v>2A1I743359</v>
          </cell>
          <cell r="E1686" t="str">
            <v>前上立水飾條-L</v>
          </cell>
          <cell r="F1686" t="str">
            <v>683*19*15</v>
          </cell>
          <cell r="G1686">
            <v>683</v>
          </cell>
          <cell r="H1686">
            <v>19</v>
          </cell>
          <cell r="I1686">
            <v>15</v>
          </cell>
          <cell r="J1686">
            <v>320</v>
          </cell>
          <cell r="K1686">
            <v>0</v>
          </cell>
          <cell r="L1686">
            <v>0.8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2.5</v>
          </cell>
        </row>
        <row r="1687">
          <cell r="A1687" t="str">
            <v>Y013-150</v>
          </cell>
          <cell r="B1687">
            <v>0</v>
          </cell>
          <cell r="C1687" t="str">
            <v>Y013</v>
          </cell>
          <cell r="D1687" t="str">
            <v>2A1I743349</v>
          </cell>
          <cell r="E1687" t="str">
            <v>前上立水飾條-R</v>
          </cell>
          <cell r="F1687" t="str">
            <v>683*19*15</v>
          </cell>
          <cell r="G1687">
            <v>683</v>
          </cell>
          <cell r="H1687">
            <v>19</v>
          </cell>
          <cell r="I1687">
            <v>15</v>
          </cell>
          <cell r="J1687">
            <v>320</v>
          </cell>
          <cell r="K1687">
            <v>0</v>
          </cell>
          <cell r="L1687">
            <v>0.8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2.5</v>
          </cell>
        </row>
        <row r="1688">
          <cell r="A1688" t="str">
            <v>Y013-151</v>
          </cell>
          <cell r="B1688">
            <v>0</v>
          </cell>
          <cell r="C1688" t="str">
            <v>Y013</v>
          </cell>
          <cell r="D1688" t="str">
            <v>2A1I743224</v>
          </cell>
          <cell r="E1688" t="str">
            <v>前立水中飾條</v>
          </cell>
          <cell r="F1688" t="str">
            <v>670*19*15</v>
          </cell>
          <cell r="G1688">
            <v>670</v>
          </cell>
          <cell r="H1688">
            <v>19</v>
          </cell>
          <cell r="I1688">
            <v>15</v>
          </cell>
          <cell r="J1688">
            <v>300</v>
          </cell>
          <cell r="K1688">
            <v>0</v>
          </cell>
          <cell r="L1688">
            <v>0.75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2.5</v>
          </cell>
        </row>
        <row r="1689">
          <cell r="A1689" t="str">
            <v>Y013-152</v>
          </cell>
          <cell r="B1689">
            <v>0</v>
          </cell>
          <cell r="C1689" t="str">
            <v>Y013</v>
          </cell>
          <cell r="D1689" t="str">
            <v>2A1I743231</v>
          </cell>
          <cell r="E1689" t="str">
            <v>飾條框</v>
          </cell>
          <cell r="F1689" t="str">
            <v>2531*19*15</v>
          </cell>
          <cell r="G1689">
            <v>2531</v>
          </cell>
          <cell r="H1689">
            <v>19</v>
          </cell>
          <cell r="I1689">
            <v>15</v>
          </cell>
          <cell r="J1689">
            <v>1000</v>
          </cell>
          <cell r="K1689">
            <v>0</v>
          </cell>
          <cell r="L1689">
            <v>2.7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2.7</v>
          </cell>
        </row>
        <row r="1690">
          <cell r="A1690" t="str">
            <v>Y013-153</v>
          </cell>
          <cell r="B1690">
            <v>0</v>
          </cell>
          <cell r="C1690" t="str">
            <v>Y013</v>
          </cell>
          <cell r="D1690" t="str">
            <v>2A14101301</v>
          </cell>
          <cell r="E1690" t="str">
            <v>面下框</v>
          </cell>
          <cell r="F1690" t="str">
            <v>1777*502*41</v>
          </cell>
          <cell r="G1690">
            <v>1777</v>
          </cell>
          <cell r="H1690">
            <v>502</v>
          </cell>
          <cell r="I1690">
            <v>41</v>
          </cell>
          <cell r="J1690">
            <v>3500</v>
          </cell>
          <cell r="K1690">
            <v>9.9749999999999996</v>
          </cell>
          <cell r="L1690">
            <v>8.6</v>
          </cell>
          <cell r="M1690">
            <v>0</v>
          </cell>
          <cell r="N1690">
            <v>5000</v>
          </cell>
          <cell r="O1690">
            <v>0</v>
          </cell>
          <cell r="P1690" t="str">
            <v>2810</v>
          </cell>
          <cell r="Q1690" t="str">
            <v>2810</v>
          </cell>
          <cell r="R1690">
            <v>2.4571428571428569</v>
          </cell>
        </row>
        <row r="1691">
          <cell r="A1691" t="str">
            <v>Y013-154</v>
          </cell>
          <cell r="B1691">
            <v>0</v>
          </cell>
          <cell r="C1691" t="str">
            <v>Y013</v>
          </cell>
          <cell r="D1691" t="str">
            <v>2A14101302</v>
          </cell>
          <cell r="E1691" t="str">
            <v>前中飾條</v>
          </cell>
          <cell r="F1691" t="str">
            <v>1650*19*10</v>
          </cell>
          <cell r="G1691">
            <v>1650</v>
          </cell>
          <cell r="H1691">
            <v>19</v>
          </cell>
          <cell r="I1691">
            <v>10</v>
          </cell>
          <cell r="J1691">
            <v>430</v>
          </cell>
          <cell r="K1691">
            <v>1.08</v>
          </cell>
          <cell r="L1691">
            <v>1.089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2.5325581395348835</v>
          </cell>
        </row>
        <row r="1692">
          <cell r="A1692" t="str">
            <v>Y013-155</v>
          </cell>
          <cell r="B1692">
            <v>0</v>
          </cell>
          <cell r="C1692" t="str">
            <v>Y013</v>
          </cell>
          <cell r="D1692" t="str">
            <v>2A14101303</v>
          </cell>
          <cell r="E1692" t="str">
            <v>側抽面板-上/下飾條-L</v>
          </cell>
          <cell r="F1692" t="str">
            <v>491*44*25</v>
          </cell>
          <cell r="G1692">
            <v>491</v>
          </cell>
          <cell r="H1692">
            <v>44</v>
          </cell>
          <cell r="I1692">
            <v>25</v>
          </cell>
          <cell r="J1692">
            <v>650</v>
          </cell>
          <cell r="K1692">
            <v>1.7</v>
          </cell>
          <cell r="L1692">
            <v>1.399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2.1523076923076925</v>
          </cell>
        </row>
        <row r="1693">
          <cell r="A1693" t="str">
            <v>Y013-156</v>
          </cell>
          <cell r="B1693">
            <v>0</v>
          </cell>
          <cell r="C1693" t="str">
            <v>Y013</v>
          </cell>
          <cell r="D1693" t="str">
            <v>2A14101304</v>
          </cell>
          <cell r="E1693" t="str">
            <v>側抽面板-上/下飾條-R</v>
          </cell>
          <cell r="F1693" t="str">
            <v>491*44*25</v>
          </cell>
          <cell r="G1693">
            <v>491</v>
          </cell>
          <cell r="H1693">
            <v>44</v>
          </cell>
          <cell r="I1693">
            <v>25</v>
          </cell>
          <cell r="J1693">
            <v>650</v>
          </cell>
          <cell r="K1693">
            <v>1.7</v>
          </cell>
          <cell r="L1693">
            <v>1.399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2.1523076923076925</v>
          </cell>
        </row>
        <row r="1694">
          <cell r="A1694" t="str">
            <v>Y013-157</v>
          </cell>
          <cell r="B1694">
            <v>0</v>
          </cell>
          <cell r="C1694" t="str">
            <v>Y013</v>
          </cell>
          <cell r="D1694" t="str">
            <v>2A14101305</v>
          </cell>
          <cell r="E1694" t="str">
            <v>上側抽面板-豎飾條1</v>
          </cell>
          <cell r="F1694" t="str">
            <v>260*44*25</v>
          </cell>
          <cell r="G1694">
            <v>259</v>
          </cell>
          <cell r="H1694">
            <v>44</v>
          </cell>
          <cell r="I1694">
            <v>25</v>
          </cell>
          <cell r="J1694">
            <v>360</v>
          </cell>
          <cell r="K1694">
            <v>0.9</v>
          </cell>
          <cell r="L1694">
            <v>0.74099999999999999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2.0583333333333336</v>
          </cell>
        </row>
        <row r="1695">
          <cell r="A1695" t="str">
            <v>Y013-158</v>
          </cell>
          <cell r="B1695">
            <v>0</v>
          </cell>
          <cell r="C1695" t="str">
            <v>Y013</v>
          </cell>
          <cell r="D1695" t="str">
            <v>2A14101306</v>
          </cell>
          <cell r="E1695" t="str">
            <v>上側抽面板-豎飾條2</v>
          </cell>
          <cell r="F1695" t="str">
            <v>260*55*25</v>
          </cell>
          <cell r="G1695">
            <v>259</v>
          </cell>
          <cell r="H1695">
            <v>55</v>
          </cell>
          <cell r="I1695">
            <v>25</v>
          </cell>
          <cell r="J1695">
            <v>400</v>
          </cell>
          <cell r="K1695">
            <v>0.98</v>
          </cell>
          <cell r="L1695">
            <v>0.74099999999999999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1.8524999999999998</v>
          </cell>
        </row>
        <row r="1696">
          <cell r="A1696" t="str">
            <v>Y013-159</v>
          </cell>
          <cell r="B1696">
            <v>0</v>
          </cell>
          <cell r="C1696" t="str">
            <v>Y013</v>
          </cell>
          <cell r="D1696" t="str">
            <v>2A14101307</v>
          </cell>
          <cell r="E1696" t="str">
            <v>中/下側抽面板-豎飾條1</v>
          </cell>
          <cell r="F1696" t="str">
            <v>290*44*25</v>
          </cell>
          <cell r="G1696">
            <v>289</v>
          </cell>
          <cell r="H1696">
            <v>44</v>
          </cell>
          <cell r="I1696">
            <v>25</v>
          </cell>
          <cell r="J1696">
            <v>400</v>
          </cell>
          <cell r="K1696">
            <v>0.93</v>
          </cell>
          <cell r="L1696">
            <v>0.82699999999999996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2.0674999999999999</v>
          </cell>
        </row>
        <row r="1697">
          <cell r="A1697" t="str">
            <v>Y013-160</v>
          </cell>
          <cell r="B1697">
            <v>0</v>
          </cell>
          <cell r="C1697" t="str">
            <v>Y013</v>
          </cell>
          <cell r="D1697" t="str">
            <v>2A14101308</v>
          </cell>
          <cell r="E1697" t="str">
            <v>中/下側抽面板-豎飾條2</v>
          </cell>
          <cell r="F1697" t="str">
            <v>290*55*25</v>
          </cell>
          <cell r="G1697">
            <v>289</v>
          </cell>
          <cell r="H1697">
            <v>55</v>
          </cell>
          <cell r="I1697">
            <v>25</v>
          </cell>
          <cell r="J1697">
            <v>440</v>
          </cell>
          <cell r="K1697">
            <v>1.08</v>
          </cell>
          <cell r="L1697">
            <v>0.82699999999999996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1.8795454545454544</v>
          </cell>
        </row>
        <row r="1698">
          <cell r="A1698" t="str">
            <v>Y013-161</v>
          </cell>
          <cell r="B1698">
            <v>0</v>
          </cell>
          <cell r="C1698" t="str">
            <v>Y013</v>
          </cell>
          <cell r="D1698" t="str">
            <v>2A14102151</v>
          </cell>
          <cell r="E1698" t="str">
            <v>面下框</v>
          </cell>
          <cell r="F1698" t="str">
            <v>1148*495*41</v>
          </cell>
          <cell r="G1698">
            <v>1148</v>
          </cell>
          <cell r="H1698">
            <v>495</v>
          </cell>
          <cell r="I1698">
            <v>41</v>
          </cell>
          <cell r="J1698">
            <v>2260</v>
          </cell>
          <cell r="K1698">
            <v>10.92</v>
          </cell>
          <cell r="L1698">
            <v>6.2</v>
          </cell>
          <cell r="M1698">
            <v>0</v>
          </cell>
          <cell r="N1698">
            <v>2600</v>
          </cell>
          <cell r="O1698">
            <v>0</v>
          </cell>
          <cell r="P1698" t="str">
            <v>2810</v>
          </cell>
          <cell r="Q1698" t="str">
            <v>2810</v>
          </cell>
          <cell r="R1698">
            <v>2.7433628318584073</v>
          </cell>
        </row>
        <row r="1699">
          <cell r="A1699" t="str">
            <v>Y013-162</v>
          </cell>
          <cell r="B1699">
            <v>0</v>
          </cell>
          <cell r="C1699" t="str">
            <v>Y013</v>
          </cell>
          <cell r="D1699" t="str">
            <v>2A14102152</v>
          </cell>
          <cell r="E1699" t="str">
            <v>上/中抽面板-上/下飾條</v>
          </cell>
          <cell r="F1699" t="str">
            <v>969*44*25</v>
          </cell>
          <cell r="G1699">
            <v>969</v>
          </cell>
          <cell r="H1699">
            <v>44</v>
          </cell>
          <cell r="I1699">
            <v>25</v>
          </cell>
          <cell r="J1699">
            <v>1170</v>
          </cell>
          <cell r="K1699">
            <v>3.33</v>
          </cell>
          <cell r="L1699">
            <v>2.762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2.3606837606837607</v>
          </cell>
        </row>
        <row r="1700">
          <cell r="A1700" t="str">
            <v>Y013-163</v>
          </cell>
          <cell r="B1700">
            <v>0</v>
          </cell>
          <cell r="C1700" t="str">
            <v>Y013</v>
          </cell>
          <cell r="D1700" t="str">
            <v>2A14102153</v>
          </cell>
          <cell r="E1700" t="str">
            <v>上抽面板-豎飾條</v>
          </cell>
          <cell r="F1700" t="str">
            <v>220*44*25</v>
          </cell>
          <cell r="G1700">
            <v>219</v>
          </cell>
          <cell r="H1700">
            <v>44</v>
          </cell>
          <cell r="I1700">
            <v>25</v>
          </cell>
          <cell r="J1700">
            <v>310</v>
          </cell>
          <cell r="K1700">
            <v>0.7</v>
          </cell>
          <cell r="L1700">
            <v>0.627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2.0225806451612902</v>
          </cell>
        </row>
        <row r="1701">
          <cell r="A1701" t="str">
            <v>Y013-164</v>
          </cell>
          <cell r="B1701">
            <v>0</v>
          </cell>
          <cell r="C1701" t="str">
            <v>Y013</v>
          </cell>
          <cell r="D1701" t="str">
            <v>2A14102154</v>
          </cell>
          <cell r="E1701" t="str">
            <v>中抽面板-豎飾條</v>
          </cell>
          <cell r="F1701" t="str">
            <v>250*44*25</v>
          </cell>
          <cell r="G1701">
            <v>249</v>
          </cell>
          <cell r="H1701">
            <v>44</v>
          </cell>
          <cell r="I1701">
            <v>25</v>
          </cell>
          <cell r="J1701">
            <v>350</v>
          </cell>
          <cell r="K1701">
            <v>0.8</v>
          </cell>
          <cell r="L1701">
            <v>0.71299999999999997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2.0371428571428574</v>
          </cell>
        </row>
        <row r="1702">
          <cell r="A1702" t="str">
            <v>Y013-165</v>
          </cell>
          <cell r="B1702">
            <v>0</v>
          </cell>
          <cell r="C1702" t="str">
            <v>Y013</v>
          </cell>
          <cell r="D1702" t="str">
            <v>2A14102155</v>
          </cell>
          <cell r="E1702" t="str">
            <v>下抽面板-上/下飾條</v>
          </cell>
          <cell r="F1702" t="str">
            <v>966*44*25</v>
          </cell>
          <cell r="G1702">
            <v>966</v>
          </cell>
          <cell r="H1702">
            <v>44</v>
          </cell>
          <cell r="I1702">
            <v>25</v>
          </cell>
          <cell r="J1702">
            <v>1165</v>
          </cell>
          <cell r="K1702">
            <v>3.33</v>
          </cell>
          <cell r="L1702">
            <v>2.7530000000000001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2.3630901287553647</v>
          </cell>
        </row>
        <row r="1703">
          <cell r="A1703" t="str">
            <v>Y013-166</v>
          </cell>
          <cell r="B1703">
            <v>0</v>
          </cell>
          <cell r="C1703" t="str">
            <v>Y013</v>
          </cell>
          <cell r="D1703" t="str">
            <v>2A14102156</v>
          </cell>
          <cell r="E1703" t="str">
            <v>下抽面板-豎飾條</v>
          </cell>
          <cell r="F1703" t="str">
            <v>270*44*25</v>
          </cell>
          <cell r="G1703">
            <v>269</v>
          </cell>
          <cell r="H1703">
            <v>44</v>
          </cell>
          <cell r="I1703">
            <v>25</v>
          </cell>
          <cell r="J1703">
            <v>380</v>
          </cell>
          <cell r="K1703">
            <v>0.85</v>
          </cell>
          <cell r="L1703">
            <v>0.77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2.0263157894736841</v>
          </cell>
        </row>
        <row r="1704">
          <cell r="A1704" t="str">
            <v>Y013-167</v>
          </cell>
          <cell r="B1704">
            <v>0</v>
          </cell>
          <cell r="C1704" t="str">
            <v>Y013</v>
          </cell>
          <cell r="D1704" t="str">
            <v>2A14104201</v>
          </cell>
          <cell r="E1704" t="str">
            <v>面下框</v>
          </cell>
          <cell r="F1704" t="str">
            <v>818*467*41</v>
          </cell>
          <cell r="G1704">
            <v>818</v>
          </cell>
          <cell r="H1704">
            <v>467</v>
          </cell>
          <cell r="I1704">
            <v>41</v>
          </cell>
          <cell r="J1704">
            <v>1950</v>
          </cell>
          <cell r="K1704">
            <v>8.4</v>
          </cell>
          <cell r="L1704">
            <v>5.0999999999999996</v>
          </cell>
          <cell r="M1704">
            <v>0</v>
          </cell>
          <cell r="N1704">
            <v>1900</v>
          </cell>
          <cell r="O1704">
            <v>0</v>
          </cell>
          <cell r="P1704" t="str">
            <v>2810</v>
          </cell>
          <cell r="Q1704" t="str">
            <v>2810</v>
          </cell>
          <cell r="R1704">
            <v>2.6153846153846154</v>
          </cell>
        </row>
        <row r="1705">
          <cell r="A1705" t="str">
            <v>Y013-168</v>
          </cell>
          <cell r="B1705">
            <v>0</v>
          </cell>
          <cell r="C1705" t="str">
            <v>Y013</v>
          </cell>
          <cell r="D1705" t="str">
            <v>2A14104202</v>
          </cell>
          <cell r="E1705" t="str">
            <v>前中飾條</v>
          </cell>
          <cell r="F1705" t="str">
            <v>658*19*10</v>
          </cell>
          <cell r="G1705">
            <v>658</v>
          </cell>
          <cell r="H1705">
            <v>19</v>
          </cell>
          <cell r="I1705">
            <v>10</v>
          </cell>
          <cell r="J1705">
            <v>260</v>
          </cell>
          <cell r="K1705">
            <v>0.45</v>
          </cell>
          <cell r="L1705">
            <v>0.434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1.6692307692307691</v>
          </cell>
        </row>
        <row r="1706">
          <cell r="A1706" t="str">
            <v>Y013-169</v>
          </cell>
          <cell r="B1706">
            <v>0</v>
          </cell>
          <cell r="C1706" t="str">
            <v>Y013</v>
          </cell>
          <cell r="D1706" t="str">
            <v>2A14104203</v>
          </cell>
          <cell r="E1706" t="str">
            <v>抽面板-上/下飾條</v>
          </cell>
          <cell r="F1706" t="str">
            <v>623*44*25</v>
          </cell>
          <cell r="G1706">
            <v>623</v>
          </cell>
          <cell r="H1706">
            <v>44</v>
          </cell>
          <cell r="I1706">
            <v>25</v>
          </cell>
          <cell r="J1706">
            <v>730</v>
          </cell>
          <cell r="K1706">
            <v>2.15</v>
          </cell>
          <cell r="L1706">
            <v>1.776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2.4328767123287673</v>
          </cell>
        </row>
        <row r="1707">
          <cell r="A1707" t="str">
            <v>Y013-170</v>
          </cell>
          <cell r="B1707">
            <v>0</v>
          </cell>
          <cell r="C1707" t="str">
            <v>Y013</v>
          </cell>
          <cell r="D1707" t="str">
            <v>2A14104204</v>
          </cell>
          <cell r="E1707" t="str">
            <v>抽面板-豎飾條</v>
          </cell>
          <cell r="F1707" t="str">
            <v>189*44*25</v>
          </cell>
          <cell r="G1707">
            <v>188</v>
          </cell>
          <cell r="H1707">
            <v>44</v>
          </cell>
          <cell r="I1707">
            <v>25</v>
          </cell>
          <cell r="J1707">
            <v>280</v>
          </cell>
          <cell r="K1707">
            <v>0.6</v>
          </cell>
          <cell r="L1707">
            <v>0.53900000000000003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1.925</v>
          </cell>
        </row>
        <row r="1708">
          <cell r="A1708" t="str">
            <v>Y013-171</v>
          </cell>
          <cell r="B1708">
            <v>0</v>
          </cell>
          <cell r="C1708" t="str">
            <v>Y013</v>
          </cell>
          <cell r="D1708" t="str">
            <v>2A14104221</v>
          </cell>
          <cell r="E1708" t="str">
            <v>前中飾條1</v>
          </cell>
          <cell r="F1708" t="str">
            <v>310*19*10</v>
          </cell>
          <cell r="G1708">
            <v>310</v>
          </cell>
          <cell r="H1708">
            <v>19</v>
          </cell>
          <cell r="I1708">
            <v>10</v>
          </cell>
          <cell r="J1708">
            <v>110</v>
          </cell>
          <cell r="K1708">
            <v>0.25</v>
          </cell>
          <cell r="L1708">
            <v>0.20499999999999999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1.8636363636363635</v>
          </cell>
        </row>
        <row r="1709">
          <cell r="A1709" t="str">
            <v>Y013-172</v>
          </cell>
          <cell r="B1709">
            <v>0</v>
          </cell>
          <cell r="C1709" t="str">
            <v>Y013</v>
          </cell>
          <cell r="D1709" t="str">
            <v>2A14104222</v>
          </cell>
          <cell r="E1709" t="str">
            <v>前中飾條3</v>
          </cell>
          <cell r="F1709" t="str">
            <v>284*19*10</v>
          </cell>
          <cell r="G1709">
            <v>284</v>
          </cell>
          <cell r="H1709">
            <v>19</v>
          </cell>
          <cell r="I1709">
            <v>10</v>
          </cell>
          <cell r="J1709">
            <v>100</v>
          </cell>
          <cell r="K1709">
            <v>0.22</v>
          </cell>
          <cell r="L1709">
            <v>0.187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1.8699999999999999</v>
          </cell>
        </row>
        <row r="1710">
          <cell r="A1710" t="str">
            <v>Y013-173</v>
          </cell>
          <cell r="B1710">
            <v>0</v>
          </cell>
          <cell r="C1710" t="str">
            <v>Y013</v>
          </cell>
          <cell r="D1710" t="str">
            <v>2A14104223</v>
          </cell>
          <cell r="E1710" t="str">
            <v>抽面板-上/下飾條1</v>
          </cell>
          <cell r="F1710" t="str">
            <v>282*11*10</v>
          </cell>
          <cell r="G1710">
            <v>282</v>
          </cell>
          <cell r="H1710">
            <v>11</v>
          </cell>
          <cell r="I1710">
            <v>10</v>
          </cell>
          <cell r="J1710">
            <v>60</v>
          </cell>
          <cell r="K1710">
            <v>0.14000000000000001</v>
          </cell>
          <cell r="L1710">
            <v>0.14099999999999999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2.3499999999999996</v>
          </cell>
        </row>
        <row r="1711">
          <cell r="A1711" t="str">
            <v>Y013-174</v>
          </cell>
          <cell r="B1711">
            <v>0</v>
          </cell>
          <cell r="C1711" t="str">
            <v>Y013</v>
          </cell>
          <cell r="D1711" t="str">
            <v>2A14104224</v>
          </cell>
          <cell r="E1711" t="str">
            <v>抽面板-上/下飾條2</v>
          </cell>
          <cell r="F1711" t="str">
            <v>73*11*10</v>
          </cell>
          <cell r="G1711">
            <v>73</v>
          </cell>
          <cell r="H1711">
            <v>11</v>
          </cell>
          <cell r="I1711">
            <v>10</v>
          </cell>
          <cell r="J1711">
            <v>25</v>
          </cell>
          <cell r="K1711">
            <v>0.05</v>
          </cell>
          <cell r="L1711">
            <v>3.6999999999999998E-2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1.4799999999999998</v>
          </cell>
        </row>
        <row r="1712">
          <cell r="A1712" t="str">
            <v>Y013-175</v>
          </cell>
          <cell r="B1712">
            <v>0</v>
          </cell>
          <cell r="C1712" t="str">
            <v>Y013</v>
          </cell>
          <cell r="D1712" t="str">
            <v>2A14104225</v>
          </cell>
          <cell r="E1712" t="str">
            <v>抽面板-上/下飾條3</v>
          </cell>
          <cell r="F1712" t="str">
            <v>309*11*10</v>
          </cell>
          <cell r="G1712">
            <v>309</v>
          </cell>
          <cell r="H1712">
            <v>11</v>
          </cell>
          <cell r="I1712">
            <v>10</v>
          </cell>
          <cell r="J1712">
            <v>70</v>
          </cell>
          <cell r="K1712">
            <v>0.15</v>
          </cell>
          <cell r="L1712">
            <v>0.155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2.214285714285714</v>
          </cell>
        </row>
        <row r="1713">
          <cell r="A1713" t="str">
            <v>Y013-176</v>
          </cell>
          <cell r="B1713">
            <v>0</v>
          </cell>
          <cell r="C1713" t="str">
            <v>Y013</v>
          </cell>
          <cell r="D1713" t="str">
            <v>2A14104226</v>
          </cell>
          <cell r="E1713" t="str">
            <v>上抽面板-豎飾條</v>
          </cell>
          <cell r="F1713" t="str">
            <v>190*15*10</v>
          </cell>
          <cell r="G1713">
            <v>193</v>
          </cell>
          <cell r="H1713">
            <v>15</v>
          </cell>
          <cell r="I1713">
            <v>10</v>
          </cell>
          <cell r="J1713">
            <v>80</v>
          </cell>
          <cell r="K1713">
            <v>0.01</v>
          </cell>
          <cell r="L1713">
            <v>0.14099999999999999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1.7624999999999997</v>
          </cell>
        </row>
        <row r="1714">
          <cell r="A1714" t="str">
            <v>Y013-177</v>
          </cell>
          <cell r="B1714">
            <v>0</v>
          </cell>
          <cell r="C1714" t="str">
            <v>Y013</v>
          </cell>
          <cell r="D1714" t="str">
            <v>2A14104227</v>
          </cell>
          <cell r="E1714" t="str">
            <v>下抽面板-豎飾條</v>
          </cell>
          <cell r="F1714" t="str">
            <v>244*15*10</v>
          </cell>
          <cell r="G1714">
            <v>243</v>
          </cell>
          <cell r="H1714">
            <v>15</v>
          </cell>
          <cell r="I1714">
            <v>10</v>
          </cell>
          <cell r="J1714">
            <v>100</v>
          </cell>
          <cell r="K1714">
            <v>0.18</v>
          </cell>
          <cell r="L1714">
            <v>0.18099999999999999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1.8099999999999998</v>
          </cell>
        </row>
        <row r="1715">
          <cell r="A1715" t="str">
            <v>Y013-178</v>
          </cell>
          <cell r="B1715">
            <v>0</v>
          </cell>
          <cell r="C1715" t="str">
            <v>Y013</v>
          </cell>
          <cell r="D1715" t="str">
            <v>2A14107441</v>
          </cell>
          <cell r="E1715" t="str">
            <v>側面下框</v>
          </cell>
          <cell r="F1715" t="str">
            <v>1028*1153*41</v>
          </cell>
          <cell r="G1715">
            <v>1028</v>
          </cell>
          <cell r="H1715">
            <v>1153</v>
          </cell>
          <cell r="I1715">
            <v>41</v>
          </cell>
          <cell r="J1715">
            <v>3300</v>
          </cell>
          <cell r="K1715">
            <v>0</v>
          </cell>
          <cell r="L1715">
            <v>9.1</v>
          </cell>
          <cell r="M1715">
            <v>0</v>
          </cell>
          <cell r="N1715">
            <v>2580</v>
          </cell>
          <cell r="O1715">
            <v>0</v>
          </cell>
          <cell r="P1715" t="str">
            <v>2810</v>
          </cell>
          <cell r="Q1715" t="str">
            <v>2810</v>
          </cell>
          <cell r="R1715">
            <v>2.7575757575757578</v>
          </cell>
        </row>
        <row r="1716">
          <cell r="A1716" t="str">
            <v>Y013-179</v>
          </cell>
          <cell r="B1716">
            <v>0</v>
          </cell>
          <cell r="C1716" t="str">
            <v>Y013</v>
          </cell>
          <cell r="D1716" t="str">
            <v>2A14107443</v>
          </cell>
          <cell r="E1716" t="str">
            <v>側前下飾條</v>
          </cell>
          <cell r="F1716" t="str">
            <v>960*19*10</v>
          </cell>
          <cell r="G1716">
            <v>960</v>
          </cell>
          <cell r="H1716">
            <v>19</v>
          </cell>
          <cell r="I1716">
            <v>10</v>
          </cell>
          <cell r="J1716">
            <v>300</v>
          </cell>
          <cell r="K1716">
            <v>0.63</v>
          </cell>
          <cell r="L1716">
            <v>0.63400000000000001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2.1133333333333333</v>
          </cell>
        </row>
        <row r="1717">
          <cell r="A1717" t="str">
            <v>Y013-180</v>
          </cell>
          <cell r="B1717">
            <v>0</v>
          </cell>
          <cell r="C1717" t="str">
            <v>Y013</v>
          </cell>
          <cell r="D1717" t="str">
            <v>2A14107444</v>
          </cell>
          <cell r="E1717" t="str">
            <v>角下飾條</v>
          </cell>
          <cell r="F1717" t="str">
            <v>380*19*10</v>
          </cell>
          <cell r="G1717">
            <v>380</v>
          </cell>
          <cell r="H1717">
            <v>19</v>
          </cell>
          <cell r="I1717">
            <v>10</v>
          </cell>
          <cell r="J1717">
            <v>120</v>
          </cell>
          <cell r="K1717">
            <v>0</v>
          </cell>
          <cell r="L1717">
            <v>0.251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2.0916666666666668</v>
          </cell>
        </row>
        <row r="1718">
          <cell r="A1718" t="str">
            <v>Y013-181</v>
          </cell>
          <cell r="B1718">
            <v>0</v>
          </cell>
          <cell r="C1718" t="str">
            <v>Y013</v>
          </cell>
          <cell r="D1718" t="str">
            <v>2A14107445</v>
          </cell>
          <cell r="E1718" t="str">
            <v>側下飾條</v>
          </cell>
          <cell r="F1718" t="str">
            <v>1050*19*10</v>
          </cell>
          <cell r="G1718">
            <v>1050</v>
          </cell>
          <cell r="H1718">
            <v>19</v>
          </cell>
          <cell r="I1718">
            <v>10</v>
          </cell>
          <cell r="J1718">
            <v>330</v>
          </cell>
          <cell r="K1718">
            <v>0</v>
          </cell>
          <cell r="L1718">
            <v>0.69299999999999995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2.0999999999999996</v>
          </cell>
        </row>
        <row r="1719">
          <cell r="A1719" t="str">
            <v>Y013-182</v>
          </cell>
          <cell r="B1719">
            <v>0</v>
          </cell>
          <cell r="C1719" t="str">
            <v>Y013</v>
          </cell>
          <cell r="D1719" t="str">
            <v>2A14107446</v>
          </cell>
          <cell r="E1719" t="str">
            <v>中下飾條</v>
          </cell>
          <cell r="F1719" t="str">
            <v>490*19*10</v>
          </cell>
          <cell r="G1719">
            <v>470</v>
          </cell>
          <cell r="H1719">
            <v>19</v>
          </cell>
          <cell r="I1719">
            <v>10</v>
          </cell>
          <cell r="J1719">
            <v>170</v>
          </cell>
          <cell r="K1719">
            <v>0</v>
          </cell>
          <cell r="L1719">
            <v>0.32300000000000001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1.9</v>
          </cell>
        </row>
        <row r="1720">
          <cell r="A1720" t="str">
            <v>Y013-183</v>
          </cell>
          <cell r="B1720">
            <v>0</v>
          </cell>
          <cell r="C1720" t="str">
            <v>Y013</v>
          </cell>
          <cell r="D1720" t="str">
            <v>2A14108303</v>
          </cell>
          <cell r="E1720" t="str">
            <v>門飾條3 -L</v>
          </cell>
          <cell r="F1720" t="str">
            <v>128*122*11</v>
          </cell>
          <cell r="G1720">
            <v>128</v>
          </cell>
          <cell r="H1720">
            <v>122</v>
          </cell>
          <cell r="I1720">
            <v>11</v>
          </cell>
          <cell r="J1720">
            <v>90</v>
          </cell>
          <cell r="K1720" t="str">
            <v>應為0.34</v>
          </cell>
          <cell r="L1720">
            <v>0.17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1.8888888888888891</v>
          </cell>
        </row>
        <row r="1721">
          <cell r="A1721" t="str">
            <v>Y013-184</v>
          </cell>
          <cell r="B1721">
            <v>0</v>
          </cell>
          <cell r="C1721" t="str">
            <v>Y013</v>
          </cell>
          <cell r="D1721" t="str">
            <v>2A14108304</v>
          </cell>
          <cell r="E1721" t="str">
            <v>門飾條3 -R</v>
          </cell>
          <cell r="F1721" t="str">
            <v>128*122*11</v>
          </cell>
          <cell r="G1721">
            <v>128</v>
          </cell>
          <cell r="H1721">
            <v>122</v>
          </cell>
          <cell r="I1721">
            <v>11</v>
          </cell>
          <cell r="J1721">
            <v>90</v>
          </cell>
          <cell r="K1721" t="str">
            <v>應為0.34</v>
          </cell>
          <cell r="L1721">
            <v>0.17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1.8888888888888891</v>
          </cell>
        </row>
        <row r="1722">
          <cell r="A1722" t="str">
            <v>Y013-185</v>
          </cell>
          <cell r="B1722">
            <v>0</v>
          </cell>
          <cell r="C1722" t="str">
            <v>Y013</v>
          </cell>
          <cell r="D1722" t="str">
            <v>2A14108311</v>
          </cell>
          <cell r="E1722" t="str">
            <v>前框-外上飾條</v>
          </cell>
          <cell r="F1722" t="str">
            <v>1734*18*10</v>
          </cell>
          <cell r="G1722">
            <v>1734</v>
          </cell>
          <cell r="H1722">
            <v>18</v>
          </cell>
          <cell r="I1722">
            <v>10</v>
          </cell>
          <cell r="J1722">
            <v>0</v>
          </cell>
          <cell r="K1722">
            <v>0</v>
          </cell>
          <cell r="L1722">
            <v>1.25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 t="e">
            <v>#DIV/0!</v>
          </cell>
        </row>
        <row r="1723">
          <cell r="A1723" t="str">
            <v>Y013-186</v>
          </cell>
          <cell r="B1723">
            <v>0</v>
          </cell>
          <cell r="C1723" t="str">
            <v>Y013</v>
          </cell>
          <cell r="D1723" t="str">
            <v>2A14108312</v>
          </cell>
          <cell r="E1723" t="str">
            <v>前框-內上飾條</v>
          </cell>
          <cell r="F1723" t="str">
            <v>1515*18*10</v>
          </cell>
          <cell r="G1723">
            <v>1571</v>
          </cell>
          <cell r="H1723">
            <v>18</v>
          </cell>
          <cell r="I1723">
            <v>10</v>
          </cell>
          <cell r="J1723">
            <v>0</v>
          </cell>
          <cell r="K1723">
            <v>0</v>
          </cell>
          <cell r="L1723">
            <v>1.1000000000000001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 t="e">
            <v>#DIV/0!</v>
          </cell>
        </row>
        <row r="1724">
          <cell r="A1724" t="str">
            <v>Y013-187</v>
          </cell>
          <cell r="B1724">
            <v>0</v>
          </cell>
          <cell r="C1724" t="str">
            <v>Y013</v>
          </cell>
          <cell r="D1724" t="str">
            <v>2A14109101</v>
          </cell>
          <cell r="E1724" t="str">
            <v>面下框</v>
          </cell>
          <cell r="F1724" t="str">
            <v>1264*756*41</v>
          </cell>
          <cell r="G1724">
            <v>1264</v>
          </cell>
          <cell r="H1724">
            <v>756</v>
          </cell>
          <cell r="I1724">
            <v>41</v>
          </cell>
          <cell r="J1724">
            <v>4100</v>
          </cell>
          <cell r="K1724">
            <v>0</v>
          </cell>
          <cell r="L1724">
            <v>10.119999999999999</v>
          </cell>
          <cell r="M1724">
            <v>0</v>
          </cell>
          <cell r="N1724">
            <v>4400</v>
          </cell>
          <cell r="O1724">
            <v>0</v>
          </cell>
          <cell r="P1724" t="str">
            <v>2810</v>
          </cell>
          <cell r="Q1724" t="str">
            <v>2810</v>
          </cell>
          <cell r="R1724">
            <v>2.4682926829268292</v>
          </cell>
        </row>
        <row r="1725">
          <cell r="A1725" t="str">
            <v>Y013-188</v>
          </cell>
          <cell r="B1725">
            <v>0</v>
          </cell>
          <cell r="C1725" t="str">
            <v>Y013</v>
          </cell>
          <cell r="D1725" t="str">
            <v>2A14109183</v>
          </cell>
          <cell r="E1725" t="str">
            <v>門框內飾條1 -L</v>
          </cell>
          <cell r="F1725" t="str">
            <v>90*78*11</v>
          </cell>
          <cell r="G1725">
            <v>90</v>
          </cell>
          <cell r="H1725">
            <v>78</v>
          </cell>
          <cell r="I1725">
            <v>11</v>
          </cell>
          <cell r="J1725">
            <v>50</v>
          </cell>
          <cell r="K1725">
            <v>0</v>
          </cell>
          <cell r="L1725">
            <v>0.21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4.1999999999999993</v>
          </cell>
        </row>
        <row r="1726">
          <cell r="A1726" t="str">
            <v>Y013-189</v>
          </cell>
          <cell r="B1726">
            <v>0</v>
          </cell>
          <cell r="C1726" t="str">
            <v>Y013</v>
          </cell>
          <cell r="D1726" t="str">
            <v>2A14109186</v>
          </cell>
          <cell r="E1726" t="str">
            <v>門框內飾條1 -R</v>
          </cell>
          <cell r="F1726" t="str">
            <v>90*78*11</v>
          </cell>
          <cell r="G1726">
            <v>90</v>
          </cell>
          <cell r="H1726">
            <v>78</v>
          </cell>
          <cell r="I1726">
            <v>11</v>
          </cell>
          <cell r="J1726">
            <v>50</v>
          </cell>
          <cell r="K1726">
            <v>0</v>
          </cell>
          <cell r="L1726">
            <v>0.21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4.1999999999999993</v>
          </cell>
        </row>
        <row r="1727">
          <cell r="A1727" t="str">
            <v>Y013-190</v>
          </cell>
          <cell r="B1727">
            <v>0</v>
          </cell>
          <cell r="C1727" t="str">
            <v>Y013</v>
          </cell>
          <cell r="D1727" t="str">
            <v>174-336</v>
          </cell>
          <cell r="E1727" t="str">
            <v>層板下橫2飾條</v>
          </cell>
          <cell r="F1727" t="str">
            <v>1077*19*15</v>
          </cell>
          <cell r="G1727">
            <v>1077</v>
          </cell>
          <cell r="H1727">
            <v>19</v>
          </cell>
          <cell r="I1727">
            <v>15</v>
          </cell>
          <cell r="J1727">
            <v>480</v>
          </cell>
          <cell r="K1727">
            <v>0</v>
          </cell>
          <cell r="L1727">
            <v>1.18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2.4583333333333335</v>
          </cell>
          <cell r="S1727">
            <v>42010</v>
          </cell>
        </row>
        <row r="1728">
          <cell r="A1728" t="str">
            <v>Y013-191</v>
          </cell>
          <cell r="B1728">
            <v>0</v>
          </cell>
          <cell r="C1728" t="str">
            <v>Y013</v>
          </cell>
          <cell r="D1728" t="str">
            <v>174-336</v>
          </cell>
          <cell r="E1728" t="str">
            <v>前上立水飾條</v>
          </cell>
          <cell r="F1728" t="str">
            <v>1088*19*15</v>
          </cell>
          <cell r="G1728">
            <v>1088</v>
          </cell>
          <cell r="H1728">
            <v>19</v>
          </cell>
          <cell r="I1728">
            <v>15</v>
          </cell>
          <cell r="J1728">
            <v>500</v>
          </cell>
          <cell r="K1728">
            <v>0</v>
          </cell>
          <cell r="L1728">
            <v>1.19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2.38</v>
          </cell>
          <cell r="S1728">
            <v>42010</v>
          </cell>
        </row>
        <row r="1729">
          <cell r="A1729" t="str">
            <v>Y013-192</v>
          </cell>
          <cell r="B1729">
            <v>0</v>
          </cell>
          <cell r="C1729" t="str">
            <v>Y013</v>
          </cell>
          <cell r="D1729" t="str">
            <v>I74-305</v>
          </cell>
          <cell r="E1729" t="str">
            <v>側前中立水飾條</v>
          </cell>
          <cell r="F1729" t="str">
            <v>664*19*15</v>
          </cell>
          <cell r="G1729">
            <v>664</v>
          </cell>
          <cell r="H1729">
            <v>19</v>
          </cell>
          <cell r="I1729">
            <v>15</v>
          </cell>
          <cell r="J1729">
            <v>320</v>
          </cell>
          <cell r="K1729">
            <v>0</v>
          </cell>
          <cell r="L1729">
            <v>0.74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2.3125</v>
          </cell>
          <cell r="S1729">
            <v>42010</v>
          </cell>
        </row>
        <row r="1730">
          <cell r="A1730" t="str">
            <v>Y013-193</v>
          </cell>
          <cell r="B1730">
            <v>0</v>
          </cell>
          <cell r="C1730" t="str">
            <v>Y013</v>
          </cell>
          <cell r="D1730" t="str">
            <v>174-336</v>
          </cell>
          <cell r="E1730" t="str">
            <v>中頂冠飾條</v>
          </cell>
          <cell r="F1730" t="str">
            <v>1958*19*15</v>
          </cell>
          <cell r="G1730">
            <v>1958</v>
          </cell>
          <cell r="H1730">
            <v>19</v>
          </cell>
          <cell r="I1730">
            <v>15</v>
          </cell>
          <cell r="J1730">
            <v>800</v>
          </cell>
          <cell r="K1730">
            <v>0</v>
          </cell>
          <cell r="L1730">
            <v>2.16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2.7</v>
          </cell>
          <cell r="S1730">
            <v>42010</v>
          </cell>
        </row>
        <row r="1731">
          <cell r="A1731" t="str">
            <v>Y013-194</v>
          </cell>
          <cell r="B1731">
            <v>0</v>
          </cell>
          <cell r="C1731" t="str">
            <v>Y013</v>
          </cell>
          <cell r="D1731" t="str">
            <v>2A14108302</v>
          </cell>
          <cell r="E1731" t="str">
            <v>門飾條 2</v>
          </cell>
          <cell r="F1731" t="str">
            <v>164*103*11</v>
          </cell>
          <cell r="G1731">
            <v>164</v>
          </cell>
          <cell r="H1731">
            <v>103</v>
          </cell>
          <cell r="I1731">
            <v>11</v>
          </cell>
          <cell r="J1731">
            <v>80</v>
          </cell>
          <cell r="K1731">
            <v>0</v>
          </cell>
          <cell r="L1731">
            <v>0.17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2.125</v>
          </cell>
        </row>
        <row r="1732">
          <cell r="A1732" t="str">
            <v>Y013-195</v>
          </cell>
          <cell r="B1732">
            <v>0</v>
          </cell>
          <cell r="C1732" t="str">
            <v>Y013</v>
          </cell>
          <cell r="D1732" t="str">
            <v>2A14109185</v>
          </cell>
          <cell r="E1732" t="str">
            <v>門框內飾條 3</v>
          </cell>
          <cell r="F1732" t="str">
            <v>122*87*11</v>
          </cell>
          <cell r="G1732">
            <v>122</v>
          </cell>
          <cell r="H1732">
            <v>87</v>
          </cell>
          <cell r="I1732">
            <v>11</v>
          </cell>
          <cell r="J1732">
            <v>60</v>
          </cell>
          <cell r="K1732">
            <v>0</v>
          </cell>
          <cell r="L1732">
            <v>0.14000000000000001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2.3333333333333335</v>
          </cell>
        </row>
        <row r="1733">
          <cell r="A1733" t="str">
            <v>Y013-196</v>
          </cell>
          <cell r="B1733">
            <v>0</v>
          </cell>
          <cell r="C1733" t="str">
            <v>Y013</v>
          </cell>
          <cell r="D1733" t="str">
            <v>2A14091302</v>
          </cell>
          <cell r="E1733" t="str">
            <v>側抽面板上/下飾條</v>
          </cell>
          <cell r="F1733" t="str">
            <v>441**22*16</v>
          </cell>
          <cell r="G1733">
            <v>441</v>
          </cell>
          <cell r="H1733">
            <v>22</v>
          </cell>
          <cell r="I1733">
            <v>16</v>
          </cell>
          <cell r="J1733">
            <v>260</v>
          </cell>
          <cell r="K1733">
            <v>0</v>
          </cell>
          <cell r="L1733">
            <v>0.56200000000000006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2.1615384615384619</v>
          </cell>
          <cell r="S1733">
            <v>42016</v>
          </cell>
        </row>
        <row r="1734">
          <cell r="A1734" t="str">
            <v>Y013-197</v>
          </cell>
          <cell r="B1734">
            <v>0</v>
          </cell>
          <cell r="C1734" t="str">
            <v>Y013</v>
          </cell>
          <cell r="D1734" t="str">
            <v>2A14091303</v>
          </cell>
          <cell r="E1734" t="str">
            <v>上側抽面板豎飾條</v>
          </cell>
          <cell r="F1734" t="str">
            <v>241*22*16</v>
          </cell>
          <cell r="G1734">
            <v>241</v>
          </cell>
          <cell r="H1734">
            <v>22</v>
          </cell>
          <cell r="I1734">
            <v>16</v>
          </cell>
          <cell r="J1734">
            <v>140</v>
          </cell>
          <cell r="K1734">
            <v>0</v>
          </cell>
          <cell r="L1734">
            <v>0.307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2.1928571428571426</v>
          </cell>
          <cell r="S1734">
            <v>42016</v>
          </cell>
        </row>
        <row r="1735">
          <cell r="A1735" t="str">
            <v>Y013-198</v>
          </cell>
          <cell r="B1735">
            <v>0</v>
          </cell>
          <cell r="C1735" t="str">
            <v>Y013</v>
          </cell>
          <cell r="D1735" t="str">
            <v>2A14091304</v>
          </cell>
          <cell r="E1735" t="str">
            <v>側中/下抽面板豎飾條</v>
          </cell>
          <cell r="F1735" t="str">
            <v>280*22*16</v>
          </cell>
          <cell r="G1735">
            <v>280</v>
          </cell>
          <cell r="H1735">
            <v>22</v>
          </cell>
          <cell r="I1735">
            <v>16</v>
          </cell>
          <cell r="J1735">
            <v>170</v>
          </cell>
          <cell r="K1735">
            <v>0</v>
          </cell>
          <cell r="L1735">
            <v>0.35699999999999998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2.0999999999999996</v>
          </cell>
          <cell r="S1735">
            <v>42016</v>
          </cell>
        </row>
        <row r="1736">
          <cell r="A1736" t="str">
            <v>Y013-199</v>
          </cell>
          <cell r="B1736">
            <v>0</v>
          </cell>
          <cell r="C1736" t="str">
            <v>Y013</v>
          </cell>
          <cell r="D1736" t="str">
            <v>2A14091305</v>
          </cell>
          <cell r="E1736" t="str">
            <v>中抽面板上/下飾條</v>
          </cell>
          <cell r="F1736" t="str">
            <v>732*22*16</v>
          </cell>
          <cell r="G1736">
            <v>732</v>
          </cell>
          <cell r="H1736">
            <v>22</v>
          </cell>
          <cell r="I1736">
            <v>16</v>
          </cell>
          <cell r="J1736">
            <v>370</v>
          </cell>
          <cell r="K1736">
            <v>0</v>
          </cell>
          <cell r="L1736">
            <v>0.93300000000000005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2.5216216216216218</v>
          </cell>
          <cell r="S1736">
            <v>42016</v>
          </cell>
        </row>
        <row r="1737">
          <cell r="A1737" t="str">
            <v>Y013-200</v>
          </cell>
          <cell r="B1737">
            <v>0</v>
          </cell>
          <cell r="C1737" t="str">
            <v>Y013</v>
          </cell>
          <cell r="D1737" t="str">
            <v>2A14091306</v>
          </cell>
          <cell r="E1737" t="str">
            <v>上中抽面板豎飾條</v>
          </cell>
          <cell r="F1737" t="str">
            <v>241*24*16</v>
          </cell>
          <cell r="G1737">
            <v>241</v>
          </cell>
          <cell r="H1737">
            <v>24</v>
          </cell>
          <cell r="I1737">
            <v>16</v>
          </cell>
          <cell r="J1737">
            <v>160</v>
          </cell>
          <cell r="K1737">
            <v>0</v>
          </cell>
          <cell r="L1737">
            <v>0.31900000000000001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1.9937499999999999</v>
          </cell>
          <cell r="S1737">
            <v>42016</v>
          </cell>
        </row>
        <row r="1738">
          <cell r="A1738" t="str">
            <v>Y013-201</v>
          </cell>
          <cell r="B1738">
            <v>0</v>
          </cell>
          <cell r="C1738" t="str">
            <v>Y013</v>
          </cell>
          <cell r="D1738" t="str">
            <v>2A14091307</v>
          </cell>
          <cell r="E1738" t="str">
            <v>中/中下抽面板豎飾條</v>
          </cell>
          <cell r="F1738" t="str">
            <v>280*24*16</v>
          </cell>
          <cell r="G1738">
            <v>280</v>
          </cell>
          <cell r="H1738">
            <v>24</v>
          </cell>
          <cell r="I1738">
            <v>16</v>
          </cell>
          <cell r="J1738">
            <v>180</v>
          </cell>
          <cell r="K1738">
            <v>0</v>
          </cell>
          <cell r="L1738">
            <v>0.371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2.0611111111111113</v>
          </cell>
          <cell r="S1738">
            <v>42016</v>
          </cell>
        </row>
        <row r="1739">
          <cell r="A1739" t="str">
            <v>Y013-202</v>
          </cell>
          <cell r="B1739">
            <v>0</v>
          </cell>
          <cell r="C1739" t="str">
            <v>Y013</v>
          </cell>
          <cell r="D1739" t="str">
            <v>2A14094201</v>
          </cell>
          <cell r="E1739" t="str">
            <v>抽面板上/下飾條</v>
          </cell>
          <cell r="F1739" t="str">
            <v>612*22*16</v>
          </cell>
          <cell r="G1739">
            <v>613</v>
          </cell>
          <cell r="H1739">
            <v>22</v>
          </cell>
          <cell r="I1739">
            <v>16</v>
          </cell>
          <cell r="J1739">
            <v>310</v>
          </cell>
          <cell r="K1739">
            <v>0</v>
          </cell>
          <cell r="L1739">
            <v>0.78200000000000003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2.5225806451612902</v>
          </cell>
          <cell r="S1739">
            <v>42016</v>
          </cell>
        </row>
        <row r="1740">
          <cell r="A1740" t="str">
            <v>Y013-203</v>
          </cell>
          <cell r="B1740">
            <v>0</v>
          </cell>
          <cell r="C1740" t="str">
            <v>Y013</v>
          </cell>
          <cell r="D1740" t="str">
            <v>2A14094202</v>
          </cell>
          <cell r="E1740" t="str">
            <v>抽面板豎飾條</v>
          </cell>
          <cell r="F1740" t="str">
            <v>192*22*16</v>
          </cell>
          <cell r="G1740">
            <v>192</v>
          </cell>
          <cell r="H1740">
            <v>22</v>
          </cell>
          <cell r="I1740">
            <v>16</v>
          </cell>
          <cell r="J1740">
            <v>0</v>
          </cell>
          <cell r="K1740">
            <v>0</v>
          </cell>
          <cell r="L1740">
            <v>0.245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 t="e">
            <v>#DIV/0!</v>
          </cell>
          <cell r="S1740">
            <v>42016</v>
          </cell>
        </row>
        <row r="1741">
          <cell r="A1741" t="str">
            <v>Y013-204</v>
          </cell>
          <cell r="B1741">
            <v>0</v>
          </cell>
          <cell r="C1741" t="str">
            <v>Y013</v>
          </cell>
          <cell r="D1741" t="str">
            <v>2A14091301</v>
          </cell>
          <cell r="E1741" t="str">
            <v>前框企柱橫飾條</v>
          </cell>
          <cell r="F1741" t="str">
            <v>113*6*4</v>
          </cell>
          <cell r="G1741">
            <v>113</v>
          </cell>
          <cell r="H1741">
            <v>6</v>
          </cell>
          <cell r="I1741">
            <v>4</v>
          </cell>
          <cell r="J1741">
            <v>10</v>
          </cell>
          <cell r="K1741">
            <v>0</v>
          </cell>
          <cell r="L1741">
            <v>0.05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5</v>
          </cell>
        </row>
        <row r="1742">
          <cell r="A1742" t="str">
            <v>Y013-205</v>
          </cell>
          <cell r="B1742" t="str">
            <v>Y013-811</v>
          </cell>
          <cell r="C1742" t="str">
            <v>Y013</v>
          </cell>
          <cell r="D1742" t="str">
            <v>2A179625191</v>
          </cell>
          <cell r="E1742" t="str">
            <v>796-2519 側面板側立水飾條</v>
          </cell>
          <cell r="F1742" t="str">
            <v>920*19*11</v>
          </cell>
          <cell r="G1742">
            <v>895</v>
          </cell>
          <cell r="H1742">
            <v>19</v>
          </cell>
          <cell r="I1742">
            <v>11</v>
          </cell>
          <cell r="J1742">
            <v>240</v>
          </cell>
          <cell r="K1742">
            <v>0</v>
          </cell>
          <cell r="L1742">
            <v>0.59399999999999997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2.4750000000000001</v>
          </cell>
        </row>
        <row r="1743">
          <cell r="A1743" t="str">
            <v>Y013-206</v>
          </cell>
          <cell r="B1743">
            <v>0</v>
          </cell>
          <cell r="C1743" t="str">
            <v>Y013</v>
          </cell>
          <cell r="D1743" t="str">
            <v>2A18756271</v>
          </cell>
          <cell r="E1743" t="str">
            <v>前框企柱-上橫飾條軟poly</v>
          </cell>
          <cell r="F1743" t="str">
            <v>114*32*8</v>
          </cell>
          <cell r="G1743">
            <v>114</v>
          </cell>
          <cell r="H1743">
            <v>32</v>
          </cell>
          <cell r="I1743">
            <v>8</v>
          </cell>
          <cell r="J1743">
            <v>25</v>
          </cell>
          <cell r="K1743">
            <v>0</v>
          </cell>
          <cell r="L1743">
            <v>8.4000000000000005E-2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3.36</v>
          </cell>
        </row>
        <row r="1744">
          <cell r="A1744" t="str">
            <v>Y013-207</v>
          </cell>
          <cell r="B1744">
            <v>0</v>
          </cell>
          <cell r="C1744" t="str">
            <v>Y013</v>
          </cell>
          <cell r="D1744" t="str">
            <v>2A18756272</v>
          </cell>
          <cell r="E1744" t="str">
            <v>前框企柱-下橫飾條軟poly</v>
          </cell>
          <cell r="F1744" t="str">
            <v>98*12*8</v>
          </cell>
          <cell r="G1744">
            <v>98</v>
          </cell>
          <cell r="H1744">
            <v>12</v>
          </cell>
          <cell r="I1744">
            <v>8</v>
          </cell>
          <cell r="J1744">
            <v>20</v>
          </cell>
          <cell r="K1744">
            <v>0</v>
          </cell>
          <cell r="L1744">
            <v>7.0000000000000007E-2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3.5000000000000004</v>
          </cell>
        </row>
        <row r="1745">
          <cell r="A1745" t="str">
            <v>Y013-208</v>
          </cell>
          <cell r="B1745">
            <v>0</v>
          </cell>
          <cell r="C1745" t="str">
            <v>Y013</v>
          </cell>
          <cell r="D1745" t="str">
            <v>2A15123361</v>
          </cell>
          <cell r="E1745" t="str">
            <v>床头角飾條- 左 L</v>
          </cell>
          <cell r="F1745" t="str">
            <v>1000*8*5</v>
          </cell>
          <cell r="G1745">
            <v>1000</v>
          </cell>
          <cell r="H1745">
            <v>8</v>
          </cell>
          <cell r="I1745">
            <v>5</v>
          </cell>
          <cell r="J1745">
            <v>64</v>
          </cell>
          <cell r="K1745">
            <v>0</v>
          </cell>
          <cell r="L1745">
            <v>0.46700000000000003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7.296875</v>
          </cell>
          <cell r="S1745">
            <v>0</v>
          </cell>
        </row>
        <row r="1746">
          <cell r="A1746" t="str">
            <v>Y013-209</v>
          </cell>
          <cell r="B1746">
            <v>0</v>
          </cell>
          <cell r="C1746" t="str">
            <v>Y013</v>
          </cell>
          <cell r="D1746" t="str">
            <v>2A15123362</v>
          </cell>
          <cell r="E1746" t="str">
            <v>床头角飾條-右 R</v>
          </cell>
          <cell r="F1746" t="str">
            <v>1000*8*5</v>
          </cell>
          <cell r="G1746">
            <v>1000</v>
          </cell>
          <cell r="H1746">
            <v>8</v>
          </cell>
          <cell r="I1746">
            <v>5</v>
          </cell>
          <cell r="J1746">
            <v>64</v>
          </cell>
          <cell r="K1746">
            <v>0</v>
          </cell>
          <cell r="L1746">
            <v>0.46700000000000003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7.296875</v>
          </cell>
          <cell r="S1746">
            <v>0</v>
          </cell>
        </row>
        <row r="1747">
          <cell r="A1747" t="str">
            <v>Y013-210</v>
          </cell>
          <cell r="B1747">
            <v>0</v>
          </cell>
          <cell r="C1747" t="str">
            <v>Y013</v>
          </cell>
          <cell r="D1747" t="str">
            <v>2A1265273A1</v>
          </cell>
          <cell r="E1747">
            <v>0</v>
          </cell>
          <cell r="F1747" t="str">
            <v>478*478*559</v>
          </cell>
          <cell r="G1747">
            <v>478</v>
          </cell>
          <cell r="H1747">
            <v>478</v>
          </cell>
          <cell r="I1747">
            <v>559</v>
          </cell>
          <cell r="J1747">
            <v>0</v>
          </cell>
          <cell r="K1747">
            <v>0</v>
          </cell>
          <cell r="L1747">
            <v>22.5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 t="e">
            <v>#DIV/0!</v>
          </cell>
          <cell r="S1747">
            <v>0</v>
          </cell>
        </row>
        <row r="1748">
          <cell r="A1748" t="str">
            <v>Y013-211</v>
          </cell>
          <cell r="B1748">
            <v>0</v>
          </cell>
          <cell r="C1748" t="str">
            <v>Y013</v>
          </cell>
          <cell r="D1748" t="str">
            <v>2A1727280PHB1</v>
          </cell>
          <cell r="E1748" t="str">
            <v>角饰条 Poly</v>
          </cell>
          <cell r="F1748" t="str">
            <v>374*10*5</v>
          </cell>
          <cell r="G1748">
            <v>374</v>
          </cell>
          <cell r="H1748">
            <v>10</v>
          </cell>
          <cell r="I1748">
            <v>5</v>
          </cell>
          <cell r="J1748">
            <v>0</v>
          </cell>
          <cell r="K1748">
            <v>0</v>
          </cell>
          <cell r="L1748">
            <v>0.108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 t="e">
            <v>#DIV/0!</v>
          </cell>
          <cell r="S1748">
            <v>0</v>
          </cell>
        </row>
        <row r="1749">
          <cell r="A1749" t="str">
            <v>Y013-212</v>
          </cell>
          <cell r="B1749">
            <v>0</v>
          </cell>
          <cell r="C1749" t="str">
            <v>Y013</v>
          </cell>
          <cell r="D1749" t="str">
            <v>2A179625201</v>
          </cell>
          <cell r="E1749" t="str">
            <v>796-2520 前中饰条</v>
          </cell>
          <cell r="F1749" t="str">
            <v>1340*19*11</v>
          </cell>
          <cell r="G1749">
            <v>1340</v>
          </cell>
          <cell r="H1749">
            <v>19</v>
          </cell>
          <cell r="I1749">
            <v>11</v>
          </cell>
          <cell r="J1749">
            <v>0</v>
          </cell>
          <cell r="K1749">
            <v>0</v>
          </cell>
          <cell r="L1749">
            <v>0.86899999999999999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 t="e">
            <v>#DIV/0!</v>
          </cell>
          <cell r="S1749">
            <v>0</v>
          </cell>
        </row>
        <row r="1750">
          <cell r="A1750" t="str">
            <v>Y013-213</v>
          </cell>
          <cell r="B1750">
            <v>0</v>
          </cell>
          <cell r="C1750" t="str">
            <v>Y013</v>
          </cell>
          <cell r="D1750" t="str">
            <v>2A1538150001</v>
          </cell>
          <cell r="E1750" t="str">
            <v>面飾柜 poly</v>
          </cell>
          <cell r="F1750" t="str">
            <v>610*610*14</v>
          </cell>
          <cell r="G1750">
            <v>610</v>
          </cell>
          <cell r="H1750">
            <v>610</v>
          </cell>
          <cell r="I1750">
            <v>14</v>
          </cell>
          <cell r="J1750">
            <v>0</v>
          </cell>
          <cell r="K1750">
            <v>0</v>
          </cell>
          <cell r="L1750">
            <v>3.08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 t="e">
            <v>#DIV/0!</v>
          </cell>
          <cell r="S1750">
            <v>0</v>
          </cell>
        </row>
        <row r="1751">
          <cell r="A1751" t="str">
            <v>Y013-214</v>
          </cell>
          <cell r="B1751">
            <v>0</v>
          </cell>
          <cell r="C1751" t="str">
            <v>Y013</v>
          </cell>
          <cell r="D1751" t="str">
            <v>2A15381753001</v>
          </cell>
          <cell r="E1751" t="str">
            <v>前腳飾條,硬poly cứng</v>
          </cell>
          <cell r="F1751" t="str">
            <v>83*38*5</v>
          </cell>
          <cell r="G1751">
            <v>83</v>
          </cell>
          <cell r="H1751">
            <v>38</v>
          </cell>
          <cell r="I1751">
            <v>5</v>
          </cell>
          <cell r="J1751">
            <v>0</v>
          </cell>
          <cell r="K1751">
            <v>0</v>
          </cell>
          <cell r="L1751">
            <v>0.05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 t="e">
            <v>#DIV/0!</v>
          </cell>
          <cell r="S1751">
            <v>0</v>
          </cell>
        </row>
        <row r="1752">
          <cell r="A1752" t="str">
            <v>Y013-215</v>
          </cell>
          <cell r="B1752">
            <v>0</v>
          </cell>
          <cell r="C1752" t="str">
            <v>Y013</v>
          </cell>
          <cell r="D1752" t="str">
            <v>2A15381105621</v>
          </cell>
          <cell r="E1752" t="str">
            <v>上饰柱横饰条,硬poly Cứng</v>
          </cell>
          <cell r="F1752" t="str">
            <v>89*10*6</v>
          </cell>
          <cell r="G1752">
            <v>89</v>
          </cell>
          <cell r="H1752">
            <v>10</v>
          </cell>
          <cell r="I1752">
            <v>6</v>
          </cell>
          <cell r="J1752">
            <v>10</v>
          </cell>
          <cell r="K1752">
            <v>0</v>
          </cell>
          <cell r="L1752">
            <v>0.03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3</v>
          </cell>
          <cell r="S1752">
            <v>0</v>
          </cell>
        </row>
        <row r="1753">
          <cell r="A1753" t="str">
            <v>Y013-216</v>
          </cell>
          <cell r="B1753">
            <v>0</v>
          </cell>
          <cell r="C1753" t="str">
            <v>Y013</v>
          </cell>
          <cell r="D1753" t="str">
            <v>2A1548900151</v>
          </cell>
          <cell r="E1753" t="str">
            <v>立水饰条poly</v>
          </cell>
          <cell r="F1753" t="str">
            <v>1868*6*4</v>
          </cell>
          <cell r="G1753">
            <v>1868</v>
          </cell>
          <cell r="H1753">
            <v>6</v>
          </cell>
          <cell r="I1753">
            <v>4</v>
          </cell>
          <cell r="J1753">
            <v>0</v>
          </cell>
          <cell r="K1753">
            <v>0</v>
          </cell>
          <cell r="L1753">
            <v>0.23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 t="e">
            <v>#DIV/0!</v>
          </cell>
          <cell r="S1753">
            <v>0</v>
          </cell>
        </row>
        <row r="1754">
          <cell r="A1754" t="str">
            <v>Y013-217</v>
          </cell>
          <cell r="B1754">
            <v>0</v>
          </cell>
          <cell r="C1754" t="str">
            <v>Y013</v>
          </cell>
          <cell r="D1754" t="str">
            <v>2A17272344</v>
          </cell>
          <cell r="E1754" t="str">
            <v>立水框角柱</v>
          </cell>
          <cell r="F1754" t="str">
            <v>62*62*70</v>
          </cell>
          <cell r="G1754">
            <v>62</v>
          </cell>
          <cell r="H1754">
            <v>62</v>
          </cell>
          <cell r="I1754">
            <v>70</v>
          </cell>
          <cell r="J1754">
            <v>0</v>
          </cell>
          <cell r="K1754">
            <v>0</v>
          </cell>
          <cell r="L1754">
            <v>0.48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 t="e">
            <v>#DIV/0!</v>
          </cell>
          <cell r="S1754">
            <v>0</v>
          </cell>
        </row>
        <row r="1755">
          <cell r="A1755" t="str">
            <v>Y013-218</v>
          </cell>
          <cell r="B1755">
            <v>0</v>
          </cell>
          <cell r="C1755" t="str">
            <v>Y013</v>
          </cell>
          <cell r="D1755" t="str">
            <v>2A15381753001</v>
          </cell>
          <cell r="E1755" t="str">
            <v>前脚饰条軟POLY</v>
          </cell>
          <cell r="F1755" t="str">
            <v>800*8*5</v>
          </cell>
          <cell r="G1755">
            <v>800</v>
          </cell>
          <cell r="H1755">
            <v>8</v>
          </cell>
          <cell r="I1755">
            <v>5</v>
          </cell>
          <cell r="J1755">
            <v>79</v>
          </cell>
          <cell r="K1755">
            <v>0</v>
          </cell>
          <cell r="L1755">
            <v>0.27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3.4177215189873418</v>
          </cell>
          <cell r="S1755">
            <v>0</v>
          </cell>
        </row>
        <row r="1756">
          <cell r="A1756" t="str">
            <v>Y013-219</v>
          </cell>
          <cell r="B1756">
            <v>0</v>
          </cell>
          <cell r="C1756" t="str">
            <v>Y013</v>
          </cell>
          <cell r="D1756" t="str">
            <v>2A15381753001</v>
          </cell>
          <cell r="E1756" t="str">
            <v>前脚饰条軟POLY</v>
          </cell>
          <cell r="F1756" t="str">
            <v>47*47*38</v>
          </cell>
          <cell r="G1756">
            <v>47</v>
          </cell>
          <cell r="H1756">
            <v>47</v>
          </cell>
          <cell r="I1756">
            <v>38</v>
          </cell>
          <cell r="J1756">
            <v>0</v>
          </cell>
          <cell r="K1756">
            <v>0</v>
          </cell>
          <cell r="L1756">
            <v>0.05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 t="e">
            <v>#DIV/0!</v>
          </cell>
          <cell r="S1756">
            <v>0</v>
          </cell>
        </row>
        <row r="1757">
          <cell r="A1757" t="str">
            <v>Y013-220</v>
          </cell>
          <cell r="B1757">
            <v>0</v>
          </cell>
          <cell r="C1757" t="str">
            <v>Y013</v>
          </cell>
          <cell r="D1757" t="str">
            <v>2A1590090041</v>
          </cell>
          <cell r="E1757" t="str">
            <v>镜框外上饰条poly</v>
          </cell>
          <cell r="F1757" t="str">
            <v>1072*300*15</v>
          </cell>
          <cell r="G1757">
            <v>1072</v>
          </cell>
          <cell r="H1757">
            <v>300</v>
          </cell>
          <cell r="I1757">
            <v>15</v>
          </cell>
          <cell r="J1757">
            <v>0</v>
          </cell>
          <cell r="K1757">
            <v>0</v>
          </cell>
          <cell r="L1757">
            <v>1.7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 t="e">
            <v>#DIV/0!</v>
          </cell>
          <cell r="S1757">
            <v>0</v>
          </cell>
        </row>
        <row r="1758">
          <cell r="A1758" t="str">
            <v>Y013-221</v>
          </cell>
          <cell r="B1758">
            <v>0</v>
          </cell>
          <cell r="C1758" t="str">
            <v>Y013</v>
          </cell>
          <cell r="D1758" t="str">
            <v>2A1590090042</v>
          </cell>
          <cell r="E1758" t="str">
            <v>镜框内上饰条POLY</v>
          </cell>
          <cell r="F1758" t="str">
            <v>906*284*13</v>
          </cell>
          <cell r="G1758">
            <v>906</v>
          </cell>
          <cell r="H1758">
            <v>284</v>
          </cell>
          <cell r="I1758">
            <v>13</v>
          </cell>
          <cell r="J1758">
            <v>0</v>
          </cell>
          <cell r="K1758">
            <v>0</v>
          </cell>
          <cell r="L1758">
            <v>1.26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 t="e">
            <v>#DIV/0!</v>
          </cell>
          <cell r="S1758">
            <v>0</v>
          </cell>
        </row>
        <row r="1759">
          <cell r="A1759" t="str">
            <v>Y013-222</v>
          </cell>
          <cell r="B1759">
            <v>0</v>
          </cell>
          <cell r="C1759" t="str">
            <v>Y013</v>
          </cell>
          <cell r="D1759" t="str">
            <v>2A16900900071</v>
          </cell>
          <cell r="E1759" t="str">
            <v>镜框上下饰条POLY</v>
          </cell>
          <cell r="F1759" t="str">
            <v>1021*16*10</v>
          </cell>
          <cell r="G1759">
            <v>1021</v>
          </cell>
          <cell r="H1759">
            <v>16</v>
          </cell>
          <cell r="I1759">
            <v>10</v>
          </cell>
          <cell r="J1759">
            <v>198</v>
          </cell>
          <cell r="K1759">
            <v>0</v>
          </cell>
          <cell r="L1759">
            <v>0.57999999999999996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2.9292929292929291</v>
          </cell>
          <cell r="S1759">
            <v>0</v>
          </cell>
        </row>
        <row r="1760">
          <cell r="A1760" t="str">
            <v>Y013-223</v>
          </cell>
          <cell r="B1760">
            <v>0</v>
          </cell>
          <cell r="C1760" t="str">
            <v>Y013</v>
          </cell>
          <cell r="D1760" t="str">
            <v>2A21590090072</v>
          </cell>
          <cell r="E1760" t="str">
            <v>镜框侧饰条POLY</v>
          </cell>
          <cell r="F1760" t="str">
            <v>818*16*10</v>
          </cell>
          <cell r="G1760">
            <v>818</v>
          </cell>
          <cell r="H1760">
            <v>16</v>
          </cell>
          <cell r="I1760">
            <v>10</v>
          </cell>
          <cell r="J1760">
            <v>155</v>
          </cell>
          <cell r="K1760">
            <v>0</v>
          </cell>
          <cell r="L1760">
            <v>0.46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2.967741935483871</v>
          </cell>
          <cell r="S1760">
            <v>0</v>
          </cell>
        </row>
        <row r="1761">
          <cell r="A1761" t="str">
            <v>Y013-224</v>
          </cell>
          <cell r="B1761">
            <v>0</v>
          </cell>
          <cell r="C1761" t="str">
            <v>Y013</v>
          </cell>
          <cell r="D1761" t="str">
            <v>2A15900801513</v>
          </cell>
          <cell r="E1761" t="str">
            <v>前下饰条軟POLY-POLY MỀM</v>
          </cell>
          <cell r="F1761" t="str">
            <v>1094*87*25</v>
          </cell>
          <cell r="G1761">
            <v>1094</v>
          </cell>
          <cell r="H1761">
            <v>87</v>
          </cell>
          <cell r="I1761">
            <v>25</v>
          </cell>
          <cell r="J1761">
            <v>0</v>
          </cell>
          <cell r="K1761">
            <v>0</v>
          </cell>
          <cell r="L1761">
            <v>1.3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</row>
        <row r="1762">
          <cell r="A1762" t="str">
            <v>Y013-225</v>
          </cell>
          <cell r="B1762">
            <v>0</v>
          </cell>
          <cell r="C1762" t="str">
            <v>Y013</v>
          </cell>
          <cell r="D1762" t="str">
            <v>2A159007590061</v>
          </cell>
          <cell r="E1762" t="str">
            <v>门框上饰条軟POLY-POLY MỀM</v>
          </cell>
          <cell r="F1762" t="str">
            <v>564*25*12</v>
          </cell>
          <cell r="G1762">
            <v>564</v>
          </cell>
          <cell r="H1762">
            <v>25</v>
          </cell>
          <cell r="I1762">
            <v>12</v>
          </cell>
          <cell r="J1762">
            <v>0</v>
          </cell>
          <cell r="K1762">
            <v>0</v>
          </cell>
          <cell r="L1762">
            <v>0.65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</row>
        <row r="1763">
          <cell r="A1763" t="str">
            <v>Y013-226</v>
          </cell>
          <cell r="B1763">
            <v>0</v>
          </cell>
          <cell r="C1763" t="str">
            <v>Y013</v>
          </cell>
          <cell r="D1763" t="str">
            <v>2A15900759002</v>
          </cell>
          <cell r="E1763" t="str">
            <v>门框上饰条軟POLY-POLY MỀM</v>
          </cell>
          <cell r="F1763" t="str">
            <v>409*25*12</v>
          </cell>
          <cell r="G1763">
            <v>409</v>
          </cell>
          <cell r="H1763">
            <v>25</v>
          </cell>
          <cell r="I1763">
            <v>12</v>
          </cell>
          <cell r="J1763">
            <v>0</v>
          </cell>
          <cell r="K1763">
            <v>0</v>
          </cell>
          <cell r="L1763">
            <v>0.48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</row>
        <row r="1764">
          <cell r="A1764" t="str">
            <v>Y013-227</v>
          </cell>
          <cell r="B1764">
            <v>0</v>
          </cell>
          <cell r="C1764" t="str">
            <v>Y013</v>
          </cell>
          <cell r="D1764" t="str">
            <v>2A15900752031</v>
          </cell>
          <cell r="E1764" t="str">
            <v>侧立水上饰条POLY</v>
          </cell>
          <cell r="F1764" t="str">
            <v>1934*19*17</v>
          </cell>
          <cell r="G1764">
            <v>1934</v>
          </cell>
          <cell r="H1764">
            <v>19</v>
          </cell>
          <cell r="I1764">
            <v>17</v>
          </cell>
          <cell r="J1764">
            <v>0</v>
          </cell>
          <cell r="K1764">
            <v>0</v>
          </cell>
          <cell r="L1764">
            <v>1.8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</row>
        <row r="1765">
          <cell r="A1765" t="str">
            <v>Y013-228</v>
          </cell>
          <cell r="B1765">
            <v>0</v>
          </cell>
          <cell r="C1765" t="str">
            <v>Y013</v>
          </cell>
          <cell r="D1765" t="str">
            <v>2A15900752032</v>
          </cell>
          <cell r="E1765" t="str">
            <v>侧立水下饰条POLY</v>
          </cell>
          <cell r="F1765" t="str">
            <v>1896*10*6</v>
          </cell>
          <cell r="G1765">
            <v>1896</v>
          </cell>
          <cell r="H1765">
            <v>10</v>
          </cell>
          <cell r="I1765">
            <v>6</v>
          </cell>
          <cell r="J1765">
            <v>0</v>
          </cell>
          <cell r="K1765">
            <v>0</v>
          </cell>
          <cell r="L1765">
            <v>0.36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</row>
        <row r="1766">
          <cell r="A1766" t="str">
            <v>Y013-229</v>
          </cell>
          <cell r="B1766">
            <v>0</v>
          </cell>
          <cell r="C1766" t="str">
            <v>Y013</v>
          </cell>
          <cell r="D1766" t="str">
            <v>2A16900801511</v>
          </cell>
          <cell r="E1766" t="str">
            <v>侧下饰条軟POLY-POLY MỀM</v>
          </cell>
          <cell r="F1766" t="str">
            <v>251*147*25</v>
          </cell>
          <cell r="G1766">
            <v>251</v>
          </cell>
          <cell r="H1766">
            <v>147</v>
          </cell>
          <cell r="I1766">
            <v>25</v>
          </cell>
          <cell r="J1766">
            <v>0</v>
          </cell>
          <cell r="K1766">
            <v>0</v>
          </cell>
          <cell r="L1766">
            <v>0.72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</row>
        <row r="1767">
          <cell r="A1767" t="str">
            <v>Y013-230</v>
          </cell>
          <cell r="B1767">
            <v>0</v>
          </cell>
          <cell r="C1767" t="str">
            <v>Y013</v>
          </cell>
          <cell r="D1767" t="str">
            <v>2A16900801512</v>
          </cell>
          <cell r="E1767" t="str">
            <v>侧下饰条軟POLY-POLY MỀM</v>
          </cell>
          <cell r="F1767" t="str">
            <v>251*147*25</v>
          </cell>
          <cell r="G1767">
            <v>251</v>
          </cell>
          <cell r="H1767">
            <v>147</v>
          </cell>
          <cell r="I1767">
            <v>25</v>
          </cell>
          <cell r="J1767">
            <v>0</v>
          </cell>
          <cell r="K1767">
            <v>0</v>
          </cell>
          <cell r="L1767">
            <v>0.72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 t="e">
            <v>#DIV/0!</v>
          </cell>
          <cell r="S1767">
            <v>0</v>
          </cell>
        </row>
        <row r="1768">
          <cell r="A1768" t="str">
            <v>Y013-231</v>
          </cell>
          <cell r="B1768">
            <v>0</v>
          </cell>
          <cell r="C1768" t="str">
            <v>Y013</v>
          </cell>
          <cell r="D1768" t="str">
            <v>2A15900759001</v>
          </cell>
          <cell r="E1768" t="str">
            <v>前中饰条，軟poly</v>
          </cell>
          <cell r="F1768" t="str">
            <v>1520*25*13.5</v>
          </cell>
          <cell r="G1768">
            <v>1520</v>
          </cell>
          <cell r="H1768">
            <v>25</v>
          </cell>
          <cell r="I1768">
            <v>13.5</v>
          </cell>
          <cell r="J1768">
            <v>0</v>
          </cell>
          <cell r="K1768">
            <v>0</v>
          </cell>
          <cell r="L1768">
            <v>2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 t="e">
            <v>#DIV/0!</v>
          </cell>
          <cell r="S1768">
            <v>0</v>
          </cell>
        </row>
        <row r="1769">
          <cell r="A1769" t="str">
            <v>Y013-232</v>
          </cell>
          <cell r="B1769">
            <v>0</v>
          </cell>
          <cell r="C1769" t="str">
            <v>Y013</v>
          </cell>
          <cell r="D1769" t="str">
            <v>5900-55485</v>
          </cell>
          <cell r="E1769" t="str">
            <v>下柜-门柜上饰条</v>
          </cell>
          <cell r="F1769" t="str">
            <v>466*25*12</v>
          </cell>
          <cell r="G1769">
            <v>466</v>
          </cell>
          <cell r="H1769">
            <v>25</v>
          </cell>
          <cell r="I1769">
            <v>12</v>
          </cell>
          <cell r="J1769">
            <v>0</v>
          </cell>
          <cell r="K1769">
            <v>0</v>
          </cell>
          <cell r="L1769">
            <v>0.52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 t="e">
            <v>#DIV/0!</v>
          </cell>
          <cell r="S1769">
            <v>0</v>
          </cell>
        </row>
        <row r="1770">
          <cell r="A1770" t="str">
            <v>Y013-233</v>
          </cell>
          <cell r="B1770" t="str">
            <v>28*16取消</v>
          </cell>
          <cell r="C1770" t="str">
            <v>Y013</v>
          </cell>
          <cell r="D1770" t="str">
            <v>2A1P0521001</v>
          </cell>
          <cell r="E1770" t="str">
            <v>侧抽横饰条，软poly</v>
          </cell>
          <cell r="F1770" t="str">
            <v>455*28*16</v>
          </cell>
          <cell r="G1770">
            <v>455</v>
          </cell>
          <cell r="H1770">
            <v>28</v>
          </cell>
          <cell r="I1770">
            <v>16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 t="e">
            <v>#DIV/0!</v>
          </cell>
          <cell r="S1770">
            <v>0</v>
          </cell>
        </row>
        <row r="1771">
          <cell r="A1771" t="str">
            <v>Y013-234</v>
          </cell>
          <cell r="B1771" t="str">
            <v>28*16取消</v>
          </cell>
          <cell r="C1771" t="str">
            <v>Y013</v>
          </cell>
          <cell r="D1771" t="str">
            <v>2A1P0521002</v>
          </cell>
          <cell r="E1771" t="str">
            <v>侧抽横饰条，软poly</v>
          </cell>
          <cell r="F1771" t="str">
            <v>455*28*16</v>
          </cell>
          <cell r="G1771">
            <v>455</v>
          </cell>
          <cell r="H1771">
            <v>28</v>
          </cell>
          <cell r="I1771">
            <v>16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 t="e">
            <v>#DIV/0!</v>
          </cell>
          <cell r="S1771">
            <v>0</v>
          </cell>
        </row>
        <row r="1772">
          <cell r="A1772" t="str">
            <v>Y013-235</v>
          </cell>
          <cell r="B1772" t="str">
            <v>28*16取消</v>
          </cell>
          <cell r="C1772" t="str">
            <v>Y013</v>
          </cell>
          <cell r="D1772" t="str">
            <v>2A1P0521003</v>
          </cell>
          <cell r="E1772" t="str">
            <v>中抽横饰条，软poly</v>
          </cell>
          <cell r="F1772" t="str">
            <v>842*28*16</v>
          </cell>
          <cell r="G1772">
            <v>842</v>
          </cell>
          <cell r="H1772">
            <v>28</v>
          </cell>
          <cell r="I1772">
            <v>16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 t="e">
            <v>#DIV/0!</v>
          </cell>
          <cell r="S1772">
            <v>0</v>
          </cell>
        </row>
        <row r="1773">
          <cell r="A1773" t="str">
            <v>Y013-236</v>
          </cell>
          <cell r="B1773" t="str">
            <v>28*16取消</v>
          </cell>
          <cell r="C1773" t="str">
            <v>Y013</v>
          </cell>
          <cell r="D1773" t="str">
            <v>2A1P0521271</v>
          </cell>
          <cell r="E1773" t="str">
            <v>侧抽横饰条，软poly</v>
          </cell>
          <cell r="F1773" t="str">
            <v>420*28*16</v>
          </cell>
          <cell r="G1773">
            <v>420</v>
          </cell>
          <cell r="H1773">
            <v>28</v>
          </cell>
          <cell r="I1773">
            <v>16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 t="e">
            <v>#DIV/0!</v>
          </cell>
          <cell r="S1773">
            <v>0</v>
          </cell>
        </row>
        <row r="1774">
          <cell r="A1774" t="str">
            <v>Y013-237</v>
          </cell>
          <cell r="B1774" t="str">
            <v>28*16取消</v>
          </cell>
          <cell r="C1774" t="str">
            <v>Y013</v>
          </cell>
          <cell r="D1774" t="str">
            <v>2A1P0521272</v>
          </cell>
          <cell r="E1774" t="str">
            <v>侧抽横饰条，软poly</v>
          </cell>
          <cell r="F1774" t="str">
            <v>420*28*16</v>
          </cell>
          <cell r="G1774">
            <v>420</v>
          </cell>
          <cell r="H1774">
            <v>28</v>
          </cell>
          <cell r="I1774">
            <v>16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 t="e">
            <v>#DIV/0!</v>
          </cell>
          <cell r="S1774">
            <v>0</v>
          </cell>
        </row>
        <row r="1775">
          <cell r="A1775" t="str">
            <v>Y013-238</v>
          </cell>
          <cell r="B1775" t="str">
            <v>28*16取消</v>
          </cell>
          <cell r="C1775" t="str">
            <v>Y013</v>
          </cell>
          <cell r="D1775" t="str">
            <v>2A1P0521273</v>
          </cell>
          <cell r="E1775" t="str">
            <v>中抽横饰条，软poly</v>
          </cell>
          <cell r="F1775" t="str">
            <v>611*28*16</v>
          </cell>
          <cell r="G1775">
            <v>611</v>
          </cell>
          <cell r="H1775">
            <v>28</v>
          </cell>
          <cell r="I1775">
            <v>16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 t="e">
            <v>#DIV/0!</v>
          </cell>
          <cell r="S1775">
            <v>0</v>
          </cell>
        </row>
        <row r="1776">
          <cell r="A1776" t="str">
            <v>Y013-239</v>
          </cell>
          <cell r="B1776" t="str">
            <v>梯型炮管</v>
          </cell>
          <cell r="C1776" t="str">
            <v>Y013</v>
          </cell>
          <cell r="D1776" t="str">
            <v>2A1705AC051</v>
          </cell>
          <cell r="E1776" t="str">
            <v>炮管</v>
          </cell>
          <cell r="F1776" t="str">
            <v>669*358*358</v>
          </cell>
          <cell r="G1776">
            <v>669</v>
          </cell>
          <cell r="H1776">
            <v>358</v>
          </cell>
          <cell r="I1776">
            <v>358</v>
          </cell>
          <cell r="J1776">
            <v>7400</v>
          </cell>
          <cell r="K1776">
            <v>0</v>
          </cell>
          <cell r="L1776">
            <v>20</v>
          </cell>
          <cell r="M1776">
            <v>0</v>
          </cell>
          <cell r="N1776" t="str">
            <v>癈1100木7600</v>
          </cell>
          <cell r="O1776">
            <v>0</v>
          </cell>
          <cell r="P1776">
            <v>0</v>
          </cell>
          <cell r="Q1776" t="str">
            <v>5510</v>
          </cell>
          <cell r="R1776">
            <v>2.7027027027027026</v>
          </cell>
          <cell r="S1776">
            <v>0</v>
          </cell>
        </row>
        <row r="1777">
          <cell r="A1777" t="str">
            <v>Y013-240</v>
          </cell>
          <cell r="B1777">
            <v>0</v>
          </cell>
          <cell r="C1777" t="str">
            <v>Y013</v>
          </cell>
          <cell r="D1777" t="str">
            <v>2A1249511</v>
          </cell>
          <cell r="E1777" t="str">
            <v>饰条</v>
          </cell>
          <cell r="F1777" t="str">
            <v>220*13*3</v>
          </cell>
          <cell r="G1777">
            <v>220</v>
          </cell>
          <cell r="H1777">
            <v>13</v>
          </cell>
          <cell r="I1777">
            <v>3</v>
          </cell>
          <cell r="J1777">
            <v>0</v>
          </cell>
          <cell r="K1777">
            <v>0</v>
          </cell>
          <cell r="L1777">
            <v>0.06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 t="e">
            <v>#DIV/0!</v>
          </cell>
          <cell r="S1777">
            <v>0</v>
          </cell>
        </row>
        <row r="1778">
          <cell r="A1778" t="str">
            <v>Y013-241</v>
          </cell>
          <cell r="B1778">
            <v>0</v>
          </cell>
          <cell r="C1778" t="str">
            <v>Y013</v>
          </cell>
          <cell r="D1778" t="str">
            <v>2A1I39300B1</v>
          </cell>
          <cell r="E1778" t="str">
            <v>下角饰条，软 POLY</v>
          </cell>
          <cell r="F1778" t="str">
            <v>129*36*51</v>
          </cell>
          <cell r="G1778">
            <v>129</v>
          </cell>
          <cell r="H1778">
            <v>36</v>
          </cell>
          <cell r="I1778">
            <v>51</v>
          </cell>
          <cell r="J1778">
            <v>212</v>
          </cell>
          <cell r="K1778">
            <v>0</v>
          </cell>
          <cell r="L1778">
            <v>0.41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 t="str">
            <v>1010</v>
          </cell>
          <cell r="R1778">
            <v>1.9339622641509433</v>
          </cell>
          <cell r="S1778">
            <v>0</v>
          </cell>
        </row>
        <row r="1779">
          <cell r="A1779" t="str">
            <v>Y013-242</v>
          </cell>
          <cell r="B1779">
            <v>0</v>
          </cell>
          <cell r="C1779" t="str">
            <v>Y013</v>
          </cell>
          <cell r="D1779" t="str">
            <v>2A1T39300T1</v>
          </cell>
          <cell r="E1779" t="str">
            <v>下角饰条，软 POLY</v>
          </cell>
          <cell r="F1779" t="str">
            <v>127*33*25</v>
          </cell>
          <cell r="G1779">
            <v>127</v>
          </cell>
          <cell r="H1779">
            <v>33</v>
          </cell>
          <cell r="I1779">
            <v>25</v>
          </cell>
          <cell r="J1779">
            <v>72</v>
          </cell>
          <cell r="K1779">
            <v>0</v>
          </cell>
          <cell r="L1779">
            <v>0.34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 t="str">
            <v>1010</v>
          </cell>
          <cell r="R1779">
            <v>4.7222222222222232</v>
          </cell>
          <cell r="S1779">
            <v>0</v>
          </cell>
        </row>
        <row r="1780">
          <cell r="A1780" t="str">
            <v>Y013-243</v>
          </cell>
          <cell r="B1780">
            <v>0</v>
          </cell>
          <cell r="C1780" t="str">
            <v>Y013</v>
          </cell>
          <cell r="D1780" t="str">
            <v>2A1I39360WD3</v>
          </cell>
          <cell r="E1780" t="str">
            <v>下角饰条，软 POLY</v>
          </cell>
          <cell r="F1780" t="str">
            <v>123*24*19</v>
          </cell>
          <cell r="G1780">
            <v>123</v>
          </cell>
          <cell r="H1780">
            <v>24</v>
          </cell>
          <cell r="I1780">
            <v>19</v>
          </cell>
          <cell r="J1780">
            <v>61</v>
          </cell>
          <cell r="K1780">
            <v>0</v>
          </cell>
          <cell r="L1780">
            <v>0.2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 t="str">
            <v>1010</v>
          </cell>
          <cell r="R1780">
            <v>3.278688524590164</v>
          </cell>
          <cell r="S1780">
            <v>0</v>
          </cell>
        </row>
        <row r="1781">
          <cell r="A1781" t="str">
            <v>Y013-244</v>
          </cell>
          <cell r="B1781" t="str">
            <v>寫字桌腳</v>
          </cell>
          <cell r="C1781" t="str">
            <v>Y013</v>
          </cell>
          <cell r="D1781" t="str">
            <v>2A1I39360WD2</v>
          </cell>
          <cell r="E1781" t="str">
            <v>POLY 脚</v>
          </cell>
          <cell r="F1781" t="str">
            <v>682*57*445</v>
          </cell>
          <cell r="G1781">
            <v>682</v>
          </cell>
          <cell r="H1781">
            <v>57</v>
          </cell>
          <cell r="I1781">
            <v>445</v>
          </cell>
          <cell r="J1781">
            <v>4093</v>
          </cell>
          <cell r="K1781">
            <v>0</v>
          </cell>
          <cell r="L1781">
            <v>12</v>
          </cell>
          <cell r="M1781">
            <v>0</v>
          </cell>
          <cell r="N1781">
            <v>1107</v>
          </cell>
          <cell r="O1781">
            <v>0</v>
          </cell>
          <cell r="P1781">
            <v>0</v>
          </cell>
          <cell r="Q1781" t="str">
            <v>3710</v>
          </cell>
          <cell r="R1781">
            <v>2.9318348399706817</v>
          </cell>
          <cell r="S1781">
            <v>0</v>
          </cell>
        </row>
        <row r="1782">
          <cell r="A1782" t="str">
            <v>Y013-245</v>
          </cell>
          <cell r="B1782">
            <v>0</v>
          </cell>
          <cell r="C1782" t="str">
            <v>Y013</v>
          </cell>
          <cell r="D1782" t="str">
            <v>2A14439816W1</v>
          </cell>
          <cell r="E1782" t="str">
            <v>测面板测立水饰条</v>
          </cell>
          <cell r="F1782" t="str">
            <v>1286*10*5</v>
          </cell>
          <cell r="G1782">
            <v>1286</v>
          </cell>
          <cell r="H1782">
            <v>10</v>
          </cell>
          <cell r="I1782">
            <v>5</v>
          </cell>
          <cell r="J1782">
            <v>107</v>
          </cell>
          <cell r="K1782">
            <v>0</v>
          </cell>
          <cell r="L1782">
            <v>0.28000000000000003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 t="str">
            <v>1010</v>
          </cell>
          <cell r="R1782">
            <v>2.6168224299065423</v>
          </cell>
          <cell r="S1782">
            <v>0</v>
          </cell>
        </row>
        <row r="1783">
          <cell r="A1783" t="str">
            <v>Y013-246</v>
          </cell>
          <cell r="B1783">
            <v>0</v>
          </cell>
          <cell r="C1783" t="str">
            <v>Y013</v>
          </cell>
          <cell r="D1783" t="str">
            <v>92C3I884501</v>
          </cell>
          <cell r="E1783" t="str">
            <v>嘛花饰条</v>
          </cell>
          <cell r="F1783" t="str">
            <v>617*49*3</v>
          </cell>
          <cell r="G1783">
            <v>617</v>
          </cell>
          <cell r="H1783">
            <v>49</v>
          </cell>
          <cell r="I1783">
            <v>3</v>
          </cell>
          <cell r="J1783">
            <v>0</v>
          </cell>
          <cell r="K1783">
            <v>0</v>
          </cell>
          <cell r="L1783">
            <v>0.33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</row>
        <row r="1784">
          <cell r="A1784" t="str">
            <v>Y013-247</v>
          </cell>
          <cell r="B1784">
            <v>0</v>
          </cell>
          <cell r="C1784" t="str">
            <v>Y013</v>
          </cell>
          <cell r="D1784" t="str">
            <v>92C3I884501-53-561</v>
          </cell>
          <cell r="E1784" t="str">
            <v>嘛花饰条-L</v>
          </cell>
          <cell r="F1784" t="str">
            <v>408*49*3</v>
          </cell>
          <cell r="G1784">
            <v>408</v>
          </cell>
          <cell r="H1784">
            <v>49</v>
          </cell>
          <cell r="I1784">
            <v>3</v>
          </cell>
          <cell r="J1784">
            <v>0</v>
          </cell>
          <cell r="K1784">
            <v>0</v>
          </cell>
          <cell r="L1784">
            <v>0.17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</row>
        <row r="1785">
          <cell r="A1785" t="str">
            <v>Y013-248</v>
          </cell>
          <cell r="B1785">
            <v>0</v>
          </cell>
          <cell r="C1785" t="str">
            <v>Y013</v>
          </cell>
          <cell r="D1785" t="str">
            <v>92C3I884501-53-561</v>
          </cell>
          <cell r="E1785" t="str">
            <v>嘛花饰条-R</v>
          </cell>
          <cell r="F1785" t="str">
            <v>408*49*3</v>
          </cell>
          <cell r="G1785">
            <v>408</v>
          </cell>
          <cell r="H1785">
            <v>49</v>
          </cell>
          <cell r="I1785">
            <v>3</v>
          </cell>
          <cell r="J1785">
            <v>0</v>
          </cell>
          <cell r="K1785">
            <v>0</v>
          </cell>
          <cell r="L1785">
            <v>0.17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</row>
        <row r="1786">
          <cell r="A1786" t="str">
            <v>Y013-249</v>
          </cell>
          <cell r="B1786">
            <v>0</v>
          </cell>
          <cell r="C1786" t="str">
            <v>Y013</v>
          </cell>
          <cell r="D1786" t="str">
            <v>2A1I744851</v>
          </cell>
          <cell r="E1786" t="str">
            <v>I74-485前柜上横饰条</v>
          </cell>
          <cell r="F1786" t="str">
            <v>1061*21*19</v>
          </cell>
          <cell r="G1786">
            <v>1061</v>
          </cell>
          <cell r="H1786">
            <v>21</v>
          </cell>
          <cell r="I1786">
            <v>19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</row>
        <row r="1787">
          <cell r="A1787" t="str">
            <v>Y013-250</v>
          </cell>
          <cell r="B1787">
            <v>0</v>
          </cell>
          <cell r="C1787" t="str">
            <v>Y013</v>
          </cell>
          <cell r="D1787" t="str">
            <v>2A1P0811421</v>
          </cell>
          <cell r="E1787" t="str">
            <v>饰条</v>
          </cell>
          <cell r="F1787" t="str">
            <v>274*10*5</v>
          </cell>
          <cell r="G1787">
            <v>274</v>
          </cell>
          <cell r="H1787">
            <v>10</v>
          </cell>
          <cell r="I1787">
            <v>5</v>
          </cell>
          <cell r="J1787">
            <v>0</v>
          </cell>
          <cell r="K1787">
            <v>0</v>
          </cell>
          <cell r="L1787">
            <v>0.08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 t="str">
            <v>1010</v>
          </cell>
          <cell r="R1787">
            <v>0</v>
          </cell>
          <cell r="S1787">
            <v>0</v>
          </cell>
          <cell r="T1787">
            <v>0</v>
          </cell>
        </row>
        <row r="1788">
          <cell r="A1788" t="str">
            <v>Y013-251</v>
          </cell>
          <cell r="B1788">
            <v>0</v>
          </cell>
          <cell r="C1788" t="str">
            <v>Y013</v>
          </cell>
          <cell r="D1788" t="str">
            <v>2A15900752033</v>
          </cell>
          <cell r="E1788" t="str">
            <v>中立水上饰条</v>
          </cell>
          <cell r="F1788" t="str">
            <v>315*19*17</v>
          </cell>
          <cell r="G1788">
            <v>315</v>
          </cell>
          <cell r="H1788">
            <v>19</v>
          </cell>
          <cell r="I1788">
            <v>17</v>
          </cell>
          <cell r="J1788">
            <v>0</v>
          </cell>
          <cell r="K1788">
            <v>0</v>
          </cell>
          <cell r="L1788">
            <v>0.34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</row>
        <row r="1789">
          <cell r="A1789" t="str">
            <v>Y013-252</v>
          </cell>
          <cell r="B1789">
            <v>0</v>
          </cell>
          <cell r="C1789" t="str">
            <v>Y013</v>
          </cell>
          <cell r="D1789">
            <v>0</v>
          </cell>
          <cell r="E1789">
            <v>0</v>
          </cell>
          <cell r="F1789" t="str">
            <v>1576*49*3</v>
          </cell>
          <cell r="G1789">
            <v>1576</v>
          </cell>
          <cell r="H1789">
            <v>49</v>
          </cell>
          <cell r="I1789">
            <v>3</v>
          </cell>
          <cell r="J1789">
            <v>0</v>
          </cell>
          <cell r="K1789">
            <v>0</v>
          </cell>
          <cell r="L1789">
            <v>0.72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</row>
        <row r="1790">
          <cell r="A1790" t="str">
            <v>Y013-253</v>
          </cell>
          <cell r="B1790">
            <v>0</v>
          </cell>
          <cell r="C1790" t="str">
            <v>Y013</v>
          </cell>
          <cell r="D1790">
            <v>0</v>
          </cell>
          <cell r="E1790">
            <v>0</v>
          </cell>
          <cell r="F1790" t="str">
            <v>1982*49*3</v>
          </cell>
          <cell r="G1790">
            <v>1982</v>
          </cell>
          <cell r="H1790">
            <v>49</v>
          </cell>
          <cell r="I1790">
            <v>3</v>
          </cell>
          <cell r="J1790">
            <v>0</v>
          </cell>
          <cell r="K1790">
            <v>0</v>
          </cell>
          <cell r="L1790">
            <v>0.91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</row>
        <row r="1791">
          <cell r="A1791" t="str">
            <v>Y013-254</v>
          </cell>
          <cell r="B1791">
            <v>0</v>
          </cell>
          <cell r="C1791" t="str">
            <v>Y013</v>
          </cell>
          <cell r="D1791">
            <v>0</v>
          </cell>
          <cell r="E1791">
            <v>0</v>
          </cell>
          <cell r="F1791" t="str">
            <v>679*49*3</v>
          </cell>
          <cell r="G1791">
            <v>679</v>
          </cell>
          <cell r="H1791">
            <v>49</v>
          </cell>
          <cell r="I1791">
            <v>3</v>
          </cell>
          <cell r="J1791">
            <v>0</v>
          </cell>
          <cell r="K1791">
            <v>0</v>
          </cell>
          <cell r="L1791">
            <v>0.31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</row>
        <row r="1792">
          <cell r="A1792" t="str">
            <v>Y013-255</v>
          </cell>
          <cell r="B1792">
            <v>0</v>
          </cell>
          <cell r="C1792" t="str">
            <v>Y013</v>
          </cell>
          <cell r="D1792">
            <v>0</v>
          </cell>
          <cell r="E1792">
            <v>0</v>
          </cell>
          <cell r="F1792" t="str">
            <v>1054*49*3</v>
          </cell>
          <cell r="G1792">
            <v>1054</v>
          </cell>
          <cell r="H1792">
            <v>49</v>
          </cell>
          <cell r="I1792">
            <v>3</v>
          </cell>
          <cell r="J1792">
            <v>0</v>
          </cell>
          <cell r="K1792">
            <v>0</v>
          </cell>
          <cell r="L1792">
            <v>0.48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</row>
        <row r="1793">
          <cell r="A1793" t="str">
            <v>Y013-256</v>
          </cell>
          <cell r="B1793">
            <v>0</v>
          </cell>
          <cell r="C1793" t="str">
            <v>Y013</v>
          </cell>
          <cell r="D1793" t="str">
            <v>2A1I393191</v>
          </cell>
          <cell r="E1793" t="str">
            <v>中上横紧饰条1</v>
          </cell>
          <cell r="F1793" t="str">
            <v>112*51*10</v>
          </cell>
          <cell r="G1793">
            <v>112</v>
          </cell>
          <cell r="H1793">
            <v>51</v>
          </cell>
          <cell r="I1793">
            <v>10</v>
          </cell>
          <cell r="J1793">
            <v>0</v>
          </cell>
          <cell r="K1793">
            <v>0</v>
          </cell>
          <cell r="L1793">
            <v>0.1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</row>
        <row r="1794">
          <cell r="A1794" t="str">
            <v>Y013-257</v>
          </cell>
          <cell r="B1794">
            <v>0</v>
          </cell>
          <cell r="C1794" t="str">
            <v>Y013</v>
          </cell>
          <cell r="D1794" t="str">
            <v>2A1I393781</v>
          </cell>
          <cell r="E1794" t="str">
            <v>侧板上内紧饰条1</v>
          </cell>
          <cell r="F1794" t="str">
            <v>94*43*10</v>
          </cell>
          <cell r="G1794">
            <v>94</v>
          </cell>
          <cell r="H1794">
            <v>43</v>
          </cell>
          <cell r="I1794">
            <v>10</v>
          </cell>
          <cell r="J1794">
            <v>0</v>
          </cell>
          <cell r="K1794">
            <v>0</v>
          </cell>
          <cell r="L1794">
            <v>7.0000000000000007E-2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</row>
        <row r="1795">
          <cell r="A1795" t="str">
            <v>Y013-258</v>
          </cell>
          <cell r="B1795">
            <v>0</v>
          </cell>
          <cell r="C1795" t="str">
            <v>Y013</v>
          </cell>
          <cell r="D1795" t="str">
            <v>2AI17272562</v>
          </cell>
          <cell r="E1795" t="str">
            <v>前框企柱上饰条</v>
          </cell>
          <cell r="F1795" t="str">
            <v>78*76*32</v>
          </cell>
          <cell r="G1795">
            <v>78</v>
          </cell>
          <cell r="H1795">
            <v>76</v>
          </cell>
          <cell r="I1795">
            <v>32</v>
          </cell>
          <cell r="J1795">
            <v>0</v>
          </cell>
          <cell r="K1795">
            <v>0</v>
          </cell>
          <cell r="L1795">
            <v>0.23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</row>
        <row r="1796">
          <cell r="A1796" t="str">
            <v>Y013-258-1</v>
          </cell>
          <cell r="B1796" t="str">
            <v>旧报价</v>
          </cell>
          <cell r="C1796" t="str">
            <v>Y013</v>
          </cell>
          <cell r="D1796" t="str">
            <v>2AI17272562</v>
          </cell>
          <cell r="E1796" t="str">
            <v>前框企柱上饰条</v>
          </cell>
          <cell r="F1796" t="str">
            <v>78*76*32</v>
          </cell>
          <cell r="G1796">
            <v>78</v>
          </cell>
          <cell r="H1796">
            <v>76</v>
          </cell>
          <cell r="I1796">
            <v>32</v>
          </cell>
          <cell r="J1796">
            <v>0</v>
          </cell>
          <cell r="K1796">
            <v>0</v>
          </cell>
          <cell r="L1796">
            <v>0.21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</row>
        <row r="1797">
          <cell r="A1797" t="str">
            <v>Y013-259</v>
          </cell>
          <cell r="B1797">
            <v>0</v>
          </cell>
          <cell r="C1797" t="str">
            <v>Y013</v>
          </cell>
          <cell r="D1797" t="str">
            <v>2AI17272594</v>
          </cell>
          <cell r="E1797" t="str">
            <v>企柱上饰条</v>
          </cell>
          <cell r="F1797" t="str">
            <v>73*76*54</v>
          </cell>
          <cell r="G1797">
            <v>73</v>
          </cell>
          <cell r="H1797">
            <v>76</v>
          </cell>
          <cell r="I1797">
            <v>54</v>
          </cell>
          <cell r="J1797">
            <v>0</v>
          </cell>
          <cell r="K1797">
            <v>0</v>
          </cell>
          <cell r="L1797">
            <v>0.26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</row>
        <row r="1798">
          <cell r="A1798" t="str">
            <v>Y013-259-1</v>
          </cell>
          <cell r="B1798" t="str">
            <v>旧报价</v>
          </cell>
          <cell r="C1798" t="str">
            <v>Y013</v>
          </cell>
          <cell r="D1798" t="str">
            <v>2AI17272594</v>
          </cell>
          <cell r="E1798" t="str">
            <v>企柱上饰条</v>
          </cell>
          <cell r="F1798" t="str">
            <v>73*76*54</v>
          </cell>
          <cell r="G1798">
            <v>73</v>
          </cell>
          <cell r="H1798">
            <v>76</v>
          </cell>
          <cell r="I1798">
            <v>54</v>
          </cell>
          <cell r="J1798">
            <v>0</v>
          </cell>
          <cell r="K1798">
            <v>0</v>
          </cell>
          <cell r="L1798">
            <v>0.24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</row>
        <row r="1799">
          <cell r="A1799" t="str">
            <v>Y013-260</v>
          </cell>
          <cell r="B1799">
            <v>0</v>
          </cell>
          <cell r="C1799" t="str">
            <v>Y013</v>
          </cell>
          <cell r="D1799" t="str">
            <v>2AI1727280PHBS</v>
          </cell>
          <cell r="E1799" t="str">
            <v>圆饰条</v>
          </cell>
          <cell r="F1799" t="str">
            <v>88*88*12</v>
          </cell>
          <cell r="G1799">
            <v>88</v>
          </cell>
          <cell r="H1799">
            <v>88</v>
          </cell>
          <cell r="I1799">
            <v>12</v>
          </cell>
          <cell r="J1799">
            <v>0</v>
          </cell>
          <cell r="K1799">
            <v>0</v>
          </cell>
          <cell r="L1799">
            <v>0.31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</row>
        <row r="1800">
          <cell r="A1800" t="str">
            <v>Y013-260-1</v>
          </cell>
          <cell r="B1800" t="str">
            <v>旧报价</v>
          </cell>
          <cell r="C1800" t="str">
            <v>Y013</v>
          </cell>
          <cell r="D1800" t="str">
            <v>2AI1727280PHBS</v>
          </cell>
          <cell r="E1800" t="str">
            <v>圆饰条</v>
          </cell>
          <cell r="F1800" t="str">
            <v>88*88*12</v>
          </cell>
          <cell r="G1800">
            <v>88</v>
          </cell>
          <cell r="H1800">
            <v>88</v>
          </cell>
          <cell r="I1800">
            <v>12</v>
          </cell>
          <cell r="J1800">
            <v>0</v>
          </cell>
          <cell r="K1800">
            <v>0</v>
          </cell>
          <cell r="L1800">
            <v>0.31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</row>
        <row r="1801">
          <cell r="A1801" t="str">
            <v>Y013-261</v>
          </cell>
          <cell r="B1801">
            <v>0</v>
          </cell>
          <cell r="C1801" t="str">
            <v>Y013</v>
          </cell>
          <cell r="D1801" t="str">
            <v>2AI7272341</v>
          </cell>
          <cell r="E1801" t="str">
            <v>圆饰条</v>
          </cell>
          <cell r="F1801" t="str">
            <v>50*50*3</v>
          </cell>
          <cell r="G1801">
            <v>50</v>
          </cell>
          <cell r="H1801">
            <v>50</v>
          </cell>
          <cell r="I1801">
            <v>3</v>
          </cell>
          <cell r="J1801">
            <v>0</v>
          </cell>
          <cell r="K1801">
            <v>0</v>
          </cell>
          <cell r="L1801">
            <v>0.06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</row>
        <row r="1802">
          <cell r="A1802" t="str">
            <v>Y013-262</v>
          </cell>
          <cell r="B1802">
            <v>0</v>
          </cell>
          <cell r="C1802" t="str">
            <v>Y013</v>
          </cell>
          <cell r="D1802" t="str">
            <v>2A13287A12B151</v>
          </cell>
          <cell r="E1802" t="str">
            <v>左上横饰条，POLY弦739（弧755) thanh trang trí</v>
          </cell>
          <cell r="F1802" t="str">
            <v>739(755)*13*6</v>
          </cell>
          <cell r="G1802" t="str">
            <v>739(755)</v>
          </cell>
          <cell r="H1802">
            <v>13</v>
          </cell>
          <cell r="I1802">
            <v>6</v>
          </cell>
          <cell r="J1802">
            <v>0</v>
          </cell>
          <cell r="K1802">
            <v>0</v>
          </cell>
          <cell r="L1802">
            <v>0.27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</row>
        <row r="1803">
          <cell r="A1803" t="str">
            <v>Y013-263</v>
          </cell>
          <cell r="B1803">
            <v>0</v>
          </cell>
          <cell r="C1803" t="str">
            <v>Y013</v>
          </cell>
          <cell r="D1803" t="str">
            <v>2A13287A12B152</v>
          </cell>
          <cell r="E1803" t="str">
            <v>右上横饰条，POLY弦739（弧755） thanh trang trí</v>
          </cell>
          <cell r="F1803" t="str">
            <v>739(755)*13*6</v>
          </cell>
          <cell r="G1803" t="str">
            <v>739(755)</v>
          </cell>
          <cell r="H1803">
            <v>13</v>
          </cell>
          <cell r="I1803">
            <v>6</v>
          </cell>
          <cell r="J1803">
            <v>0</v>
          </cell>
          <cell r="K1803">
            <v>0</v>
          </cell>
          <cell r="L1803">
            <v>0.27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</row>
        <row r="1804">
          <cell r="A1804" t="str">
            <v>Y013-264</v>
          </cell>
          <cell r="B1804">
            <v>0</v>
          </cell>
          <cell r="C1804" t="str">
            <v>Y013</v>
          </cell>
          <cell r="D1804" t="str">
            <v>2A13287A12B153</v>
          </cell>
          <cell r="E1804" t="str">
            <v>左侧竖饰条  thanh trang trí</v>
          </cell>
          <cell r="F1804" t="str">
            <v>333*13*6</v>
          </cell>
          <cell r="G1804">
            <v>333</v>
          </cell>
          <cell r="H1804">
            <v>13</v>
          </cell>
          <cell r="I1804">
            <v>6</v>
          </cell>
          <cell r="J1804">
            <v>0</v>
          </cell>
          <cell r="K1804">
            <v>0</v>
          </cell>
          <cell r="L1804">
            <v>0.13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</row>
        <row r="1805">
          <cell r="A1805" t="str">
            <v>Y013-265</v>
          </cell>
          <cell r="B1805">
            <v>0</v>
          </cell>
          <cell r="C1805" t="str">
            <v>Y013</v>
          </cell>
          <cell r="D1805" t="str">
            <v>2A13287A12B154</v>
          </cell>
          <cell r="E1805" t="str">
            <v>右侧竖饰条  thanh trang trí</v>
          </cell>
          <cell r="F1805" t="str">
            <v>333*13*6</v>
          </cell>
          <cell r="G1805">
            <v>333</v>
          </cell>
          <cell r="H1805">
            <v>13</v>
          </cell>
          <cell r="I1805">
            <v>6</v>
          </cell>
          <cell r="J1805">
            <v>0</v>
          </cell>
          <cell r="K1805">
            <v>0</v>
          </cell>
          <cell r="L1805">
            <v>0.13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</row>
        <row r="1806">
          <cell r="A1806" t="str">
            <v>Y013-266</v>
          </cell>
          <cell r="B1806">
            <v>0</v>
          </cell>
          <cell r="C1806" t="str">
            <v>Y013</v>
          </cell>
          <cell r="D1806" t="str">
            <v>2A13287A12B155</v>
          </cell>
          <cell r="E1806" t="str">
            <v>左下横饰条  thanh trang trí</v>
          </cell>
          <cell r="F1806" t="str">
            <v>920*13*6</v>
          </cell>
          <cell r="G1806">
            <v>920</v>
          </cell>
          <cell r="H1806">
            <v>13</v>
          </cell>
          <cell r="I1806">
            <v>6</v>
          </cell>
          <cell r="J1806">
            <v>0</v>
          </cell>
          <cell r="K1806">
            <v>0</v>
          </cell>
          <cell r="L1806">
            <v>0.28999999999999998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</row>
        <row r="1807">
          <cell r="A1807" t="str">
            <v>Y013-267</v>
          </cell>
          <cell r="B1807">
            <v>0</v>
          </cell>
          <cell r="C1807" t="str">
            <v>Y013</v>
          </cell>
          <cell r="D1807" t="str">
            <v>2A13287A12B156</v>
          </cell>
          <cell r="E1807" t="str">
            <v>右下横饰条  thanh trang trí</v>
          </cell>
          <cell r="F1807" t="str">
            <v>920*13*6</v>
          </cell>
          <cell r="G1807">
            <v>920</v>
          </cell>
          <cell r="H1807">
            <v>13</v>
          </cell>
          <cell r="I1807">
            <v>6</v>
          </cell>
          <cell r="J1807">
            <v>0</v>
          </cell>
          <cell r="K1807">
            <v>0</v>
          </cell>
          <cell r="L1807">
            <v>0.28999999999999998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</row>
        <row r="1808">
          <cell r="A1808" t="str">
            <v>Y013-268</v>
          </cell>
          <cell r="B1808">
            <v>0</v>
          </cell>
          <cell r="C1808" t="str">
            <v>Y013</v>
          </cell>
          <cell r="D1808" t="str">
            <v>2A13287A10B151</v>
          </cell>
          <cell r="E1808" t="str">
            <v>左上横饰条，POLY弦453（弧474) thanh trang trí</v>
          </cell>
          <cell r="F1808" t="str">
            <v>453(474)*13*6</v>
          </cell>
          <cell r="G1808" t="str">
            <v>453(474)</v>
          </cell>
          <cell r="H1808">
            <v>13</v>
          </cell>
          <cell r="I1808">
            <v>6</v>
          </cell>
          <cell r="J1808">
            <v>0</v>
          </cell>
          <cell r="K1808">
            <v>0</v>
          </cell>
          <cell r="L1808">
            <v>0.16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</row>
        <row r="1809">
          <cell r="A1809" t="str">
            <v>Y013-269</v>
          </cell>
          <cell r="B1809">
            <v>0</v>
          </cell>
          <cell r="C1809" t="str">
            <v>Y013</v>
          </cell>
          <cell r="D1809" t="str">
            <v>2A13287A10B152</v>
          </cell>
          <cell r="E1809" t="str">
            <v>右上横饰条，POLY弦453（弧474） thanh trang trí</v>
          </cell>
          <cell r="F1809" t="str">
            <v>453(474)*13*6</v>
          </cell>
          <cell r="G1809" t="str">
            <v>453(474)</v>
          </cell>
          <cell r="H1809">
            <v>13</v>
          </cell>
          <cell r="I1809">
            <v>6</v>
          </cell>
          <cell r="J1809">
            <v>0</v>
          </cell>
          <cell r="K1809">
            <v>0</v>
          </cell>
          <cell r="L1809">
            <v>0.16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</row>
        <row r="1810">
          <cell r="A1810" t="str">
            <v>Y013-270</v>
          </cell>
          <cell r="B1810">
            <v>0</v>
          </cell>
          <cell r="C1810" t="str">
            <v>Y013</v>
          </cell>
          <cell r="D1810" t="str">
            <v>2A13287A10B153</v>
          </cell>
          <cell r="E1810" t="str">
            <v>左下横饰条， thanh trang trí</v>
          </cell>
          <cell r="F1810" t="str">
            <v>620*13*6</v>
          </cell>
          <cell r="G1810">
            <v>620</v>
          </cell>
          <cell r="H1810">
            <v>13</v>
          </cell>
          <cell r="I1810">
            <v>6</v>
          </cell>
          <cell r="J1810">
            <v>0</v>
          </cell>
          <cell r="K1810">
            <v>0</v>
          </cell>
          <cell r="L1810">
            <v>0.2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</row>
        <row r="1811">
          <cell r="A1811" t="str">
            <v>Y013-271</v>
          </cell>
          <cell r="B1811">
            <v>0</v>
          </cell>
          <cell r="C1811" t="str">
            <v>Y013</v>
          </cell>
          <cell r="D1811" t="str">
            <v>2A13287A10B154</v>
          </cell>
          <cell r="E1811" t="str">
            <v>右下横饰条， thanh trang trí</v>
          </cell>
          <cell r="F1811" t="str">
            <v>620*13*6</v>
          </cell>
          <cell r="G1811">
            <v>620</v>
          </cell>
          <cell r="H1811">
            <v>13</v>
          </cell>
          <cell r="I1811">
            <v>6</v>
          </cell>
          <cell r="J1811">
            <v>0</v>
          </cell>
          <cell r="K1811">
            <v>0</v>
          </cell>
          <cell r="L1811">
            <v>0.2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</row>
        <row r="1812">
          <cell r="A1812" t="str">
            <v>Y013-272</v>
          </cell>
          <cell r="B1812">
            <v>0</v>
          </cell>
          <cell r="C1812" t="str">
            <v>Y013</v>
          </cell>
          <cell r="D1812" t="str">
            <v>2A13287A16D171</v>
          </cell>
          <cell r="E1812" t="str">
            <v>脚住饰块，miếng trang trí</v>
          </cell>
          <cell r="F1812" t="str">
            <v>50*50*6</v>
          </cell>
          <cell r="G1812">
            <v>50</v>
          </cell>
          <cell r="H1812">
            <v>50</v>
          </cell>
          <cell r="I1812">
            <v>6</v>
          </cell>
          <cell r="J1812">
            <v>0</v>
          </cell>
          <cell r="K1812">
            <v>0</v>
          </cell>
          <cell r="L1812">
            <v>0.08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</row>
        <row r="1813">
          <cell r="A1813" t="str">
            <v>Y013-273</v>
          </cell>
          <cell r="B1813">
            <v>0</v>
          </cell>
          <cell r="C1813" t="str">
            <v>Y013</v>
          </cell>
          <cell r="D1813" t="str">
            <v>2A1705FS031</v>
          </cell>
          <cell r="E1813" t="str">
            <v>抽面板 木,POLY 有内理木 VÁN MẶT NGĂN KÉO</v>
          </cell>
          <cell r="F1813" t="str">
            <v>632*278*38</v>
          </cell>
          <cell r="G1813">
            <v>632</v>
          </cell>
          <cell r="H1813">
            <v>278</v>
          </cell>
          <cell r="I1813">
            <v>38</v>
          </cell>
          <cell r="J1813">
            <v>0</v>
          </cell>
          <cell r="K1813">
            <v>0</v>
          </cell>
          <cell r="L1813">
            <v>5.96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43564</v>
          </cell>
          <cell r="T1813">
            <v>0</v>
          </cell>
        </row>
        <row r="1814">
          <cell r="A1814" t="str">
            <v>Y013-274</v>
          </cell>
          <cell r="B1814">
            <v>0</v>
          </cell>
          <cell r="C1814" t="str">
            <v>Y013</v>
          </cell>
          <cell r="D1814" t="str">
            <v>2A1705FS051</v>
          </cell>
          <cell r="E1814" t="str">
            <v>抽面板 木,POLY 有内理木 VÁN MẶT NGĂN KÉO</v>
          </cell>
          <cell r="F1814" t="str">
            <v>644*278*38</v>
          </cell>
          <cell r="G1814">
            <v>644</v>
          </cell>
          <cell r="H1814">
            <v>278</v>
          </cell>
          <cell r="I1814">
            <v>38</v>
          </cell>
          <cell r="J1814">
            <v>0</v>
          </cell>
          <cell r="K1814">
            <v>0</v>
          </cell>
          <cell r="L1814">
            <v>6.95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43564</v>
          </cell>
          <cell r="T1814">
            <v>0</v>
          </cell>
        </row>
        <row r="1815">
          <cell r="A1815" t="str">
            <v>Y013-275</v>
          </cell>
          <cell r="B1815">
            <v>0</v>
          </cell>
          <cell r="C1815" t="str">
            <v>Y013</v>
          </cell>
          <cell r="D1815" t="str">
            <v>2A1705FS161</v>
          </cell>
          <cell r="E1815" t="str">
            <v>抽面板 木,POLY 有内理木 VÁN MẶT NGĂN KÉO</v>
          </cell>
          <cell r="F1815" t="str">
            <v>756*181*38</v>
          </cell>
          <cell r="G1815">
            <v>756</v>
          </cell>
          <cell r="H1815">
            <v>181</v>
          </cell>
          <cell r="I1815">
            <v>38</v>
          </cell>
          <cell r="J1815">
            <v>0</v>
          </cell>
          <cell r="K1815">
            <v>0</v>
          </cell>
          <cell r="L1815">
            <v>5.58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43564</v>
          </cell>
          <cell r="T1815">
            <v>0</v>
          </cell>
        </row>
        <row r="1816">
          <cell r="A1816" t="str">
            <v>Y013-276</v>
          </cell>
          <cell r="B1816">
            <v>0</v>
          </cell>
          <cell r="C1816" t="str">
            <v>Y013</v>
          </cell>
          <cell r="D1816" t="str">
            <v>2A13786A21C16A1</v>
          </cell>
          <cell r="E1816" t="str">
            <v>前板，POLY 有内理木 VÁN TRƯỚC</v>
          </cell>
          <cell r="F1816" t="str">
            <v>1228*339*19</v>
          </cell>
          <cell r="G1816">
            <v>1228</v>
          </cell>
          <cell r="H1816">
            <v>339</v>
          </cell>
          <cell r="I1816">
            <v>19</v>
          </cell>
          <cell r="J1816">
            <v>0</v>
          </cell>
          <cell r="K1816">
            <v>0</v>
          </cell>
          <cell r="L1816">
            <v>10.6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43603</v>
          </cell>
          <cell r="T1816">
            <v>0</v>
          </cell>
        </row>
        <row r="1817">
          <cell r="A1817" t="str">
            <v>Y013-277</v>
          </cell>
          <cell r="B1817">
            <v>0</v>
          </cell>
          <cell r="C1817" t="str">
            <v>Y013</v>
          </cell>
          <cell r="D1817" t="str">
            <v>2A13922A15C20C1</v>
          </cell>
          <cell r="E1817" t="str">
            <v>底座</v>
          </cell>
          <cell r="F1817" t="str">
            <v>546*473*343</v>
          </cell>
          <cell r="G1817">
            <v>546</v>
          </cell>
          <cell r="H1817">
            <v>473</v>
          </cell>
          <cell r="I1817">
            <v>343</v>
          </cell>
          <cell r="J1817">
            <v>0</v>
          </cell>
          <cell r="K1817">
            <v>0</v>
          </cell>
          <cell r="L1817">
            <v>21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</row>
        <row r="1818">
          <cell r="A1818" t="str">
            <v>Y013-278</v>
          </cell>
          <cell r="B1818">
            <v>0</v>
          </cell>
          <cell r="C1818" t="str">
            <v>Y013</v>
          </cell>
          <cell r="D1818" t="str">
            <v>2A13922A25E3OC1</v>
          </cell>
          <cell r="E1818" t="str">
            <v>左前饰板</v>
          </cell>
          <cell r="F1818" t="str">
            <v>298*354*6</v>
          </cell>
          <cell r="G1818">
            <v>298</v>
          </cell>
          <cell r="H1818">
            <v>354</v>
          </cell>
          <cell r="I1818">
            <v>6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</row>
        <row r="1819">
          <cell r="A1819" t="str">
            <v>Y013-279</v>
          </cell>
          <cell r="B1819">
            <v>0</v>
          </cell>
          <cell r="C1819" t="str">
            <v>Y013</v>
          </cell>
          <cell r="D1819" t="str">
            <v>2A13922A25E3OC2</v>
          </cell>
          <cell r="E1819" t="str">
            <v>右前饰板</v>
          </cell>
          <cell r="F1819" t="str">
            <v>409*354*6</v>
          </cell>
          <cell r="G1819">
            <v>409</v>
          </cell>
          <cell r="H1819">
            <v>354</v>
          </cell>
          <cell r="I1819">
            <v>6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</row>
        <row r="1820">
          <cell r="A1820" t="str">
            <v>Y013-280</v>
          </cell>
          <cell r="B1820">
            <v>0</v>
          </cell>
          <cell r="C1820" t="str">
            <v>Y013</v>
          </cell>
          <cell r="D1820" t="str">
            <v>2A13922A25E3OC3</v>
          </cell>
          <cell r="E1820" t="str">
            <v>左门饰板</v>
          </cell>
          <cell r="F1820" t="str">
            <v>664*495*6</v>
          </cell>
          <cell r="G1820">
            <v>664</v>
          </cell>
          <cell r="H1820">
            <v>495</v>
          </cell>
          <cell r="I1820">
            <v>6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</row>
        <row r="1821">
          <cell r="A1821" t="str">
            <v>Y013-281</v>
          </cell>
          <cell r="B1821">
            <v>0</v>
          </cell>
          <cell r="C1821" t="str">
            <v>Y013</v>
          </cell>
          <cell r="D1821" t="str">
            <v>2A13922A25E3OC4</v>
          </cell>
          <cell r="E1821" t="str">
            <v>右门饰板</v>
          </cell>
          <cell r="F1821" t="str">
            <v>403*495*6</v>
          </cell>
          <cell r="G1821">
            <v>403</v>
          </cell>
          <cell r="H1821">
            <v>495</v>
          </cell>
          <cell r="I1821">
            <v>6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</row>
        <row r="1822">
          <cell r="A1822" t="str">
            <v>Y013-282</v>
          </cell>
          <cell r="B1822">
            <v>0</v>
          </cell>
          <cell r="C1822" t="str">
            <v>Y013</v>
          </cell>
          <cell r="D1822" t="str">
            <v>2A13922A25E30LD1</v>
          </cell>
          <cell r="E1822" t="str">
            <v>门饰板</v>
          </cell>
          <cell r="F1822" t="str">
            <v>617*652*6</v>
          </cell>
          <cell r="G1822">
            <v>617</v>
          </cell>
          <cell r="H1822">
            <v>652</v>
          </cell>
          <cell r="I1822">
            <v>6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</row>
        <row r="1823">
          <cell r="A1823" t="str">
            <v>Y013-801</v>
          </cell>
          <cell r="B1823" t="str">
            <v>Y013-801</v>
          </cell>
          <cell r="C1823" t="str">
            <v>Y013</v>
          </cell>
          <cell r="D1823">
            <v>0</v>
          </cell>
          <cell r="E1823" t="str">
            <v>poly飾條</v>
          </cell>
          <cell r="F1823" t="str">
            <v>990*45*25</v>
          </cell>
          <cell r="G1823">
            <v>990</v>
          </cell>
          <cell r="H1823">
            <v>45</v>
          </cell>
          <cell r="I1823">
            <v>25</v>
          </cell>
          <cell r="J1823">
            <v>0</v>
          </cell>
          <cell r="K1823">
            <v>0</v>
          </cell>
          <cell r="L1823">
            <v>0.38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 t="e">
            <v>#DIV/0!</v>
          </cell>
        </row>
        <row r="1824">
          <cell r="A1824" t="str">
            <v>Y013-802</v>
          </cell>
          <cell r="B1824" t="str">
            <v>Y013-802</v>
          </cell>
          <cell r="C1824" t="str">
            <v>Y013</v>
          </cell>
          <cell r="D1824">
            <v>0</v>
          </cell>
          <cell r="E1824" t="str">
            <v>poly飾條</v>
          </cell>
          <cell r="F1824" t="str">
            <v>1085*47*25</v>
          </cell>
          <cell r="G1824">
            <v>1085</v>
          </cell>
          <cell r="H1824">
            <v>47</v>
          </cell>
          <cell r="I1824">
            <v>25</v>
          </cell>
          <cell r="J1824">
            <v>0</v>
          </cell>
          <cell r="K1824">
            <v>0</v>
          </cell>
          <cell r="L1824">
            <v>0.37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 t="e">
            <v>#DIV/0!</v>
          </cell>
        </row>
        <row r="1825">
          <cell r="A1825" t="str">
            <v>Y013-803</v>
          </cell>
          <cell r="B1825" t="str">
            <v>Y013-803</v>
          </cell>
          <cell r="C1825" t="str">
            <v>Y013</v>
          </cell>
          <cell r="D1825">
            <v>0</v>
          </cell>
          <cell r="E1825" t="str">
            <v>poly飾條</v>
          </cell>
          <cell r="F1825" t="str">
            <v>1305*30*20</v>
          </cell>
          <cell r="G1825">
            <v>1305</v>
          </cell>
          <cell r="H1825">
            <v>30</v>
          </cell>
          <cell r="I1825">
            <v>20</v>
          </cell>
          <cell r="J1825">
            <v>0</v>
          </cell>
          <cell r="K1825">
            <v>0</v>
          </cell>
          <cell r="L1825">
            <v>2.2999999999999998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 t="e">
            <v>#DIV/0!</v>
          </cell>
        </row>
        <row r="1826">
          <cell r="A1826" t="str">
            <v>Y013-804</v>
          </cell>
          <cell r="B1826" t="str">
            <v>Y013-804</v>
          </cell>
          <cell r="C1826" t="str">
            <v>Y013</v>
          </cell>
          <cell r="D1826">
            <v>0</v>
          </cell>
          <cell r="E1826" t="str">
            <v>poly飾條</v>
          </cell>
          <cell r="F1826" t="str">
            <v>970*15*5</v>
          </cell>
          <cell r="G1826">
            <v>970</v>
          </cell>
          <cell r="H1826">
            <v>15</v>
          </cell>
          <cell r="I1826">
            <v>5</v>
          </cell>
          <cell r="J1826">
            <v>0</v>
          </cell>
          <cell r="K1826">
            <v>0</v>
          </cell>
          <cell r="L1826">
            <v>0.48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 t="e">
            <v>#DIV/0!</v>
          </cell>
        </row>
        <row r="1827">
          <cell r="A1827" t="str">
            <v>Y013-805</v>
          </cell>
          <cell r="B1827" t="str">
            <v>Y013-805</v>
          </cell>
          <cell r="C1827" t="str">
            <v>Y013</v>
          </cell>
          <cell r="D1827">
            <v>0</v>
          </cell>
          <cell r="E1827" t="str">
            <v>poly飾條</v>
          </cell>
          <cell r="F1827" t="str">
            <v>1330*18*10</v>
          </cell>
          <cell r="G1827">
            <v>1330</v>
          </cell>
          <cell r="H1827">
            <v>18</v>
          </cell>
          <cell r="I1827">
            <v>10</v>
          </cell>
          <cell r="J1827">
            <v>0</v>
          </cell>
          <cell r="K1827">
            <v>0</v>
          </cell>
          <cell r="L1827">
            <v>0.9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 t="e">
            <v>#DIV/0!</v>
          </cell>
        </row>
        <row r="1828">
          <cell r="A1828" t="str">
            <v>Y013-806</v>
          </cell>
          <cell r="B1828" t="str">
            <v>Y013-806</v>
          </cell>
          <cell r="C1828" t="str">
            <v>Y013</v>
          </cell>
          <cell r="D1828">
            <v>0</v>
          </cell>
          <cell r="E1828" t="str">
            <v>poly飾條</v>
          </cell>
          <cell r="F1828" t="str">
            <v>970*10*10</v>
          </cell>
          <cell r="G1828">
            <v>970</v>
          </cell>
          <cell r="H1828">
            <v>10</v>
          </cell>
          <cell r="I1828">
            <v>10</v>
          </cell>
          <cell r="J1828">
            <v>0</v>
          </cell>
          <cell r="K1828">
            <v>0</v>
          </cell>
          <cell r="L1828">
            <v>0.47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 t="e">
            <v>#DIV/0!</v>
          </cell>
        </row>
        <row r="1829">
          <cell r="A1829" t="str">
            <v>Y013-807</v>
          </cell>
          <cell r="B1829" t="str">
            <v>Y013-807</v>
          </cell>
          <cell r="C1829" t="str">
            <v>Y013</v>
          </cell>
          <cell r="D1829">
            <v>0</v>
          </cell>
          <cell r="E1829" t="str">
            <v>poly飾條</v>
          </cell>
          <cell r="F1829" t="str">
            <v>1360*18*15</v>
          </cell>
          <cell r="G1829">
            <v>1360</v>
          </cell>
          <cell r="H1829">
            <v>18</v>
          </cell>
          <cell r="I1829">
            <v>15</v>
          </cell>
          <cell r="J1829">
            <v>0</v>
          </cell>
          <cell r="K1829">
            <v>0</v>
          </cell>
          <cell r="L1829">
            <v>1.1000000000000001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 t="e">
            <v>#DIV/0!</v>
          </cell>
        </row>
        <row r="1830">
          <cell r="A1830" t="str">
            <v>Y013-808</v>
          </cell>
          <cell r="B1830" t="str">
            <v>Y013-808</v>
          </cell>
          <cell r="C1830" t="str">
            <v>Y013</v>
          </cell>
          <cell r="D1830">
            <v>0</v>
          </cell>
          <cell r="E1830" t="str">
            <v>poly飾條-有溝</v>
          </cell>
          <cell r="F1830" t="str">
            <v>970*15*10</v>
          </cell>
          <cell r="G1830">
            <v>970</v>
          </cell>
          <cell r="H1830">
            <v>15</v>
          </cell>
          <cell r="I1830">
            <v>10</v>
          </cell>
          <cell r="J1830">
            <v>0</v>
          </cell>
          <cell r="K1830">
            <v>0</v>
          </cell>
          <cell r="L1830">
            <v>0.48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 t="e">
            <v>#DIV/0!</v>
          </cell>
        </row>
        <row r="1831">
          <cell r="A1831" t="str">
            <v>Y013-809</v>
          </cell>
          <cell r="B1831" t="str">
            <v>Y013-809</v>
          </cell>
          <cell r="C1831" t="str">
            <v>Y013</v>
          </cell>
          <cell r="D1831">
            <v>0</v>
          </cell>
          <cell r="E1831" t="str">
            <v>poly飾條</v>
          </cell>
          <cell r="F1831" t="str">
            <v>2200*16*11</v>
          </cell>
          <cell r="G1831">
            <v>2200</v>
          </cell>
          <cell r="H1831">
            <v>16</v>
          </cell>
          <cell r="I1831">
            <v>11</v>
          </cell>
          <cell r="J1831">
            <v>0</v>
          </cell>
          <cell r="K1831">
            <v>0</v>
          </cell>
          <cell r="L1831">
            <v>1.32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 t="e">
            <v>#DIV/0!</v>
          </cell>
        </row>
        <row r="1832">
          <cell r="A1832" t="str">
            <v>Y013-810</v>
          </cell>
          <cell r="B1832" t="str">
            <v>Y013-810</v>
          </cell>
          <cell r="C1832" t="str">
            <v>Y013</v>
          </cell>
          <cell r="D1832">
            <v>0</v>
          </cell>
          <cell r="E1832" t="str">
            <v>poly飾條</v>
          </cell>
          <cell r="F1832" t="str">
            <v>2200*12*5</v>
          </cell>
          <cell r="G1832">
            <v>2200</v>
          </cell>
          <cell r="H1832">
            <v>12</v>
          </cell>
          <cell r="I1832">
            <v>5</v>
          </cell>
          <cell r="J1832">
            <v>0</v>
          </cell>
          <cell r="K1832">
            <v>0</v>
          </cell>
          <cell r="L1832">
            <v>0.65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 t="e">
            <v>#DIV/0!</v>
          </cell>
        </row>
        <row r="1833">
          <cell r="A1833" t="str">
            <v>Y013-811</v>
          </cell>
          <cell r="B1833" t="str">
            <v>LCT013-244</v>
          </cell>
          <cell r="C1833" t="str">
            <v>Y013</v>
          </cell>
          <cell r="D1833" t="str">
            <v>2A179625191</v>
          </cell>
          <cell r="E1833" t="str">
            <v>796-2519 側面板側立水飾條</v>
          </cell>
          <cell r="F1833" t="str">
            <v>920*19*11</v>
          </cell>
          <cell r="G1833">
            <v>920</v>
          </cell>
          <cell r="H1833">
            <v>19</v>
          </cell>
          <cell r="I1833">
            <v>11</v>
          </cell>
          <cell r="J1833">
            <v>0</v>
          </cell>
          <cell r="K1833">
            <v>0</v>
          </cell>
          <cell r="L1833">
            <v>0.59399999999999997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 t="e">
            <v>#DIV/0!</v>
          </cell>
        </row>
        <row r="1834">
          <cell r="A1834" t="str">
            <v>Y013-812</v>
          </cell>
          <cell r="B1834" t="str">
            <v>Y013-812</v>
          </cell>
          <cell r="C1834" t="str">
            <v>Y013</v>
          </cell>
          <cell r="D1834">
            <v>0</v>
          </cell>
          <cell r="E1834" t="str">
            <v>方塊花-內圓</v>
          </cell>
          <cell r="F1834" t="str">
            <v>120*120*10</v>
          </cell>
          <cell r="G1834">
            <v>120</v>
          </cell>
          <cell r="H1834">
            <v>120</v>
          </cell>
          <cell r="I1834">
            <v>10</v>
          </cell>
          <cell r="J1834">
            <v>0</v>
          </cell>
          <cell r="K1834">
            <v>0</v>
          </cell>
          <cell r="L1834">
            <v>0.7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 t="e">
            <v>#DIV/0!</v>
          </cell>
        </row>
        <row r="1835">
          <cell r="A1835" t="str">
            <v>Y013-813</v>
          </cell>
          <cell r="B1835" t="str">
            <v>Y013-813</v>
          </cell>
          <cell r="C1835" t="str">
            <v>Y013</v>
          </cell>
          <cell r="D1835">
            <v>0</v>
          </cell>
          <cell r="E1835" t="str">
            <v>方塊花-內方</v>
          </cell>
          <cell r="F1835" t="str">
            <v>120*120*10</v>
          </cell>
          <cell r="G1835">
            <v>120</v>
          </cell>
          <cell r="H1835">
            <v>120</v>
          </cell>
          <cell r="I1835">
            <v>10</v>
          </cell>
          <cell r="J1835">
            <v>0</v>
          </cell>
          <cell r="K1835">
            <v>0</v>
          </cell>
          <cell r="L1835">
            <v>0.7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 t="e">
            <v>#DIV/0!</v>
          </cell>
        </row>
        <row r="1836">
          <cell r="A1836" t="str">
            <v>Y013-814</v>
          </cell>
          <cell r="B1836">
            <v>0</v>
          </cell>
          <cell r="C1836" t="str">
            <v>Y013</v>
          </cell>
          <cell r="D1836" t="str">
            <v>2A1174402/06/97Q/97EK</v>
          </cell>
          <cell r="E1836" t="str">
            <v>I74-402/406/497Q/497EK 上/下</v>
          </cell>
          <cell r="F1836" t="str">
            <v>2130*17*15</v>
          </cell>
          <cell r="G1836">
            <v>2130</v>
          </cell>
          <cell r="H1836">
            <v>17</v>
          </cell>
          <cell r="I1836">
            <v>15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 t="e">
            <v>#DIV/0!</v>
          </cell>
          <cell r="S1836">
            <v>0</v>
          </cell>
        </row>
        <row r="1837">
          <cell r="A1837" t="str">
            <v>Y013-815</v>
          </cell>
          <cell r="B1837">
            <v>0</v>
          </cell>
          <cell r="C1837" t="str">
            <v>Y013</v>
          </cell>
          <cell r="D1837" t="str">
            <v>2A15123331</v>
          </cell>
          <cell r="E1837" t="str">
            <v>床頭飾瑰,POLY</v>
          </cell>
          <cell r="F1837" t="str">
            <v>1487*48*6</v>
          </cell>
          <cell r="G1837">
            <v>1487</v>
          </cell>
          <cell r="H1837">
            <v>48</v>
          </cell>
          <cell r="I1837">
            <v>6</v>
          </cell>
          <cell r="J1837">
            <v>770</v>
          </cell>
          <cell r="K1837">
            <v>0</v>
          </cell>
          <cell r="L1837">
            <v>1.93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2.5064935064935066</v>
          </cell>
          <cell r="S1837">
            <v>0</v>
          </cell>
        </row>
        <row r="1838">
          <cell r="A1838" t="str">
            <v>Y013-816</v>
          </cell>
          <cell r="B1838">
            <v>0</v>
          </cell>
          <cell r="C1838" t="str">
            <v>Y013</v>
          </cell>
          <cell r="D1838" t="str">
            <v>2A15123363</v>
          </cell>
          <cell r="E1838" t="str">
            <v>床頭飾瑰,POLY</v>
          </cell>
          <cell r="F1838" t="str">
            <v>1893*48*6</v>
          </cell>
          <cell r="G1838">
            <v>1893</v>
          </cell>
          <cell r="H1838">
            <v>48</v>
          </cell>
          <cell r="I1838">
            <v>6</v>
          </cell>
          <cell r="J1838">
            <v>940</v>
          </cell>
          <cell r="K1838">
            <v>0</v>
          </cell>
          <cell r="L1838">
            <v>2.35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2.5000000000000004</v>
          </cell>
          <cell r="S1838">
            <v>0</v>
          </cell>
        </row>
        <row r="1839">
          <cell r="A1839" t="str">
            <v>Y013-817</v>
          </cell>
          <cell r="B1839">
            <v>0</v>
          </cell>
          <cell r="C1839" t="str">
            <v>Y013</v>
          </cell>
          <cell r="D1839" t="str">
            <v>2A15124111</v>
          </cell>
          <cell r="E1839" t="str">
            <v>抽面板飾條,POLY</v>
          </cell>
          <cell r="F1839" t="str">
            <v>767*191*6</v>
          </cell>
          <cell r="G1839">
            <v>767</v>
          </cell>
          <cell r="H1839">
            <v>191</v>
          </cell>
          <cell r="I1839">
            <v>6</v>
          </cell>
          <cell r="J1839">
            <v>1550</v>
          </cell>
          <cell r="K1839">
            <v>0</v>
          </cell>
          <cell r="L1839">
            <v>3.43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2.2129032258064516</v>
          </cell>
          <cell r="S1839">
            <v>0</v>
          </cell>
        </row>
        <row r="1840">
          <cell r="A1840" t="str">
            <v>Y013-818</v>
          </cell>
          <cell r="B1840">
            <v>0</v>
          </cell>
          <cell r="C1840" t="str">
            <v>Y013</v>
          </cell>
          <cell r="D1840" t="str">
            <v>2A15129101</v>
          </cell>
          <cell r="E1840" t="str">
            <v>抽面飾板,POLY</v>
          </cell>
          <cell r="F1840" t="str">
            <v>582*131*6</v>
          </cell>
          <cell r="G1840">
            <v>582</v>
          </cell>
          <cell r="H1840">
            <v>131</v>
          </cell>
          <cell r="I1840">
            <v>6</v>
          </cell>
          <cell r="J1840">
            <v>860</v>
          </cell>
          <cell r="K1840">
            <v>0</v>
          </cell>
          <cell r="L1840">
            <v>2.15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2.5</v>
          </cell>
          <cell r="S1840">
            <v>0</v>
          </cell>
        </row>
        <row r="1841">
          <cell r="A1841" t="str">
            <v>Y013-819</v>
          </cell>
          <cell r="B1841">
            <v>0</v>
          </cell>
          <cell r="C1841" t="str">
            <v>Y013</v>
          </cell>
          <cell r="D1841" t="str">
            <v>2A15129102</v>
          </cell>
          <cell r="E1841" t="str">
            <v>背飾板,POLY</v>
          </cell>
          <cell r="F1841" t="str">
            <v>1160*135*6</v>
          </cell>
          <cell r="G1841">
            <v>1160</v>
          </cell>
          <cell r="H1841">
            <v>135</v>
          </cell>
          <cell r="I1841">
            <v>6</v>
          </cell>
          <cell r="J1841">
            <v>1530</v>
          </cell>
          <cell r="K1841">
            <v>0</v>
          </cell>
          <cell r="L1841">
            <v>3.83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2.5032679738562091</v>
          </cell>
          <cell r="S1841">
            <v>0</v>
          </cell>
        </row>
        <row r="1842">
          <cell r="A1842" t="str">
            <v>Y013-820</v>
          </cell>
          <cell r="B1842">
            <v>0</v>
          </cell>
          <cell r="C1842" t="str">
            <v>Y013</v>
          </cell>
          <cell r="D1842" t="str">
            <v>2A15129151</v>
          </cell>
          <cell r="E1842" t="str">
            <v>抽面飾板,POLY</v>
          </cell>
          <cell r="F1842" t="str">
            <v>496*137*6</v>
          </cell>
          <cell r="G1842">
            <v>496</v>
          </cell>
          <cell r="H1842">
            <v>137</v>
          </cell>
          <cell r="I1842">
            <v>6</v>
          </cell>
          <cell r="J1842">
            <v>710</v>
          </cell>
          <cell r="K1842">
            <v>1.78</v>
          </cell>
          <cell r="L1842">
            <v>1.75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2.4647887323943665</v>
          </cell>
          <cell r="S1842">
            <v>0</v>
          </cell>
        </row>
        <row r="1843">
          <cell r="A1843" t="str">
            <v>Y013-821</v>
          </cell>
          <cell r="B1843">
            <v>0</v>
          </cell>
          <cell r="C1843" t="str">
            <v>Y013</v>
          </cell>
          <cell r="D1843" t="str">
            <v>3A1727223B1</v>
          </cell>
          <cell r="E1843" t="str">
            <v>POLY</v>
          </cell>
          <cell r="F1843" t="str">
            <v>629*490*490</v>
          </cell>
          <cell r="G1843">
            <v>629</v>
          </cell>
          <cell r="H1843">
            <v>490</v>
          </cell>
          <cell r="I1843">
            <v>490</v>
          </cell>
          <cell r="J1843">
            <v>0</v>
          </cell>
          <cell r="K1843">
            <v>0</v>
          </cell>
          <cell r="L1843">
            <v>36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 t="e">
            <v>#DIV/0!</v>
          </cell>
          <cell r="S1843">
            <v>0</v>
          </cell>
        </row>
        <row r="1844">
          <cell r="A1844" t="str">
            <v>Y013-822</v>
          </cell>
          <cell r="B1844">
            <v>0</v>
          </cell>
          <cell r="C1844" t="str">
            <v>Y013</v>
          </cell>
          <cell r="D1844" t="str">
            <v>3A1727223B2</v>
          </cell>
          <cell r="E1844" t="str">
            <v>POLY</v>
          </cell>
          <cell r="F1844" t="str">
            <v>300*300*99</v>
          </cell>
          <cell r="G1844">
            <v>300</v>
          </cell>
          <cell r="H1844">
            <v>300</v>
          </cell>
          <cell r="I1844">
            <v>99</v>
          </cell>
          <cell r="J1844">
            <v>2300</v>
          </cell>
          <cell r="K1844">
            <v>0</v>
          </cell>
          <cell r="L1844">
            <v>6.5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2.8260869565217392</v>
          </cell>
          <cell r="S1844">
            <v>0</v>
          </cell>
        </row>
        <row r="1845">
          <cell r="A1845" t="str">
            <v>Y013-823</v>
          </cell>
          <cell r="B1845">
            <v>0</v>
          </cell>
          <cell r="C1845" t="str">
            <v>Y013</v>
          </cell>
          <cell r="D1845" t="str">
            <v>2A1727312B1</v>
          </cell>
          <cell r="E1845" t="str">
            <v>POLY</v>
          </cell>
          <cell r="F1845" t="str">
            <v>477*429*429</v>
          </cell>
          <cell r="G1845">
            <v>477</v>
          </cell>
          <cell r="H1845">
            <v>429</v>
          </cell>
          <cell r="I1845">
            <v>429</v>
          </cell>
          <cell r="J1845">
            <v>0</v>
          </cell>
          <cell r="K1845">
            <v>0</v>
          </cell>
          <cell r="L1845">
            <v>27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 t="e">
            <v>#DIV/0!</v>
          </cell>
          <cell r="S1845">
            <v>0</v>
          </cell>
        </row>
        <row r="1846">
          <cell r="A1846" t="str">
            <v>Y013-824</v>
          </cell>
          <cell r="B1846">
            <v>0</v>
          </cell>
          <cell r="C1846" t="str">
            <v>Y013</v>
          </cell>
          <cell r="D1846" t="str">
            <v>2A1727312B2</v>
          </cell>
          <cell r="E1846" t="str">
            <v>POLY</v>
          </cell>
          <cell r="F1846" t="str">
            <v>370* 370*99</v>
          </cell>
          <cell r="G1846">
            <v>370</v>
          </cell>
          <cell r="H1846">
            <v>370</v>
          </cell>
          <cell r="I1846">
            <v>99</v>
          </cell>
          <cell r="J1846">
            <v>2300</v>
          </cell>
          <cell r="K1846">
            <v>0</v>
          </cell>
          <cell r="L1846">
            <v>6.5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2.8260869565217392</v>
          </cell>
          <cell r="S1846">
            <v>0</v>
          </cell>
        </row>
        <row r="1847">
          <cell r="A1847" t="str">
            <v>Y013-825</v>
          </cell>
          <cell r="B1847">
            <v>0</v>
          </cell>
          <cell r="C1847" t="str">
            <v>Y013</v>
          </cell>
          <cell r="D1847" t="str">
            <v>2A17217280PHB7</v>
          </cell>
          <cell r="E1847" t="str">
            <v>POLY</v>
          </cell>
          <cell r="F1847" t="str">
            <v>139*139*120</v>
          </cell>
          <cell r="G1847">
            <v>139</v>
          </cell>
          <cell r="H1847">
            <v>139</v>
          </cell>
          <cell r="I1847">
            <v>120</v>
          </cell>
          <cell r="J1847">
            <v>0</v>
          </cell>
          <cell r="K1847">
            <v>0</v>
          </cell>
          <cell r="L1847">
            <v>3.5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 t="e">
            <v>#DIV/0!</v>
          </cell>
          <cell r="S1847">
            <v>0</v>
          </cell>
        </row>
        <row r="1848">
          <cell r="A1848" t="str">
            <v>Y013-826</v>
          </cell>
          <cell r="B1848">
            <v>0</v>
          </cell>
          <cell r="C1848" t="str">
            <v>Y013</v>
          </cell>
          <cell r="D1848" t="str">
            <v>2A15339900071</v>
          </cell>
          <cell r="E1848" t="str">
            <v>飾條 扣,POLY</v>
          </cell>
          <cell r="F1848" t="str">
            <v>25*25*7</v>
          </cell>
          <cell r="G1848">
            <v>25</v>
          </cell>
          <cell r="H1848">
            <v>25</v>
          </cell>
          <cell r="I1848">
            <v>7</v>
          </cell>
          <cell r="J1848">
            <v>0</v>
          </cell>
          <cell r="K1848">
            <v>0</v>
          </cell>
          <cell r="L1848">
            <v>0.02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 t="e">
            <v>#DIV/0!</v>
          </cell>
          <cell r="S1848">
            <v>0</v>
          </cell>
        </row>
        <row r="1849">
          <cell r="A1849" t="str">
            <v>Y013-827</v>
          </cell>
          <cell r="B1849">
            <v>0</v>
          </cell>
          <cell r="C1849" t="str">
            <v>Y013</v>
          </cell>
          <cell r="D1849" t="str">
            <v>2A17272595</v>
          </cell>
          <cell r="E1849" t="str">
            <v>上頂皮飾條</v>
          </cell>
          <cell r="F1849" t="str">
            <v>114*90*61</v>
          </cell>
          <cell r="G1849">
            <v>114</v>
          </cell>
          <cell r="H1849">
            <v>90</v>
          </cell>
          <cell r="I1849">
            <v>61</v>
          </cell>
          <cell r="J1849">
            <v>0</v>
          </cell>
          <cell r="K1849">
            <v>0</v>
          </cell>
          <cell r="L1849">
            <v>0.85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 t="e">
            <v>#DIV/0!</v>
          </cell>
          <cell r="S1849">
            <v>0</v>
          </cell>
        </row>
        <row r="1850">
          <cell r="A1850" t="str">
            <v>Y013-828</v>
          </cell>
          <cell r="B1850">
            <v>0</v>
          </cell>
          <cell r="C1850" t="str">
            <v>Y013</v>
          </cell>
          <cell r="D1850" t="str">
            <v>2A11744574</v>
          </cell>
          <cell r="E1850">
            <v>0</v>
          </cell>
          <cell r="F1850" t="str">
            <v>2725*19*15</v>
          </cell>
          <cell r="G1850">
            <v>2725</v>
          </cell>
          <cell r="H1850">
            <v>19</v>
          </cell>
          <cell r="I1850">
            <v>15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</row>
        <row r="1851">
          <cell r="A1851" t="str">
            <v>Y013-829</v>
          </cell>
          <cell r="B1851">
            <v>0</v>
          </cell>
          <cell r="C1851" t="str">
            <v>Y013</v>
          </cell>
          <cell r="D1851" t="str">
            <v>2A140121</v>
          </cell>
          <cell r="E1851" t="str">
            <v>抽面饰条</v>
          </cell>
          <cell r="F1851" t="str">
            <v>990*51*25</v>
          </cell>
          <cell r="G1851">
            <v>990</v>
          </cell>
          <cell r="H1851">
            <v>51</v>
          </cell>
          <cell r="I1851">
            <v>25</v>
          </cell>
          <cell r="J1851">
            <v>0</v>
          </cell>
          <cell r="K1851">
            <v>0</v>
          </cell>
          <cell r="L1851">
            <v>2.94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</row>
        <row r="1852">
          <cell r="A1852" t="str">
            <v>Y013-830</v>
          </cell>
          <cell r="B1852">
            <v>0</v>
          </cell>
          <cell r="C1852" t="str">
            <v>Y014</v>
          </cell>
          <cell r="D1852" t="str">
            <v>2A1I393192</v>
          </cell>
          <cell r="E1852" t="str">
            <v>中门框整饰条4</v>
          </cell>
          <cell r="F1852" t="str">
            <v>66*33*10</v>
          </cell>
          <cell r="G1852">
            <v>66</v>
          </cell>
          <cell r="H1852">
            <v>33</v>
          </cell>
          <cell r="I1852">
            <v>10</v>
          </cell>
          <cell r="J1852">
            <v>0</v>
          </cell>
          <cell r="K1852">
            <v>0</v>
          </cell>
          <cell r="L1852">
            <v>7.0000000000000007E-2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</row>
        <row r="1853">
          <cell r="A1853" t="str">
            <v>Y013-831</v>
          </cell>
          <cell r="B1853">
            <v>0</v>
          </cell>
          <cell r="C1853" t="str">
            <v>Y013</v>
          </cell>
          <cell r="D1853" t="str">
            <v>2A1423531</v>
          </cell>
          <cell r="E1853" t="str">
            <v>椅背竖条，硬POLY弦680（弧682）</v>
          </cell>
          <cell r="F1853" t="str">
            <v>680*12*12</v>
          </cell>
          <cell r="G1853">
            <v>680</v>
          </cell>
          <cell r="H1853">
            <v>12</v>
          </cell>
          <cell r="I1853">
            <v>12</v>
          </cell>
          <cell r="J1853">
            <v>0</v>
          </cell>
          <cell r="K1853">
            <v>0</v>
          </cell>
          <cell r="L1853">
            <v>0.37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</row>
        <row r="1854">
          <cell r="A1854" t="str">
            <v>Y014-001</v>
          </cell>
          <cell r="B1854" t="str">
            <v>LCT014-178</v>
          </cell>
          <cell r="C1854" t="str">
            <v>Y014</v>
          </cell>
          <cell r="D1854" t="str">
            <v>B184-403</v>
          </cell>
          <cell r="E1854" t="str">
            <v>飾花(圓飾片)</v>
          </cell>
          <cell r="F1854" t="str">
            <v>44*44*7</v>
          </cell>
          <cell r="G1854">
            <v>44</v>
          </cell>
          <cell r="H1854">
            <v>44</v>
          </cell>
          <cell r="I1854">
            <v>7</v>
          </cell>
          <cell r="J1854">
            <v>10</v>
          </cell>
          <cell r="K1854">
            <v>0</v>
          </cell>
          <cell r="L1854">
            <v>0</v>
          </cell>
          <cell r="M1854">
            <v>1218</v>
          </cell>
          <cell r="N1854">
            <v>0</v>
          </cell>
          <cell r="O1854" t="str">
            <v>40V</v>
          </cell>
          <cell r="P1854" t="str">
            <v>1010</v>
          </cell>
          <cell r="Q1854">
            <v>1010</v>
          </cell>
          <cell r="R1854">
            <v>0</v>
          </cell>
          <cell r="S1854">
            <v>5.8000000000000003E-2</v>
          </cell>
        </row>
        <row r="1855">
          <cell r="A1855" t="str">
            <v>Y014-002</v>
          </cell>
          <cell r="B1855" t="str">
            <v>LCT014-179</v>
          </cell>
          <cell r="C1855" t="str">
            <v>Y014</v>
          </cell>
          <cell r="D1855" t="str">
            <v>B-150-100/200/300</v>
          </cell>
          <cell r="E1855" t="str">
            <v>飾花(圓飾片)</v>
          </cell>
          <cell r="F1855" t="str">
            <v>44*44*7</v>
          </cell>
          <cell r="G1855">
            <v>44</v>
          </cell>
          <cell r="H1855">
            <v>44</v>
          </cell>
          <cell r="I1855">
            <v>7</v>
          </cell>
          <cell r="J1855">
            <v>10</v>
          </cell>
          <cell r="K1855">
            <v>0</v>
          </cell>
          <cell r="L1855">
            <v>0</v>
          </cell>
          <cell r="M1855">
            <v>1218</v>
          </cell>
          <cell r="N1855">
            <v>0</v>
          </cell>
          <cell r="O1855" t="str">
            <v>40V</v>
          </cell>
          <cell r="P1855" t="str">
            <v>1010</v>
          </cell>
          <cell r="Q1855">
            <v>1010</v>
          </cell>
          <cell r="R1855">
            <v>0</v>
          </cell>
          <cell r="S1855">
            <v>5.8000000000000003E-2</v>
          </cell>
        </row>
        <row r="1856">
          <cell r="A1856" t="str">
            <v>Y014-003</v>
          </cell>
          <cell r="B1856" t="str">
            <v>LCT014-181</v>
          </cell>
          <cell r="C1856" t="str">
            <v>Y014</v>
          </cell>
          <cell r="D1856" t="str">
            <v>B-182-100</v>
          </cell>
          <cell r="E1856" t="str">
            <v>飾花(圓飾片)</v>
          </cell>
          <cell r="F1856" t="str">
            <v>44*44*7</v>
          </cell>
          <cell r="G1856">
            <v>44</v>
          </cell>
          <cell r="H1856">
            <v>44</v>
          </cell>
          <cell r="I1856">
            <v>7</v>
          </cell>
          <cell r="J1856">
            <v>10</v>
          </cell>
          <cell r="K1856">
            <v>0</v>
          </cell>
          <cell r="L1856">
            <v>0</v>
          </cell>
          <cell r="M1856">
            <v>1218</v>
          </cell>
          <cell r="N1856">
            <v>0</v>
          </cell>
          <cell r="O1856" t="str">
            <v>40V</v>
          </cell>
          <cell r="P1856" t="str">
            <v>1010</v>
          </cell>
          <cell r="Q1856">
            <v>1010</v>
          </cell>
          <cell r="R1856">
            <v>0</v>
          </cell>
          <cell r="S1856">
            <v>5.8000000000000003E-2</v>
          </cell>
        </row>
        <row r="1857">
          <cell r="A1857" t="str">
            <v>Y014-004</v>
          </cell>
          <cell r="B1857" t="str">
            <v>LCT014-202</v>
          </cell>
          <cell r="C1857" t="str">
            <v>Y014</v>
          </cell>
          <cell r="D1857" t="str">
            <v>B-185-400/403</v>
          </cell>
          <cell r="E1857" t="str">
            <v>飾花(圓飾片)</v>
          </cell>
          <cell r="F1857" t="str">
            <v>44*44*7</v>
          </cell>
          <cell r="G1857">
            <v>44</v>
          </cell>
          <cell r="H1857">
            <v>44</v>
          </cell>
          <cell r="I1857">
            <v>7</v>
          </cell>
          <cell r="J1857">
            <v>10</v>
          </cell>
          <cell r="K1857">
            <v>0</v>
          </cell>
          <cell r="L1857">
            <v>0</v>
          </cell>
          <cell r="M1857">
            <v>1218</v>
          </cell>
          <cell r="N1857">
            <v>0</v>
          </cell>
          <cell r="O1857">
            <v>20</v>
          </cell>
          <cell r="P1857" t="str">
            <v>1010</v>
          </cell>
          <cell r="Q1857">
            <v>1010</v>
          </cell>
          <cell r="R1857">
            <v>0</v>
          </cell>
          <cell r="S1857">
            <v>5.8000000000000003E-2</v>
          </cell>
        </row>
        <row r="1858">
          <cell r="A1858" t="str">
            <v>Y014-005</v>
          </cell>
          <cell r="B1858">
            <v>0</v>
          </cell>
          <cell r="C1858" t="str">
            <v>Y014</v>
          </cell>
          <cell r="D1858">
            <v>0</v>
          </cell>
          <cell r="E1858">
            <v>0</v>
          </cell>
          <cell r="F1858" t="str">
            <v>2000*25*15</v>
          </cell>
          <cell r="G1858">
            <v>2000</v>
          </cell>
          <cell r="H1858">
            <v>25</v>
          </cell>
          <cell r="I1858">
            <v>15</v>
          </cell>
          <cell r="J1858">
            <v>0</v>
          </cell>
          <cell r="K1858">
            <v>2.85</v>
          </cell>
          <cell r="L1858">
            <v>0</v>
          </cell>
          <cell r="M1858">
            <v>63000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</row>
        <row r="1859">
          <cell r="A1859" t="str">
            <v>Y014-006</v>
          </cell>
          <cell r="B1859">
            <v>0</v>
          </cell>
          <cell r="C1859" t="str">
            <v>Y014</v>
          </cell>
          <cell r="D1859">
            <v>0</v>
          </cell>
          <cell r="E1859">
            <v>0</v>
          </cell>
          <cell r="F1859" t="str">
            <v>1700*19*11</v>
          </cell>
          <cell r="G1859">
            <v>1700</v>
          </cell>
          <cell r="H1859">
            <v>19</v>
          </cell>
          <cell r="I1859">
            <v>11</v>
          </cell>
          <cell r="J1859">
            <v>0</v>
          </cell>
          <cell r="K1859">
            <v>1.72</v>
          </cell>
          <cell r="L1859">
            <v>0</v>
          </cell>
          <cell r="M1859">
            <v>38000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</row>
        <row r="1860">
          <cell r="A1860" t="str">
            <v>Y014-006</v>
          </cell>
          <cell r="B1860">
            <v>0</v>
          </cell>
          <cell r="C1860" t="str">
            <v>Y014</v>
          </cell>
          <cell r="D1860">
            <v>0</v>
          </cell>
          <cell r="E1860">
            <v>0</v>
          </cell>
          <cell r="F1860" t="str">
            <v>1700*19*11</v>
          </cell>
          <cell r="G1860">
            <v>1700</v>
          </cell>
          <cell r="H1860">
            <v>19</v>
          </cell>
          <cell r="I1860">
            <v>11</v>
          </cell>
          <cell r="J1860">
            <v>0</v>
          </cell>
          <cell r="K1860">
            <v>1.72</v>
          </cell>
          <cell r="L1860">
            <v>0</v>
          </cell>
          <cell r="M1860">
            <v>38000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</row>
        <row r="1861">
          <cell r="A1861" t="str">
            <v>Y014-007</v>
          </cell>
          <cell r="B1861" t="str">
            <v>Y006</v>
          </cell>
          <cell r="C1861" t="str">
            <v>Y014</v>
          </cell>
          <cell r="D1861">
            <v>0</v>
          </cell>
          <cell r="E1861" t="str">
            <v>POLY飾板</v>
          </cell>
          <cell r="F1861">
            <v>0</v>
          </cell>
          <cell r="G1861">
            <v>491</v>
          </cell>
          <cell r="H1861">
            <v>318</v>
          </cell>
          <cell r="I1861">
            <v>5</v>
          </cell>
          <cell r="J1861">
            <v>1303</v>
          </cell>
          <cell r="K1861">
            <v>0</v>
          </cell>
          <cell r="L1861">
            <v>3.6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 t="str">
            <v>1010</v>
          </cell>
          <cell r="R1861">
            <v>2.7628549501151189</v>
          </cell>
          <cell r="S1861">
            <v>0</v>
          </cell>
        </row>
        <row r="1862">
          <cell r="A1862" t="str">
            <v>Y015-001</v>
          </cell>
          <cell r="B1862" t="str">
            <v>LCT024-005</v>
          </cell>
          <cell r="C1862" t="str">
            <v>Y015</v>
          </cell>
          <cell r="D1862" t="str">
            <v>LN-1253</v>
          </cell>
          <cell r="E1862" t="str">
            <v>抽面飾條</v>
          </cell>
          <cell r="F1862" t="str">
            <v>11*19*1030</v>
          </cell>
          <cell r="G1862">
            <v>11</v>
          </cell>
          <cell r="H1862">
            <v>19</v>
          </cell>
          <cell r="I1862">
            <v>1030</v>
          </cell>
          <cell r="J1862">
            <v>360</v>
          </cell>
          <cell r="K1862">
            <v>0</v>
          </cell>
          <cell r="L1862">
            <v>0.8</v>
          </cell>
          <cell r="M1862">
            <v>0</v>
          </cell>
          <cell r="N1862">
            <v>0</v>
          </cell>
          <cell r="O1862" t="str">
            <v>40V</v>
          </cell>
          <cell r="P1862" t="str">
            <v>1010</v>
          </cell>
          <cell r="Q1862" t="str">
            <v>1010</v>
          </cell>
          <cell r="R1862">
            <v>2.2222222222222223</v>
          </cell>
        </row>
        <row r="1863">
          <cell r="A1863" t="str">
            <v>Y015-002</v>
          </cell>
          <cell r="B1863" t="str">
            <v>LCT024-006</v>
          </cell>
          <cell r="C1863" t="str">
            <v>Y015</v>
          </cell>
          <cell r="D1863" t="str">
            <v>LC-4532</v>
          </cell>
          <cell r="E1863" t="str">
            <v>圓飾框</v>
          </cell>
          <cell r="F1863" t="str">
            <v>414*367/30*5</v>
          </cell>
          <cell r="G1863">
            <v>414</v>
          </cell>
          <cell r="H1863" t="str">
            <v>367/30</v>
          </cell>
          <cell r="I1863">
            <v>5</v>
          </cell>
          <cell r="J1863">
            <v>320</v>
          </cell>
          <cell r="K1863">
            <v>0</v>
          </cell>
          <cell r="L1863">
            <v>0.7</v>
          </cell>
          <cell r="M1863">
            <v>0</v>
          </cell>
          <cell r="N1863">
            <v>0</v>
          </cell>
          <cell r="O1863" t="str">
            <v>40V</v>
          </cell>
          <cell r="P1863" t="str">
            <v>1010</v>
          </cell>
          <cell r="Q1863" t="str">
            <v>1010</v>
          </cell>
          <cell r="R1863">
            <v>2.1875</v>
          </cell>
        </row>
        <row r="1864">
          <cell r="A1864" t="str">
            <v>Y015-003</v>
          </cell>
          <cell r="B1864" t="str">
            <v>LCT024-007</v>
          </cell>
          <cell r="C1864" t="str">
            <v>Y015</v>
          </cell>
          <cell r="D1864" t="str">
            <v>LC-4532</v>
          </cell>
          <cell r="E1864" t="str">
            <v>圓飾框</v>
          </cell>
          <cell r="F1864" t="str">
            <v>414*368/30*5</v>
          </cell>
          <cell r="G1864">
            <v>414</v>
          </cell>
          <cell r="H1864" t="str">
            <v>367/30</v>
          </cell>
          <cell r="I1864">
            <v>9</v>
          </cell>
          <cell r="J1864">
            <v>570</v>
          </cell>
          <cell r="K1864">
            <v>0</v>
          </cell>
          <cell r="L1864">
            <v>1.25</v>
          </cell>
          <cell r="M1864">
            <v>0</v>
          </cell>
          <cell r="N1864">
            <v>0</v>
          </cell>
          <cell r="O1864" t="str">
            <v>40V</v>
          </cell>
          <cell r="P1864" t="str">
            <v>1010</v>
          </cell>
          <cell r="Q1864" t="str">
            <v>1010</v>
          </cell>
          <cell r="R1864">
            <v>2.192982456140351</v>
          </cell>
        </row>
        <row r="1865">
          <cell r="A1865" t="str">
            <v>Y015-004</v>
          </cell>
          <cell r="B1865">
            <v>0</v>
          </cell>
          <cell r="C1865" t="str">
            <v>Y015</v>
          </cell>
          <cell r="D1865" t="str">
            <v>LC-4568</v>
          </cell>
          <cell r="E1865" t="str">
            <v>圓飾框</v>
          </cell>
          <cell r="F1865" t="str">
            <v>415*367/50*5</v>
          </cell>
          <cell r="G1865">
            <v>415</v>
          </cell>
          <cell r="H1865" t="str">
            <v>367/50</v>
          </cell>
          <cell r="I1865">
            <v>5</v>
          </cell>
          <cell r="J1865">
            <v>520</v>
          </cell>
          <cell r="K1865">
            <v>0</v>
          </cell>
          <cell r="L1865">
            <v>1.1000000000000001</v>
          </cell>
          <cell r="M1865">
            <v>0</v>
          </cell>
          <cell r="N1865">
            <v>0</v>
          </cell>
          <cell r="O1865" t="str">
            <v>40V</v>
          </cell>
          <cell r="P1865" t="str">
            <v>1010</v>
          </cell>
          <cell r="Q1865" t="str">
            <v>1010</v>
          </cell>
          <cell r="R1865">
            <v>2.1153846153846154</v>
          </cell>
        </row>
        <row r="1866">
          <cell r="A1866" t="str">
            <v>Y015-005</v>
          </cell>
          <cell r="B1866" t="str">
            <v>Y015-005</v>
          </cell>
          <cell r="C1866" t="str">
            <v>Y015</v>
          </cell>
          <cell r="D1866" t="str">
            <v>POLY</v>
          </cell>
          <cell r="E1866" t="str">
            <v>飾框</v>
          </cell>
          <cell r="F1866" t="str">
            <v>1000*19*12</v>
          </cell>
          <cell r="G1866">
            <v>1000</v>
          </cell>
          <cell r="H1866">
            <v>19</v>
          </cell>
          <cell r="I1866">
            <v>12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</row>
        <row r="1867">
          <cell r="A1867" t="str">
            <v>Y015-006</v>
          </cell>
          <cell r="B1867" t="str">
            <v>Y015-006</v>
          </cell>
          <cell r="C1867" t="str">
            <v>Y015</v>
          </cell>
          <cell r="D1867" t="str">
            <v>POLY Trang Trí</v>
          </cell>
          <cell r="E1867" t="str">
            <v>飾條</v>
          </cell>
          <cell r="F1867" t="str">
            <v>462*19*12</v>
          </cell>
          <cell r="G1867">
            <v>462</v>
          </cell>
          <cell r="H1867">
            <v>19</v>
          </cell>
          <cell r="I1867">
            <v>12</v>
          </cell>
          <cell r="J1867">
            <v>0</v>
          </cell>
          <cell r="K1867">
            <v>0</v>
          </cell>
          <cell r="L1867">
            <v>0.47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</row>
        <row r="1868">
          <cell r="A1868" t="str">
            <v>Y015-007</v>
          </cell>
          <cell r="B1868" t="str">
            <v>Y015-007</v>
          </cell>
          <cell r="C1868" t="str">
            <v>Y015</v>
          </cell>
          <cell r="D1868" t="str">
            <v>POLY Trang Trí</v>
          </cell>
          <cell r="E1868" t="str">
            <v>飾條</v>
          </cell>
          <cell r="F1868" t="str">
            <v>1710*25*8</v>
          </cell>
          <cell r="G1868">
            <v>1710</v>
          </cell>
          <cell r="H1868">
            <v>25</v>
          </cell>
          <cell r="I1868">
            <v>8</v>
          </cell>
          <cell r="J1868">
            <v>0</v>
          </cell>
          <cell r="K1868">
            <v>0</v>
          </cell>
          <cell r="L1868">
            <v>1.9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</row>
        <row r="1869">
          <cell r="A1869" t="str">
            <v>Y015-008</v>
          </cell>
          <cell r="B1869">
            <v>0</v>
          </cell>
          <cell r="C1869" t="str">
            <v>Y015</v>
          </cell>
          <cell r="D1869" t="str">
            <v>LT-2955</v>
          </cell>
          <cell r="E1869" t="str">
            <v>炮管</v>
          </cell>
          <cell r="F1869" t="str">
            <v>508*508*640</v>
          </cell>
          <cell r="G1869">
            <v>508</v>
          </cell>
          <cell r="H1869">
            <v>508</v>
          </cell>
          <cell r="I1869">
            <v>640</v>
          </cell>
          <cell r="J1869">
            <v>0</v>
          </cell>
          <cell r="K1869">
            <v>0</v>
          </cell>
          <cell r="L1869">
            <v>35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</row>
        <row r="1870">
          <cell r="A1870" t="str">
            <v>Y015-009</v>
          </cell>
          <cell r="B1870">
            <v>0</v>
          </cell>
          <cell r="C1870" t="str">
            <v>Y015</v>
          </cell>
          <cell r="D1870" t="str">
            <v>POLY Trang Trí</v>
          </cell>
          <cell r="E1870" t="str">
            <v>飾框</v>
          </cell>
          <cell r="F1870" t="str">
            <v>485*19*12</v>
          </cell>
          <cell r="G1870">
            <v>485</v>
          </cell>
          <cell r="H1870">
            <v>19</v>
          </cell>
          <cell r="I1870">
            <v>12</v>
          </cell>
          <cell r="J1870">
            <v>140</v>
          </cell>
          <cell r="K1870">
            <v>0</v>
          </cell>
          <cell r="L1870">
            <v>0.47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3.3571428571428568</v>
          </cell>
        </row>
        <row r="1871">
          <cell r="A1871" t="str">
            <v>Y015-010</v>
          </cell>
          <cell r="B1871">
            <v>0</v>
          </cell>
          <cell r="C1871" t="str">
            <v>Y015</v>
          </cell>
          <cell r="D1871" t="str">
            <v>LF-9029</v>
          </cell>
          <cell r="E1871" t="str">
            <v>饰花</v>
          </cell>
          <cell r="F1871" t="str">
            <v>230*77*6</v>
          </cell>
          <cell r="G1871">
            <v>230</v>
          </cell>
          <cell r="H1871">
            <v>77</v>
          </cell>
          <cell r="I1871">
            <v>6</v>
          </cell>
          <cell r="J1871">
            <v>0</v>
          </cell>
          <cell r="K1871">
            <v>0</v>
          </cell>
          <cell r="L1871">
            <v>0.3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</row>
        <row r="1872">
          <cell r="A1872" t="str">
            <v>Y015-011</v>
          </cell>
          <cell r="B1872">
            <v>0</v>
          </cell>
          <cell r="C1872" t="str">
            <v>Y015</v>
          </cell>
          <cell r="D1872" t="str">
            <v>LF-9029</v>
          </cell>
          <cell r="E1872" t="str">
            <v>饰条</v>
          </cell>
          <cell r="F1872" t="str">
            <v>650*10*6</v>
          </cell>
          <cell r="G1872">
            <v>650</v>
          </cell>
          <cell r="H1872">
            <v>10</v>
          </cell>
          <cell r="I1872">
            <v>6</v>
          </cell>
          <cell r="J1872">
            <v>0</v>
          </cell>
          <cell r="K1872">
            <v>0</v>
          </cell>
          <cell r="L1872">
            <v>0.17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</row>
        <row r="1873">
          <cell r="A1873" t="str">
            <v>Y015-012</v>
          </cell>
          <cell r="B1873">
            <v>0</v>
          </cell>
          <cell r="C1873" t="str">
            <v>Y015</v>
          </cell>
          <cell r="D1873" t="str">
            <v>LF-9029</v>
          </cell>
          <cell r="E1873" t="str">
            <v>饰条</v>
          </cell>
          <cell r="F1873" t="str">
            <v>820*10*6</v>
          </cell>
          <cell r="G1873">
            <v>820</v>
          </cell>
          <cell r="H1873">
            <v>10</v>
          </cell>
          <cell r="I1873">
            <v>6</v>
          </cell>
          <cell r="J1873">
            <v>0</v>
          </cell>
          <cell r="K1873">
            <v>0</v>
          </cell>
          <cell r="L1873">
            <v>0.18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</row>
        <row r="1874">
          <cell r="A1874" t="str">
            <v>Y015-013</v>
          </cell>
          <cell r="B1874" t="str">
            <v>取消</v>
          </cell>
          <cell r="C1874" t="str">
            <v>Y015</v>
          </cell>
          <cell r="D1874" t="str">
            <v>LF-9029</v>
          </cell>
          <cell r="E1874" t="str">
            <v>饰条</v>
          </cell>
          <cell r="F1874" t="str">
            <v>1765*10*6</v>
          </cell>
          <cell r="G1874">
            <v>1765</v>
          </cell>
          <cell r="H1874">
            <v>10</v>
          </cell>
          <cell r="I1874">
            <v>6</v>
          </cell>
          <cell r="J1874">
            <v>0</v>
          </cell>
          <cell r="K1874">
            <v>0</v>
          </cell>
          <cell r="L1874">
            <v>0.37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</row>
        <row r="1875">
          <cell r="A1875" t="str">
            <v>Y016-001</v>
          </cell>
          <cell r="B1875" t="str">
            <v>LCT110-001</v>
          </cell>
          <cell r="C1875" t="str">
            <v>Y016</v>
          </cell>
          <cell r="D1875" t="str">
            <v>502-515 T2半圆桌</v>
          </cell>
          <cell r="E1875" t="str">
            <v>抽面饰框</v>
          </cell>
          <cell r="F1875" t="str">
            <v>535*90*7</v>
          </cell>
          <cell r="G1875">
            <v>535</v>
          </cell>
          <cell r="H1875">
            <v>90</v>
          </cell>
          <cell r="I1875">
            <v>7</v>
          </cell>
          <cell r="J1875">
            <v>100</v>
          </cell>
          <cell r="K1875">
            <v>0</v>
          </cell>
          <cell r="L1875">
            <v>0.4</v>
          </cell>
          <cell r="M1875">
            <v>0</v>
          </cell>
          <cell r="N1875">
            <v>0</v>
          </cell>
          <cell r="O1875" t="str">
            <v>40V</v>
          </cell>
          <cell r="P1875" t="str">
            <v>1010</v>
          </cell>
          <cell r="Q1875" t="str">
            <v>1010</v>
          </cell>
          <cell r="R1875">
            <v>4</v>
          </cell>
        </row>
        <row r="1876">
          <cell r="A1876" t="str">
            <v>Y016-002</v>
          </cell>
          <cell r="B1876" t="str">
            <v>LCT110-027</v>
          </cell>
          <cell r="C1876" t="str">
            <v>Y016</v>
          </cell>
          <cell r="D1876" t="str">
            <v>76138A</v>
          </cell>
          <cell r="E1876" t="str">
            <v>小皇冠</v>
          </cell>
          <cell r="F1876" t="str">
            <v>54*42*12</v>
          </cell>
          <cell r="G1876">
            <v>54</v>
          </cell>
          <cell r="H1876">
            <v>42</v>
          </cell>
          <cell r="I1876">
            <v>12</v>
          </cell>
          <cell r="J1876">
            <v>40</v>
          </cell>
          <cell r="K1876">
            <v>0</v>
          </cell>
          <cell r="L1876">
            <v>0.22</v>
          </cell>
          <cell r="M1876">
            <v>0</v>
          </cell>
          <cell r="N1876">
            <v>0</v>
          </cell>
          <cell r="O1876" t="str">
            <v>40V</v>
          </cell>
          <cell r="P1876" t="str">
            <v>1010</v>
          </cell>
          <cell r="Q1876" t="str">
            <v>1010</v>
          </cell>
          <cell r="R1876">
            <v>5.5</v>
          </cell>
        </row>
        <row r="1877">
          <cell r="A1877" t="str">
            <v>Y016-003</v>
          </cell>
          <cell r="B1877" t="str">
            <v>LCT110-028</v>
          </cell>
          <cell r="C1877" t="str">
            <v>Y016</v>
          </cell>
          <cell r="D1877" t="str">
            <v>76138A</v>
          </cell>
          <cell r="E1877" t="str">
            <v>小皇冠</v>
          </cell>
          <cell r="F1877" t="str">
            <v>112*90*3</v>
          </cell>
          <cell r="G1877">
            <v>112</v>
          </cell>
          <cell r="H1877">
            <v>90</v>
          </cell>
          <cell r="I1877">
            <v>3</v>
          </cell>
          <cell r="J1877">
            <v>45</v>
          </cell>
          <cell r="K1877">
            <v>0</v>
          </cell>
          <cell r="L1877">
            <v>0.22</v>
          </cell>
          <cell r="M1877">
            <v>0</v>
          </cell>
          <cell r="N1877">
            <v>0</v>
          </cell>
          <cell r="O1877" t="str">
            <v>40V</v>
          </cell>
          <cell r="P1877" t="str">
            <v>1010</v>
          </cell>
          <cell r="Q1877" t="str">
            <v>1010</v>
          </cell>
          <cell r="R1877">
            <v>4.8888888888888893</v>
          </cell>
        </row>
        <row r="1878">
          <cell r="A1878" t="str">
            <v>Y016-004</v>
          </cell>
          <cell r="B1878" t="str">
            <v>LCT110-029</v>
          </cell>
          <cell r="C1878" t="str">
            <v>Y016</v>
          </cell>
          <cell r="D1878" t="str">
            <v>14J8032</v>
          </cell>
          <cell r="E1878">
            <v>0</v>
          </cell>
          <cell r="F1878" t="str">
            <v>366*115*5</v>
          </cell>
          <cell r="G1878">
            <v>366</v>
          </cell>
          <cell r="H1878">
            <v>115</v>
          </cell>
          <cell r="I1878">
            <v>5</v>
          </cell>
          <cell r="J1878">
            <v>80</v>
          </cell>
          <cell r="K1878">
            <v>0</v>
          </cell>
          <cell r="L1878">
            <v>0.4</v>
          </cell>
          <cell r="M1878">
            <v>0</v>
          </cell>
          <cell r="N1878">
            <v>0</v>
          </cell>
          <cell r="O1878" t="str">
            <v>40V</v>
          </cell>
          <cell r="P1878" t="str">
            <v>1010</v>
          </cell>
          <cell r="Q1878" t="str">
            <v>1010</v>
          </cell>
          <cell r="R1878">
            <v>5</v>
          </cell>
        </row>
        <row r="1879">
          <cell r="A1879" t="str">
            <v>Y016-005</v>
          </cell>
          <cell r="B1879" t="str">
            <v>LCT110-030</v>
          </cell>
          <cell r="C1879" t="str">
            <v>Y016</v>
          </cell>
          <cell r="D1879" t="str">
            <v>14J8032</v>
          </cell>
          <cell r="E1879">
            <v>0</v>
          </cell>
          <cell r="F1879" t="str">
            <v>366*55*5</v>
          </cell>
          <cell r="G1879">
            <v>366</v>
          </cell>
          <cell r="H1879">
            <v>55</v>
          </cell>
          <cell r="I1879">
            <v>5</v>
          </cell>
          <cell r="J1879">
            <v>65</v>
          </cell>
          <cell r="K1879">
            <v>0</v>
          </cell>
          <cell r="L1879">
            <v>0.33</v>
          </cell>
          <cell r="M1879">
            <v>0</v>
          </cell>
          <cell r="N1879">
            <v>0</v>
          </cell>
          <cell r="O1879" t="str">
            <v>40V</v>
          </cell>
          <cell r="P1879" t="str">
            <v>1010</v>
          </cell>
          <cell r="Q1879" t="str">
            <v>1010</v>
          </cell>
          <cell r="R1879">
            <v>5.0769230769230766</v>
          </cell>
        </row>
        <row r="1880">
          <cell r="A1880" t="str">
            <v>Y016-006</v>
          </cell>
          <cell r="B1880" t="str">
            <v>LCT110-014</v>
          </cell>
          <cell r="C1880" t="str">
            <v>Y016</v>
          </cell>
          <cell r="D1880" t="str">
            <v>#502-290</v>
          </cell>
          <cell r="E1880" t="str">
            <v>POLY</v>
          </cell>
          <cell r="F1880" t="str">
            <v>435*50*7</v>
          </cell>
          <cell r="G1880">
            <v>435</v>
          </cell>
          <cell r="H1880">
            <v>50</v>
          </cell>
          <cell r="I1880">
            <v>7</v>
          </cell>
          <cell r="J1880">
            <v>80</v>
          </cell>
          <cell r="K1880">
            <v>0</v>
          </cell>
          <cell r="L1880">
            <v>0.47</v>
          </cell>
          <cell r="M1880">
            <v>0</v>
          </cell>
          <cell r="N1880">
            <v>0</v>
          </cell>
          <cell r="O1880" t="str">
            <v>40V</v>
          </cell>
          <cell r="P1880" t="str">
            <v>1010</v>
          </cell>
          <cell r="Q1880" t="str">
            <v>1010</v>
          </cell>
          <cell r="R1880">
            <v>5.8749999999999991</v>
          </cell>
        </row>
        <row r="1881">
          <cell r="A1881" t="str">
            <v>Y016-007</v>
          </cell>
          <cell r="B1881" t="str">
            <v>LCT110-015</v>
          </cell>
          <cell r="C1881" t="str">
            <v>Y016</v>
          </cell>
          <cell r="D1881" t="str">
            <v>#502-290</v>
          </cell>
          <cell r="E1881" t="str">
            <v>POLY</v>
          </cell>
          <cell r="F1881" t="str">
            <v>197*50*7</v>
          </cell>
          <cell r="G1881">
            <v>197</v>
          </cell>
          <cell r="H1881">
            <v>50</v>
          </cell>
          <cell r="I1881">
            <v>7</v>
          </cell>
          <cell r="J1881">
            <v>40</v>
          </cell>
          <cell r="K1881">
            <v>0</v>
          </cell>
          <cell r="L1881">
            <v>0.23</v>
          </cell>
          <cell r="M1881">
            <v>0</v>
          </cell>
          <cell r="N1881">
            <v>0</v>
          </cell>
          <cell r="O1881" t="str">
            <v>40V</v>
          </cell>
          <cell r="P1881" t="str">
            <v>1010</v>
          </cell>
          <cell r="Q1881" t="str">
            <v>1010</v>
          </cell>
          <cell r="R1881">
            <v>5.75</v>
          </cell>
        </row>
        <row r="1882">
          <cell r="A1882" t="str">
            <v>Y016-008</v>
          </cell>
          <cell r="B1882" t="str">
            <v>LCT110-016</v>
          </cell>
          <cell r="C1882" t="str">
            <v>Y016</v>
          </cell>
          <cell r="D1882" t="str">
            <v>#502-290</v>
          </cell>
          <cell r="E1882" t="str">
            <v>POLY</v>
          </cell>
          <cell r="F1882" t="str">
            <v>196*127*7</v>
          </cell>
          <cell r="G1882">
            <v>196</v>
          </cell>
          <cell r="H1882">
            <v>127</v>
          </cell>
          <cell r="I1882">
            <v>7</v>
          </cell>
          <cell r="J1882">
            <v>58</v>
          </cell>
          <cell r="K1882">
            <v>0</v>
          </cell>
          <cell r="L1882">
            <v>0.31</v>
          </cell>
          <cell r="M1882">
            <v>0</v>
          </cell>
          <cell r="N1882">
            <v>0</v>
          </cell>
          <cell r="O1882" t="str">
            <v>40V</v>
          </cell>
          <cell r="P1882" t="str">
            <v>1010</v>
          </cell>
          <cell r="Q1882" t="str">
            <v>1010</v>
          </cell>
          <cell r="R1882">
            <v>5.3448275862068959</v>
          </cell>
        </row>
        <row r="1883">
          <cell r="A1883" t="str">
            <v>Y016-009</v>
          </cell>
          <cell r="B1883" t="str">
            <v>LCT110-017</v>
          </cell>
          <cell r="C1883" t="str">
            <v>Y016</v>
          </cell>
          <cell r="D1883" t="str">
            <v>#429-290T2</v>
          </cell>
          <cell r="E1883" t="str">
            <v>POLY</v>
          </cell>
          <cell r="F1883" t="str">
            <v>455*35*7</v>
          </cell>
          <cell r="G1883">
            <v>455</v>
          </cell>
          <cell r="H1883">
            <v>35</v>
          </cell>
          <cell r="I1883">
            <v>7</v>
          </cell>
          <cell r="J1883">
            <v>77</v>
          </cell>
          <cell r="K1883">
            <v>0</v>
          </cell>
          <cell r="L1883">
            <v>0.48</v>
          </cell>
          <cell r="M1883">
            <v>0</v>
          </cell>
          <cell r="N1883">
            <v>0</v>
          </cell>
          <cell r="O1883" t="str">
            <v>40V</v>
          </cell>
          <cell r="P1883" t="str">
            <v>1010</v>
          </cell>
          <cell r="Q1883" t="str">
            <v>1010</v>
          </cell>
          <cell r="R1883">
            <v>6.2337662337662332</v>
          </cell>
        </row>
        <row r="1884">
          <cell r="A1884" t="str">
            <v>Y016-010</v>
          </cell>
          <cell r="B1884" t="str">
            <v>LCT110-018</v>
          </cell>
          <cell r="C1884" t="str">
            <v>Y016</v>
          </cell>
          <cell r="D1884" t="str">
            <v>#429-290T2</v>
          </cell>
          <cell r="E1884" t="str">
            <v>POLY</v>
          </cell>
          <cell r="F1884" t="str">
            <v>180*128*7</v>
          </cell>
          <cell r="G1884">
            <v>180</v>
          </cell>
          <cell r="H1884">
            <v>128</v>
          </cell>
          <cell r="I1884">
            <v>7</v>
          </cell>
          <cell r="J1884">
            <v>50</v>
          </cell>
          <cell r="K1884">
            <v>0</v>
          </cell>
          <cell r="L1884">
            <v>0.3</v>
          </cell>
          <cell r="M1884">
            <v>0</v>
          </cell>
          <cell r="N1884">
            <v>0</v>
          </cell>
          <cell r="O1884" t="str">
            <v>40V</v>
          </cell>
          <cell r="P1884" t="str">
            <v>1010</v>
          </cell>
          <cell r="Q1884" t="str">
            <v>1010</v>
          </cell>
          <cell r="R1884">
            <v>5.9999999999999991</v>
          </cell>
        </row>
        <row r="1885">
          <cell r="A1885" t="str">
            <v>Y016-011</v>
          </cell>
          <cell r="B1885" t="str">
            <v>LCT110-019</v>
          </cell>
          <cell r="C1885" t="str">
            <v>Y016</v>
          </cell>
          <cell r="D1885" t="str">
            <v>#429-290T2</v>
          </cell>
          <cell r="E1885" t="str">
            <v>POLY</v>
          </cell>
          <cell r="F1885" t="str">
            <v>180*35*7</v>
          </cell>
          <cell r="G1885">
            <v>180</v>
          </cell>
          <cell r="H1885">
            <v>35</v>
          </cell>
          <cell r="I1885">
            <v>7</v>
          </cell>
          <cell r="J1885">
            <v>30</v>
          </cell>
          <cell r="K1885">
            <v>0</v>
          </cell>
          <cell r="L1885">
            <v>0.2</v>
          </cell>
          <cell r="M1885">
            <v>0</v>
          </cell>
          <cell r="N1885">
            <v>0</v>
          </cell>
          <cell r="O1885" t="str">
            <v>40V</v>
          </cell>
          <cell r="P1885" t="str">
            <v>1010</v>
          </cell>
          <cell r="Q1885" t="str">
            <v>1010</v>
          </cell>
          <cell r="R1885">
            <v>6.666666666666667</v>
          </cell>
        </row>
        <row r="1886">
          <cell r="A1886" t="str">
            <v>Y016-012</v>
          </cell>
          <cell r="B1886" t="str">
            <v>LCT110-020</v>
          </cell>
          <cell r="C1886" t="str">
            <v>Y016</v>
          </cell>
          <cell r="D1886" t="str">
            <v>#429-290T2</v>
          </cell>
          <cell r="E1886" t="str">
            <v>POLY</v>
          </cell>
          <cell r="F1886" t="str">
            <v>950*15*6</v>
          </cell>
          <cell r="G1886">
            <v>950</v>
          </cell>
          <cell r="H1886">
            <v>15</v>
          </cell>
          <cell r="I1886">
            <v>6</v>
          </cell>
          <cell r="J1886">
            <v>120</v>
          </cell>
          <cell r="K1886">
            <v>0</v>
          </cell>
          <cell r="L1886">
            <v>0.43</v>
          </cell>
          <cell r="M1886">
            <v>0</v>
          </cell>
          <cell r="N1886">
            <v>0</v>
          </cell>
          <cell r="O1886" t="str">
            <v>40V</v>
          </cell>
          <cell r="P1886" t="str">
            <v>1010</v>
          </cell>
          <cell r="Q1886" t="str">
            <v>1010</v>
          </cell>
          <cell r="R1886">
            <v>3.5833333333333335</v>
          </cell>
        </row>
        <row r="1887">
          <cell r="A1887" t="str">
            <v>Y016-013</v>
          </cell>
          <cell r="B1887" t="str">
            <v>LCT110-011</v>
          </cell>
          <cell r="C1887" t="str">
            <v>Y016</v>
          </cell>
          <cell r="D1887" t="str">
            <v>#429-290T2</v>
          </cell>
          <cell r="E1887" t="str">
            <v>POLY</v>
          </cell>
          <cell r="F1887" t="str">
            <v>365*15*6</v>
          </cell>
          <cell r="G1887">
            <v>365</v>
          </cell>
          <cell r="H1887">
            <v>15</v>
          </cell>
          <cell r="I1887">
            <v>6</v>
          </cell>
          <cell r="J1887">
            <v>50</v>
          </cell>
          <cell r="K1887">
            <v>0</v>
          </cell>
          <cell r="L1887">
            <v>0.31</v>
          </cell>
          <cell r="M1887">
            <v>0</v>
          </cell>
          <cell r="N1887">
            <v>0</v>
          </cell>
          <cell r="O1887" t="str">
            <v>40V</v>
          </cell>
          <cell r="P1887" t="str">
            <v>1010</v>
          </cell>
          <cell r="Q1887" t="str">
            <v>1010</v>
          </cell>
          <cell r="R1887">
            <v>6.1999999999999993</v>
          </cell>
        </row>
        <row r="1888">
          <cell r="A1888" t="str">
            <v>Y016-014</v>
          </cell>
          <cell r="B1888" t="str">
            <v>LCT110-012</v>
          </cell>
          <cell r="C1888" t="str">
            <v>Y016</v>
          </cell>
          <cell r="D1888" t="str">
            <v>#429-290T2</v>
          </cell>
          <cell r="E1888" t="str">
            <v>POLY</v>
          </cell>
          <cell r="F1888" t="str">
            <v>85*15*6</v>
          </cell>
          <cell r="G1888">
            <v>85</v>
          </cell>
          <cell r="H1888">
            <v>15</v>
          </cell>
          <cell r="I1888">
            <v>6</v>
          </cell>
          <cell r="J1888">
            <v>15</v>
          </cell>
          <cell r="K1888">
            <v>0</v>
          </cell>
          <cell r="L1888">
            <v>0.04</v>
          </cell>
          <cell r="M1888">
            <v>0</v>
          </cell>
          <cell r="N1888">
            <v>0</v>
          </cell>
          <cell r="O1888" t="str">
            <v>40V</v>
          </cell>
          <cell r="P1888" t="str">
            <v>1010</v>
          </cell>
          <cell r="Q1888" t="str">
            <v>1010</v>
          </cell>
          <cell r="R1888">
            <v>2.666666666666667</v>
          </cell>
        </row>
        <row r="1889">
          <cell r="A1889" t="str">
            <v>Y016-015</v>
          </cell>
          <cell r="B1889" t="str">
            <v>LCT110-004</v>
          </cell>
          <cell r="C1889" t="str">
            <v>Y016</v>
          </cell>
          <cell r="D1889">
            <v>0</v>
          </cell>
          <cell r="E1889" t="str">
            <v>小饰花</v>
          </cell>
          <cell r="F1889" t="str">
            <v>85*55*5</v>
          </cell>
          <cell r="G1889">
            <v>85</v>
          </cell>
          <cell r="H1889">
            <v>55</v>
          </cell>
          <cell r="I1889">
            <v>5</v>
          </cell>
          <cell r="J1889">
            <v>20</v>
          </cell>
          <cell r="K1889">
            <v>0</v>
          </cell>
          <cell r="L1889">
            <v>0.1</v>
          </cell>
          <cell r="M1889">
            <v>0</v>
          </cell>
          <cell r="N1889">
            <v>0</v>
          </cell>
          <cell r="O1889" t="str">
            <v>40V</v>
          </cell>
          <cell r="P1889" t="str">
            <v>1010</v>
          </cell>
          <cell r="Q1889" t="str">
            <v>1010</v>
          </cell>
          <cell r="R1889">
            <v>5</v>
          </cell>
        </row>
        <row r="1890">
          <cell r="A1890" t="str">
            <v>Y016-016</v>
          </cell>
          <cell r="B1890" t="str">
            <v>LCT110-005</v>
          </cell>
          <cell r="C1890" t="str">
            <v>Y016</v>
          </cell>
          <cell r="D1890">
            <v>0</v>
          </cell>
          <cell r="E1890" t="str">
            <v>大饰花</v>
          </cell>
          <cell r="F1890" t="str">
            <v>192*60*5</v>
          </cell>
          <cell r="G1890">
            <v>192</v>
          </cell>
          <cell r="H1890">
            <v>60</v>
          </cell>
          <cell r="I1890">
            <v>5</v>
          </cell>
          <cell r="J1890">
            <v>30</v>
          </cell>
          <cell r="K1890">
            <v>0</v>
          </cell>
          <cell r="L1890">
            <v>0.14000000000000001</v>
          </cell>
          <cell r="M1890">
            <v>0</v>
          </cell>
          <cell r="N1890">
            <v>0</v>
          </cell>
          <cell r="O1890" t="str">
            <v>40V</v>
          </cell>
          <cell r="P1890" t="str">
            <v>1010</v>
          </cell>
          <cell r="Q1890" t="str">
            <v>1010</v>
          </cell>
          <cell r="R1890">
            <v>4.666666666666667</v>
          </cell>
        </row>
        <row r="1891">
          <cell r="A1891" t="str">
            <v>Y016-017</v>
          </cell>
          <cell r="B1891" t="str">
            <v>LCT110-006</v>
          </cell>
          <cell r="C1891" t="str">
            <v>Y016</v>
          </cell>
          <cell r="D1891">
            <v>0</v>
          </cell>
          <cell r="E1891" t="str">
            <v>POLY饰条</v>
          </cell>
          <cell r="F1891" t="str">
            <v>86*10*5</v>
          </cell>
          <cell r="G1891">
            <v>86</v>
          </cell>
          <cell r="H1891">
            <v>10</v>
          </cell>
          <cell r="I1891">
            <v>5</v>
          </cell>
          <cell r="J1891">
            <v>7</v>
          </cell>
          <cell r="K1891">
            <v>0</v>
          </cell>
          <cell r="L1891">
            <v>3.5000000000000003E-2</v>
          </cell>
          <cell r="M1891">
            <v>0</v>
          </cell>
          <cell r="N1891">
            <v>0</v>
          </cell>
          <cell r="O1891" t="str">
            <v>40V</v>
          </cell>
          <cell r="P1891" t="str">
            <v>1010</v>
          </cell>
          <cell r="Q1891" t="str">
            <v>1010</v>
          </cell>
          <cell r="R1891">
            <v>5</v>
          </cell>
        </row>
        <row r="1892">
          <cell r="A1892" t="str">
            <v>Y016-018</v>
          </cell>
          <cell r="B1892" t="str">
            <v>LCT110-021</v>
          </cell>
          <cell r="C1892" t="str">
            <v>Y016</v>
          </cell>
          <cell r="D1892" t="str">
            <v>#318-416</v>
          </cell>
          <cell r="E1892" t="str">
            <v>POLY</v>
          </cell>
          <cell r="F1892" t="str">
            <v>635*60*9</v>
          </cell>
          <cell r="G1892">
            <v>635</v>
          </cell>
          <cell r="H1892">
            <v>60</v>
          </cell>
          <cell r="I1892">
            <v>9</v>
          </cell>
          <cell r="J1892">
            <v>180</v>
          </cell>
          <cell r="K1892">
            <v>0</v>
          </cell>
          <cell r="L1892">
            <v>0.51</v>
          </cell>
          <cell r="M1892">
            <v>0</v>
          </cell>
          <cell r="N1892">
            <v>0</v>
          </cell>
          <cell r="O1892" t="str">
            <v>40V</v>
          </cell>
          <cell r="P1892" t="str">
            <v>1010</v>
          </cell>
          <cell r="Q1892" t="str">
            <v>1010</v>
          </cell>
          <cell r="R1892">
            <v>2.8333333333333335</v>
          </cell>
        </row>
        <row r="1893">
          <cell r="A1893" t="str">
            <v>Y016-019</v>
          </cell>
          <cell r="B1893" t="str">
            <v>LCT110-022</v>
          </cell>
          <cell r="C1893" t="str">
            <v>Y016</v>
          </cell>
          <cell r="D1893" t="str">
            <v>#318-416</v>
          </cell>
          <cell r="E1893" t="str">
            <v>POLY</v>
          </cell>
          <cell r="F1893" t="str">
            <v>278*93*7</v>
          </cell>
          <cell r="G1893">
            <v>278</v>
          </cell>
          <cell r="H1893">
            <v>93</v>
          </cell>
          <cell r="I1893">
            <v>7</v>
          </cell>
          <cell r="J1893">
            <v>85</v>
          </cell>
          <cell r="K1893">
            <v>0</v>
          </cell>
          <cell r="L1893">
            <v>0.3</v>
          </cell>
          <cell r="M1893">
            <v>0</v>
          </cell>
          <cell r="N1893">
            <v>0</v>
          </cell>
          <cell r="O1893" t="str">
            <v>40V</v>
          </cell>
          <cell r="P1893" t="str">
            <v>1010</v>
          </cell>
          <cell r="Q1893" t="str">
            <v>1010</v>
          </cell>
          <cell r="R1893">
            <v>3.5294117647058818</v>
          </cell>
        </row>
        <row r="1894">
          <cell r="A1894" t="str">
            <v>Y016-020</v>
          </cell>
          <cell r="B1894" t="str">
            <v>LCT110-023</v>
          </cell>
          <cell r="C1894" t="str">
            <v>Y016</v>
          </cell>
          <cell r="D1894" t="str">
            <v>#318-416</v>
          </cell>
          <cell r="E1894" t="str">
            <v>POLY</v>
          </cell>
          <cell r="F1894" t="str">
            <v>1080*80*10</v>
          </cell>
          <cell r="G1894">
            <v>1080</v>
          </cell>
          <cell r="H1894">
            <v>80</v>
          </cell>
          <cell r="I1894">
            <v>10</v>
          </cell>
          <cell r="J1894">
            <v>190</v>
          </cell>
          <cell r="K1894">
            <v>0</v>
          </cell>
          <cell r="L1894">
            <v>0.53</v>
          </cell>
          <cell r="M1894">
            <v>0</v>
          </cell>
          <cell r="N1894">
            <v>0</v>
          </cell>
          <cell r="O1894" t="str">
            <v>40V</v>
          </cell>
          <cell r="P1894" t="str">
            <v>1010</v>
          </cell>
          <cell r="Q1894" t="str">
            <v>1010</v>
          </cell>
          <cell r="R1894">
            <v>2.7894736842105265</v>
          </cell>
        </row>
        <row r="1895">
          <cell r="A1895" t="str">
            <v>Y016-021</v>
          </cell>
          <cell r="B1895" t="str">
            <v>LCT110-024</v>
          </cell>
          <cell r="C1895" t="str">
            <v>Y016</v>
          </cell>
          <cell r="D1895" t="str">
            <v>#318-416</v>
          </cell>
          <cell r="E1895" t="str">
            <v>POLY</v>
          </cell>
          <cell r="F1895" t="str">
            <v>478*66*10</v>
          </cell>
          <cell r="G1895">
            <v>478</v>
          </cell>
          <cell r="H1895">
            <v>66</v>
          </cell>
          <cell r="I1895">
            <v>10</v>
          </cell>
          <cell r="J1895">
            <v>80</v>
          </cell>
          <cell r="K1895">
            <v>0</v>
          </cell>
          <cell r="L1895">
            <v>0.3</v>
          </cell>
          <cell r="M1895">
            <v>0</v>
          </cell>
          <cell r="N1895">
            <v>0</v>
          </cell>
          <cell r="O1895" t="str">
            <v>40V</v>
          </cell>
          <cell r="P1895" t="str">
            <v>1010</v>
          </cell>
          <cell r="Q1895" t="str">
            <v>1010</v>
          </cell>
          <cell r="R1895">
            <v>3.75</v>
          </cell>
        </row>
        <row r="1896">
          <cell r="A1896" t="str">
            <v>Y016-022</v>
          </cell>
          <cell r="C1896" t="str">
            <v>Y016</v>
          </cell>
          <cell r="D1896">
            <v>0</v>
          </cell>
          <cell r="E1896" t="str">
            <v>POLY飾條</v>
          </cell>
          <cell r="F1896" t="str">
            <v>1000*10*5</v>
          </cell>
          <cell r="G1896">
            <v>1000</v>
          </cell>
          <cell r="H1896">
            <v>10</v>
          </cell>
          <cell r="I1896">
            <v>5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 t="str">
            <v>1010</v>
          </cell>
          <cell r="Q1896" t="str">
            <v>1010</v>
          </cell>
          <cell r="R1896" t="e">
            <v>#DIV/0!</v>
          </cell>
        </row>
        <row r="1897">
          <cell r="A1897" t="str">
            <v>Y016-023</v>
          </cell>
          <cell r="C1897" t="str">
            <v>Y016</v>
          </cell>
          <cell r="D1897">
            <v>0</v>
          </cell>
          <cell r="E1897" t="str">
            <v>POLY飾條</v>
          </cell>
          <cell r="F1897" t="str">
            <v>100*8*4</v>
          </cell>
          <cell r="G1897">
            <v>1000</v>
          </cell>
          <cell r="H1897">
            <v>8</v>
          </cell>
          <cell r="I1897">
            <v>4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 t="str">
            <v>1010</v>
          </cell>
          <cell r="Q1897" t="str">
            <v>1010</v>
          </cell>
          <cell r="R1897" t="e">
            <v>#DIV/0!</v>
          </cell>
        </row>
        <row r="1898">
          <cell r="A1898" t="str">
            <v>Y016-024</v>
          </cell>
          <cell r="C1898" t="str">
            <v>Y016</v>
          </cell>
          <cell r="D1898" t="str">
            <v>#843 Ngôi sao lớn</v>
          </cell>
          <cell r="E1898" t="str">
            <v>大星星</v>
          </cell>
          <cell r="F1898" t="str">
            <v>285*285*15</v>
          </cell>
          <cell r="G1898">
            <v>285</v>
          </cell>
          <cell r="H1898">
            <v>285</v>
          </cell>
          <cell r="I1898">
            <v>15</v>
          </cell>
          <cell r="J1898">
            <v>0</v>
          </cell>
          <cell r="K1898">
            <v>0</v>
          </cell>
          <cell r="L1898">
            <v>0.79</v>
          </cell>
          <cell r="M1898">
            <v>0</v>
          </cell>
          <cell r="N1898">
            <v>0</v>
          </cell>
          <cell r="O1898">
            <v>0</v>
          </cell>
          <cell r="P1898" t="str">
            <v>1010</v>
          </cell>
          <cell r="Q1898" t="str">
            <v>1010</v>
          </cell>
          <cell r="R1898">
            <v>0</v>
          </cell>
        </row>
        <row r="1899">
          <cell r="A1899" t="str">
            <v>Y016-025</v>
          </cell>
          <cell r="C1899" t="str">
            <v>Y016</v>
          </cell>
          <cell r="D1899" t="str">
            <v>#843 Ngôi sao nhỏ</v>
          </cell>
          <cell r="E1899" t="str">
            <v>小星星</v>
          </cell>
          <cell r="F1899" t="str">
            <v>222*222*10</v>
          </cell>
          <cell r="G1899">
            <v>222</v>
          </cell>
          <cell r="H1899">
            <v>222</v>
          </cell>
          <cell r="I1899">
            <v>10</v>
          </cell>
          <cell r="J1899">
            <v>0</v>
          </cell>
          <cell r="K1899">
            <v>0</v>
          </cell>
          <cell r="L1899">
            <v>0.38</v>
          </cell>
          <cell r="M1899">
            <v>0</v>
          </cell>
          <cell r="N1899">
            <v>0</v>
          </cell>
          <cell r="O1899">
            <v>0</v>
          </cell>
          <cell r="P1899" t="str">
            <v>1010</v>
          </cell>
          <cell r="Q1899" t="str">
            <v>1010</v>
          </cell>
          <cell r="R1899">
            <v>0</v>
          </cell>
        </row>
        <row r="1900">
          <cell r="A1900" t="str">
            <v>Y016-026</v>
          </cell>
          <cell r="C1900" t="str">
            <v>Y016</v>
          </cell>
          <cell r="D1900">
            <v>0</v>
          </cell>
          <cell r="E1900" t="str">
            <v>POLY 饰条</v>
          </cell>
          <cell r="F1900" t="str">
            <v>628*15*6</v>
          </cell>
          <cell r="G1900">
            <v>628</v>
          </cell>
          <cell r="H1900">
            <v>15</v>
          </cell>
          <cell r="I1900">
            <v>6</v>
          </cell>
          <cell r="J1900">
            <v>0</v>
          </cell>
          <cell r="K1900">
            <v>0</v>
          </cell>
          <cell r="L1900">
            <v>0.3</v>
          </cell>
          <cell r="M1900">
            <v>0</v>
          </cell>
          <cell r="N1900">
            <v>0</v>
          </cell>
          <cell r="O1900">
            <v>0</v>
          </cell>
          <cell r="P1900" t="str">
            <v>1010</v>
          </cell>
          <cell r="Q1900" t="str">
            <v>1010</v>
          </cell>
          <cell r="R1900">
            <v>0</v>
          </cell>
        </row>
        <row r="1901">
          <cell r="A1901" t="str">
            <v>Y016-027</v>
          </cell>
          <cell r="C1901" t="str">
            <v>Y016</v>
          </cell>
          <cell r="D1901">
            <v>0</v>
          </cell>
          <cell r="E1901" t="str">
            <v>POLY 饰条</v>
          </cell>
          <cell r="F1901" t="str">
            <v>216*15*6</v>
          </cell>
          <cell r="G1901">
            <v>216</v>
          </cell>
          <cell r="H1901">
            <v>15</v>
          </cell>
          <cell r="I1901">
            <v>6</v>
          </cell>
          <cell r="J1901">
            <v>0</v>
          </cell>
          <cell r="K1901">
            <v>0</v>
          </cell>
          <cell r="L1901">
            <v>0.12</v>
          </cell>
          <cell r="M1901">
            <v>0</v>
          </cell>
          <cell r="N1901">
            <v>0</v>
          </cell>
          <cell r="O1901">
            <v>0</v>
          </cell>
          <cell r="P1901" t="str">
            <v>1010</v>
          </cell>
          <cell r="Q1901" t="str">
            <v>1010</v>
          </cell>
          <cell r="R1901">
            <v>0</v>
          </cell>
        </row>
        <row r="1902">
          <cell r="A1902" t="str">
            <v>Y016-028</v>
          </cell>
          <cell r="C1902" t="str">
            <v>Y016</v>
          </cell>
          <cell r="D1902">
            <v>0</v>
          </cell>
          <cell r="E1902" t="str">
            <v>POLY 饰条-城牆</v>
          </cell>
          <cell r="F1902" t="str">
            <v>193*12*8</v>
          </cell>
          <cell r="G1902">
            <v>193</v>
          </cell>
          <cell r="H1902">
            <v>12</v>
          </cell>
          <cell r="I1902">
            <v>8</v>
          </cell>
          <cell r="J1902">
            <v>0</v>
          </cell>
          <cell r="K1902">
            <v>0</v>
          </cell>
          <cell r="L1902">
            <v>0.12</v>
          </cell>
          <cell r="M1902">
            <v>0</v>
          </cell>
          <cell r="N1902">
            <v>0</v>
          </cell>
          <cell r="O1902">
            <v>0</v>
          </cell>
          <cell r="P1902" t="str">
            <v>1010</v>
          </cell>
          <cell r="Q1902" t="str">
            <v>1010</v>
          </cell>
          <cell r="R1902" t="e">
            <v>#DIV/0!</v>
          </cell>
        </row>
        <row r="1903">
          <cell r="A1903" t="str">
            <v>Y016-029</v>
          </cell>
          <cell r="C1903" t="str">
            <v>Y016</v>
          </cell>
          <cell r="D1903">
            <v>0</v>
          </cell>
          <cell r="E1903" t="str">
            <v>POLY 饰条-城牆</v>
          </cell>
          <cell r="F1903" t="str">
            <v>242*12*8</v>
          </cell>
          <cell r="G1903">
            <v>242</v>
          </cell>
          <cell r="H1903">
            <v>12</v>
          </cell>
          <cell r="I1903">
            <v>8</v>
          </cell>
          <cell r="J1903">
            <v>0</v>
          </cell>
          <cell r="K1903">
            <v>0</v>
          </cell>
          <cell r="L1903">
            <v>0.13</v>
          </cell>
          <cell r="M1903">
            <v>0</v>
          </cell>
          <cell r="N1903">
            <v>0</v>
          </cell>
          <cell r="O1903">
            <v>0</v>
          </cell>
          <cell r="P1903" t="str">
            <v>1010</v>
          </cell>
          <cell r="Q1903" t="str">
            <v>1010</v>
          </cell>
          <cell r="R1903" t="e">
            <v>#DIV/0!</v>
          </cell>
        </row>
        <row r="1904">
          <cell r="A1904" t="str">
            <v>Y016-030</v>
          </cell>
          <cell r="C1904" t="str">
            <v>Y016</v>
          </cell>
          <cell r="D1904">
            <v>0</v>
          </cell>
          <cell r="E1904" t="str">
            <v>POLY 饰条</v>
          </cell>
          <cell r="F1904" t="str">
            <v>1600*10*5</v>
          </cell>
          <cell r="G1904">
            <v>1600</v>
          </cell>
          <cell r="H1904">
            <v>10</v>
          </cell>
          <cell r="I1904">
            <v>5</v>
          </cell>
          <cell r="J1904">
            <v>0</v>
          </cell>
          <cell r="K1904">
            <v>0</v>
          </cell>
          <cell r="L1904">
            <v>0.47</v>
          </cell>
          <cell r="M1904">
            <v>0</v>
          </cell>
          <cell r="N1904">
            <v>0</v>
          </cell>
          <cell r="O1904">
            <v>0</v>
          </cell>
          <cell r="P1904" t="str">
            <v>1010</v>
          </cell>
          <cell r="Q1904" t="str">
            <v>1010</v>
          </cell>
          <cell r="R1904" t="e">
            <v>#DIV/0!</v>
          </cell>
        </row>
        <row r="1905">
          <cell r="A1905" t="str">
            <v>Y016-031</v>
          </cell>
          <cell r="C1905" t="str">
            <v>Y016</v>
          </cell>
          <cell r="D1905" t="str">
            <v>15A7048</v>
          </cell>
          <cell r="E1905" t="str">
            <v>顶冠</v>
          </cell>
          <cell r="F1905" t="str">
            <v>560*110*34</v>
          </cell>
          <cell r="G1905">
            <v>560</v>
          </cell>
          <cell r="H1905">
            <v>110</v>
          </cell>
          <cell r="I1905">
            <v>34</v>
          </cell>
          <cell r="J1905">
            <v>0</v>
          </cell>
          <cell r="K1905">
            <v>0</v>
          </cell>
          <cell r="L1905">
            <v>1.6</v>
          </cell>
          <cell r="M1905">
            <v>0</v>
          </cell>
          <cell r="N1905">
            <v>0</v>
          </cell>
          <cell r="O1905">
            <v>0</v>
          </cell>
          <cell r="P1905" t="str">
            <v>1010</v>
          </cell>
          <cell r="Q1905" t="str">
            <v>1010</v>
          </cell>
          <cell r="R1905" t="e">
            <v>#DIV/0!</v>
          </cell>
        </row>
        <row r="1906">
          <cell r="A1906" t="str">
            <v>Y016-032</v>
          </cell>
          <cell r="C1906" t="str">
            <v>Y016</v>
          </cell>
          <cell r="D1906" t="str">
            <v>B 565</v>
          </cell>
          <cell r="E1906" t="str">
            <v>顶冠</v>
          </cell>
          <cell r="F1906" t="str">
            <v>362*60*6.5</v>
          </cell>
          <cell r="G1906">
            <v>362</v>
          </cell>
          <cell r="H1906">
            <v>60</v>
          </cell>
          <cell r="I1906">
            <v>6.5</v>
          </cell>
          <cell r="J1906">
            <v>0</v>
          </cell>
          <cell r="K1906">
            <v>0</v>
          </cell>
          <cell r="L1906">
            <v>0.19</v>
          </cell>
          <cell r="M1906">
            <v>0</v>
          </cell>
          <cell r="N1906">
            <v>0</v>
          </cell>
          <cell r="O1906">
            <v>0</v>
          </cell>
          <cell r="P1906" t="str">
            <v>1010</v>
          </cell>
          <cell r="Q1906" t="str">
            <v>1010</v>
          </cell>
          <cell r="R1906" t="e">
            <v>#DIV/0!</v>
          </cell>
        </row>
        <row r="1907">
          <cell r="A1907" t="str">
            <v>Y016-033</v>
          </cell>
          <cell r="B1907">
            <v>0</v>
          </cell>
          <cell r="C1907" t="str">
            <v>Y016</v>
          </cell>
          <cell r="D1907" t="str">
            <v>Poly 条 0146</v>
          </cell>
          <cell r="E1907">
            <v>0</v>
          </cell>
          <cell r="F1907" t="str">
            <v>1550*6*3</v>
          </cell>
          <cell r="G1907">
            <v>1550</v>
          </cell>
          <cell r="H1907">
            <v>6</v>
          </cell>
          <cell r="I1907">
            <v>3</v>
          </cell>
          <cell r="J1907">
            <v>70</v>
          </cell>
          <cell r="K1907">
            <v>0</v>
          </cell>
          <cell r="L1907">
            <v>0.25</v>
          </cell>
          <cell r="M1907">
            <v>0</v>
          </cell>
          <cell r="N1907">
            <v>0</v>
          </cell>
          <cell r="O1907">
            <v>0</v>
          </cell>
          <cell r="P1907" t="str">
            <v>1010</v>
          </cell>
          <cell r="Q1907" t="str">
            <v>1010</v>
          </cell>
          <cell r="R1907">
            <v>3.5714285714285712</v>
          </cell>
          <cell r="S1907">
            <v>0</v>
          </cell>
        </row>
        <row r="1908">
          <cell r="A1908" t="str">
            <v>Y016-034</v>
          </cell>
          <cell r="B1908">
            <v>0</v>
          </cell>
          <cell r="C1908" t="str">
            <v>Y016</v>
          </cell>
          <cell r="D1908" t="str">
            <v>Poly 条 0546</v>
          </cell>
          <cell r="E1908">
            <v>0</v>
          </cell>
          <cell r="F1908" t="str">
            <v>1400*6*3</v>
          </cell>
          <cell r="G1908">
            <v>1400</v>
          </cell>
          <cell r="H1908">
            <v>6</v>
          </cell>
          <cell r="I1908">
            <v>3</v>
          </cell>
          <cell r="J1908">
            <v>63</v>
          </cell>
          <cell r="K1908">
            <v>0</v>
          </cell>
          <cell r="L1908">
            <v>0.23</v>
          </cell>
          <cell r="M1908">
            <v>0</v>
          </cell>
          <cell r="N1908">
            <v>0</v>
          </cell>
          <cell r="O1908">
            <v>0</v>
          </cell>
          <cell r="P1908" t="str">
            <v>1010</v>
          </cell>
          <cell r="Q1908" t="str">
            <v>1010</v>
          </cell>
          <cell r="R1908">
            <v>3.6507936507936511</v>
          </cell>
          <cell r="S1908">
            <v>0</v>
          </cell>
        </row>
        <row r="1909">
          <cell r="A1909" t="str">
            <v>Y016-035</v>
          </cell>
          <cell r="B1909">
            <v>0</v>
          </cell>
          <cell r="C1909" t="str">
            <v>Y016</v>
          </cell>
          <cell r="D1909" t="str">
            <v>Poly 条 0146</v>
          </cell>
          <cell r="E1909">
            <v>0</v>
          </cell>
          <cell r="F1909" t="str">
            <v>1550**8*4</v>
          </cell>
          <cell r="G1909">
            <v>1550</v>
          </cell>
          <cell r="H1909">
            <v>8</v>
          </cell>
          <cell r="I1909">
            <v>4</v>
          </cell>
          <cell r="J1909">
            <v>94</v>
          </cell>
          <cell r="K1909">
            <v>0</v>
          </cell>
          <cell r="L1909">
            <v>0.27</v>
          </cell>
          <cell r="M1909">
            <v>0</v>
          </cell>
          <cell r="N1909">
            <v>0</v>
          </cell>
          <cell r="O1909">
            <v>0</v>
          </cell>
          <cell r="P1909" t="str">
            <v>1010</v>
          </cell>
          <cell r="Q1909" t="str">
            <v>1010</v>
          </cell>
          <cell r="R1909">
            <v>2.8723404255319149</v>
          </cell>
          <cell r="S1909">
            <v>0</v>
          </cell>
        </row>
        <row r="1910">
          <cell r="A1910" t="str">
            <v>Y016-036</v>
          </cell>
          <cell r="B1910">
            <v>0</v>
          </cell>
          <cell r="C1910" t="str">
            <v>Y016</v>
          </cell>
          <cell r="D1910">
            <v>0</v>
          </cell>
          <cell r="E1910" t="str">
            <v>POLY 饰条-城牆</v>
          </cell>
          <cell r="F1910" t="str">
            <v>216*12*8</v>
          </cell>
          <cell r="G1910">
            <v>216</v>
          </cell>
          <cell r="H1910">
            <v>12</v>
          </cell>
          <cell r="I1910">
            <v>8</v>
          </cell>
          <cell r="J1910">
            <v>41</v>
          </cell>
          <cell r="K1910" t="str">
            <v>未確認</v>
          </cell>
          <cell r="L1910">
            <v>0.127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 t="str">
            <v>1010</v>
          </cell>
          <cell r="R1910">
            <v>3.0975609756097562</v>
          </cell>
          <cell r="S1910">
            <v>0</v>
          </cell>
        </row>
        <row r="1911">
          <cell r="A1911" t="str">
            <v>Y016-037</v>
          </cell>
          <cell r="B1911" t="str">
            <v>Y067</v>
          </cell>
          <cell r="C1911" t="str">
            <v>Y016</v>
          </cell>
          <cell r="D1911">
            <v>0</v>
          </cell>
          <cell r="E1911" t="str">
            <v>腳柱</v>
          </cell>
          <cell r="F1911">
            <v>0</v>
          </cell>
          <cell r="G1911">
            <v>416</v>
          </cell>
          <cell r="H1911">
            <v>50</v>
          </cell>
          <cell r="I1911">
            <v>50</v>
          </cell>
          <cell r="J1911">
            <v>0</v>
          </cell>
          <cell r="K1911">
            <v>0</v>
          </cell>
          <cell r="L1911">
            <v>1.25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</row>
        <row r="1912">
          <cell r="A1912" t="str">
            <v>Y016-038</v>
          </cell>
          <cell r="B1912">
            <v>0</v>
          </cell>
          <cell r="C1912" t="str">
            <v>Y016</v>
          </cell>
          <cell r="D1912" t="str">
            <v>#980847</v>
          </cell>
          <cell r="E1912" t="str">
            <v>脚柱（桌子后脚）chân sau(1 học 镜片槽一边）</v>
          </cell>
          <cell r="F1912" t="str">
            <v>775*63*63</v>
          </cell>
          <cell r="G1912">
            <v>775</v>
          </cell>
          <cell r="H1912">
            <v>63</v>
          </cell>
          <cell r="I1912">
            <v>63</v>
          </cell>
          <cell r="J1912">
            <v>0</v>
          </cell>
          <cell r="K1912">
            <v>0</v>
          </cell>
          <cell r="L1912">
            <v>3.3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</row>
        <row r="1913">
          <cell r="A1913" t="str">
            <v>Y016-039</v>
          </cell>
          <cell r="B1913">
            <v>0</v>
          </cell>
          <cell r="C1913" t="str">
            <v>Y016</v>
          </cell>
          <cell r="D1913" t="str">
            <v>#980847</v>
          </cell>
          <cell r="E1913" t="str">
            <v>脚柱（椅子）chân tủ</v>
          </cell>
          <cell r="F1913" t="str">
            <v>416*50*50</v>
          </cell>
          <cell r="G1913">
            <v>416</v>
          </cell>
          <cell r="H1913">
            <v>50</v>
          </cell>
          <cell r="I1913">
            <v>50</v>
          </cell>
          <cell r="J1913">
            <v>0</v>
          </cell>
          <cell r="K1913">
            <v>0</v>
          </cell>
          <cell r="L1913">
            <v>1.25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</row>
        <row r="1914">
          <cell r="A1914" t="str">
            <v>Y016-040</v>
          </cell>
          <cell r="B1914">
            <v>0</v>
          </cell>
          <cell r="C1914" t="str">
            <v>Y016</v>
          </cell>
          <cell r="D1914" t="str">
            <v>#580467</v>
          </cell>
          <cell r="E1914" t="str">
            <v xml:space="preserve">脚柱（桌脚前脚）chân trước </v>
          </cell>
          <cell r="F1914" t="str">
            <v>775*65*65</v>
          </cell>
          <cell r="G1914">
            <v>775</v>
          </cell>
          <cell r="H1914">
            <v>65</v>
          </cell>
          <cell r="I1914">
            <v>65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</row>
        <row r="1915">
          <cell r="A1915" t="str">
            <v>Y016-041</v>
          </cell>
          <cell r="B1915">
            <v>0</v>
          </cell>
          <cell r="C1915" t="str">
            <v>Y016</v>
          </cell>
          <cell r="D1915" t="str">
            <v>#580467</v>
          </cell>
          <cell r="E1915" t="str">
            <v>脚柱（桌脚后脚 左/右）chân sau trái/phải</v>
          </cell>
          <cell r="F1915" t="str">
            <v>775*65*65</v>
          </cell>
          <cell r="G1915">
            <v>775</v>
          </cell>
          <cell r="H1915">
            <v>65</v>
          </cell>
          <cell r="I1915">
            <v>65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</row>
        <row r="1916">
          <cell r="A1916" t="str">
            <v>Y016-042</v>
          </cell>
          <cell r="B1916">
            <v>0</v>
          </cell>
          <cell r="C1916" t="str">
            <v>Y016</v>
          </cell>
          <cell r="D1916" t="str">
            <v>#580467</v>
          </cell>
          <cell r="E1916" t="str">
            <v>脚柱（桌脚后脚 左）chân sau trái</v>
          </cell>
          <cell r="F1916" t="str">
            <v>775*65*65</v>
          </cell>
          <cell r="G1916">
            <v>775</v>
          </cell>
          <cell r="H1916">
            <v>65</v>
          </cell>
          <cell r="I1916">
            <v>65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</row>
        <row r="1917">
          <cell r="A1917" t="str">
            <v>Y016-043</v>
          </cell>
          <cell r="B1917">
            <v>0</v>
          </cell>
          <cell r="C1917" t="str">
            <v>Y016</v>
          </cell>
          <cell r="D1917" t="str">
            <v>#349-15GA</v>
          </cell>
          <cell r="E1917" t="str">
            <v>脚柱（椅子）</v>
          </cell>
          <cell r="F1917" t="str">
            <v>411*49*49</v>
          </cell>
          <cell r="G1917">
            <v>411</v>
          </cell>
          <cell r="H1917">
            <v>49</v>
          </cell>
          <cell r="I1917">
            <v>49</v>
          </cell>
          <cell r="J1917">
            <v>0</v>
          </cell>
          <cell r="K1917">
            <v>0</v>
          </cell>
          <cell r="L1917">
            <v>0.89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</row>
        <row r="1918">
          <cell r="A1918" t="str">
            <v>Y016-044</v>
          </cell>
          <cell r="B1918">
            <v>0</v>
          </cell>
          <cell r="C1918" t="str">
            <v>Y016</v>
          </cell>
          <cell r="D1918">
            <v>0</v>
          </cell>
          <cell r="E1918" t="str">
            <v>BI LỚN</v>
          </cell>
          <cell r="F1918" t="str">
            <v>102*Ø*102</v>
          </cell>
          <cell r="G1918">
            <v>102</v>
          </cell>
          <cell r="H1918" t="str">
            <v>Ø</v>
          </cell>
          <cell r="I1918">
            <v>102</v>
          </cell>
          <cell r="J1918">
            <v>0</v>
          </cell>
          <cell r="K1918">
            <v>0</v>
          </cell>
          <cell r="L1918">
            <v>2.21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43312</v>
          </cell>
          <cell r="T1918">
            <v>0</v>
          </cell>
        </row>
        <row r="1919">
          <cell r="A1919" t="str">
            <v>Y016-045</v>
          </cell>
          <cell r="B1919">
            <v>0</v>
          </cell>
          <cell r="C1919" t="str">
            <v>Y016</v>
          </cell>
          <cell r="D1919">
            <v>0</v>
          </cell>
          <cell r="E1919" t="str">
            <v xml:space="preserve">BI GIỮA </v>
          </cell>
          <cell r="F1919" t="str">
            <v>49*Ø*49</v>
          </cell>
          <cell r="G1919">
            <v>49</v>
          </cell>
          <cell r="H1919" t="str">
            <v>Ø</v>
          </cell>
          <cell r="I1919">
            <v>49</v>
          </cell>
          <cell r="J1919">
            <v>0</v>
          </cell>
          <cell r="K1919">
            <v>0</v>
          </cell>
          <cell r="L1919">
            <v>0.95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43312</v>
          </cell>
          <cell r="T1919">
            <v>0</v>
          </cell>
        </row>
        <row r="1920">
          <cell r="A1920" t="str">
            <v>Y016-046</v>
          </cell>
          <cell r="B1920">
            <v>0</v>
          </cell>
          <cell r="C1920" t="str">
            <v>Y016</v>
          </cell>
          <cell r="D1920">
            <v>0</v>
          </cell>
          <cell r="E1920" t="str">
            <v>BI NHỎ</v>
          </cell>
          <cell r="F1920" t="str">
            <v>130*130*97</v>
          </cell>
          <cell r="G1920">
            <v>130</v>
          </cell>
          <cell r="H1920">
            <v>130</v>
          </cell>
          <cell r="I1920">
            <v>97</v>
          </cell>
          <cell r="J1920">
            <v>0</v>
          </cell>
          <cell r="K1920">
            <v>0</v>
          </cell>
          <cell r="L1920">
            <v>2.37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43312</v>
          </cell>
          <cell r="T1920">
            <v>0</v>
          </cell>
        </row>
        <row r="1921">
          <cell r="A1921" t="str">
            <v>Y016-047</v>
          </cell>
          <cell r="B1921">
            <v>0</v>
          </cell>
          <cell r="C1921" t="str">
            <v>Y016</v>
          </cell>
          <cell r="D1921" t="str">
            <v>981036 抽屉桦框</v>
          </cell>
          <cell r="E1921" t="str">
            <v>khung hoa</v>
          </cell>
          <cell r="F1921" t="str">
            <v>540*97*5</v>
          </cell>
          <cell r="G1921">
            <v>540</v>
          </cell>
          <cell r="H1921">
            <v>97</v>
          </cell>
          <cell r="I1921">
            <v>5</v>
          </cell>
          <cell r="J1921">
            <v>0</v>
          </cell>
          <cell r="K1921">
            <v>0</v>
          </cell>
          <cell r="L1921">
            <v>0.42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</row>
        <row r="1922">
          <cell r="A1922" t="str">
            <v>Y016-048</v>
          </cell>
          <cell r="B1922">
            <v>0</v>
          </cell>
          <cell r="C1922" t="str">
            <v>Y016</v>
          </cell>
          <cell r="D1922">
            <v>0</v>
          </cell>
          <cell r="E1922" t="str">
            <v>POLY TRÒN</v>
          </cell>
          <cell r="F1922" t="str">
            <v>36*Ø*5</v>
          </cell>
          <cell r="G1922">
            <v>36</v>
          </cell>
          <cell r="H1922" t="str">
            <v>Ø</v>
          </cell>
          <cell r="I1922">
            <v>5</v>
          </cell>
          <cell r="J1922">
            <v>0</v>
          </cell>
          <cell r="K1922">
            <v>0</v>
          </cell>
          <cell r="L1922">
            <v>0.05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</row>
        <row r="1923">
          <cell r="A1923" t="str">
            <v>Y017-001</v>
          </cell>
          <cell r="B1923" t="str">
            <v>LCT077-062</v>
          </cell>
          <cell r="C1923" t="str">
            <v>Y017</v>
          </cell>
          <cell r="D1923" t="str">
            <v>RH195-01H</v>
          </cell>
          <cell r="E1923" t="str">
            <v>床头床尾上横</v>
          </cell>
          <cell r="F1923" t="str">
            <v>808*51*60</v>
          </cell>
          <cell r="G1923">
            <v>808</v>
          </cell>
          <cell r="H1923">
            <v>51</v>
          </cell>
          <cell r="I1923">
            <v>60</v>
          </cell>
          <cell r="J1923">
            <v>2550</v>
          </cell>
          <cell r="K1923" t="str">
            <v>12月6.3</v>
          </cell>
          <cell r="L1923">
            <v>6.3</v>
          </cell>
          <cell r="M1923">
            <v>0</v>
          </cell>
          <cell r="N1923">
            <v>350</v>
          </cell>
          <cell r="O1923" t="str">
            <v>T</v>
          </cell>
          <cell r="P1923" t="str">
            <v>1910</v>
          </cell>
          <cell r="Q1923" t="str">
            <v>1910</v>
          </cell>
          <cell r="R1923">
            <v>2.4705882352941178</v>
          </cell>
          <cell r="S1923">
            <v>0</v>
          </cell>
        </row>
        <row r="1924">
          <cell r="A1924" t="str">
            <v>Y018-001</v>
          </cell>
          <cell r="B1924" t="str">
            <v>LCT098-070</v>
          </cell>
          <cell r="C1924" t="str">
            <v>Y018</v>
          </cell>
          <cell r="D1924" t="str">
            <v>HC-7096</v>
          </cell>
          <cell r="E1924" t="str">
            <v>chaïm boâng luùa döông xæ trung</v>
          </cell>
          <cell r="F1924" t="str">
            <v>215*56*13</v>
          </cell>
          <cell r="G1924">
            <v>215</v>
          </cell>
          <cell r="H1924">
            <v>56</v>
          </cell>
          <cell r="I1924">
            <v>13</v>
          </cell>
          <cell r="J1924">
            <v>100</v>
          </cell>
          <cell r="K1924">
            <v>0</v>
          </cell>
          <cell r="L1924">
            <v>0.32</v>
          </cell>
          <cell r="M1924">
            <v>0</v>
          </cell>
          <cell r="N1924">
            <v>0</v>
          </cell>
          <cell r="O1924" t="str">
            <v>40V</v>
          </cell>
          <cell r="P1924" t="str">
            <v>1010</v>
          </cell>
          <cell r="Q1924" t="str">
            <v>1010</v>
          </cell>
          <cell r="R1924">
            <v>3.1999999999999997</v>
          </cell>
        </row>
        <row r="1925">
          <cell r="A1925" t="str">
            <v>Y018-002</v>
          </cell>
          <cell r="B1925" t="str">
            <v>LCT098-082</v>
          </cell>
          <cell r="C1925" t="str">
            <v>Y018</v>
          </cell>
          <cell r="D1925">
            <v>0</v>
          </cell>
          <cell r="E1925" t="str">
            <v>khung göông môùi</v>
          </cell>
          <cell r="F1925" t="str">
            <v>1150*730*50</v>
          </cell>
          <cell r="G1925">
            <v>1150</v>
          </cell>
          <cell r="H1925">
            <v>730</v>
          </cell>
          <cell r="I1925">
            <v>50</v>
          </cell>
          <cell r="J1925">
            <v>0</v>
          </cell>
          <cell r="K1925">
            <v>0</v>
          </cell>
          <cell r="L1925">
            <v>29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 t="e">
            <v>#DIV/0!</v>
          </cell>
        </row>
        <row r="1926">
          <cell r="A1926" t="str">
            <v>Y018-003</v>
          </cell>
          <cell r="B1926" t="str">
            <v>LCT098-108</v>
          </cell>
          <cell r="C1926" t="str">
            <v>Y018</v>
          </cell>
          <cell r="D1926">
            <v>0</v>
          </cell>
          <cell r="E1926" t="str">
            <v xml:space="preserve">mão chạm tủ ly thái lan </v>
          </cell>
          <cell r="F1926" t="str">
            <v>650*260*45</v>
          </cell>
          <cell r="G1926">
            <v>650</v>
          </cell>
          <cell r="H1926">
            <v>260</v>
          </cell>
          <cell r="I1926">
            <v>45</v>
          </cell>
          <cell r="J1926">
            <v>3750</v>
          </cell>
          <cell r="K1926">
            <v>0</v>
          </cell>
          <cell r="L1926">
            <v>19.8</v>
          </cell>
          <cell r="M1926">
            <v>0</v>
          </cell>
          <cell r="N1926">
            <v>250</v>
          </cell>
          <cell r="O1926" t="str">
            <v>40V</v>
          </cell>
          <cell r="P1926" t="str">
            <v>3710</v>
          </cell>
          <cell r="Q1926" t="str">
            <v>3710</v>
          </cell>
          <cell r="R1926">
            <v>5.28</v>
          </cell>
        </row>
        <row r="1927">
          <cell r="A1927" t="str">
            <v>Y018-004</v>
          </cell>
          <cell r="B1927" t="str">
            <v>LCT098-109</v>
          </cell>
          <cell r="C1927" t="str">
            <v>Y018</v>
          </cell>
          <cell r="D1927">
            <v>0</v>
          </cell>
          <cell r="E1927" t="str">
            <v xml:space="preserve">chạm diềm trái tủ thái lan </v>
          </cell>
          <cell r="F1927" t="str">
            <v>405*90*21</v>
          </cell>
          <cell r="G1927">
            <v>405</v>
          </cell>
          <cell r="H1927">
            <v>90</v>
          </cell>
          <cell r="I1927">
            <v>21</v>
          </cell>
          <cell r="J1927">
            <v>840</v>
          </cell>
          <cell r="K1927">
            <v>0</v>
          </cell>
          <cell r="L1927">
            <v>4.5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5.3571428571428577</v>
          </cell>
        </row>
        <row r="1928">
          <cell r="A1928" t="str">
            <v>Y018-005</v>
          </cell>
          <cell r="B1928" t="str">
            <v>LCT098-110</v>
          </cell>
          <cell r="C1928" t="str">
            <v>Y018</v>
          </cell>
          <cell r="D1928">
            <v>0</v>
          </cell>
          <cell r="E1928" t="str">
            <v xml:space="preserve">chạm diềm phải tủ thái lan </v>
          </cell>
          <cell r="F1928" t="str">
            <v>405*90*21</v>
          </cell>
          <cell r="G1928">
            <v>405</v>
          </cell>
          <cell r="H1928">
            <v>90</v>
          </cell>
          <cell r="I1928">
            <v>21</v>
          </cell>
          <cell r="J1928">
            <v>840</v>
          </cell>
          <cell r="K1928">
            <v>0</v>
          </cell>
          <cell r="L1928">
            <v>4.5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5.3571428571428577</v>
          </cell>
        </row>
        <row r="1929">
          <cell r="A1929" t="str">
            <v>Y018-006</v>
          </cell>
          <cell r="B1929" t="str">
            <v>LCT098-111</v>
          </cell>
          <cell r="C1929" t="str">
            <v>Y018</v>
          </cell>
          <cell r="D1929">
            <v>0</v>
          </cell>
          <cell r="E1929" t="str">
            <v xml:space="preserve">chạm cánh cửa lớn tủ thái lan </v>
          </cell>
          <cell r="F1929" t="str">
            <v>415*120*33</v>
          </cell>
          <cell r="G1929">
            <v>415</v>
          </cell>
          <cell r="H1929">
            <v>120</v>
          </cell>
          <cell r="I1929">
            <v>33</v>
          </cell>
          <cell r="J1929">
            <v>800</v>
          </cell>
          <cell r="K1929">
            <v>0</v>
          </cell>
          <cell r="L1929">
            <v>4.4000000000000004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5.5</v>
          </cell>
        </row>
        <row r="1930">
          <cell r="A1930" t="str">
            <v>Y018-007</v>
          </cell>
          <cell r="B1930" t="str">
            <v>LCT098-112</v>
          </cell>
          <cell r="C1930" t="str">
            <v>Y018</v>
          </cell>
          <cell r="D1930">
            <v>0</v>
          </cell>
          <cell r="E1930" t="str">
            <v xml:space="preserve">chạm cánh cửa nhỏ tủ thái lan </v>
          </cell>
          <cell r="F1930" t="str">
            <v>390*70*30</v>
          </cell>
          <cell r="G1930">
            <v>390</v>
          </cell>
          <cell r="H1930">
            <v>70</v>
          </cell>
          <cell r="I1930">
            <v>30</v>
          </cell>
          <cell r="J1930">
            <v>1550</v>
          </cell>
          <cell r="K1930">
            <v>0</v>
          </cell>
          <cell r="L1930">
            <v>3.1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2</v>
          </cell>
        </row>
        <row r="1931">
          <cell r="A1931" t="str">
            <v>Y018-008</v>
          </cell>
          <cell r="B1931" t="str">
            <v>LCT098-113</v>
          </cell>
          <cell r="C1931" t="str">
            <v>Y018</v>
          </cell>
          <cell r="D1931">
            <v>0</v>
          </cell>
          <cell r="E1931" t="str">
            <v xml:space="preserve">chạm hộc kéo tủ thái lan </v>
          </cell>
          <cell r="F1931" t="str">
            <v>355*230*13</v>
          </cell>
          <cell r="G1931">
            <v>355</v>
          </cell>
          <cell r="H1931">
            <v>230</v>
          </cell>
          <cell r="I1931">
            <v>13</v>
          </cell>
          <cell r="J1931">
            <v>490</v>
          </cell>
          <cell r="K1931">
            <v>0</v>
          </cell>
          <cell r="L1931">
            <v>2.75</v>
          </cell>
          <cell r="M1931">
            <v>0</v>
          </cell>
          <cell r="N1931">
            <v>0</v>
          </cell>
          <cell r="O1931" t="str">
            <v>40V</v>
          </cell>
          <cell r="P1931" t="str">
            <v>1010</v>
          </cell>
          <cell r="Q1931" t="str">
            <v>1010</v>
          </cell>
          <cell r="R1931">
            <v>5.6122448979591839</v>
          </cell>
        </row>
        <row r="1932">
          <cell r="A1932" t="str">
            <v>Y018-009</v>
          </cell>
          <cell r="B1932" t="str">
            <v>LCT098-114</v>
          </cell>
          <cell r="C1932" t="str">
            <v>Y018</v>
          </cell>
          <cell r="D1932">
            <v>0</v>
          </cell>
          <cell r="E1932" t="str">
            <v>chạm cột tủ thái lan</v>
          </cell>
          <cell r="F1932" t="str">
            <v>126*55*55</v>
          </cell>
          <cell r="G1932">
            <v>126</v>
          </cell>
          <cell r="H1932">
            <v>55</v>
          </cell>
          <cell r="I1932">
            <v>55</v>
          </cell>
          <cell r="J1932">
            <v>80</v>
          </cell>
          <cell r="K1932">
            <v>0</v>
          </cell>
          <cell r="L1932">
            <v>0.61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7.625</v>
          </cell>
        </row>
        <row r="1933">
          <cell r="A1933" t="str">
            <v>Y018-010</v>
          </cell>
          <cell r="B1933" t="str">
            <v>LCT098-122</v>
          </cell>
          <cell r="C1933" t="str">
            <v>Y018</v>
          </cell>
          <cell r="D1933">
            <v>0</v>
          </cell>
          <cell r="E1933" t="str">
            <v>cham hoc keo hong tu thai lan</v>
          </cell>
          <cell r="F1933" t="str">
            <v>220*125*13</v>
          </cell>
          <cell r="G1933">
            <v>220</v>
          </cell>
          <cell r="H1933">
            <v>125</v>
          </cell>
          <cell r="I1933">
            <v>13</v>
          </cell>
          <cell r="J1933">
            <v>0</v>
          </cell>
          <cell r="K1933">
            <v>0</v>
          </cell>
          <cell r="L1933">
            <v>0.6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 t="e">
            <v>#DIV/0!</v>
          </cell>
        </row>
        <row r="1934">
          <cell r="A1934" t="str">
            <v>Y018-011</v>
          </cell>
          <cell r="B1934" t="str">
            <v>LCT098-128</v>
          </cell>
          <cell r="C1934" t="str">
            <v>Y018</v>
          </cell>
          <cell r="D1934">
            <v>0</v>
          </cell>
          <cell r="E1934" t="str">
            <v>mão chạm ghế salon</v>
          </cell>
          <cell r="F1934" t="str">
            <v>590*195*55</v>
          </cell>
          <cell r="G1934">
            <v>590</v>
          </cell>
          <cell r="H1934">
            <v>195</v>
          </cell>
          <cell r="I1934">
            <v>55</v>
          </cell>
          <cell r="J1934">
            <v>2420</v>
          </cell>
          <cell r="K1934">
            <v>0</v>
          </cell>
          <cell r="L1934">
            <v>8.9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3.6776859504132235</v>
          </cell>
        </row>
        <row r="1935">
          <cell r="A1935" t="str">
            <v>Y018-012</v>
          </cell>
          <cell r="B1935" t="str">
            <v>LCT098-129</v>
          </cell>
          <cell r="C1935" t="str">
            <v>Y018</v>
          </cell>
          <cell r="D1935">
            <v>0</v>
          </cell>
          <cell r="E1935" t="str">
            <v>Khung gương kiểu mới</v>
          </cell>
          <cell r="F1935" t="str">
            <v>1180*770*42</v>
          </cell>
          <cell r="G1935">
            <v>1180</v>
          </cell>
          <cell r="H1935">
            <v>770</v>
          </cell>
          <cell r="I1935">
            <v>42</v>
          </cell>
          <cell r="J1935">
            <v>0</v>
          </cell>
          <cell r="K1935">
            <v>0</v>
          </cell>
          <cell r="L1935">
            <v>35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 t="e">
            <v>#DIV/0!</v>
          </cell>
        </row>
        <row r="1936">
          <cell r="A1936" t="str">
            <v>Y018-013</v>
          </cell>
          <cell r="B1936" t="str">
            <v>LCT098-002</v>
          </cell>
          <cell r="C1936" t="str">
            <v>Y018</v>
          </cell>
          <cell r="D1936" t="str">
            <v>C-160</v>
          </cell>
          <cell r="E1936" t="str">
            <v xml:space="preserve">chỉ dây thừng </v>
          </cell>
          <cell r="F1936" t="str">
            <v>1000 x 16 x 8</v>
          </cell>
          <cell r="G1936">
            <v>1000</v>
          </cell>
          <cell r="H1936">
            <v>16</v>
          </cell>
          <cell r="I1936">
            <v>8</v>
          </cell>
          <cell r="J1936">
            <v>140</v>
          </cell>
          <cell r="K1936">
            <v>0</v>
          </cell>
          <cell r="L1936">
            <v>0.38</v>
          </cell>
          <cell r="M1936">
            <v>0</v>
          </cell>
          <cell r="N1936">
            <v>0</v>
          </cell>
          <cell r="O1936" t="str">
            <v>40V</v>
          </cell>
          <cell r="P1936" t="str">
            <v>1010</v>
          </cell>
          <cell r="Q1936" t="str">
            <v>1010</v>
          </cell>
          <cell r="R1936">
            <v>2.714285714285714</v>
          </cell>
        </row>
        <row r="1937">
          <cell r="A1937" t="str">
            <v>Y018-014</v>
          </cell>
          <cell r="B1937" t="str">
            <v>LCT098-003</v>
          </cell>
          <cell r="C1937" t="str">
            <v>Y018</v>
          </cell>
          <cell r="D1937">
            <v>0</v>
          </cell>
          <cell r="E1937" t="str">
            <v xml:space="preserve">chỉ hạt </v>
          </cell>
          <cell r="F1937" t="str">
            <v>1000 x 9 x 5</v>
          </cell>
          <cell r="G1937">
            <v>1000</v>
          </cell>
          <cell r="H1937">
            <v>9</v>
          </cell>
          <cell r="I1937">
            <v>5</v>
          </cell>
          <cell r="J1937">
            <v>50</v>
          </cell>
          <cell r="K1937">
            <v>0</v>
          </cell>
          <cell r="L1937">
            <v>0.18</v>
          </cell>
          <cell r="M1937">
            <v>0</v>
          </cell>
          <cell r="N1937">
            <v>0</v>
          </cell>
          <cell r="O1937" t="str">
            <v>40V</v>
          </cell>
          <cell r="P1937" t="str">
            <v>1010</v>
          </cell>
          <cell r="Q1937" t="str">
            <v>1010</v>
          </cell>
          <cell r="R1937">
            <v>3.5999999999999996</v>
          </cell>
        </row>
        <row r="1938">
          <cell r="A1938" t="str">
            <v>Y018-015</v>
          </cell>
          <cell r="B1938" t="str">
            <v>LCT098-127</v>
          </cell>
          <cell r="C1938" t="str">
            <v>Y018</v>
          </cell>
          <cell r="D1938">
            <v>0</v>
          </cell>
          <cell r="E1938" t="str">
            <v>dây chỉ thùng nhỏ</v>
          </cell>
          <cell r="F1938" t="str">
            <v>1000*10*5</v>
          </cell>
          <cell r="G1938">
            <v>1000</v>
          </cell>
          <cell r="H1938">
            <v>10</v>
          </cell>
          <cell r="I1938">
            <v>5</v>
          </cell>
          <cell r="J1938">
            <v>80</v>
          </cell>
          <cell r="K1938">
            <v>0</v>
          </cell>
          <cell r="L1938">
            <v>0.41</v>
          </cell>
          <cell r="M1938">
            <v>0</v>
          </cell>
          <cell r="N1938">
            <v>0</v>
          </cell>
          <cell r="O1938" t="str">
            <v>40V</v>
          </cell>
          <cell r="P1938" t="str">
            <v>1010</v>
          </cell>
          <cell r="Q1938" t="str">
            <v>1010</v>
          </cell>
          <cell r="R1938">
            <v>5.125</v>
          </cell>
        </row>
        <row r="1939">
          <cell r="A1939" t="str">
            <v>Y018-016</v>
          </cell>
          <cell r="B1939" t="str">
            <v>LCT098-135</v>
          </cell>
          <cell r="C1939" t="str">
            <v>Y018</v>
          </cell>
          <cell r="D1939">
            <v>0</v>
          </cell>
          <cell r="E1939" t="str">
            <v>Khung gương Roma</v>
          </cell>
          <cell r="F1939" t="str">
            <v>1485*880*50</v>
          </cell>
          <cell r="G1939">
            <v>1485</v>
          </cell>
          <cell r="H1939">
            <v>880</v>
          </cell>
          <cell r="I1939">
            <v>50</v>
          </cell>
          <cell r="J1939">
            <v>11500</v>
          </cell>
          <cell r="K1939">
            <v>0</v>
          </cell>
          <cell r="L1939">
            <v>37.5</v>
          </cell>
          <cell r="M1939">
            <v>0</v>
          </cell>
          <cell r="N1939">
            <v>0</v>
          </cell>
          <cell r="O1939">
            <v>0</v>
          </cell>
          <cell r="P1939" t="str">
            <v>5510</v>
          </cell>
          <cell r="Q1939">
            <v>0</v>
          </cell>
          <cell r="R1939">
            <v>3.2608695652173911</v>
          </cell>
        </row>
        <row r="1940">
          <cell r="A1940" t="str">
            <v>Y018-017</v>
          </cell>
          <cell r="B1940" t="str">
            <v>LCT098-136</v>
          </cell>
          <cell r="C1940" t="str">
            <v>Y018</v>
          </cell>
          <cell r="D1940">
            <v>0</v>
          </cell>
          <cell r="E1940" t="str">
            <v>Khung gương Venice</v>
          </cell>
          <cell r="F1940" t="str">
            <v>1220*820*38</v>
          </cell>
          <cell r="G1940">
            <v>1220</v>
          </cell>
          <cell r="H1940">
            <v>820</v>
          </cell>
          <cell r="I1940">
            <v>38</v>
          </cell>
          <cell r="J1940">
            <v>10000</v>
          </cell>
          <cell r="K1940">
            <v>0</v>
          </cell>
          <cell r="L1940">
            <v>32.5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3.25</v>
          </cell>
        </row>
        <row r="1941">
          <cell r="A1941" t="str">
            <v>Y018-018</v>
          </cell>
          <cell r="B1941" t="str">
            <v>LCT098-001</v>
          </cell>
          <cell r="C1941" t="str">
            <v>Y018</v>
          </cell>
          <cell r="D1941" t="str">
            <v>HC - 4002A</v>
          </cell>
          <cell r="E1941" t="str">
            <v>POLY 花</v>
          </cell>
          <cell r="F1941" t="str">
            <v>260*85*58</v>
          </cell>
          <cell r="G1941">
            <v>260</v>
          </cell>
          <cell r="H1941">
            <v>85</v>
          </cell>
          <cell r="I1941">
            <v>85</v>
          </cell>
          <cell r="J1941">
            <v>920</v>
          </cell>
          <cell r="K1941">
            <v>0</v>
          </cell>
          <cell r="L1941">
            <v>3.42</v>
          </cell>
          <cell r="M1941">
            <v>0</v>
          </cell>
          <cell r="N1941">
            <v>100</v>
          </cell>
          <cell r="O1941" t="str">
            <v>40V</v>
          </cell>
          <cell r="P1941" t="str">
            <v>1010</v>
          </cell>
          <cell r="Q1941" t="str">
            <v>1010</v>
          </cell>
          <cell r="R1941">
            <v>3.7173913043478257</v>
          </cell>
        </row>
        <row r="1942">
          <cell r="A1942" t="str">
            <v>Y018-019</v>
          </cell>
          <cell r="B1942" t="str">
            <v>LCT098-009</v>
          </cell>
          <cell r="C1942" t="str">
            <v>Y018</v>
          </cell>
          <cell r="D1942" t="str">
            <v>HC - 4002B</v>
          </cell>
          <cell r="E1942" t="str">
            <v>cột bông hồng trung</v>
          </cell>
          <cell r="F1942" t="str">
            <v>218 x 58 x 63</v>
          </cell>
          <cell r="G1942">
            <v>218</v>
          </cell>
          <cell r="H1942">
            <v>58</v>
          </cell>
          <cell r="I1942">
            <v>63</v>
          </cell>
          <cell r="J1942">
            <v>510</v>
          </cell>
          <cell r="K1942">
            <v>0</v>
          </cell>
          <cell r="L1942">
            <v>1.61</v>
          </cell>
          <cell r="M1942">
            <v>0</v>
          </cell>
          <cell r="N1942">
            <v>80</v>
          </cell>
          <cell r="O1942" t="str">
            <v>40V</v>
          </cell>
          <cell r="P1942" t="str">
            <v>1010</v>
          </cell>
          <cell r="Q1942" t="str">
            <v>1010</v>
          </cell>
          <cell r="R1942">
            <v>3.1568627450980395</v>
          </cell>
        </row>
        <row r="1943">
          <cell r="A1943" t="str">
            <v>Y018-020</v>
          </cell>
          <cell r="B1943" t="str">
            <v>LCT098-008</v>
          </cell>
          <cell r="C1943" t="str">
            <v>Y018</v>
          </cell>
          <cell r="D1943" t="str">
            <v>HC - 4021</v>
          </cell>
          <cell r="E1943" t="str">
            <v>cột chạm cổ tiểu</v>
          </cell>
          <cell r="F1943" t="str">
            <v>113 x 62 x 50</v>
          </cell>
          <cell r="G1943">
            <v>113</v>
          </cell>
          <cell r="H1943">
            <v>62</v>
          </cell>
          <cell r="I1943">
            <v>50</v>
          </cell>
          <cell r="J1943">
            <v>200</v>
          </cell>
          <cell r="K1943">
            <v>0</v>
          </cell>
          <cell r="L1943">
            <v>0.8</v>
          </cell>
          <cell r="M1943">
            <v>0</v>
          </cell>
          <cell r="N1943">
            <v>40</v>
          </cell>
          <cell r="O1943" t="str">
            <v>40V</v>
          </cell>
          <cell r="P1943" t="str">
            <v>1010</v>
          </cell>
          <cell r="Q1943" t="str">
            <v>1010</v>
          </cell>
          <cell r="R1943">
            <v>4</v>
          </cell>
        </row>
        <row r="1944">
          <cell r="A1944" t="str">
            <v>Y018-021</v>
          </cell>
          <cell r="B1944" t="str">
            <v>LCT098-014</v>
          </cell>
          <cell r="C1944" t="str">
            <v>Y018</v>
          </cell>
          <cell r="D1944" t="str">
            <v>0</v>
          </cell>
          <cell r="E1944" t="str">
            <v xml:space="preserve">chaïm hoa höôùng döông </v>
          </cell>
          <cell r="F1944" t="str">
            <v>275*275*30</v>
          </cell>
          <cell r="G1944">
            <v>275</v>
          </cell>
          <cell r="H1944">
            <v>275</v>
          </cell>
          <cell r="I1944">
            <v>30</v>
          </cell>
          <cell r="J1944">
            <v>985</v>
          </cell>
          <cell r="K1944">
            <v>0</v>
          </cell>
          <cell r="L1944">
            <v>2.7</v>
          </cell>
          <cell r="M1944">
            <v>0</v>
          </cell>
          <cell r="N1944">
            <v>0</v>
          </cell>
          <cell r="O1944" t="str">
            <v>40V</v>
          </cell>
          <cell r="P1944" t="str">
            <v>1010</v>
          </cell>
          <cell r="Q1944" t="str">
            <v>1010</v>
          </cell>
          <cell r="R1944">
            <v>2.7411167512690358</v>
          </cell>
        </row>
        <row r="1945">
          <cell r="A1945" t="str">
            <v>Y018-022</v>
          </cell>
          <cell r="B1945" t="str">
            <v>LCT098-115</v>
          </cell>
          <cell r="C1945" t="str">
            <v>Y018</v>
          </cell>
          <cell r="D1945">
            <v>0</v>
          </cell>
          <cell r="E1945" t="str">
            <v xml:space="preserve">chạm bông hồng cánh cửa tủ áo </v>
          </cell>
          <cell r="F1945" t="str">
            <v>270*250*50</v>
          </cell>
          <cell r="G1945">
            <v>270</v>
          </cell>
          <cell r="H1945">
            <v>250</v>
          </cell>
          <cell r="I1945">
            <v>50</v>
          </cell>
          <cell r="J1945">
            <v>920</v>
          </cell>
          <cell r="K1945">
            <v>0</v>
          </cell>
          <cell r="L1945">
            <v>0.51</v>
          </cell>
          <cell r="M1945">
            <v>0</v>
          </cell>
          <cell r="N1945">
            <v>0</v>
          </cell>
          <cell r="O1945" t="str">
            <v>40V</v>
          </cell>
          <cell r="P1945" t="str">
            <v>1010</v>
          </cell>
          <cell r="Q1945" t="str">
            <v>1010</v>
          </cell>
          <cell r="R1945">
            <v>0.55434782608695654</v>
          </cell>
        </row>
        <row r="1946">
          <cell r="A1946" t="str">
            <v>Y018-023</v>
          </cell>
          <cell r="B1946" t="str">
            <v>LCT098-075</v>
          </cell>
          <cell r="C1946" t="str">
            <v>Y018</v>
          </cell>
          <cell r="D1946">
            <v>0</v>
          </cell>
          <cell r="E1946" t="str">
            <v>maûo chaïm giöôøng yù</v>
          </cell>
          <cell r="F1946" t="str">
            <v>515*140*38</v>
          </cell>
          <cell r="G1946">
            <v>515</v>
          </cell>
          <cell r="H1946">
            <v>140</v>
          </cell>
          <cell r="I1946">
            <v>38</v>
          </cell>
          <cell r="J1946">
            <v>890</v>
          </cell>
          <cell r="K1946">
            <v>0</v>
          </cell>
          <cell r="L1946">
            <v>3</v>
          </cell>
          <cell r="M1946">
            <v>0</v>
          </cell>
          <cell r="N1946">
            <v>0</v>
          </cell>
          <cell r="O1946" t="str">
            <v>40V</v>
          </cell>
          <cell r="P1946" t="str">
            <v>1010</v>
          </cell>
          <cell r="Q1946" t="str">
            <v>1010</v>
          </cell>
          <cell r="R1946">
            <v>3.3707865168539324</v>
          </cell>
        </row>
        <row r="1947">
          <cell r="A1947" t="str">
            <v>Y018-024</v>
          </cell>
          <cell r="B1947" t="str">
            <v>LCT098-076</v>
          </cell>
          <cell r="C1947" t="str">
            <v>Y018</v>
          </cell>
          <cell r="D1947">
            <v>0</v>
          </cell>
          <cell r="E1947" t="str">
            <v>vieàn chaïm lôùn y</v>
          </cell>
          <cell r="F1947" t="str">
            <v>520*98*26</v>
          </cell>
          <cell r="G1947">
            <v>520</v>
          </cell>
          <cell r="H1947">
            <v>98</v>
          </cell>
          <cell r="I1947">
            <v>26</v>
          </cell>
          <cell r="J1947">
            <v>600</v>
          </cell>
          <cell r="K1947">
            <v>0</v>
          </cell>
          <cell r="L1947">
            <v>2.1</v>
          </cell>
          <cell r="M1947">
            <v>0</v>
          </cell>
          <cell r="N1947">
            <v>0</v>
          </cell>
          <cell r="O1947" t="str">
            <v>40V</v>
          </cell>
          <cell r="P1947" t="str">
            <v>1010</v>
          </cell>
          <cell r="Q1947" t="str">
            <v>1010</v>
          </cell>
          <cell r="R1947">
            <v>3.5000000000000004</v>
          </cell>
        </row>
        <row r="1948">
          <cell r="A1948" t="str">
            <v>Y018-025</v>
          </cell>
          <cell r="B1948" t="str">
            <v>LCT098-077</v>
          </cell>
          <cell r="C1948" t="str">
            <v>Y018</v>
          </cell>
          <cell r="D1948">
            <v>0</v>
          </cell>
          <cell r="E1948" t="str">
            <v>vieàn chaïm nhoû y</v>
          </cell>
          <cell r="F1948" t="str">
            <v>345*105*26</v>
          </cell>
          <cell r="G1948">
            <v>345</v>
          </cell>
          <cell r="H1948">
            <v>105</v>
          </cell>
          <cell r="I1948">
            <v>26</v>
          </cell>
          <cell r="J1948">
            <v>270</v>
          </cell>
          <cell r="K1948">
            <v>0</v>
          </cell>
          <cell r="L1948">
            <v>1.1200000000000001</v>
          </cell>
          <cell r="M1948">
            <v>0</v>
          </cell>
          <cell r="N1948">
            <v>0</v>
          </cell>
          <cell r="O1948" t="str">
            <v>40V</v>
          </cell>
          <cell r="P1948" t="str">
            <v>1010</v>
          </cell>
          <cell r="Q1948" t="str">
            <v>1010</v>
          </cell>
          <cell r="R1948">
            <v>4.1481481481481479</v>
          </cell>
        </row>
        <row r="1949">
          <cell r="A1949" t="str">
            <v>Y018-026</v>
          </cell>
          <cell r="B1949" t="str">
            <v>LCT098-094</v>
          </cell>
          <cell r="C1949" t="str">
            <v>Y018</v>
          </cell>
          <cell r="D1949">
            <v>0</v>
          </cell>
          <cell r="E1949" t="str">
            <v>chaïm soø dieàm gheá traùi tim</v>
          </cell>
          <cell r="F1949" t="str">
            <v>170*55*15</v>
          </cell>
          <cell r="G1949">
            <v>170</v>
          </cell>
          <cell r="H1949">
            <v>55</v>
          </cell>
          <cell r="I1949">
            <v>15</v>
          </cell>
          <cell r="J1949">
            <v>80</v>
          </cell>
          <cell r="K1949">
            <v>0</v>
          </cell>
          <cell r="L1949">
            <v>0.5</v>
          </cell>
          <cell r="M1949">
            <v>0</v>
          </cell>
          <cell r="N1949">
            <v>0</v>
          </cell>
          <cell r="O1949" t="str">
            <v>40V</v>
          </cell>
          <cell r="P1949" t="str">
            <v>1010</v>
          </cell>
          <cell r="Q1949" t="str">
            <v>1010</v>
          </cell>
          <cell r="R1949">
            <v>6.25</v>
          </cell>
        </row>
        <row r="1950">
          <cell r="A1950" t="str">
            <v>Y018-027</v>
          </cell>
          <cell r="B1950" t="str">
            <v>LCT098-035</v>
          </cell>
          <cell r="C1950" t="str">
            <v>Y018</v>
          </cell>
          <cell r="D1950" t="str">
            <v>0</v>
          </cell>
          <cell r="E1950" t="str">
            <v xml:space="preserve">daây hoa chaïm soø </v>
          </cell>
          <cell r="F1950" t="str">
            <v>325*85*22</v>
          </cell>
          <cell r="G1950">
            <v>325</v>
          </cell>
          <cell r="H1950">
            <v>85</v>
          </cell>
          <cell r="I1950">
            <v>22</v>
          </cell>
          <cell r="J1950">
            <v>340</v>
          </cell>
          <cell r="K1950">
            <v>0</v>
          </cell>
          <cell r="L1950">
            <v>1.08</v>
          </cell>
          <cell r="M1950">
            <v>0</v>
          </cell>
          <cell r="N1950">
            <v>0</v>
          </cell>
          <cell r="O1950" t="str">
            <v>40V</v>
          </cell>
          <cell r="P1950" t="str">
            <v>1010</v>
          </cell>
          <cell r="Q1950" t="str">
            <v>1010</v>
          </cell>
          <cell r="R1950">
            <v>3.1764705882352939</v>
          </cell>
        </row>
        <row r="1951">
          <cell r="A1951" t="str">
            <v>Y018-028</v>
          </cell>
          <cell r="B1951" t="str">
            <v>LCT098-017</v>
          </cell>
          <cell r="C1951" t="str">
            <v>Y018</v>
          </cell>
          <cell r="D1951" t="str">
            <v>0</v>
          </cell>
          <cell r="E1951" t="str">
            <v xml:space="preserve">chaïm goùc traùi </v>
          </cell>
          <cell r="F1951" t="str">
            <v>64*63*13</v>
          </cell>
          <cell r="G1951">
            <v>64</v>
          </cell>
          <cell r="H1951">
            <v>63</v>
          </cell>
          <cell r="I1951">
            <v>13</v>
          </cell>
          <cell r="J1951">
            <v>20</v>
          </cell>
          <cell r="K1951">
            <v>0</v>
          </cell>
          <cell r="L1951">
            <v>0.1</v>
          </cell>
          <cell r="M1951">
            <v>0</v>
          </cell>
          <cell r="N1951">
            <v>0</v>
          </cell>
          <cell r="O1951" t="str">
            <v>40V</v>
          </cell>
          <cell r="P1951" t="str">
            <v>1010</v>
          </cell>
          <cell r="Q1951" t="str">
            <v>1010</v>
          </cell>
          <cell r="R1951">
            <v>5</v>
          </cell>
        </row>
        <row r="1952">
          <cell r="A1952" t="str">
            <v>Y018-029</v>
          </cell>
          <cell r="B1952" t="str">
            <v>LCT098-018</v>
          </cell>
          <cell r="C1952" t="str">
            <v>Y018</v>
          </cell>
          <cell r="D1952" t="str">
            <v>0</v>
          </cell>
          <cell r="E1952" t="str">
            <v>chaïm goùc phaûi</v>
          </cell>
          <cell r="F1952" t="str">
            <v>64*63*13</v>
          </cell>
          <cell r="G1952">
            <v>64</v>
          </cell>
          <cell r="H1952">
            <v>63</v>
          </cell>
          <cell r="I1952">
            <v>13</v>
          </cell>
          <cell r="J1952">
            <v>20</v>
          </cell>
          <cell r="K1952">
            <v>0</v>
          </cell>
          <cell r="L1952">
            <v>0.1</v>
          </cell>
          <cell r="M1952">
            <v>0</v>
          </cell>
          <cell r="N1952">
            <v>0</v>
          </cell>
          <cell r="O1952" t="str">
            <v>40V</v>
          </cell>
          <cell r="P1952" t="str">
            <v>1010</v>
          </cell>
          <cell r="Q1952" t="str">
            <v>1010</v>
          </cell>
          <cell r="R1952">
            <v>5</v>
          </cell>
        </row>
        <row r="1953">
          <cell r="A1953" t="str">
            <v>Y018-030</v>
          </cell>
          <cell r="B1953" t="str">
            <v>LCT098-012</v>
          </cell>
          <cell r="C1953" t="str">
            <v>Y018</v>
          </cell>
          <cell r="D1953" t="str">
            <v>0</v>
          </cell>
          <cell r="E1953" t="str">
            <v>chaïm baùnh qui</v>
          </cell>
          <cell r="F1953" t="str">
            <v>57*57*18</v>
          </cell>
          <cell r="G1953">
            <v>57</v>
          </cell>
          <cell r="H1953">
            <v>57</v>
          </cell>
          <cell r="I1953">
            <v>18</v>
          </cell>
          <cell r="J1953">
            <v>40</v>
          </cell>
          <cell r="K1953">
            <v>0</v>
          </cell>
          <cell r="L1953">
            <v>0.18</v>
          </cell>
          <cell r="M1953">
            <v>0</v>
          </cell>
          <cell r="N1953">
            <v>0</v>
          </cell>
          <cell r="O1953" t="str">
            <v>40V</v>
          </cell>
          <cell r="P1953" t="str">
            <v>1010</v>
          </cell>
          <cell r="Q1953" t="str">
            <v>1010</v>
          </cell>
          <cell r="R1953">
            <v>4.5</v>
          </cell>
        </row>
        <row r="1954">
          <cell r="A1954" t="str">
            <v>Y018-031</v>
          </cell>
          <cell r="B1954" t="str">
            <v>LCT098-105</v>
          </cell>
          <cell r="C1954" t="str">
            <v>Y018</v>
          </cell>
          <cell r="D1954">
            <v>0</v>
          </cell>
          <cell r="E1954" t="str">
            <v>chaïm hoa hoàng</v>
          </cell>
          <cell r="F1954" t="str">
            <v>48*60*26</v>
          </cell>
          <cell r="G1954">
            <v>48</v>
          </cell>
          <cell r="H1954">
            <v>60</v>
          </cell>
          <cell r="I1954">
            <v>26</v>
          </cell>
          <cell r="J1954">
            <v>45</v>
          </cell>
          <cell r="K1954">
            <v>0</v>
          </cell>
          <cell r="L1954">
            <v>0.35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7.7777777777777777</v>
          </cell>
        </row>
        <row r="1955">
          <cell r="A1955" t="str">
            <v>Y018-032</v>
          </cell>
          <cell r="B1955" t="str">
            <v>LCT098-137</v>
          </cell>
          <cell r="C1955" t="str">
            <v>Y018</v>
          </cell>
          <cell r="D1955">
            <v>0</v>
          </cell>
          <cell r="E1955" t="str">
            <v>龍型框</v>
          </cell>
          <cell r="F1955" t="str">
            <v>418*335*70</v>
          </cell>
          <cell r="G1955">
            <v>418</v>
          </cell>
          <cell r="H1955">
            <v>335</v>
          </cell>
          <cell r="I1955">
            <v>70</v>
          </cell>
          <cell r="J1955">
            <v>4600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 t="str">
            <v>1910</v>
          </cell>
          <cell r="Q1955">
            <v>0</v>
          </cell>
          <cell r="R1955">
            <v>0</v>
          </cell>
        </row>
        <row r="1956">
          <cell r="A1956" t="str">
            <v>Y018-033</v>
          </cell>
          <cell r="B1956" t="str">
            <v>LCT098-138</v>
          </cell>
          <cell r="C1956" t="str">
            <v>Y018</v>
          </cell>
          <cell r="D1956">
            <v>0</v>
          </cell>
          <cell r="E1956" t="str">
            <v>女神像</v>
          </cell>
          <cell r="F1956" t="str">
            <v>580*330*180</v>
          </cell>
          <cell r="G1956">
            <v>580</v>
          </cell>
          <cell r="H1956">
            <v>330</v>
          </cell>
          <cell r="I1956">
            <v>180</v>
          </cell>
          <cell r="J1956">
            <v>5500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</row>
        <row r="1957">
          <cell r="A1957" t="str">
            <v>Y018-034</v>
          </cell>
          <cell r="B1957" t="str">
            <v>LCT098-117</v>
          </cell>
          <cell r="C1957" t="str">
            <v>Y018</v>
          </cell>
          <cell r="D1957">
            <v>0</v>
          </cell>
          <cell r="E1957">
            <v>0</v>
          </cell>
          <cell r="F1957" t="str">
            <v>105*80*39</v>
          </cell>
          <cell r="G1957">
            <v>80</v>
          </cell>
          <cell r="H1957">
            <v>105</v>
          </cell>
          <cell r="I1957">
            <v>39</v>
          </cell>
          <cell r="J1957">
            <v>0</v>
          </cell>
          <cell r="K1957">
            <v>0</v>
          </cell>
          <cell r="L1957">
            <v>0.75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 t="e">
            <v>#DIV/0!</v>
          </cell>
        </row>
        <row r="1958">
          <cell r="A1958" t="str">
            <v>Y018-035</v>
          </cell>
          <cell r="B1958" t="str">
            <v>LCT098-044</v>
          </cell>
          <cell r="C1958" t="str">
            <v>Y018</v>
          </cell>
          <cell r="D1958" t="str">
            <v>0</v>
          </cell>
          <cell r="E1958" t="str">
            <v xml:space="preserve">daây hoa göông traùi </v>
          </cell>
          <cell r="F1958" t="str">
            <v>490*160*40</v>
          </cell>
          <cell r="G1958">
            <v>490</v>
          </cell>
          <cell r="H1958">
            <v>160</v>
          </cell>
          <cell r="I1958">
            <v>40</v>
          </cell>
          <cell r="J1958">
            <v>640</v>
          </cell>
          <cell r="K1958">
            <v>0</v>
          </cell>
          <cell r="L1958">
            <v>2.2000000000000002</v>
          </cell>
          <cell r="M1958">
            <v>0</v>
          </cell>
          <cell r="N1958">
            <v>0</v>
          </cell>
          <cell r="O1958">
            <v>0</v>
          </cell>
          <cell r="P1958" t="str">
            <v>1010</v>
          </cell>
          <cell r="Q1958" t="str">
            <v>1010</v>
          </cell>
          <cell r="R1958">
            <v>3.4375</v>
          </cell>
        </row>
        <row r="1959">
          <cell r="A1959" t="str">
            <v>Y018-036</v>
          </cell>
          <cell r="B1959" t="str">
            <v>LCT098-045</v>
          </cell>
          <cell r="C1959" t="str">
            <v>Y018</v>
          </cell>
          <cell r="D1959" t="str">
            <v>0</v>
          </cell>
          <cell r="E1959" t="str">
            <v>daây hoa göông phaûi</v>
          </cell>
          <cell r="F1959" t="str">
            <v>490*160*40</v>
          </cell>
          <cell r="G1959">
            <v>490</v>
          </cell>
          <cell r="H1959">
            <v>160</v>
          </cell>
          <cell r="I1959">
            <v>40</v>
          </cell>
          <cell r="J1959">
            <v>640</v>
          </cell>
          <cell r="K1959">
            <v>0</v>
          </cell>
          <cell r="L1959">
            <v>2.2000000000000002</v>
          </cell>
          <cell r="M1959">
            <v>0</v>
          </cell>
          <cell r="N1959">
            <v>0</v>
          </cell>
          <cell r="O1959">
            <v>0</v>
          </cell>
          <cell r="P1959" t="str">
            <v>1010</v>
          </cell>
          <cell r="Q1959" t="str">
            <v>1010</v>
          </cell>
          <cell r="R1959">
            <v>3.4375</v>
          </cell>
        </row>
        <row r="1960">
          <cell r="A1960" t="str">
            <v>Y018-037</v>
          </cell>
          <cell r="B1960" t="str">
            <v>LCT098-046</v>
          </cell>
          <cell r="C1960" t="str">
            <v>Y018</v>
          </cell>
          <cell r="D1960" t="str">
            <v>0</v>
          </cell>
          <cell r="E1960" t="str">
            <v xml:space="preserve">Maõo chaïm giöôøng </v>
          </cell>
          <cell r="F1960" t="str">
            <v>760*205*37</v>
          </cell>
          <cell r="G1960">
            <v>760</v>
          </cell>
          <cell r="H1960">
            <v>205</v>
          </cell>
          <cell r="I1960">
            <v>37</v>
          </cell>
          <cell r="J1960">
            <v>2400</v>
          </cell>
          <cell r="K1960">
            <v>0</v>
          </cell>
          <cell r="L1960">
            <v>6.7</v>
          </cell>
          <cell r="M1960">
            <v>0</v>
          </cell>
          <cell r="N1960" t="str">
            <v>70+550</v>
          </cell>
          <cell r="O1960">
            <v>0</v>
          </cell>
          <cell r="P1960" t="str">
            <v>3710</v>
          </cell>
          <cell r="Q1960" t="str">
            <v>3710</v>
          </cell>
          <cell r="R1960">
            <v>2.791666666666667</v>
          </cell>
        </row>
        <row r="1961">
          <cell r="A1961" t="str">
            <v>Y018-038</v>
          </cell>
          <cell r="B1961" t="str">
            <v>LCT098-059</v>
          </cell>
          <cell r="C1961" t="str">
            <v>Y018</v>
          </cell>
          <cell r="D1961" t="str">
            <v>0</v>
          </cell>
          <cell r="E1961" t="str">
            <v>HC7023</v>
          </cell>
          <cell r="F1961" t="str">
            <v>130*58*15</v>
          </cell>
          <cell r="G1961">
            <v>130</v>
          </cell>
          <cell r="H1961">
            <v>58</v>
          </cell>
          <cell r="I1961">
            <v>15</v>
          </cell>
          <cell r="J1961">
            <v>85</v>
          </cell>
          <cell r="K1961">
            <v>0</v>
          </cell>
          <cell r="L1961">
            <v>0.32</v>
          </cell>
          <cell r="M1961">
            <v>0</v>
          </cell>
          <cell r="N1961">
            <v>0</v>
          </cell>
          <cell r="O1961">
            <v>0</v>
          </cell>
          <cell r="P1961" t="str">
            <v>1010</v>
          </cell>
          <cell r="Q1961" t="str">
            <v>1010</v>
          </cell>
          <cell r="R1961">
            <v>3.7647058823529411</v>
          </cell>
        </row>
        <row r="1962">
          <cell r="A1962" t="str">
            <v>Y018-039</v>
          </cell>
          <cell r="B1962" t="str">
            <v>LCT098-139</v>
          </cell>
          <cell r="C1962" t="str">
            <v>Y018</v>
          </cell>
          <cell r="D1962">
            <v>0</v>
          </cell>
          <cell r="E1962">
            <v>0</v>
          </cell>
          <cell r="F1962" t="str">
            <v>402*103*74</v>
          </cell>
          <cell r="G1962">
            <v>402</v>
          </cell>
          <cell r="H1962">
            <v>103</v>
          </cell>
          <cell r="I1962">
            <v>74</v>
          </cell>
          <cell r="J1962">
            <v>1690</v>
          </cell>
          <cell r="K1962">
            <v>0</v>
          </cell>
          <cell r="L1962">
            <v>6.84</v>
          </cell>
          <cell r="M1962">
            <v>0</v>
          </cell>
          <cell r="N1962">
            <v>350</v>
          </cell>
          <cell r="O1962">
            <v>0</v>
          </cell>
          <cell r="P1962" t="str">
            <v>1010</v>
          </cell>
          <cell r="Q1962" t="str">
            <v>1010</v>
          </cell>
          <cell r="R1962">
            <v>4.0473372781065091</v>
          </cell>
        </row>
        <row r="1963">
          <cell r="A1963" t="str">
            <v>Y018-040</v>
          </cell>
          <cell r="B1963" t="str">
            <v>LCT098-140</v>
          </cell>
          <cell r="C1963" t="str">
            <v>Y018</v>
          </cell>
          <cell r="D1963">
            <v>0</v>
          </cell>
          <cell r="E1963">
            <v>0</v>
          </cell>
          <cell r="F1963" t="str">
            <v>297*73*73</v>
          </cell>
          <cell r="G1963">
            <v>297</v>
          </cell>
          <cell r="H1963">
            <v>73</v>
          </cell>
          <cell r="I1963">
            <v>73</v>
          </cell>
          <cell r="J1963">
            <v>800</v>
          </cell>
          <cell r="K1963">
            <v>0</v>
          </cell>
          <cell r="L1963">
            <v>3.22</v>
          </cell>
          <cell r="M1963">
            <v>0</v>
          </cell>
          <cell r="N1963">
            <v>0</v>
          </cell>
          <cell r="O1963">
            <v>0</v>
          </cell>
          <cell r="P1963" t="str">
            <v>1010</v>
          </cell>
          <cell r="Q1963" t="str">
            <v>1010</v>
          </cell>
          <cell r="R1963">
            <v>4.0250000000000004</v>
          </cell>
        </row>
        <row r="1964">
          <cell r="A1964" t="str">
            <v>Y018-041</v>
          </cell>
          <cell r="B1964" t="str">
            <v>LCT098-040</v>
          </cell>
          <cell r="C1964" t="str">
            <v>Y018</v>
          </cell>
          <cell r="D1964" t="str">
            <v>0</v>
          </cell>
          <cell r="E1964" t="str">
            <v xml:space="preserve">khung göông </v>
          </cell>
          <cell r="F1964" t="str">
            <v>1100*840*35</v>
          </cell>
          <cell r="G1964">
            <v>1100</v>
          </cell>
          <cell r="H1964">
            <v>840</v>
          </cell>
          <cell r="I1964">
            <v>35</v>
          </cell>
          <cell r="J1964">
            <v>6560</v>
          </cell>
          <cell r="K1964">
            <v>0</v>
          </cell>
          <cell r="L1964">
            <v>21</v>
          </cell>
          <cell r="M1964">
            <v>0</v>
          </cell>
          <cell r="N1964" t="str">
            <v>1000+640</v>
          </cell>
          <cell r="O1964" t="str">
            <v>40V</v>
          </cell>
          <cell r="P1964" t="str">
            <v>5510</v>
          </cell>
          <cell r="Q1964" t="str">
            <v>5510</v>
          </cell>
          <cell r="R1964">
            <v>3.2012195121951224</v>
          </cell>
        </row>
        <row r="1965">
          <cell r="A1965" t="str">
            <v>Y018-042</v>
          </cell>
          <cell r="B1965" t="str">
            <v>LCT098-066</v>
          </cell>
          <cell r="C1965" t="str">
            <v>Y018</v>
          </cell>
          <cell r="D1965">
            <v>0</v>
          </cell>
          <cell r="E1965" t="str">
            <v>ñaàu chaïm gheá song tieân</v>
          </cell>
          <cell r="F1965" t="str">
            <v>33*33*49</v>
          </cell>
          <cell r="G1965">
            <v>33</v>
          </cell>
          <cell r="H1965">
            <v>33</v>
          </cell>
          <cell r="I1965">
            <v>49</v>
          </cell>
          <cell r="J1965">
            <v>40</v>
          </cell>
          <cell r="K1965">
            <v>0</v>
          </cell>
          <cell r="L1965">
            <v>0.15</v>
          </cell>
          <cell r="M1965">
            <v>0</v>
          </cell>
          <cell r="N1965">
            <v>0</v>
          </cell>
          <cell r="O1965" t="str">
            <v>40V</v>
          </cell>
          <cell r="P1965" t="str">
            <v>1010</v>
          </cell>
          <cell r="Q1965" t="str">
            <v>1010</v>
          </cell>
          <cell r="R1965">
            <v>3.75</v>
          </cell>
          <cell r="S1965">
            <v>0</v>
          </cell>
        </row>
        <row r="1966">
          <cell r="A1966" t="str">
            <v>Y018-043</v>
          </cell>
          <cell r="B1966" t="str">
            <v>LCT098-141</v>
          </cell>
          <cell r="C1966" t="str">
            <v>Y018</v>
          </cell>
          <cell r="D1966">
            <v>0</v>
          </cell>
          <cell r="E1966" t="str">
            <v>Day chi moi</v>
          </cell>
          <cell r="F1966" t="str">
            <v>882*80*13</v>
          </cell>
          <cell r="G1966">
            <v>882</v>
          </cell>
          <cell r="H1966">
            <v>80</v>
          </cell>
          <cell r="I1966">
            <v>13</v>
          </cell>
          <cell r="J1966">
            <v>970</v>
          </cell>
          <cell r="K1966">
            <v>0</v>
          </cell>
          <cell r="L1966">
            <v>4.8</v>
          </cell>
          <cell r="M1966">
            <v>0</v>
          </cell>
          <cell r="N1966">
            <v>0</v>
          </cell>
          <cell r="O1966" t="str">
            <v>40V</v>
          </cell>
          <cell r="P1966" t="str">
            <v>1010</v>
          </cell>
          <cell r="Q1966" t="str">
            <v>1010</v>
          </cell>
          <cell r="R1966">
            <v>4.9484536082474229</v>
          </cell>
          <cell r="S1966">
            <v>0</v>
          </cell>
        </row>
        <row r="1967">
          <cell r="A1967" t="str">
            <v>Y018-044</v>
          </cell>
          <cell r="B1967" t="str">
            <v>LCT098-135</v>
          </cell>
          <cell r="C1967" t="str">
            <v>Y018</v>
          </cell>
          <cell r="D1967">
            <v>0</v>
          </cell>
          <cell r="E1967">
            <v>0</v>
          </cell>
          <cell r="F1967" t="str">
            <v>890*15*8</v>
          </cell>
          <cell r="G1967">
            <v>890</v>
          </cell>
          <cell r="H1967">
            <v>15</v>
          </cell>
          <cell r="I1967">
            <v>8</v>
          </cell>
          <cell r="J1967">
            <v>0</v>
          </cell>
          <cell r="K1967">
            <v>0</v>
          </cell>
          <cell r="L1967">
            <v>0.42599999999999999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 t="e">
            <v>#DIV/0!</v>
          </cell>
        </row>
        <row r="1968">
          <cell r="A1968" t="str">
            <v>Y018-045</v>
          </cell>
          <cell r="B1968" t="str">
            <v>LCT098-134</v>
          </cell>
          <cell r="C1968" t="str">
            <v>Y018</v>
          </cell>
          <cell r="D1968">
            <v>0</v>
          </cell>
          <cell r="E1968" t="str">
            <v>Cham goc dai</v>
          </cell>
          <cell r="F1968" t="str">
            <v>165*165*20</v>
          </cell>
          <cell r="G1968">
            <v>165</v>
          </cell>
          <cell r="H1968">
            <v>165</v>
          </cell>
          <cell r="I1968">
            <v>20</v>
          </cell>
          <cell r="J1968">
            <v>265</v>
          </cell>
          <cell r="K1968">
            <v>0</v>
          </cell>
          <cell r="L1968">
            <v>0.93</v>
          </cell>
          <cell r="M1968">
            <v>0</v>
          </cell>
          <cell r="N1968">
            <v>0</v>
          </cell>
          <cell r="O1968" t="str">
            <v>V</v>
          </cell>
          <cell r="P1968" t="str">
            <v>1010</v>
          </cell>
          <cell r="Q1968">
            <v>1010</v>
          </cell>
          <cell r="R1968">
            <v>3.5094339622641511</v>
          </cell>
        </row>
        <row r="1969">
          <cell r="A1969" t="str">
            <v>Y018-046</v>
          </cell>
          <cell r="B1969" t="str">
            <v>LCT098-004</v>
          </cell>
          <cell r="C1969" t="str">
            <v>Y018</v>
          </cell>
          <cell r="D1969" t="str">
            <v>MC-330</v>
          </cell>
          <cell r="E1969" t="str">
            <v>chạm hoa ly</v>
          </cell>
          <cell r="F1969" t="str">
            <v xml:space="preserve">44 x 34 x 14 </v>
          </cell>
          <cell r="G1969">
            <v>44</v>
          </cell>
          <cell r="H1969">
            <v>34</v>
          </cell>
          <cell r="I1969">
            <v>14</v>
          </cell>
          <cell r="J1969">
            <v>15</v>
          </cell>
          <cell r="K1969">
            <v>0</v>
          </cell>
          <cell r="L1969">
            <v>5.8000000000000003E-2</v>
          </cell>
          <cell r="M1969">
            <v>0</v>
          </cell>
          <cell r="N1969">
            <v>0</v>
          </cell>
          <cell r="O1969" t="str">
            <v>V</v>
          </cell>
          <cell r="P1969" t="str">
            <v>1010</v>
          </cell>
          <cell r="Q1969">
            <v>1010</v>
          </cell>
          <cell r="R1969">
            <v>3.8666666666666671</v>
          </cell>
        </row>
        <row r="1970">
          <cell r="A1970" t="str">
            <v>Y018-047</v>
          </cell>
          <cell r="B1970" t="str">
            <v>LCT098-069</v>
          </cell>
          <cell r="C1970" t="str">
            <v>Y018</v>
          </cell>
          <cell r="D1970" t="str">
            <v>HC-7095</v>
          </cell>
          <cell r="E1970" t="str">
            <v>chaïm boâng luùa döông xæ ñaïi</v>
          </cell>
          <cell r="F1970" t="str">
            <v>380*63*13</v>
          </cell>
          <cell r="G1970">
            <v>380</v>
          </cell>
          <cell r="H1970">
            <v>63</v>
          </cell>
          <cell r="I1970">
            <v>13</v>
          </cell>
          <cell r="J1970">
            <v>170</v>
          </cell>
          <cell r="K1970">
            <v>0</v>
          </cell>
          <cell r="L1970">
            <v>0.64</v>
          </cell>
          <cell r="M1970">
            <v>0</v>
          </cell>
          <cell r="N1970">
            <v>0</v>
          </cell>
          <cell r="O1970" t="str">
            <v>V</v>
          </cell>
          <cell r="P1970" t="str">
            <v>1010</v>
          </cell>
          <cell r="Q1970">
            <v>1010</v>
          </cell>
          <cell r="R1970">
            <v>3.7647058823529411</v>
          </cell>
        </row>
        <row r="1971">
          <cell r="A1971" t="str">
            <v>Y018-048</v>
          </cell>
          <cell r="B1971" t="str">
            <v>LCT098-016</v>
          </cell>
          <cell r="C1971" t="str">
            <v>Y018</v>
          </cell>
          <cell r="D1971">
            <v>0</v>
          </cell>
          <cell r="E1971" t="str">
            <v>POLY 花</v>
          </cell>
          <cell r="F1971" t="str">
            <v>80*47*32</v>
          </cell>
          <cell r="G1971">
            <v>80</v>
          </cell>
          <cell r="H1971">
            <v>47</v>
          </cell>
          <cell r="I1971">
            <v>32</v>
          </cell>
          <cell r="J1971">
            <v>90</v>
          </cell>
          <cell r="K1971">
            <v>0</v>
          </cell>
          <cell r="L1971">
            <v>0.24199999999999999</v>
          </cell>
          <cell r="M1971">
            <v>0</v>
          </cell>
          <cell r="N1971">
            <v>0</v>
          </cell>
          <cell r="O1971" t="str">
            <v>V</v>
          </cell>
          <cell r="P1971" t="str">
            <v>1010</v>
          </cell>
          <cell r="Q1971">
            <v>1010</v>
          </cell>
          <cell r="R1971">
            <v>2.6888888888888891</v>
          </cell>
        </row>
        <row r="1972">
          <cell r="A1972" t="str">
            <v>Y018-049</v>
          </cell>
          <cell r="B1972" t="str">
            <v>LCT098-095</v>
          </cell>
          <cell r="C1972" t="str">
            <v>Y018</v>
          </cell>
          <cell r="D1972">
            <v>0</v>
          </cell>
          <cell r="E1972" t="str">
            <v>thieân thaàn ñaùnh ñaøn</v>
          </cell>
          <cell r="F1972" t="str">
            <v>130*80*40</v>
          </cell>
          <cell r="G1972">
            <v>130</v>
          </cell>
          <cell r="H1972">
            <v>80</v>
          </cell>
          <cell r="I1972">
            <v>40</v>
          </cell>
          <cell r="J1972">
            <v>100</v>
          </cell>
          <cell r="K1972">
            <v>0</v>
          </cell>
          <cell r="L1972">
            <v>1.5</v>
          </cell>
          <cell r="M1972">
            <v>0</v>
          </cell>
          <cell r="N1972">
            <v>0</v>
          </cell>
          <cell r="O1972" t="str">
            <v>T</v>
          </cell>
          <cell r="P1972" t="str">
            <v>5510</v>
          </cell>
          <cell r="Q1972" t="str">
            <v>5510</v>
          </cell>
          <cell r="R1972">
            <v>15</v>
          </cell>
        </row>
        <row r="1973">
          <cell r="A1973" t="str">
            <v>Y018-050</v>
          </cell>
          <cell r="B1973" t="str">
            <v>LCT098-065</v>
          </cell>
          <cell r="C1973" t="str">
            <v>Y018</v>
          </cell>
          <cell r="D1973">
            <v>0</v>
          </cell>
          <cell r="E1973" t="str">
            <v xml:space="preserve">chaïm hoa cuùc tuû ñaàu giöôøng </v>
          </cell>
          <cell r="F1973" t="str">
            <v>47*47*8</v>
          </cell>
          <cell r="G1973">
            <v>47</v>
          </cell>
          <cell r="H1973">
            <v>47</v>
          </cell>
          <cell r="I1973">
            <v>8</v>
          </cell>
          <cell r="J1973">
            <v>0</v>
          </cell>
          <cell r="K1973">
            <v>0</v>
          </cell>
          <cell r="L1973">
            <v>0.1</v>
          </cell>
          <cell r="M1973">
            <v>0</v>
          </cell>
          <cell r="N1973">
            <v>0</v>
          </cell>
          <cell r="O1973" t="str">
            <v>V</v>
          </cell>
          <cell r="P1973" t="str">
            <v>1010</v>
          </cell>
          <cell r="Q1973">
            <v>1010</v>
          </cell>
          <cell r="R1973" t="e">
            <v>#DIV/0!</v>
          </cell>
        </row>
        <row r="1974">
          <cell r="A1974" t="str">
            <v>Y018-051</v>
          </cell>
          <cell r="B1974" t="str">
            <v>LCT098-123</v>
          </cell>
          <cell r="C1974" t="str">
            <v>Y018</v>
          </cell>
          <cell r="D1974">
            <v>0</v>
          </cell>
          <cell r="E1974" t="str">
            <v>cham op chan don ghe</v>
          </cell>
          <cell r="F1974" t="str">
            <v>185*57*38</v>
          </cell>
          <cell r="G1974">
            <v>185</v>
          </cell>
          <cell r="H1974">
            <v>57</v>
          </cell>
          <cell r="I1974">
            <v>38</v>
          </cell>
          <cell r="J1974">
            <v>80</v>
          </cell>
          <cell r="K1974">
            <v>0</v>
          </cell>
          <cell r="L1974">
            <v>0.56000000000000005</v>
          </cell>
          <cell r="M1974">
            <v>0</v>
          </cell>
          <cell r="N1974">
            <v>0</v>
          </cell>
          <cell r="O1974" t="str">
            <v>V</v>
          </cell>
          <cell r="P1974" t="str">
            <v>1010</v>
          </cell>
          <cell r="Q1974">
            <v>1010</v>
          </cell>
          <cell r="R1974">
            <v>7.0000000000000009</v>
          </cell>
        </row>
        <row r="1975">
          <cell r="A1975" t="str">
            <v>Y018-052</v>
          </cell>
          <cell r="B1975" t="str">
            <v>LCT098-063</v>
          </cell>
          <cell r="C1975" t="str">
            <v>Y018</v>
          </cell>
          <cell r="D1975" t="str">
            <v>0</v>
          </cell>
          <cell r="E1975" t="str">
            <v>chaïn A</v>
          </cell>
          <cell r="F1975" t="str">
            <v>330*30*10</v>
          </cell>
          <cell r="G1975">
            <v>330</v>
          </cell>
          <cell r="H1975">
            <v>30</v>
          </cell>
          <cell r="I1975">
            <v>10</v>
          </cell>
          <cell r="J1975">
            <v>0</v>
          </cell>
          <cell r="K1975">
            <v>0</v>
          </cell>
          <cell r="L1975">
            <v>0.22</v>
          </cell>
          <cell r="M1975">
            <v>0</v>
          </cell>
          <cell r="N1975">
            <v>0</v>
          </cell>
          <cell r="O1975" t="str">
            <v>V</v>
          </cell>
          <cell r="P1975" t="str">
            <v>1010</v>
          </cell>
          <cell r="Q1975">
            <v>1010</v>
          </cell>
          <cell r="R1975" t="e">
            <v>#DIV/0!</v>
          </cell>
        </row>
        <row r="1976">
          <cell r="A1976" t="str">
            <v>Y018-053</v>
          </cell>
          <cell r="B1976" t="str">
            <v>LCT098-067</v>
          </cell>
          <cell r="C1976" t="str">
            <v>Y018</v>
          </cell>
          <cell r="D1976">
            <v>0</v>
          </cell>
          <cell r="E1976" t="str">
            <v>Dieàm chaïm gheá solon</v>
          </cell>
          <cell r="F1976" t="str">
            <v>225*85*28</v>
          </cell>
          <cell r="G1976">
            <v>225</v>
          </cell>
          <cell r="H1976">
            <v>85</v>
          </cell>
          <cell r="I1976">
            <v>28</v>
          </cell>
          <cell r="J1976">
            <v>320</v>
          </cell>
          <cell r="K1976">
            <v>0</v>
          </cell>
          <cell r="L1976">
            <v>0.95</v>
          </cell>
          <cell r="M1976">
            <v>0</v>
          </cell>
          <cell r="N1976">
            <v>0</v>
          </cell>
          <cell r="O1976" t="str">
            <v>V</v>
          </cell>
          <cell r="P1976" t="str">
            <v>1010</v>
          </cell>
          <cell r="Q1976">
            <v>1010</v>
          </cell>
          <cell r="R1976">
            <v>2.96875</v>
          </cell>
        </row>
        <row r="1977">
          <cell r="A1977" t="str">
            <v>Y018-054</v>
          </cell>
          <cell r="B1977" t="str">
            <v>LCT098-010</v>
          </cell>
          <cell r="C1977" t="str">
            <v>Y018</v>
          </cell>
          <cell r="D1977" t="str">
            <v>HC - 7070</v>
          </cell>
          <cell r="E1977" t="str">
            <v>chạm oval chỉ thừng</v>
          </cell>
          <cell r="F1977" t="str">
            <v>200 x 158 x 18</v>
          </cell>
          <cell r="G1977">
            <v>200</v>
          </cell>
          <cell r="H1977">
            <v>58</v>
          </cell>
          <cell r="I1977">
            <v>18</v>
          </cell>
          <cell r="J1977">
            <v>570</v>
          </cell>
          <cell r="K1977">
            <v>0</v>
          </cell>
          <cell r="L1977">
            <v>1.2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2.1052631578947367</v>
          </cell>
        </row>
        <row r="1978">
          <cell r="A1978" t="str">
            <v>Y018-055</v>
          </cell>
          <cell r="B1978" t="str">
            <v>LCT098-006</v>
          </cell>
          <cell r="C1978" t="str">
            <v>Y018</v>
          </cell>
          <cell r="D1978" t="str">
            <v>HC - 7090</v>
          </cell>
          <cell r="E1978" t="str">
            <v>chạm sò lá dương sỉ</v>
          </cell>
          <cell r="F1978" t="str">
            <v>260 x 75 x 10</v>
          </cell>
          <cell r="G1978">
            <v>260</v>
          </cell>
          <cell r="H1978">
            <v>75</v>
          </cell>
          <cell r="I1978">
            <v>10</v>
          </cell>
          <cell r="J1978">
            <v>80</v>
          </cell>
          <cell r="K1978">
            <v>0</v>
          </cell>
          <cell r="L1978">
            <v>0.38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4.75</v>
          </cell>
        </row>
        <row r="1979">
          <cell r="A1979" t="str">
            <v>Y018-056</v>
          </cell>
          <cell r="B1979" t="str">
            <v>LCT098-124</v>
          </cell>
          <cell r="C1979" t="str">
            <v>Y018</v>
          </cell>
          <cell r="D1979">
            <v>0</v>
          </cell>
          <cell r="E1979" t="str">
            <v>cham diem don ghe</v>
          </cell>
          <cell r="F1979" t="str">
            <v>299*88*20</v>
          </cell>
          <cell r="G1979">
            <v>299</v>
          </cell>
          <cell r="H1979">
            <v>88</v>
          </cell>
          <cell r="I1979">
            <v>20</v>
          </cell>
          <cell r="J1979">
            <v>180</v>
          </cell>
          <cell r="K1979">
            <v>0</v>
          </cell>
          <cell r="L1979">
            <v>0.9</v>
          </cell>
          <cell r="M1979">
            <v>0</v>
          </cell>
          <cell r="N1979">
            <v>0</v>
          </cell>
          <cell r="O1979">
            <v>60</v>
          </cell>
          <cell r="P1979" t="str">
            <v>1010</v>
          </cell>
          <cell r="Q1979">
            <v>1010</v>
          </cell>
          <cell r="R1979">
            <v>5</v>
          </cell>
        </row>
        <row r="1980">
          <cell r="A1980" t="str">
            <v>Y018-057</v>
          </cell>
          <cell r="B1980">
            <v>0</v>
          </cell>
          <cell r="C1980" t="str">
            <v>Y018</v>
          </cell>
          <cell r="D1980">
            <v>0</v>
          </cell>
          <cell r="E1980" t="str">
            <v>hoa cha mban buro</v>
          </cell>
          <cell r="F1980" t="str">
            <v>253*253*35</v>
          </cell>
          <cell r="G1980">
            <v>253</v>
          </cell>
          <cell r="H1980">
            <v>253</v>
          </cell>
          <cell r="I1980">
            <v>35</v>
          </cell>
          <cell r="J1980">
            <v>1300</v>
          </cell>
          <cell r="K1980">
            <v>0</v>
          </cell>
          <cell r="L1980">
            <v>6.4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4.9230769230769234</v>
          </cell>
        </row>
        <row r="1981">
          <cell r="A1981" t="str">
            <v>Y018-058</v>
          </cell>
          <cell r="B1981">
            <v>0</v>
          </cell>
          <cell r="C1981" t="str">
            <v>Y018</v>
          </cell>
          <cell r="D1981">
            <v>0</v>
          </cell>
          <cell r="E1981" t="str">
            <v>hoa cha mban lua dai</v>
          </cell>
          <cell r="F1981" t="str">
            <v>115*65*65</v>
          </cell>
          <cell r="G1981">
            <v>115</v>
          </cell>
          <cell r="H1981">
            <v>65</v>
          </cell>
          <cell r="I1981">
            <v>65</v>
          </cell>
          <cell r="J1981">
            <v>160</v>
          </cell>
          <cell r="K1981">
            <v>0</v>
          </cell>
          <cell r="L1981">
            <v>1.2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7.5</v>
          </cell>
        </row>
        <row r="1982">
          <cell r="A1982" t="str">
            <v>Y018-059</v>
          </cell>
          <cell r="B1982">
            <v>0</v>
          </cell>
          <cell r="C1982" t="str">
            <v>Y018</v>
          </cell>
          <cell r="D1982">
            <v>0</v>
          </cell>
          <cell r="E1982" t="str">
            <v>Cham hoc keo</v>
          </cell>
          <cell r="F1982" t="str">
            <v>290*95*15</v>
          </cell>
          <cell r="G1982">
            <v>290</v>
          </cell>
          <cell r="H1982">
            <v>95</v>
          </cell>
          <cell r="I1982">
            <v>15</v>
          </cell>
          <cell r="J1982">
            <v>330</v>
          </cell>
          <cell r="K1982">
            <v>0</v>
          </cell>
          <cell r="L1982">
            <v>1.68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5.0909090909090908</v>
          </cell>
        </row>
        <row r="1983">
          <cell r="A1983" t="str">
            <v>Y018-060</v>
          </cell>
          <cell r="B1983">
            <v>0</v>
          </cell>
          <cell r="C1983" t="str">
            <v>Y018</v>
          </cell>
          <cell r="D1983">
            <v>0</v>
          </cell>
          <cell r="E1983" t="str">
            <v>Cham bban console</v>
          </cell>
          <cell r="F1983" t="str">
            <v>395*95*20</v>
          </cell>
          <cell r="G1983">
            <v>395</v>
          </cell>
          <cell r="H1983">
            <v>95</v>
          </cell>
          <cell r="I1983">
            <v>20</v>
          </cell>
          <cell r="J1983">
            <v>0</v>
          </cell>
          <cell r="K1983">
            <v>0</v>
          </cell>
          <cell r="L1983">
            <v>2.52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 t="e">
            <v>#DIV/0!</v>
          </cell>
        </row>
        <row r="1984">
          <cell r="A1984" t="str">
            <v>Y018-061</v>
          </cell>
          <cell r="B1984">
            <v>0</v>
          </cell>
          <cell r="C1984" t="str">
            <v>Y018</v>
          </cell>
          <cell r="D1984">
            <v>0</v>
          </cell>
          <cell r="E1984" t="str">
            <v>Hop tuong nap tren</v>
          </cell>
          <cell r="F1984" t="str">
            <v>230*90*10</v>
          </cell>
          <cell r="G1984">
            <v>230</v>
          </cell>
          <cell r="H1984">
            <v>90</v>
          </cell>
          <cell r="I1984">
            <v>10</v>
          </cell>
          <cell r="J1984">
            <v>0</v>
          </cell>
          <cell r="K1984">
            <v>0</v>
          </cell>
          <cell r="L1984">
            <v>3.8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 t="e">
            <v>#DIV/0!</v>
          </cell>
        </row>
        <row r="1985">
          <cell r="A1985" t="str">
            <v>Y018-062</v>
          </cell>
          <cell r="B1985">
            <v>0</v>
          </cell>
          <cell r="C1985" t="str">
            <v>Y018</v>
          </cell>
          <cell r="D1985">
            <v>0</v>
          </cell>
          <cell r="E1985" t="str">
            <v>Hop tuong nap duoi</v>
          </cell>
          <cell r="F1985" t="str">
            <v>225*95*50</v>
          </cell>
          <cell r="G1985">
            <v>225</v>
          </cell>
          <cell r="H1985">
            <v>95</v>
          </cell>
          <cell r="I1985">
            <v>50</v>
          </cell>
          <cell r="J1985">
            <v>0</v>
          </cell>
          <cell r="K1985">
            <v>0</v>
          </cell>
          <cell r="L1985">
            <v>4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 t="e">
            <v>#DIV/0!</v>
          </cell>
        </row>
        <row r="1986">
          <cell r="A1986" t="str">
            <v>Y018-063</v>
          </cell>
          <cell r="B1986">
            <v>0</v>
          </cell>
          <cell r="C1986" t="str">
            <v>Y018</v>
          </cell>
          <cell r="D1986">
            <v>0</v>
          </cell>
          <cell r="E1986" t="str">
            <v>DAU CHAM VOM TU AO</v>
          </cell>
          <cell r="F1986" t="str">
            <v>115*80*40</v>
          </cell>
          <cell r="G1986">
            <v>115</v>
          </cell>
          <cell r="H1986">
            <v>80</v>
          </cell>
          <cell r="I1986">
            <v>40</v>
          </cell>
          <cell r="J1986">
            <v>0</v>
          </cell>
          <cell r="K1986">
            <v>0</v>
          </cell>
          <cell r="L1986">
            <v>2.2000000000000002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 t="e">
            <v>#DIV/0!</v>
          </cell>
        </row>
        <row r="1987">
          <cell r="A1987" t="str">
            <v>Y018-064</v>
          </cell>
          <cell r="B1987">
            <v>0</v>
          </cell>
          <cell r="C1987" t="str">
            <v>Y018</v>
          </cell>
          <cell r="D1987">
            <v>0</v>
          </cell>
          <cell r="E1987" t="str">
            <v>DAU CHAM COT TU AO</v>
          </cell>
          <cell r="F1987" t="str">
            <v>130*98*50</v>
          </cell>
          <cell r="G1987">
            <v>130</v>
          </cell>
          <cell r="H1987">
            <v>98</v>
          </cell>
          <cell r="I1987">
            <v>50</v>
          </cell>
          <cell r="J1987">
            <v>0</v>
          </cell>
          <cell r="K1987">
            <v>0</v>
          </cell>
          <cell r="L1987">
            <v>3.6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 t="e">
            <v>#DIV/0!</v>
          </cell>
        </row>
        <row r="1988">
          <cell r="A1988" t="str">
            <v>Y018-065</v>
          </cell>
          <cell r="B1988">
            <v>0</v>
          </cell>
          <cell r="C1988" t="str">
            <v>Y018</v>
          </cell>
          <cell r="D1988">
            <v>0</v>
          </cell>
          <cell r="E1988" t="str">
            <v>DAU CHAM COT</v>
          </cell>
          <cell r="F1988" t="str">
            <v>275*310*100</v>
          </cell>
          <cell r="G1988">
            <v>275</v>
          </cell>
          <cell r="H1988">
            <v>310</v>
          </cell>
          <cell r="I1988">
            <v>100</v>
          </cell>
          <cell r="J1988">
            <v>4000</v>
          </cell>
          <cell r="K1988">
            <v>0</v>
          </cell>
          <cell r="L1988">
            <v>21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5.25</v>
          </cell>
        </row>
        <row r="1989">
          <cell r="A1989" t="str">
            <v>Y018-066</v>
          </cell>
          <cell r="B1989" t="str">
            <v>LCT098-005</v>
          </cell>
          <cell r="C1989" t="str">
            <v>Y018</v>
          </cell>
          <cell r="D1989" t="str">
            <v>HC - 7060</v>
          </cell>
          <cell r="E1989" t="str">
            <v>chạm ly kem</v>
          </cell>
          <cell r="F1989" t="str">
            <v>160 x 170 x 9</v>
          </cell>
          <cell r="G1989">
            <v>160</v>
          </cell>
          <cell r="H1989">
            <v>170</v>
          </cell>
          <cell r="I1989">
            <v>9</v>
          </cell>
          <cell r="J1989">
            <v>170</v>
          </cell>
          <cell r="K1989">
            <v>0</v>
          </cell>
          <cell r="L1989">
            <v>0.45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2.6470588235294117</v>
          </cell>
        </row>
        <row r="1990">
          <cell r="A1990" t="str">
            <v>Y018-067</v>
          </cell>
          <cell r="B1990">
            <v>0</v>
          </cell>
          <cell r="C1990" t="str">
            <v>Y018</v>
          </cell>
          <cell r="D1990">
            <v>0</v>
          </cell>
          <cell r="E1990" t="str">
            <v>Mao cham trung tam bep</v>
          </cell>
          <cell r="F1990" t="str">
            <v>1250*425*60</v>
          </cell>
          <cell r="G1990">
            <v>1250</v>
          </cell>
          <cell r="H1990">
            <v>425</v>
          </cell>
          <cell r="I1990">
            <v>60</v>
          </cell>
          <cell r="J1990">
            <v>0</v>
          </cell>
          <cell r="K1990">
            <v>0</v>
          </cell>
          <cell r="L1990">
            <v>40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 t="e">
            <v>#DIV/0!</v>
          </cell>
        </row>
        <row r="1991">
          <cell r="A1991" t="str">
            <v>Y018-068</v>
          </cell>
          <cell r="B1991">
            <v>0</v>
          </cell>
          <cell r="C1991" t="str">
            <v>Y018</v>
          </cell>
          <cell r="D1991">
            <v>0</v>
          </cell>
          <cell r="E1991" t="str">
            <v>Bong lua dai</v>
          </cell>
          <cell r="F1991" t="str">
            <v>180*54*18</v>
          </cell>
          <cell r="G1991">
            <v>180</v>
          </cell>
          <cell r="H1991">
            <v>54</v>
          </cell>
          <cell r="I1991">
            <v>18</v>
          </cell>
          <cell r="J1991">
            <v>170</v>
          </cell>
          <cell r="K1991">
            <v>0</v>
          </cell>
          <cell r="L1991">
            <v>1.1000000000000001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6.4705882352941178</v>
          </cell>
        </row>
        <row r="1992">
          <cell r="A1992" t="str">
            <v>Y018-069</v>
          </cell>
          <cell r="B1992">
            <v>0</v>
          </cell>
          <cell r="C1992" t="str">
            <v>Y018</v>
          </cell>
          <cell r="D1992">
            <v>0</v>
          </cell>
          <cell r="E1992" t="str">
            <v>Bong tru ban console</v>
          </cell>
          <cell r="F1992" t="str">
            <v>250*110*110</v>
          </cell>
          <cell r="G1992">
            <v>250</v>
          </cell>
          <cell r="H1992">
            <v>110</v>
          </cell>
          <cell r="I1992">
            <v>110</v>
          </cell>
          <cell r="J1992">
            <v>1000</v>
          </cell>
          <cell r="K1992">
            <v>0</v>
          </cell>
          <cell r="L1992">
            <v>12</v>
          </cell>
          <cell r="M1992">
            <v>0</v>
          </cell>
          <cell r="N1992">
            <v>0</v>
          </cell>
          <cell r="O1992">
            <v>0</v>
          </cell>
          <cell r="P1992" t="str">
            <v>3710</v>
          </cell>
          <cell r="Q1992" t="str">
            <v>3710</v>
          </cell>
          <cell r="R1992">
            <v>12</v>
          </cell>
        </row>
        <row r="1993">
          <cell r="A1993" t="str">
            <v>Y018-070</v>
          </cell>
          <cell r="B1993" t="str">
            <v>LCT098-061</v>
          </cell>
          <cell r="C1993" t="str">
            <v>Y018</v>
          </cell>
          <cell r="D1993" t="str">
            <v>0</v>
          </cell>
          <cell r="E1993" t="str">
            <v>CT4200</v>
          </cell>
          <cell r="F1993" t="str">
            <v>80*53*53</v>
          </cell>
          <cell r="G1993">
            <v>80</v>
          </cell>
          <cell r="H1993">
            <v>53</v>
          </cell>
          <cell r="I1993">
            <v>53</v>
          </cell>
          <cell r="J1993">
            <v>125</v>
          </cell>
          <cell r="K1993">
            <v>0</v>
          </cell>
          <cell r="L1993">
            <v>0.46</v>
          </cell>
          <cell r="M1993">
            <v>0</v>
          </cell>
          <cell r="N1993">
            <v>10</v>
          </cell>
          <cell r="O1993" t="str">
            <v>V</v>
          </cell>
          <cell r="P1993" t="str">
            <v>1010</v>
          </cell>
          <cell r="Q1993">
            <v>1010</v>
          </cell>
          <cell r="R1993">
            <v>3.68</v>
          </cell>
          <cell r="S1993">
            <v>0</v>
          </cell>
        </row>
        <row r="1994">
          <cell r="A1994" t="str">
            <v>Y018-071</v>
          </cell>
          <cell r="B1994" t="str">
            <v>LCT098-011</v>
          </cell>
          <cell r="C1994" t="str">
            <v>Y018</v>
          </cell>
          <cell r="D1994" t="str">
            <v>0</v>
          </cell>
          <cell r="E1994" t="str">
            <v xml:space="preserve">chaïm soø </v>
          </cell>
          <cell r="F1994" t="str">
            <v>252*298*45</v>
          </cell>
          <cell r="G1994">
            <v>252</v>
          </cell>
          <cell r="H1994">
            <v>298</v>
          </cell>
          <cell r="I1994">
            <v>45</v>
          </cell>
          <cell r="J1994">
            <v>0</v>
          </cell>
          <cell r="K1994">
            <v>0</v>
          </cell>
          <cell r="L1994">
            <v>5.52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 t="e">
            <v>#DIV/0!</v>
          </cell>
          <cell r="S1994">
            <v>0</v>
          </cell>
        </row>
        <row r="1995">
          <cell r="A1995" t="str">
            <v>Y018-072</v>
          </cell>
          <cell r="B1995">
            <v>0</v>
          </cell>
          <cell r="C1995" t="str">
            <v>Y018</v>
          </cell>
          <cell r="D1995">
            <v>0</v>
          </cell>
          <cell r="E1995" t="str">
            <v>cham soxoan oc trung 012</v>
          </cell>
          <cell r="F1995" t="str">
            <v>295*335*34</v>
          </cell>
          <cell r="G1995">
            <v>295</v>
          </cell>
          <cell r="H1995">
            <v>335</v>
          </cell>
          <cell r="I1995">
            <v>34</v>
          </cell>
          <cell r="J1995">
            <v>0</v>
          </cell>
          <cell r="K1995">
            <v>0</v>
          </cell>
          <cell r="L1995">
            <v>3.4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 t="e">
            <v>#DIV/0!</v>
          </cell>
          <cell r="S1995">
            <v>0</v>
          </cell>
        </row>
        <row r="1996">
          <cell r="A1996" t="str">
            <v>Y018-073</v>
          </cell>
          <cell r="B1996" t="str">
            <v>LCT098-032</v>
          </cell>
          <cell r="C1996" t="str">
            <v>Y018</v>
          </cell>
          <cell r="D1996">
            <v>0</v>
          </cell>
          <cell r="E1996">
            <v>0</v>
          </cell>
          <cell r="F1996">
            <v>0</v>
          </cell>
          <cell r="G1996">
            <v>247</v>
          </cell>
          <cell r="H1996">
            <v>182</v>
          </cell>
          <cell r="I1996">
            <v>21</v>
          </cell>
          <cell r="J1996">
            <v>0</v>
          </cell>
          <cell r="K1996">
            <v>0</v>
          </cell>
          <cell r="L1996">
            <v>1.32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 t="e">
            <v>#DIV/0!</v>
          </cell>
        </row>
        <row r="1997">
          <cell r="A1997" t="str">
            <v>Y018-074</v>
          </cell>
          <cell r="B1997">
            <v>0</v>
          </cell>
          <cell r="C1997" t="str">
            <v>Y018</v>
          </cell>
          <cell r="D1997">
            <v>0</v>
          </cell>
          <cell r="E1997" t="str">
            <v>cham đế hoa hồng</v>
          </cell>
          <cell r="F1997" t="str">
            <v>78*105*105</v>
          </cell>
          <cell r="G1997">
            <v>78</v>
          </cell>
          <cell r="H1997">
            <v>105</v>
          </cell>
          <cell r="I1997">
            <v>105</v>
          </cell>
          <cell r="J1997">
            <v>740</v>
          </cell>
          <cell r="K1997">
            <v>0</v>
          </cell>
          <cell r="L1997">
            <v>3.7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5</v>
          </cell>
          <cell r="S1997">
            <v>0</v>
          </cell>
        </row>
        <row r="1998">
          <cell r="A1998" t="str">
            <v>Y018-075</v>
          </cell>
          <cell r="B1998">
            <v>0</v>
          </cell>
          <cell r="C1998" t="str">
            <v>Y018</v>
          </cell>
          <cell r="D1998">
            <v>0</v>
          </cell>
          <cell r="E1998" t="str">
            <v>Dương vật</v>
          </cell>
          <cell r="F1998" t="str">
            <v>158*45*38</v>
          </cell>
          <cell r="G1998">
            <v>158</v>
          </cell>
          <cell r="H1998">
            <v>45</v>
          </cell>
          <cell r="I1998">
            <v>38</v>
          </cell>
          <cell r="J1998">
            <v>0</v>
          </cell>
          <cell r="K1998">
            <v>0</v>
          </cell>
          <cell r="L1998">
            <v>0.85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 t="e">
            <v>#DIV/0!</v>
          </cell>
          <cell r="S1998">
            <v>0</v>
          </cell>
        </row>
        <row r="1999">
          <cell r="A1999" t="str">
            <v>Y018-076</v>
          </cell>
          <cell r="B1999" t="str">
            <v>LCT098-064</v>
          </cell>
          <cell r="C1999" t="str">
            <v>Y018</v>
          </cell>
          <cell r="D1999" t="str">
            <v>0</v>
          </cell>
          <cell r="E1999" t="str">
            <v>chaïn C</v>
          </cell>
          <cell r="F1999" t="str">
            <v>117*65*18</v>
          </cell>
          <cell r="G1999">
            <v>117</v>
          </cell>
          <cell r="H1999">
            <v>65</v>
          </cell>
          <cell r="I1999">
            <v>18</v>
          </cell>
          <cell r="J1999">
            <v>0</v>
          </cell>
          <cell r="K1999">
            <v>0</v>
          </cell>
          <cell r="L1999">
            <v>0.32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 t="e">
            <v>#DIV/0!</v>
          </cell>
          <cell r="S1999">
            <v>0</v>
          </cell>
        </row>
        <row r="2000">
          <cell r="A2000" t="str">
            <v>Y018-077</v>
          </cell>
          <cell r="B2000" t="str">
            <v>LCT098-132</v>
          </cell>
          <cell r="C2000" t="str">
            <v>Y018</v>
          </cell>
          <cell r="D2000">
            <v>0</v>
          </cell>
          <cell r="E2000" t="str">
            <v>Mao cham qui phi Venice lon</v>
          </cell>
          <cell r="F2000" t="str">
            <v>390*140*47</v>
          </cell>
          <cell r="G2000">
            <v>390</v>
          </cell>
          <cell r="H2000">
            <v>140</v>
          </cell>
          <cell r="I2000">
            <v>47</v>
          </cell>
          <cell r="J2000">
            <v>0</v>
          </cell>
          <cell r="K2000">
            <v>0</v>
          </cell>
          <cell r="L2000">
            <v>7.3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 t="e">
            <v>#DIV/0!</v>
          </cell>
          <cell r="S2000">
            <v>0</v>
          </cell>
        </row>
        <row r="2001">
          <cell r="A2001" t="str">
            <v>Y018-078</v>
          </cell>
          <cell r="B2001" t="str">
            <v>LCT098-133</v>
          </cell>
          <cell r="C2001" t="str">
            <v>Y018</v>
          </cell>
          <cell r="D2001">
            <v>0</v>
          </cell>
          <cell r="E2001" t="str">
            <v>Mao cham qui phi Venice nho</v>
          </cell>
          <cell r="F2001" t="str">
            <v>230*87*48</v>
          </cell>
          <cell r="G2001">
            <v>230</v>
          </cell>
          <cell r="H2001">
            <v>87</v>
          </cell>
          <cell r="I2001">
            <v>48</v>
          </cell>
          <cell r="J2001">
            <v>0</v>
          </cell>
          <cell r="K2001">
            <v>0</v>
          </cell>
          <cell r="L2001">
            <v>2.85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 t="e">
            <v>#DIV/0!</v>
          </cell>
          <cell r="S2001">
            <v>0</v>
          </cell>
        </row>
        <row r="2002">
          <cell r="A2002" t="str">
            <v>Y018-079</v>
          </cell>
          <cell r="B2002" t="str">
            <v>LCT098-135</v>
          </cell>
          <cell r="C2002" t="str">
            <v>Y018</v>
          </cell>
          <cell r="D2002">
            <v>0</v>
          </cell>
          <cell r="E2002" t="str">
            <v>Bông hoa Venice</v>
          </cell>
          <cell r="F2002" t="str">
            <v>78*65*15</v>
          </cell>
          <cell r="G2002">
            <v>78</v>
          </cell>
          <cell r="H2002">
            <v>65</v>
          </cell>
          <cell r="I2002">
            <v>15</v>
          </cell>
          <cell r="J2002">
            <v>0</v>
          </cell>
          <cell r="K2002">
            <v>0</v>
          </cell>
          <cell r="L2002">
            <v>0.35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 t="e">
            <v>#DIV/0!</v>
          </cell>
          <cell r="S2002">
            <v>0</v>
          </cell>
        </row>
        <row r="2003">
          <cell r="A2003" t="str">
            <v>Y018-080</v>
          </cell>
          <cell r="B2003">
            <v>0</v>
          </cell>
          <cell r="C2003" t="str">
            <v>Y018</v>
          </cell>
          <cell r="D2003" t="str">
            <v>Chạm bông dài</v>
          </cell>
          <cell r="E2003" t="str">
            <v>poly饰花</v>
          </cell>
          <cell r="F2003" t="str">
            <v>650*130*15</v>
          </cell>
          <cell r="G2003">
            <v>650</v>
          </cell>
          <cell r="H2003">
            <v>130</v>
          </cell>
          <cell r="I2003">
            <v>15</v>
          </cell>
          <cell r="J2003">
            <v>0</v>
          </cell>
          <cell r="K2003">
            <v>0</v>
          </cell>
          <cell r="L2003">
            <v>3.3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 t="e">
            <v>#DIV/0!</v>
          </cell>
          <cell r="S2003">
            <v>0</v>
          </cell>
        </row>
        <row r="2004">
          <cell r="A2004" t="str">
            <v>Y018-081</v>
          </cell>
          <cell r="B2004">
            <v>0</v>
          </cell>
          <cell r="C2004" t="str">
            <v>Y018</v>
          </cell>
          <cell r="D2004" t="str">
            <v>Chạm gốc trái</v>
          </cell>
          <cell r="E2004" t="str">
            <v>poly饰花 左</v>
          </cell>
          <cell r="F2004" t="str">
            <v>190*140*18</v>
          </cell>
          <cell r="G2004">
            <v>190</v>
          </cell>
          <cell r="H2004">
            <v>140</v>
          </cell>
          <cell r="I2004">
            <v>18</v>
          </cell>
          <cell r="J2004">
            <v>0</v>
          </cell>
          <cell r="K2004">
            <v>0</v>
          </cell>
          <cell r="L2004">
            <v>1.25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 t="e">
            <v>#DIV/0!</v>
          </cell>
          <cell r="S2004">
            <v>0</v>
          </cell>
        </row>
        <row r="2005">
          <cell r="A2005" t="str">
            <v>Y018-082</v>
          </cell>
          <cell r="B2005">
            <v>0</v>
          </cell>
          <cell r="C2005" t="str">
            <v>Y018</v>
          </cell>
          <cell r="D2005" t="str">
            <v>Chạm gốc phải</v>
          </cell>
          <cell r="E2005" t="str">
            <v>poly饰花 右</v>
          </cell>
          <cell r="F2005" t="str">
            <v>190*140*18</v>
          </cell>
          <cell r="G2005">
            <v>190</v>
          </cell>
          <cell r="H2005">
            <v>140</v>
          </cell>
          <cell r="I2005">
            <v>18</v>
          </cell>
          <cell r="J2005">
            <v>0</v>
          </cell>
          <cell r="K2005">
            <v>0</v>
          </cell>
          <cell r="L2005">
            <v>1.25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 t="e">
            <v>#DIV/0!</v>
          </cell>
          <cell r="S2005">
            <v>0</v>
          </cell>
        </row>
        <row r="2006">
          <cell r="A2006" t="str">
            <v>Y018-083</v>
          </cell>
          <cell r="B2006">
            <v>0</v>
          </cell>
          <cell r="C2006" t="str">
            <v>Y018</v>
          </cell>
          <cell r="D2006" t="str">
            <v>Chạm hai đầu cong nhỏ</v>
          </cell>
          <cell r="E2006" t="str">
            <v>poly饰花</v>
          </cell>
          <cell r="F2006" t="str">
            <v>250*85*13</v>
          </cell>
          <cell r="G2006">
            <v>250</v>
          </cell>
          <cell r="H2006">
            <v>85</v>
          </cell>
          <cell r="I2006">
            <v>13</v>
          </cell>
          <cell r="J2006">
            <v>0</v>
          </cell>
          <cell r="K2006">
            <v>0</v>
          </cell>
          <cell r="L2006">
            <v>0.81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 t="e">
            <v>#DIV/0!</v>
          </cell>
          <cell r="S2006">
            <v>0</v>
          </cell>
        </row>
        <row r="2007">
          <cell r="A2007" t="str">
            <v>Y018-084</v>
          </cell>
          <cell r="B2007">
            <v>0</v>
          </cell>
          <cell r="C2007" t="str">
            <v>Y018</v>
          </cell>
          <cell r="D2007" t="str">
            <v>Chạm bông ngắn</v>
          </cell>
          <cell r="E2007" t="str">
            <v>poly饰花</v>
          </cell>
          <cell r="F2007" t="str">
            <v>350*110*13</v>
          </cell>
          <cell r="G2007">
            <v>350</v>
          </cell>
          <cell r="H2007">
            <v>110</v>
          </cell>
          <cell r="I2007">
            <v>13</v>
          </cell>
          <cell r="J2007">
            <v>0</v>
          </cell>
          <cell r="K2007">
            <v>0</v>
          </cell>
          <cell r="L2007">
            <v>1.32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 t="e">
            <v>#DIV/0!</v>
          </cell>
          <cell r="S2007">
            <v>0</v>
          </cell>
        </row>
        <row r="2008">
          <cell r="A2008" t="str">
            <v>Y018-085</v>
          </cell>
          <cell r="B2008">
            <v>0</v>
          </cell>
          <cell r="C2008" t="str">
            <v>Y018</v>
          </cell>
          <cell r="D2008" t="str">
            <v>Chạm nốt nhạc</v>
          </cell>
          <cell r="E2008" t="str">
            <v>poly饰花</v>
          </cell>
          <cell r="F2008" t="str">
            <v>230*55*12</v>
          </cell>
          <cell r="G2008">
            <v>230</v>
          </cell>
          <cell r="H2008">
            <v>55</v>
          </cell>
          <cell r="I2008">
            <v>12</v>
          </cell>
          <cell r="J2008">
            <v>0</v>
          </cell>
          <cell r="K2008">
            <v>0</v>
          </cell>
          <cell r="L2008">
            <v>0.52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 t="e">
            <v>#DIV/0!</v>
          </cell>
          <cell r="S2008">
            <v>0</v>
          </cell>
        </row>
        <row r="2009">
          <cell r="A2009" t="str">
            <v>Y018-086</v>
          </cell>
          <cell r="B2009">
            <v>0</v>
          </cell>
          <cell r="C2009" t="str">
            <v>Y018</v>
          </cell>
          <cell r="D2009" t="str">
            <v>Đầu cột chạm lớn</v>
          </cell>
          <cell r="E2009" t="str">
            <v>poly饰片</v>
          </cell>
          <cell r="F2009" t="str">
            <v>285*232*60</v>
          </cell>
          <cell r="G2009">
            <v>285</v>
          </cell>
          <cell r="H2009">
            <v>232</v>
          </cell>
          <cell r="I2009">
            <v>60</v>
          </cell>
          <cell r="J2009">
            <v>0</v>
          </cell>
          <cell r="K2009">
            <v>0</v>
          </cell>
          <cell r="L2009">
            <v>9.6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 t="e">
            <v>#DIV/0!</v>
          </cell>
          <cell r="S2009">
            <v>0</v>
          </cell>
        </row>
        <row r="2010">
          <cell r="A2010" t="str">
            <v>Y018-087</v>
          </cell>
          <cell r="B2010">
            <v>0</v>
          </cell>
          <cell r="C2010" t="str">
            <v>Y018</v>
          </cell>
          <cell r="D2010" t="str">
            <v>Đầu cột chạm nhỏ</v>
          </cell>
          <cell r="E2010" t="str">
            <v>poly饰片</v>
          </cell>
          <cell r="F2010" t="str">
            <v>245*175*60</v>
          </cell>
          <cell r="G2010">
            <v>245</v>
          </cell>
          <cell r="H2010">
            <v>175</v>
          </cell>
          <cell r="I2010">
            <v>60</v>
          </cell>
          <cell r="J2010">
            <v>0</v>
          </cell>
          <cell r="K2010">
            <v>0</v>
          </cell>
          <cell r="L2010">
            <v>6.3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 t="e">
            <v>#DIV/0!</v>
          </cell>
          <cell r="S2010">
            <v>0</v>
          </cell>
        </row>
        <row r="2011">
          <cell r="A2011" t="str">
            <v>Y018-088</v>
          </cell>
          <cell r="B2011">
            <v>0</v>
          </cell>
          <cell r="C2011" t="str">
            <v>Y018</v>
          </cell>
          <cell r="D2011">
            <v>0</v>
          </cell>
          <cell r="E2011">
            <v>0</v>
          </cell>
          <cell r="F2011" t="str">
            <v>340*160*42</v>
          </cell>
          <cell r="G2011">
            <v>340</v>
          </cell>
          <cell r="H2011">
            <v>160</v>
          </cell>
          <cell r="I2011">
            <v>42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 t="e">
            <v>#DIV/0!</v>
          </cell>
          <cell r="S2011">
            <v>0</v>
          </cell>
        </row>
        <row r="2012">
          <cell r="A2012" t="str">
            <v>Y018-089</v>
          </cell>
          <cell r="B2012">
            <v>0</v>
          </cell>
          <cell r="C2012" t="str">
            <v>Y018</v>
          </cell>
          <cell r="D2012">
            <v>0</v>
          </cell>
          <cell r="E2012">
            <v>0</v>
          </cell>
          <cell r="F2012" t="str">
            <v>555*240*48</v>
          </cell>
          <cell r="G2012">
            <v>555</v>
          </cell>
          <cell r="H2012">
            <v>240</v>
          </cell>
          <cell r="I2012">
            <v>48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 t="e">
            <v>#DIV/0!</v>
          </cell>
          <cell r="S2012">
            <v>0</v>
          </cell>
        </row>
        <row r="2013">
          <cell r="A2013" t="str">
            <v>Y018-090</v>
          </cell>
          <cell r="B2013" t="str">
            <v>LCT098-055</v>
          </cell>
          <cell r="C2013" t="str">
            <v>Y018</v>
          </cell>
          <cell r="D2013">
            <v>0</v>
          </cell>
          <cell r="E2013" t="str">
            <v xml:space="preserve">chæ vieàn gheá baøn phaán </v>
          </cell>
          <cell r="F2013" t="str">
            <v>365*24*10</v>
          </cell>
          <cell r="G2013">
            <v>365</v>
          </cell>
          <cell r="H2013">
            <v>24</v>
          </cell>
          <cell r="I2013">
            <v>10</v>
          </cell>
          <cell r="J2013">
            <v>0</v>
          </cell>
          <cell r="K2013">
            <v>0</v>
          </cell>
          <cell r="L2013">
            <v>0.26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 t="e">
            <v>#DIV/0!</v>
          </cell>
          <cell r="S2013">
            <v>0</v>
          </cell>
        </row>
        <row r="2014">
          <cell r="A2014" t="str">
            <v>Y018-091</v>
          </cell>
          <cell r="B2014">
            <v>0</v>
          </cell>
          <cell r="C2014" t="str">
            <v>Y018</v>
          </cell>
          <cell r="D2014" t="str">
            <v>mao chạm tủ thái lan</v>
          </cell>
          <cell r="E2014">
            <v>0</v>
          </cell>
          <cell r="F2014" t="str">
            <v>635*255*55</v>
          </cell>
          <cell r="G2014">
            <v>635</v>
          </cell>
          <cell r="H2014">
            <v>255</v>
          </cell>
          <cell r="I2014">
            <v>55</v>
          </cell>
          <cell r="J2014">
            <v>0</v>
          </cell>
          <cell r="K2014">
            <v>0</v>
          </cell>
          <cell r="L2014">
            <v>10.7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 t="e">
            <v>#DIV/0!</v>
          </cell>
          <cell r="S2014">
            <v>0</v>
          </cell>
        </row>
        <row r="2015">
          <cell r="A2015" t="str">
            <v>Y018-092</v>
          </cell>
          <cell r="B2015">
            <v>0</v>
          </cell>
          <cell r="C2015" t="str">
            <v>Y018</v>
          </cell>
          <cell r="D2015" t="str">
            <v>chạm học kéo Y 18</v>
          </cell>
          <cell r="E2015">
            <v>0</v>
          </cell>
          <cell r="F2015" t="str">
            <v>130*30*12</v>
          </cell>
          <cell r="G2015">
            <v>130</v>
          </cell>
          <cell r="H2015">
            <v>30</v>
          </cell>
          <cell r="I2015">
            <v>12</v>
          </cell>
          <cell r="J2015">
            <v>0</v>
          </cell>
          <cell r="K2015">
            <v>0</v>
          </cell>
          <cell r="L2015">
            <v>0.12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 t="e">
            <v>#DIV/0!</v>
          </cell>
          <cell r="S2015">
            <v>0</v>
          </cell>
        </row>
        <row r="2016">
          <cell r="A2016" t="str">
            <v>Y018-093</v>
          </cell>
          <cell r="B2016">
            <v>0</v>
          </cell>
          <cell r="C2016" t="str">
            <v>Y018</v>
          </cell>
          <cell r="D2016" t="str">
            <v>chạm học kéo Y 18</v>
          </cell>
          <cell r="E2016">
            <v>0</v>
          </cell>
          <cell r="F2016" t="str">
            <v>300*20*12</v>
          </cell>
          <cell r="G2016">
            <v>300</v>
          </cell>
          <cell r="H2016">
            <v>20</v>
          </cell>
          <cell r="I2016">
            <v>12</v>
          </cell>
          <cell r="J2016">
            <v>0</v>
          </cell>
          <cell r="K2016">
            <v>0</v>
          </cell>
          <cell r="L2016">
            <v>0.17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 t="e">
            <v>#DIV/0!</v>
          </cell>
          <cell r="S2016">
            <v>0</v>
          </cell>
        </row>
        <row r="2017">
          <cell r="A2017" t="str">
            <v>Y018-094</v>
          </cell>
          <cell r="B2017">
            <v>0</v>
          </cell>
          <cell r="C2017" t="str">
            <v>Y018</v>
          </cell>
          <cell r="D2017">
            <v>0</v>
          </cell>
          <cell r="E2017">
            <v>0</v>
          </cell>
          <cell r="F2017" t="str">
            <v>430*215*50</v>
          </cell>
          <cell r="G2017">
            <v>430</v>
          </cell>
          <cell r="H2017">
            <v>215</v>
          </cell>
          <cell r="I2017">
            <v>50</v>
          </cell>
          <cell r="J2017">
            <v>0</v>
          </cell>
          <cell r="K2017">
            <v>0</v>
          </cell>
          <cell r="L2017">
            <v>6.3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 t="e">
            <v>#DIV/0!</v>
          </cell>
          <cell r="S2017">
            <v>0</v>
          </cell>
        </row>
        <row r="2018">
          <cell r="A2018" t="str">
            <v>Y018-095</v>
          </cell>
          <cell r="B2018">
            <v>0</v>
          </cell>
          <cell r="C2018" t="str">
            <v>Y018</v>
          </cell>
          <cell r="D2018">
            <v>0</v>
          </cell>
          <cell r="E2018">
            <v>0</v>
          </cell>
          <cell r="F2018" t="str">
            <v>140*47*32</v>
          </cell>
          <cell r="G2018">
            <v>140</v>
          </cell>
          <cell r="H2018">
            <v>47</v>
          </cell>
          <cell r="I2018">
            <v>32</v>
          </cell>
          <cell r="J2018">
            <v>0</v>
          </cell>
          <cell r="K2018">
            <v>0</v>
          </cell>
          <cell r="L2018">
            <v>0.39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 t="e">
            <v>#DIV/0!</v>
          </cell>
          <cell r="S2018">
            <v>0</v>
          </cell>
        </row>
        <row r="2019">
          <cell r="A2019" t="str">
            <v>Y018-096</v>
          </cell>
          <cell r="B2019">
            <v>0</v>
          </cell>
          <cell r="C2019" t="str">
            <v>Y018</v>
          </cell>
          <cell r="D2019" t="str">
            <v xml:space="preserve">hoa poly </v>
          </cell>
          <cell r="E2019" t="str">
            <v>花</v>
          </cell>
          <cell r="F2019" t="str">
            <v>598*186*34</v>
          </cell>
          <cell r="G2019">
            <v>598</v>
          </cell>
          <cell r="H2019">
            <v>186</v>
          </cell>
          <cell r="I2019">
            <v>34</v>
          </cell>
          <cell r="J2019">
            <v>0</v>
          </cell>
          <cell r="K2019">
            <v>0</v>
          </cell>
          <cell r="L2019">
            <v>4.5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 t="e">
            <v>#DIV/0!</v>
          </cell>
          <cell r="S2019">
            <v>0</v>
          </cell>
        </row>
        <row r="2020">
          <cell r="A2020" t="str">
            <v>Y018-097</v>
          </cell>
          <cell r="B2020">
            <v>0</v>
          </cell>
          <cell r="C2020" t="str">
            <v>Y018</v>
          </cell>
          <cell r="D2020" t="str">
            <v xml:space="preserve">hoa poly </v>
          </cell>
          <cell r="E2020" t="str">
            <v>花</v>
          </cell>
          <cell r="F2020" t="str">
            <v>416*170*33</v>
          </cell>
          <cell r="G2020">
            <v>416</v>
          </cell>
          <cell r="H2020">
            <v>170</v>
          </cell>
          <cell r="I2020">
            <v>33</v>
          </cell>
          <cell r="J2020">
            <v>0</v>
          </cell>
          <cell r="K2020">
            <v>0</v>
          </cell>
          <cell r="L2020">
            <v>2.2999999999999998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 t="e">
            <v>#DIV/0!</v>
          </cell>
          <cell r="S2020">
            <v>0</v>
          </cell>
        </row>
        <row r="2021">
          <cell r="A2021" t="str">
            <v>Y018-098</v>
          </cell>
          <cell r="B2021">
            <v>0</v>
          </cell>
          <cell r="C2021" t="str">
            <v>Y018</v>
          </cell>
          <cell r="D2021" t="str">
            <v xml:space="preserve">hoa poly </v>
          </cell>
          <cell r="E2021" t="str">
            <v>花</v>
          </cell>
          <cell r="F2021" t="str">
            <v>157*157*35</v>
          </cell>
          <cell r="G2021">
            <v>157</v>
          </cell>
          <cell r="H2021">
            <v>157</v>
          </cell>
          <cell r="I2021">
            <v>35</v>
          </cell>
          <cell r="J2021">
            <v>0</v>
          </cell>
          <cell r="K2021">
            <v>0</v>
          </cell>
          <cell r="L2021">
            <v>2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 t="e">
            <v>#DIV/0!</v>
          </cell>
          <cell r="S2021">
            <v>0</v>
          </cell>
        </row>
        <row r="2022">
          <cell r="A2022" t="str">
            <v>Y018-099</v>
          </cell>
          <cell r="B2022">
            <v>0</v>
          </cell>
          <cell r="C2022" t="str">
            <v>Y018</v>
          </cell>
          <cell r="D2022" t="str">
            <v xml:space="preserve">hoa poly </v>
          </cell>
          <cell r="E2022" t="str">
            <v>花</v>
          </cell>
          <cell r="F2022">
            <v>0</v>
          </cell>
          <cell r="G2022">
            <v>405</v>
          </cell>
          <cell r="H2022">
            <v>205</v>
          </cell>
          <cell r="I2022">
            <v>47</v>
          </cell>
          <cell r="J2022">
            <v>0</v>
          </cell>
          <cell r="K2022">
            <v>0</v>
          </cell>
          <cell r="L2022">
            <v>8.1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 t="e">
            <v>#DIV/0!</v>
          </cell>
          <cell r="S2022">
            <v>0</v>
          </cell>
        </row>
        <row r="2023">
          <cell r="A2023" t="str">
            <v>Y018-100</v>
          </cell>
          <cell r="B2023">
            <v>0</v>
          </cell>
          <cell r="C2023" t="str">
            <v>Y018</v>
          </cell>
          <cell r="D2023">
            <v>0</v>
          </cell>
          <cell r="E2023">
            <v>0</v>
          </cell>
          <cell r="F2023" t="str">
            <v>200*100*23.5</v>
          </cell>
          <cell r="G2023">
            <v>200</v>
          </cell>
          <cell r="H2023">
            <v>100</v>
          </cell>
          <cell r="I2023">
            <v>23.5</v>
          </cell>
          <cell r="J2023">
            <v>189</v>
          </cell>
          <cell r="K2023">
            <v>0</v>
          </cell>
          <cell r="L2023">
            <v>0.63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3.3333333333333335</v>
          </cell>
          <cell r="S2023">
            <v>0</v>
          </cell>
        </row>
        <row r="2024">
          <cell r="A2024" t="str">
            <v>Y018-101</v>
          </cell>
          <cell r="B2024">
            <v>0</v>
          </cell>
          <cell r="C2024" t="str">
            <v>Y018</v>
          </cell>
          <cell r="D2024">
            <v>0</v>
          </cell>
          <cell r="E2024">
            <v>0</v>
          </cell>
          <cell r="F2024" t="str">
            <v>265*75*24</v>
          </cell>
          <cell r="G2024">
            <v>265</v>
          </cell>
          <cell r="H2024">
            <v>75</v>
          </cell>
          <cell r="I2024">
            <v>24</v>
          </cell>
          <cell r="J2024">
            <v>266</v>
          </cell>
          <cell r="K2024">
            <v>0</v>
          </cell>
          <cell r="L2024">
            <v>0.89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3.3458646616541352</v>
          </cell>
          <cell r="S2024">
            <v>0</v>
          </cell>
        </row>
        <row r="2025">
          <cell r="A2025" t="str">
            <v>Y018-102</v>
          </cell>
          <cell r="B2025">
            <v>0</v>
          </cell>
          <cell r="C2025" t="str">
            <v>Y018</v>
          </cell>
          <cell r="D2025">
            <v>0</v>
          </cell>
          <cell r="E2025">
            <v>0</v>
          </cell>
          <cell r="F2025" t="str">
            <v>265*75*24</v>
          </cell>
          <cell r="G2025">
            <v>265</v>
          </cell>
          <cell r="H2025">
            <v>75</v>
          </cell>
          <cell r="I2025">
            <v>24</v>
          </cell>
          <cell r="J2025">
            <v>266</v>
          </cell>
          <cell r="K2025">
            <v>0</v>
          </cell>
          <cell r="L2025">
            <v>0.89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3.3458646616541352</v>
          </cell>
          <cell r="S2025">
            <v>0</v>
          </cell>
        </row>
        <row r="2026">
          <cell r="A2026" t="str">
            <v>Y018-103</v>
          </cell>
          <cell r="B2026">
            <v>0</v>
          </cell>
          <cell r="C2026" t="str">
            <v>Y018</v>
          </cell>
          <cell r="D2026">
            <v>0</v>
          </cell>
          <cell r="E2026">
            <v>0</v>
          </cell>
          <cell r="F2026" t="str">
            <v>350*100*23.5</v>
          </cell>
          <cell r="G2026">
            <v>350</v>
          </cell>
          <cell r="H2026">
            <v>100</v>
          </cell>
          <cell r="I2026">
            <v>23.5</v>
          </cell>
          <cell r="J2026">
            <v>358</v>
          </cell>
          <cell r="K2026">
            <v>0</v>
          </cell>
          <cell r="L2026">
            <v>1.32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3.6871508379888271</v>
          </cell>
          <cell r="S2026">
            <v>0</v>
          </cell>
        </row>
        <row r="2027">
          <cell r="A2027" t="str">
            <v>Y018-104</v>
          </cell>
          <cell r="B2027">
            <v>0</v>
          </cell>
          <cell r="C2027" t="str">
            <v>Y018</v>
          </cell>
          <cell r="D2027">
            <v>0</v>
          </cell>
          <cell r="E2027">
            <v>0</v>
          </cell>
          <cell r="F2027" t="str">
            <v>426*192*24</v>
          </cell>
          <cell r="G2027">
            <v>426</v>
          </cell>
          <cell r="H2027">
            <v>192</v>
          </cell>
          <cell r="I2027">
            <v>24</v>
          </cell>
          <cell r="J2027">
            <v>1908</v>
          </cell>
          <cell r="K2027">
            <v>0</v>
          </cell>
          <cell r="L2027">
            <v>3.34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1.750524109014675</v>
          </cell>
          <cell r="S2027">
            <v>0</v>
          </cell>
        </row>
        <row r="2028">
          <cell r="A2028" t="str">
            <v>Y018-105</v>
          </cell>
          <cell r="B2028">
            <v>0</v>
          </cell>
          <cell r="C2028" t="str">
            <v>Y018</v>
          </cell>
          <cell r="D2028" t="str">
            <v xml:space="preserve">hoa poly </v>
          </cell>
          <cell r="E2028" t="str">
            <v>花</v>
          </cell>
          <cell r="F2028" t="str">
            <v>605*184*47</v>
          </cell>
          <cell r="G2028">
            <v>605</v>
          </cell>
          <cell r="H2028">
            <v>184</v>
          </cell>
          <cell r="I2028">
            <v>47</v>
          </cell>
          <cell r="J2028">
            <v>2399</v>
          </cell>
          <cell r="K2028">
            <v>0</v>
          </cell>
          <cell r="L2028">
            <v>8.8000000000000007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3.6681950812838684</v>
          </cell>
          <cell r="S2028">
            <v>0</v>
          </cell>
        </row>
        <row r="2029">
          <cell r="A2029" t="str">
            <v>Y018-106</v>
          </cell>
          <cell r="B2029">
            <v>0</v>
          </cell>
          <cell r="C2029" t="str">
            <v>Y018</v>
          </cell>
          <cell r="D2029" t="str">
            <v>khung gương</v>
          </cell>
          <cell r="E2029" t="str">
            <v>镜框</v>
          </cell>
          <cell r="F2029" t="str">
            <v>1180*900*40</v>
          </cell>
          <cell r="G2029">
            <v>1180</v>
          </cell>
          <cell r="H2029">
            <v>900</v>
          </cell>
          <cell r="I2029">
            <v>40</v>
          </cell>
          <cell r="J2029">
            <v>0</v>
          </cell>
          <cell r="K2029">
            <v>0</v>
          </cell>
          <cell r="L2029">
            <v>60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 t="e">
            <v>#DIV/0!</v>
          </cell>
          <cell r="S2029">
            <v>0</v>
          </cell>
        </row>
        <row r="2030">
          <cell r="A2030" t="str">
            <v>Y018-107</v>
          </cell>
          <cell r="B2030">
            <v>0</v>
          </cell>
          <cell r="C2030" t="str">
            <v>Y018</v>
          </cell>
          <cell r="D2030" t="str">
            <v>chạm tủ thái lan trái</v>
          </cell>
          <cell r="E2030">
            <v>0</v>
          </cell>
          <cell r="F2030" t="str">
            <v>95*60*12</v>
          </cell>
          <cell r="G2030">
            <v>95</v>
          </cell>
          <cell r="H2030">
            <v>60</v>
          </cell>
          <cell r="I2030">
            <v>12</v>
          </cell>
          <cell r="J2030">
            <v>0</v>
          </cell>
          <cell r="K2030">
            <v>0</v>
          </cell>
          <cell r="L2030">
            <v>0.22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 t="e">
            <v>#DIV/0!</v>
          </cell>
          <cell r="S2030">
            <v>0</v>
          </cell>
        </row>
        <row r="2031">
          <cell r="A2031" t="str">
            <v>Y018-108</v>
          </cell>
          <cell r="B2031">
            <v>0</v>
          </cell>
          <cell r="C2031" t="str">
            <v>Y018</v>
          </cell>
          <cell r="D2031" t="str">
            <v>chạm tủ thái lan phải</v>
          </cell>
          <cell r="E2031">
            <v>0</v>
          </cell>
          <cell r="F2031" t="str">
            <v>95*60*12</v>
          </cell>
          <cell r="G2031">
            <v>95</v>
          </cell>
          <cell r="H2031">
            <v>60</v>
          </cell>
          <cell r="I2031">
            <v>12</v>
          </cell>
          <cell r="J2031">
            <v>0</v>
          </cell>
          <cell r="K2031">
            <v>0</v>
          </cell>
          <cell r="L2031">
            <v>0.22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 t="e">
            <v>#DIV/0!</v>
          </cell>
          <cell r="S2031">
            <v>0</v>
          </cell>
        </row>
        <row r="2032">
          <cell r="A2032" t="str">
            <v>Y018-109</v>
          </cell>
          <cell r="B2032">
            <v>0</v>
          </cell>
          <cell r="C2032" t="str">
            <v>Y018</v>
          </cell>
          <cell r="D2032" t="str">
            <v>chạm tủ thái lan trái</v>
          </cell>
          <cell r="E2032">
            <v>0</v>
          </cell>
          <cell r="F2032" t="str">
            <v>150*55*12</v>
          </cell>
          <cell r="G2032">
            <v>150</v>
          </cell>
          <cell r="H2032">
            <v>55</v>
          </cell>
          <cell r="I2032">
            <v>12</v>
          </cell>
          <cell r="J2032">
            <v>0</v>
          </cell>
          <cell r="K2032">
            <v>0</v>
          </cell>
          <cell r="L2032">
            <v>0.3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 t="e">
            <v>#DIV/0!</v>
          </cell>
          <cell r="S2032">
            <v>0</v>
          </cell>
        </row>
        <row r="2033">
          <cell r="A2033" t="str">
            <v>Y018-110</v>
          </cell>
          <cell r="B2033">
            <v>0</v>
          </cell>
          <cell r="C2033" t="str">
            <v>Y018</v>
          </cell>
          <cell r="D2033" t="str">
            <v>chạm tủ thái lan phải</v>
          </cell>
          <cell r="E2033">
            <v>0</v>
          </cell>
          <cell r="F2033" t="str">
            <v>150*55*12</v>
          </cell>
          <cell r="G2033">
            <v>150</v>
          </cell>
          <cell r="H2033">
            <v>55</v>
          </cell>
          <cell r="I2033">
            <v>12</v>
          </cell>
          <cell r="J2033">
            <v>0</v>
          </cell>
          <cell r="K2033">
            <v>0</v>
          </cell>
          <cell r="L2033">
            <v>0.3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 t="e">
            <v>#DIV/0!</v>
          </cell>
          <cell r="S2033">
            <v>0</v>
          </cell>
        </row>
        <row r="2034">
          <cell r="A2034" t="str">
            <v>Y018-111</v>
          </cell>
          <cell r="B2034">
            <v>0</v>
          </cell>
          <cell r="C2034" t="str">
            <v>Y018</v>
          </cell>
          <cell r="D2034" t="str">
            <v>chạm tủ thái lan trái</v>
          </cell>
          <cell r="E2034">
            <v>0</v>
          </cell>
          <cell r="F2034" t="str">
            <v>130*30*12</v>
          </cell>
          <cell r="G2034">
            <v>130</v>
          </cell>
          <cell r="H2034">
            <v>30</v>
          </cell>
          <cell r="I2034">
            <v>12</v>
          </cell>
          <cell r="J2034">
            <v>0</v>
          </cell>
          <cell r="K2034">
            <v>0</v>
          </cell>
          <cell r="L2034">
            <v>0.17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 t="e">
            <v>#DIV/0!</v>
          </cell>
          <cell r="S2034">
            <v>0</v>
          </cell>
        </row>
        <row r="2035">
          <cell r="A2035" t="str">
            <v>Y018-112</v>
          </cell>
          <cell r="B2035">
            <v>0</v>
          </cell>
          <cell r="C2035" t="str">
            <v>Y018</v>
          </cell>
          <cell r="D2035" t="str">
            <v>chạm tủ thái lan phải</v>
          </cell>
          <cell r="E2035">
            <v>0</v>
          </cell>
          <cell r="F2035" t="str">
            <v>130*30*12</v>
          </cell>
          <cell r="G2035">
            <v>130</v>
          </cell>
          <cell r="H2035">
            <v>30</v>
          </cell>
          <cell r="I2035">
            <v>12</v>
          </cell>
          <cell r="J2035">
            <v>0</v>
          </cell>
          <cell r="K2035">
            <v>0</v>
          </cell>
          <cell r="L2035">
            <v>0.17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 t="e">
            <v>#DIV/0!</v>
          </cell>
          <cell r="S2035">
            <v>0</v>
          </cell>
        </row>
        <row r="2036">
          <cell r="A2036" t="str">
            <v>Y018-113</v>
          </cell>
          <cell r="B2036">
            <v>0</v>
          </cell>
          <cell r="C2036" t="str">
            <v>Y018</v>
          </cell>
          <cell r="D2036" t="str">
            <v>CHẠM HOA</v>
          </cell>
          <cell r="E2036">
            <v>0</v>
          </cell>
          <cell r="F2036" t="str">
            <v>625*55*14.5</v>
          </cell>
          <cell r="G2036">
            <v>625</v>
          </cell>
          <cell r="H2036">
            <v>55</v>
          </cell>
          <cell r="I2036">
            <v>14.5</v>
          </cell>
          <cell r="J2036">
            <v>450</v>
          </cell>
          <cell r="K2036">
            <v>0</v>
          </cell>
          <cell r="L2036">
            <v>1.3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2.8888888888888888</v>
          </cell>
          <cell r="S2036">
            <v>0</v>
          </cell>
          <cell r="T2036">
            <v>0</v>
          </cell>
        </row>
        <row r="2037">
          <cell r="A2037" t="str">
            <v>Y018-114</v>
          </cell>
          <cell r="B2037">
            <v>0</v>
          </cell>
          <cell r="C2037" t="str">
            <v>Y018</v>
          </cell>
          <cell r="D2037" t="str">
            <v>CHẠM HOA</v>
          </cell>
          <cell r="E2037">
            <v>0</v>
          </cell>
          <cell r="F2037" t="str">
            <v>1111*75*22</v>
          </cell>
          <cell r="G2037">
            <v>1111</v>
          </cell>
          <cell r="H2037">
            <v>75</v>
          </cell>
          <cell r="I2037">
            <v>22</v>
          </cell>
          <cell r="J2037">
            <v>1526</v>
          </cell>
          <cell r="K2037">
            <v>0</v>
          </cell>
          <cell r="L2037">
            <v>5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3.2765399737876804</v>
          </cell>
          <cell r="S2037">
            <v>0</v>
          </cell>
          <cell r="T2037">
            <v>0</v>
          </cell>
        </row>
        <row r="2038">
          <cell r="A2038" t="str">
            <v>Y018-115</v>
          </cell>
          <cell r="B2038">
            <v>0</v>
          </cell>
          <cell r="C2038" t="str">
            <v>Y018</v>
          </cell>
          <cell r="D2038">
            <v>0</v>
          </cell>
          <cell r="E2038">
            <v>0</v>
          </cell>
          <cell r="F2038">
            <v>0</v>
          </cell>
          <cell r="G2038">
            <v>405</v>
          </cell>
          <cell r="H2038">
            <v>135</v>
          </cell>
          <cell r="I2038">
            <v>50</v>
          </cell>
          <cell r="J2038">
            <v>1093</v>
          </cell>
          <cell r="K2038">
            <v>0</v>
          </cell>
          <cell r="L2038">
            <v>3.4</v>
          </cell>
          <cell r="M2038">
            <v>0</v>
          </cell>
          <cell r="N2038">
            <v>32</v>
          </cell>
          <cell r="O2038">
            <v>0</v>
          </cell>
          <cell r="P2038">
            <v>0</v>
          </cell>
          <cell r="Q2038">
            <v>0</v>
          </cell>
          <cell r="R2038">
            <v>3.110704483074108</v>
          </cell>
          <cell r="S2038">
            <v>0</v>
          </cell>
          <cell r="T2038">
            <v>0</v>
          </cell>
        </row>
        <row r="2039">
          <cell r="A2039" t="str">
            <v>Y018-116</v>
          </cell>
          <cell r="B2039">
            <v>0</v>
          </cell>
          <cell r="C2039" t="str">
            <v>Y018</v>
          </cell>
          <cell r="D2039" t="str">
            <v xml:space="preserve">HOA poly </v>
          </cell>
          <cell r="E2039" t="str">
            <v>饰花</v>
          </cell>
          <cell r="F2039" t="str">
            <v>370*35*10</v>
          </cell>
          <cell r="G2039">
            <v>370</v>
          </cell>
          <cell r="H2039">
            <v>35</v>
          </cell>
          <cell r="I2039">
            <v>10</v>
          </cell>
          <cell r="J2039">
            <v>120</v>
          </cell>
          <cell r="K2039">
            <v>0</v>
          </cell>
          <cell r="L2039">
            <v>0.38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 t="str">
            <v>1010</v>
          </cell>
          <cell r="R2039">
            <v>3.166666666666667</v>
          </cell>
          <cell r="S2039">
            <v>0</v>
          </cell>
          <cell r="T2039">
            <v>0</v>
          </cell>
        </row>
        <row r="2040">
          <cell r="A2040" t="str">
            <v>Y018-117</v>
          </cell>
          <cell r="B2040" t="str">
            <v>LCT098-025</v>
          </cell>
          <cell r="C2040" t="str">
            <v>Y018</v>
          </cell>
          <cell r="D2040" t="str">
            <v>Banh quy nho</v>
          </cell>
          <cell r="E2040">
            <v>0</v>
          </cell>
          <cell r="F2040" t="str">
            <v>33*33*12</v>
          </cell>
          <cell r="G2040">
            <v>33</v>
          </cell>
          <cell r="H2040">
            <v>33</v>
          </cell>
          <cell r="I2040">
            <v>12</v>
          </cell>
          <cell r="J2040">
            <v>0</v>
          </cell>
          <cell r="K2040">
            <v>0</v>
          </cell>
          <cell r="L2040">
            <v>0.69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</row>
        <row r="2041">
          <cell r="A2041" t="str">
            <v>Y018-118</v>
          </cell>
          <cell r="B2041">
            <v>0</v>
          </cell>
          <cell r="C2041" t="str">
            <v>Y018</v>
          </cell>
          <cell r="D2041">
            <v>0</v>
          </cell>
          <cell r="E2041">
            <v>0</v>
          </cell>
          <cell r="F2041" t="str">
            <v>220*120*12</v>
          </cell>
          <cell r="G2041">
            <v>220</v>
          </cell>
          <cell r="H2041">
            <v>120</v>
          </cell>
          <cell r="I2041">
            <v>12</v>
          </cell>
          <cell r="J2041">
            <v>120</v>
          </cell>
          <cell r="K2041">
            <v>0</v>
          </cell>
          <cell r="L2041">
            <v>0.38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</row>
        <row r="2042">
          <cell r="A2042" t="str">
            <v>Y018-119</v>
          </cell>
          <cell r="B2042">
            <v>0</v>
          </cell>
          <cell r="C2042" t="str">
            <v>Y018</v>
          </cell>
          <cell r="D2042" t="str">
            <v xml:space="preserve">HOA poly </v>
          </cell>
          <cell r="E2042" t="str">
            <v>饰花</v>
          </cell>
          <cell r="F2042" t="str">
            <v>203*20*16</v>
          </cell>
          <cell r="G2042">
            <v>203</v>
          </cell>
          <cell r="H2042">
            <v>20</v>
          </cell>
          <cell r="I2042">
            <v>16</v>
          </cell>
          <cell r="J2042">
            <v>0</v>
          </cell>
          <cell r="K2042">
            <v>0</v>
          </cell>
          <cell r="L2042">
            <v>0.18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</row>
        <row r="2043">
          <cell r="A2043" t="str">
            <v>Y018-120</v>
          </cell>
          <cell r="B2043">
            <v>0</v>
          </cell>
          <cell r="C2043" t="str">
            <v>Y018</v>
          </cell>
          <cell r="D2043" t="str">
            <v xml:space="preserve">HOA poly </v>
          </cell>
          <cell r="E2043" t="str">
            <v>饰花</v>
          </cell>
          <cell r="F2043" t="str">
            <v>314*195*14</v>
          </cell>
          <cell r="G2043">
            <v>314</v>
          </cell>
          <cell r="H2043">
            <v>195</v>
          </cell>
          <cell r="I2043">
            <v>14</v>
          </cell>
          <cell r="J2043">
            <v>0</v>
          </cell>
          <cell r="K2043">
            <v>0</v>
          </cell>
          <cell r="L2043">
            <v>0.74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43313</v>
          </cell>
          <cell r="T2043">
            <v>0</v>
          </cell>
        </row>
        <row r="2044">
          <cell r="A2044" t="str">
            <v>Y018-121</v>
          </cell>
          <cell r="B2044">
            <v>0</v>
          </cell>
          <cell r="C2044" t="str">
            <v>Y018</v>
          </cell>
          <cell r="D2044" t="str">
            <v>POLY HÌNH MẸ BỒNG CON</v>
          </cell>
          <cell r="E2044">
            <v>0</v>
          </cell>
          <cell r="F2044" t="str">
            <v>600*300*73/14</v>
          </cell>
          <cell r="G2044">
            <v>600</v>
          </cell>
          <cell r="H2044">
            <v>300</v>
          </cell>
          <cell r="I2044" t="str">
            <v>73/14</v>
          </cell>
          <cell r="J2044">
            <v>0</v>
          </cell>
          <cell r="K2044">
            <v>0</v>
          </cell>
          <cell r="L2044">
            <v>18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</row>
        <row r="2045">
          <cell r="A2045" t="str">
            <v>Y018-122</v>
          </cell>
          <cell r="B2045">
            <v>0</v>
          </cell>
          <cell r="C2045" t="str">
            <v>Y018</v>
          </cell>
          <cell r="D2045" t="str">
            <v>POLY HÌNH BÌNH HOA</v>
          </cell>
          <cell r="E2045">
            <v>0</v>
          </cell>
          <cell r="F2045" t="str">
            <v>452*300*33/17</v>
          </cell>
          <cell r="G2045">
            <v>452</v>
          </cell>
          <cell r="H2045">
            <v>300</v>
          </cell>
          <cell r="I2045" t="str">
            <v>33/17</v>
          </cell>
          <cell r="J2045">
            <v>0</v>
          </cell>
          <cell r="K2045">
            <v>0</v>
          </cell>
          <cell r="L2045">
            <v>12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</row>
        <row r="2046">
          <cell r="A2046" t="str">
            <v>Y018-123</v>
          </cell>
          <cell r="B2046">
            <v>0</v>
          </cell>
          <cell r="C2046" t="str">
            <v>Y018</v>
          </cell>
          <cell r="D2046" t="str">
            <v>KHUNG KIẾNG MẶT TRỜI</v>
          </cell>
          <cell r="E2046">
            <v>0</v>
          </cell>
          <cell r="F2046" t="str">
            <v>980*980*31</v>
          </cell>
          <cell r="G2046">
            <v>980</v>
          </cell>
          <cell r="H2046">
            <v>980</v>
          </cell>
          <cell r="I2046">
            <v>31</v>
          </cell>
          <cell r="J2046">
            <v>0</v>
          </cell>
          <cell r="K2046">
            <v>0</v>
          </cell>
          <cell r="L2046">
            <v>36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43449</v>
          </cell>
          <cell r="T2046">
            <v>0</v>
          </cell>
        </row>
        <row r="2047">
          <cell r="A2047" t="str">
            <v>Y018-124</v>
          </cell>
          <cell r="B2047">
            <v>0</v>
          </cell>
          <cell r="C2047" t="str">
            <v>Y018</v>
          </cell>
          <cell r="D2047" t="str">
            <v>KHUNG KIẾNG TRÒN SÓNG</v>
          </cell>
          <cell r="E2047">
            <v>0</v>
          </cell>
          <cell r="F2047" t="str">
            <v>970*970*30</v>
          </cell>
          <cell r="G2047">
            <v>970</v>
          </cell>
          <cell r="H2047">
            <v>970</v>
          </cell>
          <cell r="I2047">
            <v>30</v>
          </cell>
          <cell r="J2047">
            <v>0</v>
          </cell>
          <cell r="K2047">
            <v>0</v>
          </cell>
          <cell r="L2047">
            <v>33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</row>
        <row r="2048">
          <cell r="A2048" t="str">
            <v>Y018-125</v>
          </cell>
          <cell r="B2048">
            <v>0</v>
          </cell>
          <cell r="C2048" t="str">
            <v>Y018</v>
          </cell>
          <cell r="D2048">
            <v>0</v>
          </cell>
          <cell r="E2048" t="str">
            <v>Mao cham venice lon</v>
          </cell>
          <cell r="F2048" t="str">
            <v>500*190*45</v>
          </cell>
          <cell r="G2048">
            <v>500</v>
          </cell>
          <cell r="H2048">
            <v>190</v>
          </cell>
          <cell r="I2048">
            <v>45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</row>
        <row r="2049">
          <cell r="A2049" t="str">
            <v>Y018-126</v>
          </cell>
          <cell r="B2049">
            <v>0</v>
          </cell>
          <cell r="C2049" t="str">
            <v>Y018</v>
          </cell>
          <cell r="D2049">
            <v>0</v>
          </cell>
          <cell r="E2049" t="str">
            <v>chạm diềm đôn ghế bàn phấn</v>
          </cell>
          <cell r="F2049" t="str">
            <v>299*88*20</v>
          </cell>
          <cell r="G2049">
            <v>299</v>
          </cell>
          <cell r="H2049">
            <v>88</v>
          </cell>
          <cell r="I2049">
            <v>20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</row>
        <row r="2050">
          <cell r="A2050" t="str">
            <v>Y018-2001</v>
          </cell>
          <cell r="B2050">
            <v>0</v>
          </cell>
          <cell r="C2050" t="str">
            <v>Y019</v>
          </cell>
          <cell r="D2050" t="str">
            <v>CHẠM HOA</v>
          </cell>
          <cell r="E2050">
            <v>0</v>
          </cell>
          <cell r="F2050" t="str">
            <v>975*220*48</v>
          </cell>
          <cell r="G2050">
            <v>975</v>
          </cell>
          <cell r="H2050">
            <v>220</v>
          </cell>
          <cell r="I2050">
            <v>48</v>
          </cell>
          <cell r="J2050">
            <v>0</v>
          </cell>
          <cell r="K2050">
            <v>0</v>
          </cell>
          <cell r="L2050">
            <v>11.3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</row>
        <row r="2051">
          <cell r="A2051" t="str">
            <v>Y019-001</v>
          </cell>
          <cell r="B2051" t="str">
            <v>LCT082-004</v>
          </cell>
          <cell r="C2051" t="str">
            <v>Y019</v>
          </cell>
          <cell r="D2051" t="str">
            <v>53 SOFA</v>
          </cell>
          <cell r="E2051" t="str">
            <v>3人位 -中</v>
          </cell>
          <cell r="F2051" t="str">
            <v>615*110*5</v>
          </cell>
          <cell r="G2051">
            <v>615</v>
          </cell>
          <cell r="H2051">
            <v>110</v>
          </cell>
          <cell r="I2051">
            <v>5</v>
          </cell>
          <cell r="J2051">
            <v>190</v>
          </cell>
          <cell r="K2051">
            <v>0</v>
          </cell>
          <cell r="L2051">
            <v>0.83599999999999997</v>
          </cell>
          <cell r="M2051">
            <v>0</v>
          </cell>
          <cell r="N2051">
            <v>0</v>
          </cell>
          <cell r="O2051">
            <v>0</v>
          </cell>
          <cell r="P2051" t="str">
            <v>1010</v>
          </cell>
          <cell r="Q2051" t="str">
            <v>1010</v>
          </cell>
          <cell r="R2051">
            <v>4.3999999999999995</v>
          </cell>
          <cell r="S2051">
            <v>0</v>
          </cell>
          <cell r="T2051">
            <v>0</v>
          </cell>
        </row>
        <row r="2052">
          <cell r="A2052" t="str">
            <v>Y019-002</v>
          </cell>
          <cell r="B2052" t="str">
            <v>LCT082-013</v>
          </cell>
          <cell r="C2052" t="str">
            <v>Y019</v>
          </cell>
          <cell r="D2052" t="str">
            <v>KENSINGTON</v>
          </cell>
          <cell r="E2052" t="str">
            <v>LOVO SEAT</v>
          </cell>
          <cell r="F2052" t="str">
            <v>1705*190*10</v>
          </cell>
          <cell r="G2052">
            <v>1705</v>
          </cell>
          <cell r="H2052">
            <v>190</v>
          </cell>
          <cell r="I2052">
            <v>10</v>
          </cell>
          <cell r="J2052">
            <v>1440</v>
          </cell>
          <cell r="K2052">
            <v>0</v>
          </cell>
          <cell r="L2052">
            <v>2.97</v>
          </cell>
          <cell r="M2052">
            <v>0</v>
          </cell>
          <cell r="N2052">
            <v>0</v>
          </cell>
          <cell r="O2052">
            <v>0</v>
          </cell>
          <cell r="P2052" t="str">
            <v>1010</v>
          </cell>
          <cell r="Q2052" t="str">
            <v>1010</v>
          </cell>
          <cell r="R2052">
            <v>2.0625</v>
          </cell>
        </row>
        <row r="2053">
          <cell r="A2053" t="str">
            <v>Y019-003</v>
          </cell>
          <cell r="B2053" t="str">
            <v>LCT082-014</v>
          </cell>
          <cell r="C2053" t="str">
            <v>Y019</v>
          </cell>
          <cell r="D2053" t="str">
            <v>KENSINGTON</v>
          </cell>
          <cell r="E2053" t="str">
            <v xml:space="preserve">SOFA SEAT </v>
          </cell>
          <cell r="F2053" t="str">
            <v>1185*195*10</v>
          </cell>
          <cell r="G2053">
            <v>1185</v>
          </cell>
          <cell r="H2053">
            <v>195</v>
          </cell>
          <cell r="I2053">
            <v>10</v>
          </cell>
          <cell r="J2053">
            <v>990</v>
          </cell>
          <cell r="K2053">
            <v>0</v>
          </cell>
          <cell r="L2053">
            <v>2.145</v>
          </cell>
          <cell r="M2053">
            <v>0</v>
          </cell>
          <cell r="N2053">
            <v>0</v>
          </cell>
          <cell r="O2053">
            <v>0</v>
          </cell>
          <cell r="P2053" t="str">
            <v>1010</v>
          </cell>
          <cell r="Q2053" t="str">
            <v>1010</v>
          </cell>
          <cell r="R2053">
            <v>2.1666666666666665</v>
          </cell>
        </row>
        <row r="2054">
          <cell r="A2054" t="str">
            <v>Y019-004</v>
          </cell>
          <cell r="B2054" t="str">
            <v>LCT082-015</v>
          </cell>
          <cell r="C2054" t="str">
            <v>Y019</v>
          </cell>
          <cell r="D2054" t="str">
            <v>KENSINGTON</v>
          </cell>
          <cell r="E2054" t="str">
            <v>SINGAL SEAT</v>
          </cell>
          <cell r="F2054" t="str">
            <v>750*195*10</v>
          </cell>
          <cell r="G2054">
            <v>750</v>
          </cell>
          <cell r="H2054">
            <v>195</v>
          </cell>
          <cell r="I2054">
            <v>10</v>
          </cell>
          <cell r="J2054">
            <v>870</v>
          </cell>
          <cell r="K2054">
            <v>0</v>
          </cell>
          <cell r="L2054">
            <v>1.4850000000000001</v>
          </cell>
          <cell r="M2054">
            <v>0</v>
          </cell>
          <cell r="N2054">
            <v>0</v>
          </cell>
          <cell r="O2054">
            <v>0</v>
          </cell>
          <cell r="P2054" t="str">
            <v>1010</v>
          </cell>
          <cell r="Q2054" t="str">
            <v>1010</v>
          </cell>
          <cell r="R2054">
            <v>1.7068965517241381</v>
          </cell>
        </row>
        <row r="2055">
          <cell r="A2055" t="str">
            <v>Y019-005</v>
          </cell>
          <cell r="B2055" t="str">
            <v>LCT082-016</v>
          </cell>
          <cell r="C2055" t="str">
            <v>Y019</v>
          </cell>
          <cell r="D2055" t="str">
            <v>KENSINGTON</v>
          </cell>
          <cell r="E2055" t="str">
            <v>SEAT CROWN</v>
          </cell>
          <cell r="F2055" t="str">
            <v>465*190*10</v>
          </cell>
          <cell r="G2055">
            <v>465</v>
          </cell>
          <cell r="H2055">
            <v>190</v>
          </cell>
          <cell r="I2055">
            <v>10</v>
          </cell>
          <cell r="J2055">
            <v>520</v>
          </cell>
          <cell r="K2055">
            <v>0</v>
          </cell>
          <cell r="L2055">
            <v>1.1000000000000001</v>
          </cell>
          <cell r="M2055">
            <v>0</v>
          </cell>
          <cell r="N2055">
            <v>0</v>
          </cell>
          <cell r="O2055">
            <v>0</v>
          </cell>
          <cell r="P2055" t="str">
            <v>1010</v>
          </cell>
          <cell r="Q2055" t="str">
            <v>1010</v>
          </cell>
          <cell r="R2055">
            <v>2.1153846153846154</v>
          </cell>
        </row>
        <row r="2056">
          <cell r="A2056" t="str">
            <v>Y019-006</v>
          </cell>
          <cell r="B2056" t="str">
            <v>LCT082-017</v>
          </cell>
          <cell r="C2056" t="str">
            <v>Y019</v>
          </cell>
          <cell r="D2056">
            <v>0</v>
          </cell>
          <cell r="E2056" t="str">
            <v xml:space="preserve">SOFA SEAT </v>
          </cell>
          <cell r="F2056" t="str">
            <v>1805*65*9</v>
          </cell>
          <cell r="G2056">
            <v>1805</v>
          </cell>
          <cell r="H2056">
            <v>65</v>
          </cell>
          <cell r="I2056">
            <v>9</v>
          </cell>
          <cell r="J2056">
            <v>860</v>
          </cell>
          <cell r="K2056">
            <v>0</v>
          </cell>
          <cell r="L2056">
            <v>3.2450000000000001</v>
          </cell>
          <cell r="M2056">
            <v>0</v>
          </cell>
          <cell r="N2056">
            <v>0</v>
          </cell>
          <cell r="O2056">
            <v>0</v>
          </cell>
          <cell r="P2056" t="str">
            <v>1010</v>
          </cell>
          <cell r="Q2056" t="str">
            <v>1010</v>
          </cell>
          <cell r="R2056">
            <v>3.7732558139534884</v>
          </cell>
        </row>
        <row r="2057">
          <cell r="A2057" t="str">
            <v>Y019-007</v>
          </cell>
          <cell r="B2057" t="str">
            <v>LCT082-018</v>
          </cell>
          <cell r="C2057" t="str">
            <v>Y019</v>
          </cell>
          <cell r="D2057">
            <v>0</v>
          </cell>
          <cell r="E2057" t="str">
            <v xml:space="preserve">LOVE SEAT </v>
          </cell>
          <cell r="F2057" t="str">
            <v>1210*65*9</v>
          </cell>
          <cell r="G2057">
            <v>1210</v>
          </cell>
          <cell r="H2057">
            <v>65</v>
          </cell>
          <cell r="I2057">
            <v>9</v>
          </cell>
          <cell r="J2057">
            <v>640</v>
          </cell>
          <cell r="K2057">
            <v>0</v>
          </cell>
          <cell r="L2057">
            <v>2.266</v>
          </cell>
          <cell r="M2057">
            <v>0</v>
          </cell>
          <cell r="N2057">
            <v>0</v>
          </cell>
          <cell r="O2057">
            <v>0</v>
          </cell>
          <cell r="P2057" t="str">
            <v>1010</v>
          </cell>
          <cell r="Q2057" t="str">
            <v>1010</v>
          </cell>
          <cell r="R2057">
            <v>3.5406249999999999</v>
          </cell>
        </row>
        <row r="2058">
          <cell r="A2058" t="str">
            <v>Y019-008</v>
          </cell>
          <cell r="B2058" t="str">
            <v>LCT082-019</v>
          </cell>
          <cell r="C2058" t="str">
            <v>Y019</v>
          </cell>
          <cell r="D2058">
            <v>0</v>
          </cell>
          <cell r="E2058" t="str">
            <v xml:space="preserve">CHAIR </v>
          </cell>
          <cell r="F2058" t="str">
            <v>750*65*9</v>
          </cell>
          <cell r="G2058">
            <v>750</v>
          </cell>
          <cell r="H2058">
            <v>65</v>
          </cell>
          <cell r="I2058">
            <v>9</v>
          </cell>
          <cell r="J2058">
            <v>360</v>
          </cell>
          <cell r="K2058">
            <v>0</v>
          </cell>
          <cell r="L2058">
            <v>1.496</v>
          </cell>
          <cell r="M2058">
            <v>0</v>
          </cell>
          <cell r="N2058">
            <v>0</v>
          </cell>
          <cell r="O2058">
            <v>0</v>
          </cell>
          <cell r="P2058" t="str">
            <v>1010</v>
          </cell>
          <cell r="Q2058" t="str">
            <v>1010</v>
          </cell>
          <cell r="R2058">
            <v>4.1555555555555559</v>
          </cell>
        </row>
        <row r="2059">
          <cell r="A2059" t="str">
            <v>Y019-009</v>
          </cell>
          <cell r="B2059" t="str">
            <v>LCT082-021</v>
          </cell>
          <cell r="C2059" t="str">
            <v>Y019</v>
          </cell>
          <cell r="D2059" t="str">
            <v>SAVANNA</v>
          </cell>
          <cell r="E2059" t="str">
            <v>BOÂNG NHOÛ 小花</v>
          </cell>
          <cell r="F2059" t="str">
            <v>93*27*6</v>
          </cell>
          <cell r="G2059">
            <v>93</v>
          </cell>
          <cell r="H2059">
            <v>27</v>
          </cell>
          <cell r="I2059">
            <v>6</v>
          </cell>
          <cell r="J2059">
            <v>20</v>
          </cell>
          <cell r="K2059">
            <v>0</v>
          </cell>
          <cell r="L2059">
            <v>4.3999999999999997E-2</v>
          </cell>
          <cell r="M2059">
            <v>0</v>
          </cell>
          <cell r="N2059">
            <v>0</v>
          </cell>
          <cell r="O2059">
            <v>0</v>
          </cell>
          <cell r="P2059" t="str">
            <v>1010</v>
          </cell>
          <cell r="Q2059" t="str">
            <v>1010</v>
          </cell>
          <cell r="R2059">
            <v>2.1999999999999997</v>
          </cell>
        </row>
        <row r="2060">
          <cell r="A2060" t="str">
            <v>Y019-010</v>
          </cell>
          <cell r="B2060" t="str">
            <v>LCT082-022</v>
          </cell>
          <cell r="C2060" t="str">
            <v>Y019</v>
          </cell>
          <cell r="D2060">
            <v>0</v>
          </cell>
          <cell r="E2060" t="str">
            <v>con rit AB19</v>
          </cell>
          <cell r="F2060" t="str">
            <v>1600*20*8</v>
          </cell>
          <cell r="G2060">
            <v>1600</v>
          </cell>
          <cell r="H2060">
            <v>20</v>
          </cell>
          <cell r="I2060">
            <v>8</v>
          </cell>
          <cell r="J2060">
            <v>0</v>
          </cell>
          <cell r="K2060">
            <v>0</v>
          </cell>
          <cell r="L2060">
            <v>0.90200000000000002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 t="e">
            <v>#DIV/0!</v>
          </cell>
        </row>
        <row r="2061">
          <cell r="A2061" t="str">
            <v>Y019-011</v>
          </cell>
          <cell r="B2061" t="str">
            <v>LCT082-023</v>
          </cell>
          <cell r="C2061" t="str">
            <v>Y019</v>
          </cell>
          <cell r="D2061" t="str">
            <v>AB7</v>
          </cell>
          <cell r="E2061" t="str">
            <v>POLY 左</v>
          </cell>
          <cell r="F2061" t="str">
            <v>510*105*6</v>
          </cell>
          <cell r="G2061">
            <v>510</v>
          </cell>
          <cell r="H2061">
            <v>105</v>
          </cell>
          <cell r="I2061">
            <v>6</v>
          </cell>
          <cell r="J2061">
            <v>0</v>
          </cell>
          <cell r="K2061">
            <v>0</v>
          </cell>
          <cell r="L2061">
            <v>0.66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 t="e">
            <v>#DIV/0!</v>
          </cell>
        </row>
        <row r="2062">
          <cell r="A2062" t="str">
            <v>Y019-012</v>
          </cell>
          <cell r="B2062" t="str">
            <v>LCT082-024</v>
          </cell>
          <cell r="C2062" t="str">
            <v>Y019</v>
          </cell>
          <cell r="D2062" t="str">
            <v>AB7</v>
          </cell>
          <cell r="E2062" t="str">
            <v>POLY 右</v>
          </cell>
          <cell r="F2062" t="str">
            <v>510*105*6</v>
          </cell>
          <cell r="G2062">
            <v>510</v>
          </cell>
          <cell r="H2062">
            <v>105</v>
          </cell>
          <cell r="I2062">
            <v>6</v>
          </cell>
          <cell r="J2062">
            <v>0</v>
          </cell>
          <cell r="K2062">
            <v>0</v>
          </cell>
          <cell r="L2062">
            <v>0.66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 t="e">
            <v>#DIV/0!</v>
          </cell>
        </row>
        <row r="2063">
          <cell r="A2063" t="str">
            <v>Y019-013</v>
          </cell>
          <cell r="B2063" t="str">
            <v>LCT082-025</v>
          </cell>
          <cell r="C2063" t="str">
            <v>Y019</v>
          </cell>
          <cell r="D2063" t="str">
            <v>AB7</v>
          </cell>
          <cell r="E2063" t="str">
            <v>POLY 左</v>
          </cell>
          <cell r="F2063" t="str">
            <v>180*150*5</v>
          </cell>
          <cell r="G2063">
            <v>180</v>
          </cell>
          <cell r="H2063">
            <v>150</v>
          </cell>
          <cell r="I2063">
            <v>5</v>
          </cell>
          <cell r="J2063">
            <v>0</v>
          </cell>
          <cell r="K2063">
            <v>0</v>
          </cell>
          <cell r="L2063">
            <v>0.14299999999999999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 t="e">
            <v>#DIV/0!</v>
          </cell>
        </row>
        <row r="2064">
          <cell r="A2064" t="str">
            <v>Y019-014</v>
          </cell>
          <cell r="B2064" t="str">
            <v>LCT082-026</v>
          </cell>
          <cell r="C2064" t="str">
            <v>Y019</v>
          </cell>
          <cell r="D2064" t="str">
            <v>AB7</v>
          </cell>
          <cell r="E2064" t="str">
            <v>POLY 右</v>
          </cell>
          <cell r="F2064" t="str">
            <v>180*150*5</v>
          </cell>
          <cell r="G2064">
            <v>180</v>
          </cell>
          <cell r="H2064">
            <v>150</v>
          </cell>
          <cell r="I2064">
            <v>5</v>
          </cell>
          <cell r="J2064">
            <v>0</v>
          </cell>
          <cell r="K2064">
            <v>0</v>
          </cell>
          <cell r="L2064">
            <v>0.14299999999999999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 t="e">
            <v>#DIV/0!</v>
          </cell>
        </row>
        <row r="2065">
          <cell r="A2065" t="str">
            <v>Y019-015</v>
          </cell>
          <cell r="B2065" t="str">
            <v>LCT082-027</v>
          </cell>
          <cell r="C2065" t="str">
            <v>Y019</v>
          </cell>
          <cell r="D2065" t="str">
            <v>AB7</v>
          </cell>
          <cell r="E2065" t="str">
            <v>POLY 左</v>
          </cell>
          <cell r="F2065" t="str">
            <v>170*85*42</v>
          </cell>
          <cell r="G2065">
            <v>170</v>
          </cell>
          <cell r="H2065">
            <v>85</v>
          </cell>
          <cell r="I2065">
            <v>42</v>
          </cell>
          <cell r="J2065">
            <v>0</v>
          </cell>
          <cell r="K2065">
            <v>0</v>
          </cell>
          <cell r="L2065">
            <v>0.187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 t="e">
            <v>#DIV/0!</v>
          </cell>
        </row>
        <row r="2066">
          <cell r="A2066" t="str">
            <v>Y019-016</v>
          </cell>
          <cell r="B2066" t="str">
            <v>LCT082-028</v>
          </cell>
          <cell r="C2066" t="str">
            <v>Y019</v>
          </cell>
          <cell r="D2066" t="str">
            <v>AB7</v>
          </cell>
          <cell r="E2066" t="str">
            <v>POLY 右</v>
          </cell>
          <cell r="F2066" t="str">
            <v>170*85*42</v>
          </cell>
          <cell r="G2066">
            <v>170</v>
          </cell>
          <cell r="H2066">
            <v>85</v>
          </cell>
          <cell r="I2066">
            <v>42</v>
          </cell>
          <cell r="J2066">
            <v>0</v>
          </cell>
          <cell r="K2066">
            <v>0</v>
          </cell>
          <cell r="L2066">
            <v>0.187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 t="e">
            <v>#DIV/0!</v>
          </cell>
        </row>
        <row r="2067">
          <cell r="A2067" t="str">
            <v>Y019-017</v>
          </cell>
          <cell r="B2067" t="str">
            <v>LCT082-029</v>
          </cell>
          <cell r="C2067" t="str">
            <v>Y019</v>
          </cell>
          <cell r="D2067">
            <v>0</v>
          </cell>
          <cell r="E2067" t="str">
            <v>POLY boâng lôùn</v>
          </cell>
          <cell r="F2067" t="str">
            <v>111*42*5</v>
          </cell>
          <cell r="G2067">
            <v>111</v>
          </cell>
          <cell r="H2067">
            <v>42</v>
          </cell>
          <cell r="I2067">
            <v>5</v>
          </cell>
          <cell r="J2067">
            <v>35</v>
          </cell>
          <cell r="K2067">
            <v>0</v>
          </cell>
          <cell r="L2067">
            <v>5.5E-2</v>
          </cell>
          <cell r="M2067">
            <v>0</v>
          </cell>
          <cell r="N2067">
            <v>0</v>
          </cell>
          <cell r="O2067">
            <v>0</v>
          </cell>
          <cell r="P2067" t="str">
            <v>1010</v>
          </cell>
          <cell r="Q2067" t="str">
            <v>1010</v>
          </cell>
          <cell r="R2067">
            <v>1.5714285714285714</v>
          </cell>
        </row>
        <row r="2068">
          <cell r="A2068" t="str">
            <v>Y019-018</v>
          </cell>
          <cell r="B2068" t="str">
            <v>LCT082-030</v>
          </cell>
          <cell r="C2068" t="str">
            <v>Y019</v>
          </cell>
          <cell r="D2068">
            <v>0</v>
          </cell>
          <cell r="E2068" t="str">
            <v>töïa ñaàu versace</v>
          </cell>
          <cell r="F2068" t="str">
            <v>684*237*6</v>
          </cell>
          <cell r="G2068">
            <v>684</v>
          </cell>
          <cell r="H2068">
            <v>237</v>
          </cell>
          <cell r="I2068">
            <v>6</v>
          </cell>
          <cell r="J2068">
            <v>600</v>
          </cell>
          <cell r="K2068">
            <v>0</v>
          </cell>
          <cell r="L2068">
            <v>1.1000000000000001</v>
          </cell>
          <cell r="M2068">
            <v>0</v>
          </cell>
          <cell r="N2068">
            <v>0</v>
          </cell>
          <cell r="O2068" t="str">
            <v>40V</v>
          </cell>
          <cell r="P2068" t="str">
            <v>1010</v>
          </cell>
          <cell r="Q2068" t="str">
            <v>1010</v>
          </cell>
          <cell r="R2068">
            <v>1.8333333333333335</v>
          </cell>
        </row>
        <row r="2069">
          <cell r="A2069" t="str">
            <v>Y019-019</v>
          </cell>
          <cell r="B2069" t="str">
            <v>LCT082-031</v>
          </cell>
          <cell r="C2069" t="str">
            <v>Y019</v>
          </cell>
          <cell r="D2069">
            <v>0</v>
          </cell>
          <cell r="E2069" t="str">
            <v>versace sofa</v>
          </cell>
          <cell r="F2069" t="str">
            <v>1860*115*6</v>
          </cell>
          <cell r="G2069">
            <v>1860</v>
          </cell>
          <cell r="H2069">
            <v>115</v>
          </cell>
          <cell r="I2069">
            <v>6</v>
          </cell>
          <cell r="J2069">
            <v>1370</v>
          </cell>
          <cell r="K2069">
            <v>0</v>
          </cell>
          <cell r="L2069">
            <v>3</v>
          </cell>
          <cell r="M2069">
            <v>0</v>
          </cell>
          <cell r="N2069">
            <v>0</v>
          </cell>
          <cell r="O2069">
            <v>0</v>
          </cell>
          <cell r="P2069" t="str">
            <v>1010</v>
          </cell>
          <cell r="Q2069" t="str">
            <v>1010</v>
          </cell>
          <cell r="R2069">
            <v>2.1897810218978102</v>
          </cell>
        </row>
        <row r="2070">
          <cell r="A2070" t="str">
            <v>Y019-020</v>
          </cell>
          <cell r="B2070" t="str">
            <v>LCT082-032</v>
          </cell>
          <cell r="C2070" t="str">
            <v>Y019</v>
          </cell>
          <cell r="D2070">
            <v>0</v>
          </cell>
          <cell r="E2070" t="str">
            <v>versace love seat</v>
          </cell>
          <cell r="F2070" t="str">
            <v>1270*115*6</v>
          </cell>
          <cell r="G2070">
            <v>1270</v>
          </cell>
          <cell r="H2070">
            <v>115</v>
          </cell>
          <cell r="I2070">
            <v>6</v>
          </cell>
          <cell r="J2070">
            <v>800</v>
          </cell>
          <cell r="K2070">
            <v>0</v>
          </cell>
          <cell r="L2070">
            <v>1.9</v>
          </cell>
          <cell r="M2070">
            <v>0</v>
          </cell>
          <cell r="N2070">
            <v>0</v>
          </cell>
          <cell r="O2070">
            <v>0</v>
          </cell>
          <cell r="P2070" t="str">
            <v>1010</v>
          </cell>
          <cell r="Q2070" t="str">
            <v>1010</v>
          </cell>
          <cell r="R2070">
            <v>2.3749999999999996</v>
          </cell>
        </row>
        <row r="2071">
          <cell r="A2071" t="str">
            <v>Y019-021</v>
          </cell>
          <cell r="B2071" t="str">
            <v>LCT082-033</v>
          </cell>
          <cell r="C2071" t="str">
            <v>Y019</v>
          </cell>
          <cell r="D2071">
            <v>0</v>
          </cell>
          <cell r="E2071" t="str">
            <v>tay traùi  love seat</v>
          </cell>
          <cell r="F2071" t="str">
            <v>600*240*6</v>
          </cell>
          <cell r="G2071">
            <v>600</v>
          </cell>
          <cell r="H2071">
            <v>240</v>
          </cell>
          <cell r="I2071">
            <v>6</v>
          </cell>
          <cell r="J2071">
            <v>540</v>
          </cell>
          <cell r="K2071">
            <v>0</v>
          </cell>
          <cell r="L2071">
            <v>1</v>
          </cell>
          <cell r="M2071">
            <v>0</v>
          </cell>
          <cell r="N2071">
            <v>0</v>
          </cell>
          <cell r="O2071">
            <v>0</v>
          </cell>
          <cell r="P2071" t="str">
            <v>1010</v>
          </cell>
          <cell r="Q2071" t="str">
            <v>1010</v>
          </cell>
          <cell r="R2071">
            <v>1.8518518518518516</v>
          </cell>
        </row>
        <row r="2072">
          <cell r="A2072" t="str">
            <v>Y019-022</v>
          </cell>
          <cell r="B2072" t="str">
            <v>LCT082-034</v>
          </cell>
          <cell r="C2072" t="str">
            <v>Y019</v>
          </cell>
          <cell r="D2072">
            <v>0</v>
          </cell>
          <cell r="E2072" t="str">
            <v>tay phaûi  love seat</v>
          </cell>
          <cell r="F2072" t="str">
            <v>600*240*6</v>
          </cell>
          <cell r="G2072">
            <v>600</v>
          </cell>
          <cell r="H2072">
            <v>240</v>
          </cell>
          <cell r="I2072">
            <v>6</v>
          </cell>
          <cell r="J2072">
            <v>540</v>
          </cell>
          <cell r="K2072">
            <v>0</v>
          </cell>
          <cell r="L2072">
            <v>1</v>
          </cell>
          <cell r="M2072">
            <v>0</v>
          </cell>
          <cell r="N2072">
            <v>0</v>
          </cell>
          <cell r="O2072">
            <v>0</v>
          </cell>
          <cell r="P2072" t="str">
            <v>1010</v>
          </cell>
          <cell r="Q2072" t="str">
            <v>1010</v>
          </cell>
          <cell r="R2072">
            <v>1.8518518518518516</v>
          </cell>
        </row>
        <row r="2073">
          <cell r="A2073" t="str">
            <v>Y019-023</v>
          </cell>
          <cell r="B2073" t="str">
            <v>LCT082-035</v>
          </cell>
          <cell r="C2073" t="str">
            <v>Y019</v>
          </cell>
          <cell r="D2073">
            <v>0</v>
          </cell>
          <cell r="E2073" t="str">
            <v>Crystal</v>
          </cell>
          <cell r="F2073" t="str">
            <v>157*215*13</v>
          </cell>
          <cell r="G2073">
            <v>157</v>
          </cell>
          <cell r="H2073">
            <v>215</v>
          </cell>
          <cell r="I2073">
            <v>13</v>
          </cell>
          <cell r="J2073">
            <v>480</v>
          </cell>
          <cell r="K2073">
            <v>0</v>
          </cell>
          <cell r="L2073">
            <v>1.06</v>
          </cell>
          <cell r="M2073">
            <v>0</v>
          </cell>
          <cell r="N2073">
            <v>0</v>
          </cell>
          <cell r="O2073">
            <v>0</v>
          </cell>
          <cell r="P2073" t="str">
            <v>1010</v>
          </cell>
          <cell r="Q2073" t="str">
            <v>1010</v>
          </cell>
          <cell r="R2073">
            <v>2.2083333333333335</v>
          </cell>
        </row>
        <row r="2074">
          <cell r="A2074" t="str">
            <v>Y019-024</v>
          </cell>
          <cell r="B2074" t="str">
            <v>LCT082-036</v>
          </cell>
          <cell r="C2074" t="str">
            <v>Y019</v>
          </cell>
          <cell r="D2074">
            <v>0</v>
          </cell>
          <cell r="E2074" t="str">
            <v>Crystal</v>
          </cell>
          <cell r="F2074" t="str">
            <v>170*177*13</v>
          </cell>
          <cell r="G2074">
            <v>170</v>
          </cell>
          <cell r="H2074">
            <v>177</v>
          </cell>
          <cell r="I2074">
            <v>13</v>
          </cell>
          <cell r="J2074">
            <v>450</v>
          </cell>
          <cell r="K2074">
            <v>0</v>
          </cell>
          <cell r="L2074">
            <v>0.92</v>
          </cell>
          <cell r="M2074">
            <v>0</v>
          </cell>
          <cell r="N2074">
            <v>0</v>
          </cell>
          <cell r="O2074">
            <v>0</v>
          </cell>
          <cell r="P2074" t="str">
            <v>1010</v>
          </cell>
          <cell r="Q2074" t="str">
            <v>1010</v>
          </cell>
          <cell r="R2074">
            <v>2.0444444444444443</v>
          </cell>
        </row>
        <row r="2075">
          <cell r="A2075" t="str">
            <v>Y019-025</v>
          </cell>
          <cell r="B2075" t="str">
            <v>LCT082-037</v>
          </cell>
          <cell r="C2075" t="str">
            <v>Y019</v>
          </cell>
          <cell r="D2075">
            <v>0</v>
          </cell>
          <cell r="E2075" t="str">
            <v>tay trai Crystal</v>
          </cell>
          <cell r="F2075" t="str">
            <v>420*230*13</v>
          </cell>
          <cell r="G2075">
            <v>420</v>
          </cell>
          <cell r="H2075">
            <v>230</v>
          </cell>
          <cell r="I2075">
            <v>13</v>
          </cell>
          <cell r="J2075">
            <v>520</v>
          </cell>
          <cell r="K2075">
            <v>0</v>
          </cell>
          <cell r="L2075">
            <v>1.31</v>
          </cell>
          <cell r="M2075">
            <v>0</v>
          </cell>
          <cell r="N2075">
            <v>0</v>
          </cell>
          <cell r="O2075">
            <v>0</v>
          </cell>
          <cell r="P2075" t="str">
            <v>1010</v>
          </cell>
          <cell r="Q2075" t="str">
            <v>1010</v>
          </cell>
          <cell r="R2075">
            <v>2.5192307692307692</v>
          </cell>
        </row>
        <row r="2076">
          <cell r="A2076" t="str">
            <v>Y019-026</v>
          </cell>
          <cell r="B2076" t="str">
            <v>LCT082-038</v>
          </cell>
          <cell r="C2076" t="str">
            <v>Y019</v>
          </cell>
          <cell r="D2076">
            <v>0</v>
          </cell>
          <cell r="E2076" t="str">
            <v>tay phai Crystal</v>
          </cell>
          <cell r="F2076" t="str">
            <v>420*230*13</v>
          </cell>
          <cell r="G2076">
            <v>420</v>
          </cell>
          <cell r="H2076">
            <v>230</v>
          </cell>
          <cell r="I2076">
            <v>13</v>
          </cell>
          <cell r="J2076">
            <v>520</v>
          </cell>
          <cell r="K2076">
            <v>0</v>
          </cell>
          <cell r="L2076">
            <v>1.31</v>
          </cell>
          <cell r="M2076">
            <v>0</v>
          </cell>
          <cell r="N2076">
            <v>0</v>
          </cell>
          <cell r="O2076">
            <v>0</v>
          </cell>
          <cell r="P2076" t="str">
            <v>1010</v>
          </cell>
          <cell r="Q2076" t="str">
            <v>1010</v>
          </cell>
          <cell r="R2076">
            <v>2.5192307692307692</v>
          </cell>
        </row>
        <row r="2077">
          <cell r="A2077" t="str">
            <v>Y019-027</v>
          </cell>
          <cell r="B2077" t="str">
            <v>LCT082-039</v>
          </cell>
          <cell r="C2077" t="str">
            <v>Y019</v>
          </cell>
          <cell r="D2077" t="str">
            <v>AB1</v>
          </cell>
          <cell r="E2077" t="str">
            <v xml:space="preserve">thanh dai </v>
          </cell>
          <cell r="F2077" t="str">
            <v>1815*58*5</v>
          </cell>
          <cell r="G2077">
            <v>1815</v>
          </cell>
          <cell r="H2077">
            <v>58</v>
          </cell>
          <cell r="I2077">
            <v>5</v>
          </cell>
          <cell r="J2077">
            <v>670</v>
          </cell>
          <cell r="K2077">
            <v>0</v>
          </cell>
          <cell r="L2077">
            <v>1.78</v>
          </cell>
          <cell r="M2077">
            <v>0</v>
          </cell>
          <cell r="N2077">
            <v>0</v>
          </cell>
          <cell r="O2077">
            <v>0</v>
          </cell>
          <cell r="P2077" t="str">
            <v>1010</v>
          </cell>
          <cell r="Q2077" t="str">
            <v>1010</v>
          </cell>
          <cell r="R2077">
            <v>2.6567164179104474</v>
          </cell>
        </row>
        <row r="2078">
          <cell r="A2078" t="str">
            <v>Y019-028</v>
          </cell>
          <cell r="B2078" t="str">
            <v>LCT082-040</v>
          </cell>
          <cell r="C2078" t="str">
            <v>Y019</v>
          </cell>
          <cell r="D2078" t="str">
            <v>AB1</v>
          </cell>
          <cell r="E2078" t="str">
            <v>day dai (1850*8*8)</v>
          </cell>
          <cell r="F2078" t="str">
            <v>1815*10*8</v>
          </cell>
          <cell r="G2078">
            <v>1815</v>
          </cell>
          <cell r="H2078">
            <v>10</v>
          </cell>
          <cell r="I2078">
            <v>8</v>
          </cell>
          <cell r="J2078">
            <v>0</v>
          </cell>
          <cell r="K2078">
            <v>0</v>
          </cell>
          <cell r="L2078">
            <v>0.6</v>
          </cell>
          <cell r="M2078">
            <v>0</v>
          </cell>
          <cell r="N2078">
            <v>0</v>
          </cell>
          <cell r="O2078">
            <v>0</v>
          </cell>
          <cell r="P2078" t="str">
            <v>1010</v>
          </cell>
          <cell r="Q2078" t="str">
            <v>1010</v>
          </cell>
          <cell r="R2078" t="e">
            <v>#DIV/0!</v>
          </cell>
        </row>
        <row r="2079">
          <cell r="A2079" t="str">
            <v>Y019-029</v>
          </cell>
          <cell r="B2079" t="str">
            <v>LCT082-041</v>
          </cell>
          <cell r="C2079" t="str">
            <v>Y019</v>
          </cell>
          <cell r="D2079" t="str">
            <v>AB1</v>
          </cell>
          <cell r="E2079" t="str">
            <v>thanh ngan</v>
          </cell>
          <cell r="F2079" t="str">
            <v>1250*58*5</v>
          </cell>
          <cell r="G2079">
            <v>1250</v>
          </cell>
          <cell r="H2079">
            <v>58</v>
          </cell>
          <cell r="I2079">
            <v>5</v>
          </cell>
          <cell r="J2079">
            <v>410</v>
          </cell>
          <cell r="K2079">
            <v>0</v>
          </cell>
          <cell r="L2079">
            <v>1.26</v>
          </cell>
          <cell r="M2079">
            <v>0</v>
          </cell>
          <cell r="N2079">
            <v>0</v>
          </cell>
          <cell r="O2079">
            <v>0</v>
          </cell>
          <cell r="P2079" t="str">
            <v>1010</v>
          </cell>
          <cell r="Q2079" t="str">
            <v>1010</v>
          </cell>
          <cell r="R2079">
            <v>3.0731707317073171</v>
          </cell>
        </row>
        <row r="2080">
          <cell r="A2080" t="str">
            <v>Y019-030</v>
          </cell>
          <cell r="B2080" t="str">
            <v>LCT082-042</v>
          </cell>
          <cell r="C2080" t="str">
            <v>Y019</v>
          </cell>
          <cell r="D2080" t="str">
            <v>AB1</v>
          </cell>
          <cell r="E2080" t="str">
            <v>day ngan(1300*8*8)</v>
          </cell>
          <cell r="F2080" t="str">
            <v>1250*10*8</v>
          </cell>
          <cell r="G2080">
            <v>1250</v>
          </cell>
          <cell r="H2080">
            <v>10</v>
          </cell>
          <cell r="I2080">
            <v>8</v>
          </cell>
          <cell r="J2080">
            <v>0</v>
          </cell>
          <cell r="K2080">
            <v>0</v>
          </cell>
          <cell r="L2080">
            <v>0.42</v>
          </cell>
          <cell r="M2080">
            <v>0</v>
          </cell>
          <cell r="N2080">
            <v>0</v>
          </cell>
          <cell r="O2080">
            <v>0</v>
          </cell>
          <cell r="P2080" t="str">
            <v>1010</v>
          </cell>
          <cell r="Q2080" t="str">
            <v>1010</v>
          </cell>
          <cell r="R2080" t="e">
            <v>#DIV/0!</v>
          </cell>
        </row>
        <row r="2081">
          <cell r="A2081" t="str">
            <v>Y019-031</v>
          </cell>
          <cell r="B2081" t="str">
            <v>LCT082-043</v>
          </cell>
          <cell r="C2081" t="str">
            <v>Y019</v>
          </cell>
          <cell r="D2081" t="str">
            <v>AB1</v>
          </cell>
          <cell r="E2081" t="str">
            <v>bong</v>
          </cell>
          <cell r="F2081" t="str">
            <v>153*90*5</v>
          </cell>
          <cell r="G2081">
            <v>153</v>
          </cell>
          <cell r="H2081">
            <v>90</v>
          </cell>
          <cell r="I2081">
            <v>5</v>
          </cell>
          <cell r="J2081">
            <v>80</v>
          </cell>
          <cell r="K2081">
            <v>0</v>
          </cell>
          <cell r="L2081">
            <v>0.15</v>
          </cell>
          <cell r="M2081">
            <v>0</v>
          </cell>
          <cell r="N2081">
            <v>0</v>
          </cell>
          <cell r="O2081">
            <v>0</v>
          </cell>
          <cell r="P2081" t="str">
            <v>1010</v>
          </cell>
          <cell r="Q2081" t="str">
            <v>1010</v>
          </cell>
          <cell r="R2081">
            <v>1.875</v>
          </cell>
        </row>
        <row r="2082">
          <cell r="A2082" t="str">
            <v>Y019-032</v>
          </cell>
          <cell r="B2082" t="str">
            <v>LCT082-044</v>
          </cell>
          <cell r="C2082" t="str">
            <v>Y019</v>
          </cell>
          <cell r="D2082" t="str">
            <v>AB1</v>
          </cell>
          <cell r="E2082" t="str">
            <v xml:space="preserve">tay trai  </v>
          </cell>
          <cell r="F2082" t="str">
            <v>663*146*5</v>
          </cell>
          <cell r="G2082">
            <v>663</v>
          </cell>
          <cell r="H2082">
            <v>146</v>
          </cell>
          <cell r="I2082">
            <v>5</v>
          </cell>
          <cell r="J2082">
            <v>0</v>
          </cell>
          <cell r="K2082">
            <v>0</v>
          </cell>
          <cell r="L2082">
            <v>0.38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 t="e">
            <v>#DIV/0!</v>
          </cell>
        </row>
        <row r="2083">
          <cell r="A2083" t="str">
            <v>Y019-033</v>
          </cell>
          <cell r="B2083" t="str">
            <v>LCT082-045</v>
          </cell>
          <cell r="C2083" t="str">
            <v>Y019</v>
          </cell>
          <cell r="D2083" t="str">
            <v>AB1</v>
          </cell>
          <cell r="E2083" t="str">
            <v xml:space="preserve">tay phai  </v>
          </cell>
          <cell r="F2083" t="str">
            <v>663*146*5</v>
          </cell>
          <cell r="G2083">
            <v>663</v>
          </cell>
          <cell r="H2083">
            <v>146</v>
          </cell>
          <cell r="I2083">
            <v>5</v>
          </cell>
          <cell r="J2083">
            <v>0</v>
          </cell>
          <cell r="K2083">
            <v>0</v>
          </cell>
          <cell r="L2083">
            <v>0.38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 t="e">
            <v>#DIV/0!</v>
          </cell>
        </row>
        <row r="2084">
          <cell r="A2084" t="str">
            <v>Y019-034</v>
          </cell>
          <cell r="B2084" t="str">
            <v>LCT082-046</v>
          </cell>
          <cell r="C2084" t="str">
            <v>Y019</v>
          </cell>
          <cell r="D2084" t="str">
            <v>VERSACE</v>
          </cell>
          <cell r="E2084" t="str">
            <v>MAT NGUOI HINH  TRON</v>
          </cell>
          <cell r="F2084" t="str">
            <v>170*170*9</v>
          </cell>
          <cell r="G2084">
            <v>170</v>
          </cell>
          <cell r="H2084">
            <v>170</v>
          </cell>
          <cell r="I2084">
            <v>9</v>
          </cell>
          <cell r="J2084">
            <v>0</v>
          </cell>
          <cell r="K2084">
            <v>0</v>
          </cell>
          <cell r="L2084">
            <v>0.6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 t="e">
            <v>#DIV/0!</v>
          </cell>
        </row>
        <row r="2085">
          <cell r="A2085" t="str">
            <v>Y019-035</v>
          </cell>
          <cell r="B2085" t="str">
            <v>LCT082-047</v>
          </cell>
          <cell r="C2085" t="str">
            <v>Y019</v>
          </cell>
          <cell r="D2085" t="str">
            <v>VERSACE</v>
          </cell>
          <cell r="E2085" t="str">
            <v>MAT NGUOI HINH  TRON</v>
          </cell>
          <cell r="F2085" t="str">
            <v>88*88*9</v>
          </cell>
          <cell r="G2085">
            <v>88</v>
          </cell>
          <cell r="H2085">
            <v>88</v>
          </cell>
          <cell r="I2085">
            <v>9</v>
          </cell>
          <cell r="J2085">
            <v>0</v>
          </cell>
          <cell r="K2085">
            <v>0</v>
          </cell>
          <cell r="L2085">
            <v>0.14000000000000001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 t="e">
            <v>#DIV/0!</v>
          </cell>
        </row>
        <row r="2086">
          <cell r="A2086" t="str">
            <v>Y019-036</v>
          </cell>
          <cell r="B2086" t="str">
            <v>LCT082-048</v>
          </cell>
          <cell r="C2086" t="str">
            <v>Y019</v>
          </cell>
          <cell r="D2086">
            <v>0</v>
          </cell>
          <cell r="E2086" t="str">
            <v>KENSINGTON-LOVE SEAT</v>
          </cell>
          <cell r="F2086" t="str">
            <v>1100*135*5</v>
          </cell>
          <cell r="G2086">
            <v>1100</v>
          </cell>
          <cell r="H2086">
            <v>135</v>
          </cell>
          <cell r="I2086">
            <v>5</v>
          </cell>
          <cell r="J2086">
            <v>0</v>
          </cell>
          <cell r="K2086">
            <v>0</v>
          </cell>
          <cell r="L2086">
            <v>1.03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 t="e">
            <v>#DIV/0!</v>
          </cell>
        </row>
        <row r="2087">
          <cell r="A2087" t="str">
            <v>Y019-037</v>
          </cell>
          <cell r="B2087" t="str">
            <v>LCT082-049</v>
          </cell>
          <cell r="C2087" t="str">
            <v>Y019</v>
          </cell>
          <cell r="D2087">
            <v>0</v>
          </cell>
          <cell r="E2087" t="str">
            <v>KENSINGTON-SOFA</v>
          </cell>
          <cell r="F2087" t="str">
            <v>600*135*5</v>
          </cell>
          <cell r="G2087">
            <v>600</v>
          </cell>
          <cell r="H2087">
            <v>135</v>
          </cell>
          <cell r="I2087">
            <v>5</v>
          </cell>
          <cell r="J2087">
            <v>0</v>
          </cell>
          <cell r="K2087">
            <v>0</v>
          </cell>
          <cell r="L2087">
            <v>0.59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 t="e">
            <v>#DIV/0!</v>
          </cell>
        </row>
        <row r="2088">
          <cell r="A2088" t="str">
            <v>Y019-038</v>
          </cell>
          <cell r="B2088" t="str">
            <v>LCT082-050</v>
          </cell>
          <cell r="C2088" t="str">
            <v>Y019</v>
          </cell>
          <cell r="D2088">
            <v>0</v>
          </cell>
          <cell r="E2088" t="str">
            <v>KENSINGTON-CHAIR</v>
          </cell>
          <cell r="F2088" t="str">
            <v>500*135*5</v>
          </cell>
          <cell r="G2088">
            <v>500</v>
          </cell>
          <cell r="H2088">
            <v>135</v>
          </cell>
          <cell r="I2088">
            <v>5</v>
          </cell>
          <cell r="J2088">
            <v>0</v>
          </cell>
          <cell r="K2088">
            <v>0</v>
          </cell>
          <cell r="L2088">
            <v>0.5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 t="e">
            <v>#DIV/0!</v>
          </cell>
        </row>
        <row r="2089">
          <cell r="A2089" t="str">
            <v>Y019-039</v>
          </cell>
          <cell r="B2089" t="str">
            <v>LCT082-051</v>
          </cell>
          <cell r="C2089" t="str">
            <v>Y019</v>
          </cell>
          <cell r="D2089">
            <v>0</v>
          </cell>
          <cell r="E2089" t="str">
            <v>KENSINGTON-TUA DAU</v>
          </cell>
          <cell r="F2089" t="str">
            <v>455*135*5</v>
          </cell>
          <cell r="G2089">
            <v>455</v>
          </cell>
          <cell r="H2089">
            <v>135</v>
          </cell>
          <cell r="I2089">
            <v>5</v>
          </cell>
          <cell r="J2089">
            <v>0</v>
          </cell>
          <cell r="K2089">
            <v>0</v>
          </cell>
          <cell r="L2089">
            <v>0.46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 t="e">
            <v>#DIV/0!</v>
          </cell>
        </row>
        <row r="2090">
          <cell r="A2090" t="str">
            <v>Y019-040</v>
          </cell>
          <cell r="B2090" t="str">
            <v>LCT082-052</v>
          </cell>
          <cell r="C2090" t="str">
            <v>Y019</v>
          </cell>
          <cell r="D2090">
            <v>0</v>
          </cell>
          <cell r="E2090" t="str">
            <v>PARAMOUT-CHAIR</v>
          </cell>
          <cell r="F2090" t="str">
            <v>735*125*10</v>
          </cell>
          <cell r="G2090">
            <v>735</v>
          </cell>
          <cell r="H2090">
            <v>125</v>
          </cell>
          <cell r="I2090">
            <v>10</v>
          </cell>
          <cell r="J2090">
            <v>0</v>
          </cell>
          <cell r="K2090">
            <v>0</v>
          </cell>
          <cell r="L2090">
            <v>1.05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 t="e">
            <v>#DIV/0!</v>
          </cell>
        </row>
        <row r="2091">
          <cell r="A2091" t="str">
            <v>Y019-041</v>
          </cell>
          <cell r="B2091" t="str">
            <v>LCT082-053</v>
          </cell>
          <cell r="C2091" t="str">
            <v>Y019</v>
          </cell>
          <cell r="D2091">
            <v>0</v>
          </cell>
          <cell r="E2091" t="str">
            <v>PARAMOUT-LOVE SEAT</v>
          </cell>
          <cell r="F2091" t="str">
            <v>1325*125*10</v>
          </cell>
          <cell r="G2091">
            <v>1325</v>
          </cell>
          <cell r="H2091">
            <v>125</v>
          </cell>
          <cell r="I2091">
            <v>10</v>
          </cell>
          <cell r="J2091">
            <v>0</v>
          </cell>
          <cell r="K2091">
            <v>0</v>
          </cell>
          <cell r="L2091">
            <v>1.65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 t="e">
            <v>#DIV/0!</v>
          </cell>
        </row>
        <row r="2092">
          <cell r="A2092" t="str">
            <v>Y019-042</v>
          </cell>
          <cell r="B2092" t="str">
            <v>LCT082-054</v>
          </cell>
          <cell r="C2092" t="str">
            <v>Y019</v>
          </cell>
          <cell r="D2092">
            <v>0</v>
          </cell>
          <cell r="E2092" t="str">
            <v>PARAMOUT-SOFA</v>
          </cell>
          <cell r="F2092" t="str">
            <v>1850*125*10</v>
          </cell>
          <cell r="G2092">
            <v>1850</v>
          </cell>
          <cell r="H2092">
            <v>125</v>
          </cell>
          <cell r="I2092">
            <v>10</v>
          </cell>
          <cell r="J2092">
            <v>0</v>
          </cell>
          <cell r="K2092">
            <v>0</v>
          </cell>
          <cell r="L2092">
            <v>2.17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 t="e">
            <v>#DIV/0!</v>
          </cell>
        </row>
        <row r="2093">
          <cell r="A2093" t="str">
            <v>Y019-043</v>
          </cell>
          <cell r="B2093" t="str">
            <v>LCT082-055</v>
          </cell>
          <cell r="C2093" t="str">
            <v>Y019</v>
          </cell>
          <cell r="D2093">
            <v>0</v>
          </cell>
          <cell r="E2093" t="str">
            <v>SAVANA -SOFA</v>
          </cell>
          <cell r="F2093" t="str">
            <v>1865*105*7</v>
          </cell>
          <cell r="G2093">
            <v>1865</v>
          </cell>
          <cell r="H2093">
            <v>105</v>
          </cell>
          <cell r="I2093">
            <v>7</v>
          </cell>
          <cell r="J2093">
            <v>0</v>
          </cell>
          <cell r="K2093">
            <v>0</v>
          </cell>
          <cell r="L2093">
            <v>3.8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 t="e">
            <v>#DIV/0!</v>
          </cell>
        </row>
        <row r="2094">
          <cell r="A2094" t="str">
            <v>Y019-044</v>
          </cell>
          <cell r="B2094" t="str">
            <v>LCT082-056</v>
          </cell>
          <cell r="C2094" t="str">
            <v>Y019</v>
          </cell>
          <cell r="D2094">
            <v>0</v>
          </cell>
          <cell r="E2094" t="str">
            <v>SAVANA -LOVE SEAT</v>
          </cell>
          <cell r="F2094" t="str">
            <v>1280*105*10</v>
          </cell>
          <cell r="G2094">
            <v>1280</v>
          </cell>
          <cell r="H2094">
            <v>105</v>
          </cell>
          <cell r="I2094">
            <v>10</v>
          </cell>
          <cell r="J2094">
            <v>0</v>
          </cell>
          <cell r="K2094">
            <v>0</v>
          </cell>
          <cell r="L2094">
            <v>2.9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 t="e">
            <v>#DIV/0!</v>
          </cell>
        </row>
        <row r="2095">
          <cell r="A2095" t="str">
            <v>Y019-045</v>
          </cell>
          <cell r="B2095" t="str">
            <v>LCT082-057</v>
          </cell>
          <cell r="C2095" t="str">
            <v>Y019</v>
          </cell>
          <cell r="D2095">
            <v>0</v>
          </cell>
          <cell r="E2095" t="str">
            <v>MAVANA</v>
          </cell>
          <cell r="F2095" t="str">
            <v>1290*90*7</v>
          </cell>
          <cell r="G2095">
            <v>1290</v>
          </cell>
          <cell r="H2095">
            <v>90</v>
          </cell>
          <cell r="I2095">
            <v>7</v>
          </cell>
          <cell r="J2095">
            <v>0</v>
          </cell>
          <cell r="K2095">
            <v>0</v>
          </cell>
          <cell r="L2095">
            <v>2.33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 t="e">
            <v>#DIV/0!</v>
          </cell>
        </row>
        <row r="2096">
          <cell r="A2096" t="str">
            <v>Y019-046</v>
          </cell>
          <cell r="B2096" t="str">
            <v>LCT082-058</v>
          </cell>
          <cell r="C2096" t="str">
            <v>Y019</v>
          </cell>
          <cell r="D2096">
            <v>0</v>
          </cell>
          <cell r="E2096" t="str">
            <v>SAVANA -CHAIR</v>
          </cell>
          <cell r="F2096" t="str">
            <v>760*105*7</v>
          </cell>
          <cell r="G2096">
            <v>760</v>
          </cell>
          <cell r="H2096">
            <v>105</v>
          </cell>
          <cell r="I2096">
            <v>7</v>
          </cell>
          <cell r="J2096">
            <v>0</v>
          </cell>
          <cell r="K2096">
            <v>0</v>
          </cell>
          <cell r="L2096">
            <v>1.5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 t="e">
            <v>#DIV/0!</v>
          </cell>
        </row>
        <row r="2097">
          <cell r="A2097" t="str">
            <v>Y019-047</v>
          </cell>
          <cell r="B2097" t="str">
            <v>LCT082-059</v>
          </cell>
          <cell r="C2097" t="str">
            <v>Y019</v>
          </cell>
          <cell r="D2097">
            <v>0</v>
          </cell>
          <cell r="E2097" t="str">
            <v>SAVANA -SOFA</v>
          </cell>
          <cell r="F2097" t="str">
            <v>1845*90*10</v>
          </cell>
          <cell r="G2097">
            <v>1845</v>
          </cell>
          <cell r="H2097">
            <v>90</v>
          </cell>
          <cell r="I2097">
            <v>10</v>
          </cell>
          <cell r="J2097">
            <v>0</v>
          </cell>
          <cell r="K2097">
            <v>0</v>
          </cell>
          <cell r="L2097">
            <v>3.1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 t="e">
            <v>#DIV/0!</v>
          </cell>
        </row>
        <row r="2098">
          <cell r="A2098" t="str">
            <v>Y019-048</v>
          </cell>
          <cell r="B2098" t="str">
            <v>LCT082-060</v>
          </cell>
          <cell r="C2098" t="str">
            <v>Y019</v>
          </cell>
          <cell r="D2098">
            <v>0</v>
          </cell>
          <cell r="E2098" t="str">
            <v>VERSACE-ÑIEÅM CHAIR</v>
          </cell>
          <cell r="F2098" t="str">
            <v>780*241*6</v>
          </cell>
          <cell r="G2098">
            <v>780</v>
          </cell>
          <cell r="H2098">
            <v>241</v>
          </cell>
          <cell r="I2098">
            <v>6</v>
          </cell>
          <cell r="J2098">
            <v>0</v>
          </cell>
          <cell r="K2098">
            <v>0</v>
          </cell>
          <cell r="L2098">
            <v>1.3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 t="e">
            <v>#DIV/0!</v>
          </cell>
        </row>
        <row r="2099">
          <cell r="A2099" t="str">
            <v>Y019-049</v>
          </cell>
          <cell r="B2099" t="str">
            <v>LCT082-061</v>
          </cell>
          <cell r="C2099" t="str">
            <v>Y019</v>
          </cell>
          <cell r="D2099">
            <v>0</v>
          </cell>
          <cell r="E2099" t="str">
            <v>BONG VERACE (MAT NGUOI)</v>
          </cell>
          <cell r="F2099" t="str">
            <v>76*76*6</v>
          </cell>
          <cell r="G2099">
            <v>76</v>
          </cell>
          <cell r="H2099">
            <v>76</v>
          </cell>
          <cell r="I2099">
            <v>6</v>
          </cell>
          <cell r="J2099">
            <v>0</v>
          </cell>
          <cell r="K2099">
            <v>0</v>
          </cell>
          <cell r="L2099">
            <v>0.22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 t="e">
            <v>#DIV/0!</v>
          </cell>
        </row>
        <row r="2100">
          <cell r="A2100" t="str">
            <v>Y019-050</v>
          </cell>
          <cell r="B2100" t="str">
            <v>LCT082-062</v>
          </cell>
          <cell r="C2100" t="str">
            <v>Y019</v>
          </cell>
          <cell r="D2100">
            <v>0</v>
          </cell>
          <cell r="E2100" t="str">
            <v>BONG VERACE (MAT NGUOI)</v>
          </cell>
          <cell r="F2100" t="str">
            <v>87*87*5</v>
          </cell>
          <cell r="G2100">
            <v>87</v>
          </cell>
          <cell r="H2100">
            <v>87</v>
          </cell>
          <cell r="I2100">
            <v>5</v>
          </cell>
          <cell r="J2100">
            <v>0</v>
          </cell>
          <cell r="K2100">
            <v>0</v>
          </cell>
          <cell r="L2100">
            <v>0.22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 t="e">
            <v>#DIV/0!</v>
          </cell>
        </row>
        <row r="2101">
          <cell r="A2101" t="str">
            <v>Y019-051</v>
          </cell>
          <cell r="B2101" t="str">
            <v>LCT082-063</v>
          </cell>
          <cell r="C2101" t="str">
            <v>Y019</v>
          </cell>
          <cell r="D2101">
            <v>0</v>
          </cell>
          <cell r="E2101" t="str">
            <v>DIEM NGAN CHARLESTON</v>
          </cell>
          <cell r="F2101" t="str">
            <v>1270*65*9</v>
          </cell>
          <cell r="G2101">
            <v>1270</v>
          </cell>
          <cell r="H2101">
            <v>65</v>
          </cell>
          <cell r="I2101">
            <v>9</v>
          </cell>
          <cell r="J2101">
            <v>0</v>
          </cell>
          <cell r="K2101">
            <v>0</v>
          </cell>
          <cell r="L2101">
            <v>2.2799999999999998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 t="e">
            <v>#DIV/0!</v>
          </cell>
        </row>
        <row r="2102">
          <cell r="A2102" t="str">
            <v>Y019-052</v>
          </cell>
          <cell r="B2102" t="str">
            <v>LCT082-064</v>
          </cell>
          <cell r="C2102" t="str">
            <v>Y019</v>
          </cell>
          <cell r="D2102">
            <v>0</v>
          </cell>
          <cell r="E2102" t="str">
            <v>VERSACE-ÑIEÅM CHAIR</v>
          </cell>
          <cell r="F2102" t="str">
            <v>780*115*6</v>
          </cell>
          <cell r="G2102">
            <v>780</v>
          </cell>
          <cell r="H2102">
            <v>115</v>
          </cell>
          <cell r="I2102">
            <v>6</v>
          </cell>
          <cell r="J2102">
            <v>550</v>
          </cell>
          <cell r="K2102">
            <v>0</v>
          </cell>
          <cell r="L2102">
            <v>1.3</v>
          </cell>
          <cell r="M2102">
            <v>0</v>
          </cell>
          <cell r="N2102">
            <v>0</v>
          </cell>
          <cell r="O2102">
            <v>0</v>
          </cell>
          <cell r="P2102" t="str">
            <v>1010</v>
          </cell>
          <cell r="Q2102" t="str">
            <v>1010</v>
          </cell>
          <cell r="R2102">
            <v>2.3636363636363633</v>
          </cell>
        </row>
        <row r="2103">
          <cell r="A2103" t="str">
            <v>Y019-053</v>
          </cell>
          <cell r="B2103" t="str">
            <v>LCT082-065</v>
          </cell>
          <cell r="C2103" t="str">
            <v>Y019</v>
          </cell>
          <cell r="D2103">
            <v>0</v>
          </cell>
          <cell r="E2103" t="str">
            <v>小花  Bông mới</v>
          </cell>
          <cell r="F2103" t="str">
            <v>53*53*9</v>
          </cell>
          <cell r="G2103">
            <v>53</v>
          </cell>
          <cell r="H2103">
            <v>53</v>
          </cell>
          <cell r="I2103">
            <v>9</v>
          </cell>
          <cell r="J2103">
            <v>0</v>
          </cell>
          <cell r="K2103">
            <v>0</v>
          </cell>
          <cell r="L2103">
            <v>0.1</v>
          </cell>
          <cell r="M2103">
            <v>0</v>
          </cell>
          <cell r="N2103">
            <v>0</v>
          </cell>
          <cell r="O2103">
            <v>0</v>
          </cell>
          <cell r="P2103" t="str">
            <v>1010</v>
          </cell>
          <cell r="Q2103" t="str">
            <v>1010</v>
          </cell>
          <cell r="R2103" t="e">
            <v>#DIV/0!</v>
          </cell>
        </row>
        <row r="2104">
          <cell r="A2104" t="str">
            <v>Y019-054</v>
          </cell>
          <cell r="B2104" t="str">
            <v>LCT082-066</v>
          </cell>
          <cell r="C2104" t="str">
            <v>Y019</v>
          </cell>
          <cell r="D2104">
            <v>0</v>
          </cell>
          <cell r="E2104" t="str">
            <v>Diềm sofa charlston</v>
          </cell>
          <cell r="F2104" t="str">
            <v>1730*65*9</v>
          </cell>
          <cell r="G2104">
            <v>1730</v>
          </cell>
          <cell r="H2104">
            <v>65</v>
          </cell>
          <cell r="I2104">
            <v>9</v>
          </cell>
          <cell r="J2104">
            <v>890</v>
          </cell>
          <cell r="K2104">
            <v>0</v>
          </cell>
          <cell r="L2104">
            <v>3.11</v>
          </cell>
          <cell r="M2104">
            <v>0</v>
          </cell>
          <cell r="N2104">
            <v>0</v>
          </cell>
          <cell r="O2104">
            <v>0</v>
          </cell>
          <cell r="P2104" t="str">
            <v>1010</v>
          </cell>
          <cell r="Q2104" t="str">
            <v>1010</v>
          </cell>
          <cell r="R2104">
            <v>3.49438202247191</v>
          </cell>
        </row>
        <row r="2105">
          <cell r="A2105" t="str">
            <v>Y019-055</v>
          </cell>
          <cell r="B2105" t="str">
            <v>LCT082-067</v>
          </cell>
          <cell r="C2105" t="str">
            <v>Y019</v>
          </cell>
          <cell r="D2105">
            <v>0</v>
          </cell>
          <cell r="E2105" t="str">
            <v>Diềm love seat charlston</v>
          </cell>
          <cell r="F2105" t="str">
            <v>1169*65*9</v>
          </cell>
          <cell r="G2105">
            <v>1169</v>
          </cell>
          <cell r="H2105">
            <v>65</v>
          </cell>
          <cell r="I2105">
            <v>9</v>
          </cell>
          <cell r="J2105">
            <v>705</v>
          </cell>
          <cell r="K2105">
            <v>0</v>
          </cell>
          <cell r="L2105">
            <v>2.1</v>
          </cell>
          <cell r="M2105">
            <v>0</v>
          </cell>
          <cell r="N2105">
            <v>0</v>
          </cell>
          <cell r="O2105">
            <v>0</v>
          </cell>
          <cell r="P2105" t="str">
            <v>1010</v>
          </cell>
          <cell r="Q2105" t="str">
            <v>1010</v>
          </cell>
          <cell r="R2105">
            <v>2.9787234042553195</v>
          </cell>
        </row>
        <row r="2106">
          <cell r="A2106" t="str">
            <v>Y019-056</v>
          </cell>
          <cell r="B2106" t="str">
            <v>LCT082-068</v>
          </cell>
          <cell r="C2106" t="str">
            <v>Y019</v>
          </cell>
          <cell r="D2106">
            <v>0</v>
          </cell>
          <cell r="E2106" t="str">
            <v>Diềm lounger charlston</v>
          </cell>
          <cell r="F2106" t="str">
            <v>1410*65*9</v>
          </cell>
          <cell r="G2106">
            <v>1410</v>
          </cell>
          <cell r="H2106">
            <v>65</v>
          </cell>
          <cell r="I2106">
            <v>9</v>
          </cell>
          <cell r="J2106">
            <v>0</v>
          </cell>
          <cell r="K2106">
            <v>0</v>
          </cell>
          <cell r="L2106">
            <v>2.54</v>
          </cell>
          <cell r="M2106">
            <v>0</v>
          </cell>
          <cell r="N2106">
            <v>0</v>
          </cell>
          <cell r="O2106">
            <v>0</v>
          </cell>
          <cell r="P2106" t="str">
            <v>1010</v>
          </cell>
          <cell r="Q2106" t="str">
            <v>1010</v>
          </cell>
          <cell r="R2106" t="e">
            <v>#DIV/0!</v>
          </cell>
        </row>
        <row r="2107">
          <cell r="A2107" t="str">
            <v>Y019-057</v>
          </cell>
          <cell r="B2107" t="str">
            <v>LCT082-069</v>
          </cell>
          <cell r="C2107" t="str">
            <v>Y019</v>
          </cell>
          <cell r="D2107">
            <v>0</v>
          </cell>
          <cell r="E2107" t="str">
            <v>Diềm chair charlston</v>
          </cell>
          <cell r="F2107" t="str">
            <v>635*65*9</v>
          </cell>
          <cell r="G2107">
            <v>635</v>
          </cell>
          <cell r="H2107">
            <v>65</v>
          </cell>
          <cell r="I2107">
            <v>9</v>
          </cell>
          <cell r="J2107">
            <v>400</v>
          </cell>
          <cell r="K2107">
            <v>0</v>
          </cell>
          <cell r="L2107">
            <v>1.1399999999999999</v>
          </cell>
          <cell r="M2107">
            <v>0</v>
          </cell>
          <cell r="N2107">
            <v>0</v>
          </cell>
          <cell r="O2107">
            <v>0</v>
          </cell>
          <cell r="P2107" t="str">
            <v>1010</v>
          </cell>
          <cell r="Q2107" t="str">
            <v>1010</v>
          </cell>
          <cell r="R2107">
            <v>2.8499999999999996</v>
          </cell>
        </row>
        <row r="2108">
          <cell r="A2108" t="str">
            <v>Y019-058</v>
          </cell>
          <cell r="B2108" t="str">
            <v>LCT082-012</v>
          </cell>
          <cell r="C2108" t="str">
            <v>Y019</v>
          </cell>
          <cell r="D2108" t="str">
            <v>ARM DECOR</v>
          </cell>
          <cell r="E2108" t="str">
            <v>圓飾塊</v>
          </cell>
          <cell r="F2108" t="str">
            <v>50*50*8</v>
          </cell>
          <cell r="G2108">
            <v>50</v>
          </cell>
          <cell r="H2108">
            <v>50</v>
          </cell>
          <cell r="I2108">
            <v>8</v>
          </cell>
          <cell r="J2108">
            <v>20</v>
          </cell>
          <cell r="K2108">
            <v>0</v>
          </cell>
          <cell r="L2108">
            <v>7.1499999999999994E-2</v>
          </cell>
          <cell r="M2108">
            <v>0</v>
          </cell>
          <cell r="N2108">
            <v>0</v>
          </cell>
          <cell r="O2108">
            <v>0</v>
          </cell>
          <cell r="P2108" t="str">
            <v>1010</v>
          </cell>
          <cell r="Q2108" t="str">
            <v>1010</v>
          </cell>
          <cell r="R2108">
            <v>3.5749999999999997</v>
          </cell>
        </row>
        <row r="2109">
          <cell r="A2109" t="str">
            <v>Y020-001</v>
          </cell>
          <cell r="B2109" t="str">
            <v>LCT120-014</v>
          </cell>
          <cell r="C2109" t="str">
            <v>Y020</v>
          </cell>
          <cell r="D2109" t="str">
            <v>#BQ600</v>
          </cell>
          <cell r="E2109" t="str">
            <v>khung guong 镜框-L</v>
          </cell>
          <cell r="F2109" t="str">
            <v>375*185*7</v>
          </cell>
          <cell r="G2109">
            <v>375</v>
          </cell>
          <cell r="H2109">
            <v>185</v>
          </cell>
          <cell r="I2109">
            <v>7</v>
          </cell>
          <cell r="J2109">
            <v>142</v>
          </cell>
          <cell r="K2109">
            <v>0</v>
          </cell>
          <cell r="L2109">
            <v>0.69</v>
          </cell>
          <cell r="M2109">
            <v>0</v>
          </cell>
          <cell r="N2109">
            <v>0</v>
          </cell>
          <cell r="O2109">
            <v>0</v>
          </cell>
          <cell r="P2109" t="str">
            <v>1010</v>
          </cell>
          <cell r="Q2109" t="str">
            <v>1010</v>
          </cell>
          <cell r="R2109">
            <v>4.859154929577465</v>
          </cell>
          <cell r="S2109">
            <v>0.71</v>
          </cell>
          <cell r="T2109">
            <v>0.96</v>
          </cell>
        </row>
        <row r="2110">
          <cell r="A2110" t="str">
            <v>Y020-002</v>
          </cell>
          <cell r="B2110" t="str">
            <v>LCT120-015</v>
          </cell>
          <cell r="C2110" t="str">
            <v>Y020</v>
          </cell>
          <cell r="D2110" t="str">
            <v>#BQ600</v>
          </cell>
          <cell r="E2110" t="str">
            <v>POLY饰条</v>
          </cell>
          <cell r="F2110" t="str">
            <v>440*19*10</v>
          </cell>
          <cell r="G2110">
            <v>440</v>
          </cell>
          <cell r="H2110">
            <v>19</v>
          </cell>
          <cell r="I2110">
            <v>10</v>
          </cell>
          <cell r="J2110">
            <v>100</v>
          </cell>
          <cell r="K2110">
            <v>0</v>
          </cell>
          <cell r="L2110">
            <v>0.39</v>
          </cell>
          <cell r="M2110">
            <v>0</v>
          </cell>
          <cell r="N2110">
            <v>0</v>
          </cell>
          <cell r="O2110">
            <v>0</v>
          </cell>
          <cell r="P2110" t="str">
            <v>1010</v>
          </cell>
          <cell r="Q2110" t="str">
            <v>1010</v>
          </cell>
          <cell r="R2110">
            <v>3.9</v>
          </cell>
          <cell r="S2110">
            <v>0.4</v>
          </cell>
          <cell r="T2110">
            <v>0.48</v>
          </cell>
        </row>
        <row r="2111">
          <cell r="A2111" t="str">
            <v>Y020-003</v>
          </cell>
          <cell r="B2111" t="str">
            <v>LCT120-016</v>
          </cell>
          <cell r="C2111" t="str">
            <v>Y020</v>
          </cell>
          <cell r="D2111" t="str">
            <v>#BQ600</v>
          </cell>
          <cell r="E2111" t="str">
            <v>POLY饰条</v>
          </cell>
          <cell r="F2111" t="str">
            <v>699*19*10</v>
          </cell>
          <cell r="G2111">
            <v>699</v>
          </cell>
          <cell r="H2111">
            <v>19</v>
          </cell>
          <cell r="I2111">
            <v>10</v>
          </cell>
          <cell r="J2111">
            <v>180</v>
          </cell>
          <cell r="K2111">
            <v>0</v>
          </cell>
          <cell r="L2111">
            <v>0.7</v>
          </cell>
          <cell r="M2111">
            <v>0</v>
          </cell>
          <cell r="N2111">
            <v>0</v>
          </cell>
          <cell r="O2111">
            <v>0</v>
          </cell>
          <cell r="P2111" t="str">
            <v>1010</v>
          </cell>
          <cell r="Q2111" t="str">
            <v>1010</v>
          </cell>
          <cell r="R2111">
            <v>3.8888888888888888</v>
          </cell>
          <cell r="S2111">
            <v>0.72</v>
          </cell>
          <cell r="T2111">
            <v>0.75</v>
          </cell>
        </row>
        <row r="2112">
          <cell r="A2112" t="str">
            <v>Y020-004</v>
          </cell>
          <cell r="B2112" t="str">
            <v>LCT120-017</v>
          </cell>
          <cell r="C2112" t="str">
            <v>Y020</v>
          </cell>
          <cell r="D2112" t="str">
            <v>#BQ600</v>
          </cell>
          <cell r="E2112" t="str">
            <v>POLY饰条</v>
          </cell>
          <cell r="F2112" t="str">
            <v>336*19*10</v>
          </cell>
          <cell r="G2112">
            <v>336</v>
          </cell>
          <cell r="H2112">
            <v>19</v>
          </cell>
          <cell r="I2112">
            <v>10</v>
          </cell>
          <cell r="J2112">
            <v>83</v>
          </cell>
          <cell r="K2112">
            <v>0</v>
          </cell>
          <cell r="L2112">
            <v>0.32</v>
          </cell>
          <cell r="M2112">
            <v>0</v>
          </cell>
          <cell r="N2112">
            <v>0</v>
          </cell>
          <cell r="O2112">
            <v>0</v>
          </cell>
          <cell r="P2112" t="str">
            <v>1010</v>
          </cell>
          <cell r="Q2112" t="str">
            <v>1010</v>
          </cell>
          <cell r="R2112">
            <v>3.8554216867469879</v>
          </cell>
          <cell r="S2112">
            <v>0.33200000000000002</v>
          </cell>
          <cell r="T2112">
            <v>0.39</v>
          </cell>
        </row>
        <row r="2113">
          <cell r="A2113" t="str">
            <v>Y020-005</v>
          </cell>
          <cell r="B2113" t="str">
            <v>LCT120-018</v>
          </cell>
          <cell r="C2113" t="str">
            <v>Y020</v>
          </cell>
          <cell r="D2113" t="str">
            <v>#BQ600</v>
          </cell>
          <cell r="E2113" t="str">
            <v>POLY饰条</v>
          </cell>
          <cell r="F2113" t="str">
            <v>507*19*10</v>
          </cell>
          <cell r="G2113">
            <v>507</v>
          </cell>
          <cell r="H2113">
            <v>19</v>
          </cell>
          <cell r="I2113">
            <v>10</v>
          </cell>
          <cell r="J2113">
            <v>120</v>
          </cell>
          <cell r="K2113">
            <v>0</v>
          </cell>
          <cell r="L2113">
            <v>0.47</v>
          </cell>
          <cell r="M2113">
            <v>0</v>
          </cell>
          <cell r="N2113">
            <v>0</v>
          </cell>
          <cell r="O2113">
            <v>0</v>
          </cell>
          <cell r="P2113" t="str">
            <v>1010</v>
          </cell>
          <cell r="Q2113" t="str">
            <v>1010</v>
          </cell>
          <cell r="R2113">
            <v>3.9166666666666665</v>
          </cell>
          <cell r="S2113">
            <v>0.48</v>
          </cell>
          <cell r="T2113">
            <v>0.56999999999999995</v>
          </cell>
        </row>
        <row r="2114">
          <cell r="A2114" t="str">
            <v>Y020-006</v>
          </cell>
          <cell r="B2114" t="str">
            <v>LCT120-019</v>
          </cell>
          <cell r="C2114" t="str">
            <v>Y020</v>
          </cell>
          <cell r="D2114" t="str">
            <v>#BQ600</v>
          </cell>
          <cell r="E2114" t="str">
            <v>镜框柱上饰</v>
          </cell>
          <cell r="F2114" t="str">
            <v>95*95*72</v>
          </cell>
          <cell r="G2114">
            <v>95</v>
          </cell>
          <cell r="H2114">
            <v>95</v>
          </cell>
          <cell r="I2114">
            <v>72</v>
          </cell>
          <cell r="J2114">
            <v>347</v>
          </cell>
          <cell r="K2114">
            <v>0</v>
          </cell>
          <cell r="L2114">
            <v>1.65</v>
          </cell>
          <cell r="M2114">
            <v>0</v>
          </cell>
          <cell r="N2114">
            <v>70</v>
          </cell>
          <cell r="O2114">
            <v>0</v>
          </cell>
          <cell r="P2114" t="str">
            <v>3710</v>
          </cell>
          <cell r="Q2114" t="str">
            <v>3710</v>
          </cell>
          <cell r="R2114">
            <v>4.7550432276657064</v>
          </cell>
          <cell r="S2114">
            <v>1.7050000000000001</v>
          </cell>
          <cell r="T2114">
            <v>1.86</v>
          </cell>
        </row>
        <row r="2115">
          <cell r="A2115" t="str">
            <v>Y020-007</v>
          </cell>
          <cell r="B2115" t="str">
            <v>LCT120-020</v>
          </cell>
          <cell r="C2115" t="str">
            <v>Y020</v>
          </cell>
          <cell r="D2115" t="str">
            <v>#BQ600</v>
          </cell>
          <cell r="E2115" t="str">
            <v>床柱上饰</v>
          </cell>
          <cell r="F2115" t="str">
            <v>185*185*142</v>
          </cell>
          <cell r="G2115">
            <v>185</v>
          </cell>
          <cell r="H2115">
            <v>185</v>
          </cell>
          <cell r="I2115">
            <v>142</v>
          </cell>
          <cell r="J2115">
            <v>1369</v>
          </cell>
          <cell r="K2115">
            <v>0</v>
          </cell>
          <cell r="L2115">
            <v>4</v>
          </cell>
          <cell r="M2115">
            <v>0</v>
          </cell>
          <cell r="N2115">
            <v>170</v>
          </cell>
          <cell r="O2115">
            <v>0</v>
          </cell>
          <cell r="P2115" t="str">
            <v>3710</v>
          </cell>
          <cell r="Q2115" t="str">
            <v>3710</v>
          </cell>
          <cell r="R2115">
            <v>2.9218407596785974</v>
          </cell>
          <cell r="S2115">
            <v>4.0709999999999997</v>
          </cell>
          <cell r="T2115">
            <v>4.41</v>
          </cell>
        </row>
        <row r="2116">
          <cell r="A2116" t="str">
            <v>Y020-008</v>
          </cell>
          <cell r="B2116" t="str">
            <v>LCT120-024</v>
          </cell>
          <cell r="C2116" t="str">
            <v>Y020</v>
          </cell>
          <cell r="D2116" t="str">
            <v>#BQ600</v>
          </cell>
          <cell r="E2116" t="str">
            <v>MR 饰条</v>
          </cell>
          <cell r="F2116" t="str">
            <v>1049*25*18</v>
          </cell>
          <cell r="G2116">
            <v>1049</v>
          </cell>
          <cell r="H2116">
            <v>25</v>
          </cell>
          <cell r="I2116">
            <v>18</v>
          </cell>
          <cell r="J2116">
            <v>620</v>
          </cell>
          <cell r="K2116">
            <v>0</v>
          </cell>
          <cell r="L2116">
            <v>1.8</v>
          </cell>
          <cell r="M2116">
            <v>0</v>
          </cell>
          <cell r="N2116">
            <v>0</v>
          </cell>
          <cell r="O2116">
            <v>0</v>
          </cell>
          <cell r="P2116" t="str">
            <v>1010</v>
          </cell>
          <cell r="Q2116" t="str">
            <v>1010</v>
          </cell>
          <cell r="R2116">
            <v>2.903225806451613</v>
          </cell>
          <cell r="S2116">
            <v>1.86</v>
          </cell>
          <cell r="T2116">
            <v>2.25</v>
          </cell>
        </row>
        <row r="2117">
          <cell r="A2117" t="str">
            <v>Y020-009</v>
          </cell>
          <cell r="B2117" t="str">
            <v>LCT120-025</v>
          </cell>
          <cell r="C2117" t="str">
            <v>Y020</v>
          </cell>
          <cell r="D2117" t="str">
            <v>#BQ600</v>
          </cell>
          <cell r="E2117" t="str">
            <v>QH 饰条</v>
          </cell>
          <cell r="F2117" t="str">
            <v>1379*25*18</v>
          </cell>
          <cell r="G2117">
            <v>1379</v>
          </cell>
          <cell r="H2117">
            <v>25</v>
          </cell>
          <cell r="I2117">
            <v>18</v>
          </cell>
          <cell r="J2117">
            <v>810</v>
          </cell>
          <cell r="K2117">
            <v>0</v>
          </cell>
          <cell r="L2117">
            <v>2.36</v>
          </cell>
          <cell r="M2117">
            <v>0</v>
          </cell>
          <cell r="N2117">
            <v>0</v>
          </cell>
          <cell r="O2117">
            <v>0</v>
          </cell>
          <cell r="P2117" t="str">
            <v>1010</v>
          </cell>
          <cell r="Q2117" t="str">
            <v>1010</v>
          </cell>
          <cell r="R2117">
            <v>2.9135802469135799</v>
          </cell>
          <cell r="S2117">
            <v>2.4300000000000002</v>
          </cell>
          <cell r="T2117">
            <v>2.93</v>
          </cell>
        </row>
        <row r="2118">
          <cell r="A2118" t="str">
            <v>Y020-010</v>
          </cell>
          <cell r="B2118" t="str">
            <v>LCT120-026</v>
          </cell>
          <cell r="C2118" t="str">
            <v>Y020</v>
          </cell>
          <cell r="D2118" t="str">
            <v>#BQ600</v>
          </cell>
          <cell r="E2118" t="str">
            <v>KH 饰条</v>
          </cell>
          <cell r="F2118" t="str">
            <v>1779*25*18</v>
          </cell>
          <cell r="G2118">
            <v>1779</v>
          </cell>
          <cell r="H2118">
            <v>25</v>
          </cell>
          <cell r="I2118">
            <v>18</v>
          </cell>
          <cell r="J2118">
            <v>990</v>
          </cell>
          <cell r="K2118">
            <v>0</v>
          </cell>
          <cell r="L2118">
            <v>2.88</v>
          </cell>
          <cell r="M2118">
            <v>0</v>
          </cell>
          <cell r="N2118">
            <v>0</v>
          </cell>
          <cell r="O2118">
            <v>0</v>
          </cell>
          <cell r="P2118" t="str">
            <v>1010</v>
          </cell>
          <cell r="Q2118" t="str">
            <v>1010</v>
          </cell>
          <cell r="R2118">
            <v>2.9090909090909092</v>
          </cell>
          <cell r="S2118">
            <v>2.97</v>
          </cell>
          <cell r="T2118">
            <v>3.35</v>
          </cell>
        </row>
        <row r="2119">
          <cell r="A2119" t="str">
            <v>Y020-011</v>
          </cell>
          <cell r="B2119" t="str">
            <v>LCT120-027</v>
          </cell>
          <cell r="C2119" t="str">
            <v>Y020</v>
          </cell>
          <cell r="D2119" t="str">
            <v>#BQ600</v>
          </cell>
          <cell r="E2119" t="str">
            <v>POLY饰条</v>
          </cell>
          <cell r="F2119" t="str">
            <v>1400*15*7</v>
          </cell>
          <cell r="G2119">
            <v>1400</v>
          </cell>
          <cell r="H2119">
            <v>15</v>
          </cell>
          <cell r="I2119">
            <v>7</v>
          </cell>
          <cell r="J2119">
            <v>200</v>
          </cell>
          <cell r="K2119">
            <v>0</v>
          </cell>
          <cell r="L2119">
            <v>0.57999999999999996</v>
          </cell>
          <cell r="M2119">
            <v>0</v>
          </cell>
          <cell r="N2119">
            <v>0</v>
          </cell>
          <cell r="O2119">
            <v>0</v>
          </cell>
          <cell r="P2119" t="str">
            <v>1010</v>
          </cell>
          <cell r="Q2119" t="str">
            <v>1010</v>
          </cell>
          <cell r="R2119">
            <v>2.8999999999999995</v>
          </cell>
          <cell r="S2119">
            <v>0.6</v>
          </cell>
          <cell r="T2119">
            <v>0.77</v>
          </cell>
        </row>
        <row r="2120">
          <cell r="A2120" t="str">
            <v>Y020-012</v>
          </cell>
          <cell r="B2120" t="str">
            <v>LCT120-028</v>
          </cell>
          <cell r="C2120" t="str">
            <v>Y020</v>
          </cell>
          <cell r="D2120" t="str">
            <v>#BQ600</v>
          </cell>
          <cell r="E2120" t="str">
            <v>POLY饰条</v>
          </cell>
          <cell r="F2120" t="str">
            <v>1300*19*10</v>
          </cell>
          <cell r="G2120">
            <v>1300</v>
          </cell>
          <cell r="H2120">
            <v>19</v>
          </cell>
          <cell r="I2120">
            <v>10</v>
          </cell>
          <cell r="J2120">
            <v>300</v>
          </cell>
          <cell r="K2120">
            <v>0</v>
          </cell>
          <cell r="L2120">
            <v>1.1599999999999999</v>
          </cell>
          <cell r="M2120">
            <v>0</v>
          </cell>
          <cell r="N2120">
            <v>0</v>
          </cell>
          <cell r="O2120">
            <v>0</v>
          </cell>
          <cell r="P2120" t="str">
            <v>1010</v>
          </cell>
          <cell r="Q2120" t="str">
            <v>1010</v>
          </cell>
          <cell r="R2120">
            <v>3.8666666666666667</v>
          </cell>
          <cell r="S2120">
            <v>1.2</v>
          </cell>
          <cell r="T2120">
            <v>1.3</v>
          </cell>
        </row>
        <row r="2121">
          <cell r="A2121" t="str">
            <v>Y020-013</v>
          </cell>
          <cell r="B2121" t="str">
            <v>LCT120-029</v>
          </cell>
          <cell r="C2121" t="str">
            <v>Y020</v>
          </cell>
          <cell r="D2121" t="str">
            <v>#MS100</v>
          </cell>
          <cell r="E2121" t="str">
            <v>POLY饰條</v>
          </cell>
          <cell r="F2121" t="str">
            <v>545*19*16</v>
          </cell>
          <cell r="G2121">
            <v>545</v>
          </cell>
          <cell r="H2121">
            <v>19</v>
          </cell>
          <cell r="I2121">
            <v>16</v>
          </cell>
          <cell r="J2121">
            <v>190</v>
          </cell>
          <cell r="K2121">
            <v>0</v>
          </cell>
          <cell r="L2121">
            <v>0.54</v>
          </cell>
          <cell r="M2121">
            <v>0</v>
          </cell>
          <cell r="N2121">
            <v>0</v>
          </cell>
          <cell r="O2121">
            <v>0</v>
          </cell>
          <cell r="P2121" t="str">
            <v>1010</v>
          </cell>
          <cell r="Q2121" t="str">
            <v>1010</v>
          </cell>
          <cell r="R2121">
            <v>2.8421052631578947</v>
          </cell>
        </row>
        <row r="2122">
          <cell r="A2122" t="str">
            <v>Y020-014</v>
          </cell>
          <cell r="B2122" t="str">
            <v>LCT120-030</v>
          </cell>
          <cell r="C2122" t="str">
            <v>Y020</v>
          </cell>
          <cell r="D2122" t="str">
            <v>#MS100</v>
          </cell>
          <cell r="E2122" t="str">
            <v>POLY饰條</v>
          </cell>
          <cell r="F2122" t="str">
            <v>330*19*16</v>
          </cell>
          <cell r="G2122">
            <v>330</v>
          </cell>
          <cell r="H2122">
            <v>19</v>
          </cell>
          <cell r="I2122">
            <v>16</v>
          </cell>
          <cell r="J2122">
            <v>120</v>
          </cell>
          <cell r="K2122">
            <v>0</v>
          </cell>
          <cell r="L2122">
            <v>0.32</v>
          </cell>
          <cell r="M2122">
            <v>0</v>
          </cell>
          <cell r="N2122">
            <v>0</v>
          </cell>
          <cell r="O2122">
            <v>0</v>
          </cell>
          <cell r="P2122" t="str">
            <v>1010</v>
          </cell>
          <cell r="Q2122" t="str">
            <v>1010</v>
          </cell>
          <cell r="R2122">
            <v>2.666666666666667</v>
          </cell>
        </row>
        <row r="2123">
          <cell r="A2123" t="str">
            <v>Y020-015</v>
          </cell>
          <cell r="B2123" t="str">
            <v>LCT120-031</v>
          </cell>
          <cell r="C2123" t="str">
            <v>Y020</v>
          </cell>
          <cell r="D2123" t="str">
            <v>#MS100</v>
          </cell>
          <cell r="E2123" t="str">
            <v>POLY饰條</v>
          </cell>
          <cell r="F2123" t="str">
            <v>750*19*16</v>
          </cell>
          <cell r="G2123">
            <v>750</v>
          </cell>
          <cell r="H2123">
            <v>19</v>
          </cell>
          <cell r="I2123">
            <v>16</v>
          </cell>
          <cell r="J2123">
            <v>257</v>
          </cell>
          <cell r="K2123">
            <v>0</v>
          </cell>
          <cell r="L2123">
            <v>0.73</v>
          </cell>
          <cell r="M2123">
            <v>0</v>
          </cell>
          <cell r="N2123">
            <v>0</v>
          </cell>
          <cell r="O2123">
            <v>0</v>
          </cell>
          <cell r="P2123" t="str">
            <v>1010</v>
          </cell>
          <cell r="Q2123" t="str">
            <v>1010</v>
          </cell>
          <cell r="R2123">
            <v>2.8404669260700386</v>
          </cell>
        </row>
        <row r="2124">
          <cell r="A2124" t="str">
            <v>Y020-016</v>
          </cell>
          <cell r="B2124" t="str">
            <v>LCT120-032</v>
          </cell>
          <cell r="C2124" t="str">
            <v>Y020</v>
          </cell>
          <cell r="D2124" t="str">
            <v>#MS100</v>
          </cell>
          <cell r="E2124" t="str">
            <v>POLY饰條</v>
          </cell>
          <cell r="F2124" t="str">
            <v>420*19*16</v>
          </cell>
          <cell r="G2124">
            <v>420</v>
          </cell>
          <cell r="H2124">
            <v>19</v>
          </cell>
          <cell r="I2124">
            <v>16</v>
          </cell>
          <cell r="J2124">
            <v>150</v>
          </cell>
          <cell r="K2124">
            <v>0</v>
          </cell>
          <cell r="L2124">
            <v>0.4</v>
          </cell>
          <cell r="M2124">
            <v>0</v>
          </cell>
          <cell r="N2124">
            <v>0</v>
          </cell>
          <cell r="O2124">
            <v>0</v>
          </cell>
          <cell r="P2124" t="str">
            <v>1010</v>
          </cell>
          <cell r="Q2124" t="str">
            <v>1010</v>
          </cell>
          <cell r="R2124">
            <v>2.666666666666667</v>
          </cell>
        </row>
        <row r="2125">
          <cell r="A2125" t="str">
            <v>Y020-017</v>
          </cell>
          <cell r="B2125" t="str">
            <v>LCT120-034</v>
          </cell>
          <cell r="C2125" t="str">
            <v>Y020</v>
          </cell>
          <cell r="D2125">
            <v>0</v>
          </cell>
          <cell r="E2125" t="str">
            <v>POLY饰條</v>
          </cell>
          <cell r="F2125" t="str">
            <v>150*90*7</v>
          </cell>
          <cell r="G2125">
            <v>150</v>
          </cell>
          <cell r="H2125">
            <v>90</v>
          </cell>
          <cell r="I2125">
            <v>7</v>
          </cell>
          <cell r="J2125">
            <v>140</v>
          </cell>
          <cell r="K2125">
            <v>0</v>
          </cell>
          <cell r="L2125">
            <v>0.2</v>
          </cell>
          <cell r="M2125">
            <v>0</v>
          </cell>
          <cell r="N2125">
            <v>0</v>
          </cell>
          <cell r="O2125">
            <v>0</v>
          </cell>
          <cell r="P2125" t="str">
            <v>1010</v>
          </cell>
          <cell r="Q2125" t="str">
            <v>1010</v>
          </cell>
          <cell r="R2125">
            <v>1.4285714285714286</v>
          </cell>
        </row>
        <row r="2126">
          <cell r="A2126" t="str">
            <v>Y020-018</v>
          </cell>
          <cell r="B2126" t="str">
            <v>LCT120-035</v>
          </cell>
          <cell r="C2126" t="str">
            <v>Y020</v>
          </cell>
          <cell r="D2126">
            <v>0</v>
          </cell>
          <cell r="E2126" t="str">
            <v>POLY饰條</v>
          </cell>
          <cell r="F2126" t="str">
            <v>959*54*6</v>
          </cell>
          <cell r="G2126">
            <v>959</v>
          </cell>
          <cell r="H2126">
            <v>54</v>
          </cell>
          <cell r="I2126">
            <v>6</v>
          </cell>
          <cell r="J2126">
            <v>420</v>
          </cell>
          <cell r="K2126">
            <v>0</v>
          </cell>
          <cell r="L2126">
            <v>1.02</v>
          </cell>
          <cell r="M2126">
            <v>0</v>
          </cell>
          <cell r="N2126">
            <v>0</v>
          </cell>
          <cell r="O2126">
            <v>0</v>
          </cell>
          <cell r="P2126" t="str">
            <v>1010</v>
          </cell>
          <cell r="Q2126" t="str">
            <v>1010</v>
          </cell>
          <cell r="R2126">
            <v>2.4285714285714288</v>
          </cell>
        </row>
        <row r="2127">
          <cell r="A2127" t="str">
            <v>Y020-019</v>
          </cell>
          <cell r="B2127" t="str">
            <v>LCT120-036</v>
          </cell>
          <cell r="C2127" t="str">
            <v>Y020</v>
          </cell>
          <cell r="D2127">
            <v>0</v>
          </cell>
          <cell r="E2127" t="str">
            <v>POLY饰條</v>
          </cell>
          <cell r="F2127" t="str">
            <v>869*54*6</v>
          </cell>
          <cell r="G2127">
            <v>869</v>
          </cell>
          <cell r="H2127">
            <v>54</v>
          </cell>
          <cell r="I2127">
            <v>6</v>
          </cell>
          <cell r="J2127">
            <v>320</v>
          </cell>
          <cell r="K2127">
            <v>0</v>
          </cell>
          <cell r="L2127">
            <v>0.9</v>
          </cell>
          <cell r="M2127">
            <v>0</v>
          </cell>
          <cell r="N2127">
            <v>0</v>
          </cell>
          <cell r="O2127">
            <v>0</v>
          </cell>
          <cell r="P2127" t="str">
            <v>1010</v>
          </cell>
          <cell r="Q2127" t="str">
            <v>1010</v>
          </cell>
          <cell r="R2127">
            <v>2.8125</v>
          </cell>
        </row>
        <row r="2128">
          <cell r="A2128" t="str">
            <v>Y020-020</v>
          </cell>
          <cell r="B2128" t="str">
            <v>LCT120-037</v>
          </cell>
          <cell r="C2128" t="str">
            <v>Y020</v>
          </cell>
          <cell r="D2128" t="str">
            <v>#RG600</v>
          </cell>
          <cell r="E2128" t="str">
            <v>POLY饰條</v>
          </cell>
          <cell r="F2128" t="str">
            <v>1308*54*6</v>
          </cell>
          <cell r="G2128">
            <v>1308</v>
          </cell>
          <cell r="H2128">
            <v>54</v>
          </cell>
          <cell r="I2128">
            <v>6</v>
          </cell>
          <cell r="J2128">
            <v>520</v>
          </cell>
          <cell r="K2128">
            <v>0</v>
          </cell>
          <cell r="L2128">
            <v>1.39</v>
          </cell>
          <cell r="M2128">
            <v>0</v>
          </cell>
          <cell r="N2128">
            <v>0</v>
          </cell>
          <cell r="O2128">
            <v>0</v>
          </cell>
          <cell r="P2128" t="str">
            <v>1010</v>
          </cell>
          <cell r="Q2128" t="str">
            <v>1010</v>
          </cell>
          <cell r="R2128">
            <v>2.6730769230769229</v>
          </cell>
        </row>
        <row r="2129">
          <cell r="A2129" t="str">
            <v>Y020-021</v>
          </cell>
          <cell r="B2129" t="str">
            <v>LCT120-038</v>
          </cell>
          <cell r="C2129" t="str">
            <v>Y020</v>
          </cell>
          <cell r="D2129">
            <v>0</v>
          </cell>
          <cell r="E2129" t="str">
            <v>POLY饰條</v>
          </cell>
          <cell r="F2129" t="str">
            <v>1708*54*6</v>
          </cell>
          <cell r="G2129">
            <v>1708</v>
          </cell>
          <cell r="H2129">
            <v>54</v>
          </cell>
          <cell r="I2129">
            <v>6</v>
          </cell>
          <cell r="J2129">
            <v>630</v>
          </cell>
          <cell r="K2129">
            <v>0</v>
          </cell>
          <cell r="L2129">
            <v>1.81</v>
          </cell>
          <cell r="M2129">
            <v>0</v>
          </cell>
          <cell r="N2129">
            <v>0</v>
          </cell>
          <cell r="O2129">
            <v>0</v>
          </cell>
          <cell r="P2129" t="str">
            <v>1010</v>
          </cell>
          <cell r="Q2129" t="str">
            <v>1010</v>
          </cell>
          <cell r="R2129">
            <v>2.873015873015873</v>
          </cell>
        </row>
        <row r="2130">
          <cell r="A2130" t="str">
            <v>Y020-022</v>
          </cell>
          <cell r="B2130" t="str">
            <v>LCT120-039</v>
          </cell>
          <cell r="C2130" t="str">
            <v>Y020</v>
          </cell>
          <cell r="D2130" t="str">
            <v>#RG600</v>
          </cell>
          <cell r="E2130" t="str">
            <v>POLY饰條</v>
          </cell>
          <cell r="F2130" t="str">
            <v>817*54*6</v>
          </cell>
          <cell r="G2130">
            <v>817</v>
          </cell>
          <cell r="H2130">
            <v>54</v>
          </cell>
          <cell r="I2130">
            <v>6</v>
          </cell>
          <cell r="J2130">
            <v>310</v>
          </cell>
          <cell r="K2130">
            <v>0</v>
          </cell>
          <cell r="L2130">
            <v>0.85</v>
          </cell>
          <cell r="M2130">
            <v>0</v>
          </cell>
          <cell r="N2130">
            <v>0</v>
          </cell>
          <cell r="O2130">
            <v>0</v>
          </cell>
          <cell r="P2130" t="str">
            <v>1010</v>
          </cell>
          <cell r="Q2130" t="str">
            <v>1010</v>
          </cell>
          <cell r="R2130">
            <v>2.7419354838709675</v>
          </cell>
        </row>
        <row r="2131">
          <cell r="A2131" t="str">
            <v>Y020-023</v>
          </cell>
          <cell r="B2131" t="str">
            <v>LCT120-040</v>
          </cell>
          <cell r="C2131" t="str">
            <v>Y020</v>
          </cell>
          <cell r="D2131" t="str">
            <v>#RG600</v>
          </cell>
          <cell r="E2131" t="str">
            <v>POLY饰條</v>
          </cell>
          <cell r="F2131" t="str">
            <v>380*54*6</v>
          </cell>
          <cell r="G2131">
            <v>380</v>
          </cell>
          <cell r="H2131">
            <v>54</v>
          </cell>
          <cell r="I2131">
            <v>6</v>
          </cell>
          <cell r="J2131">
            <v>150</v>
          </cell>
          <cell r="K2131">
            <v>0</v>
          </cell>
          <cell r="L2131">
            <v>0.4</v>
          </cell>
          <cell r="M2131">
            <v>0</v>
          </cell>
          <cell r="N2131">
            <v>0</v>
          </cell>
          <cell r="O2131">
            <v>0</v>
          </cell>
          <cell r="P2131" t="str">
            <v>1010</v>
          </cell>
          <cell r="Q2131" t="str">
            <v>1010</v>
          </cell>
          <cell r="R2131">
            <v>2.666666666666667</v>
          </cell>
        </row>
        <row r="2132">
          <cell r="A2132" t="str">
            <v>Y020-024</v>
          </cell>
          <cell r="B2132" t="str">
            <v>LCT120-041</v>
          </cell>
          <cell r="C2132" t="str">
            <v>Y020</v>
          </cell>
          <cell r="D2132">
            <v>0</v>
          </cell>
          <cell r="E2132" t="str">
            <v>POLY饰條</v>
          </cell>
          <cell r="F2132" t="str">
            <v>1416*54*6</v>
          </cell>
          <cell r="G2132">
            <v>1416</v>
          </cell>
          <cell r="H2132">
            <v>54</v>
          </cell>
          <cell r="I2132">
            <v>6</v>
          </cell>
          <cell r="J2132">
            <v>0</v>
          </cell>
          <cell r="K2132">
            <v>0</v>
          </cell>
          <cell r="L2132">
            <v>1.5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 t="e">
            <v>#DIV/0!</v>
          </cell>
        </row>
        <row r="2133">
          <cell r="A2133" t="str">
            <v>Y020-025</v>
          </cell>
          <cell r="B2133" t="str">
            <v>LCT120-042</v>
          </cell>
          <cell r="C2133" t="str">
            <v>Y020</v>
          </cell>
          <cell r="D2133">
            <v>0</v>
          </cell>
          <cell r="E2133" t="str">
            <v>POLY饰條</v>
          </cell>
          <cell r="F2133" t="str">
            <v>1816*54*6</v>
          </cell>
          <cell r="G2133">
            <v>1816</v>
          </cell>
          <cell r="H2133">
            <v>54</v>
          </cell>
          <cell r="I2133">
            <v>6</v>
          </cell>
          <cell r="J2133">
            <v>0</v>
          </cell>
          <cell r="K2133">
            <v>0</v>
          </cell>
          <cell r="L2133">
            <v>1.93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 t="e">
            <v>#DIV/0!</v>
          </cell>
        </row>
        <row r="2134">
          <cell r="A2134" t="str">
            <v>Y020-026</v>
          </cell>
          <cell r="B2134" t="str">
            <v>LCT120-043</v>
          </cell>
          <cell r="C2134" t="str">
            <v>Y020</v>
          </cell>
          <cell r="D2134">
            <v>0</v>
          </cell>
          <cell r="E2134" t="str">
            <v>POLY饰條</v>
          </cell>
          <cell r="F2134" t="str">
            <v>1008*54*6</v>
          </cell>
          <cell r="G2134">
            <v>1008</v>
          </cell>
          <cell r="H2134">
            <v>54</v>
          </cell>
          <cell r="I2134">
            <v>6</v>
          </cell>
          <cell r="J2134">
            <v>0</v>
          </cell>
          <cell r="K2134">
            <v>0</v>
          </cell>
          <cell r="L2134">
            <v>1.07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 t="e">
            <v>#DIV/0!</v>
          </cell>
        </row>
        <row r="2135">
          <cell r="A2135" t="str">
            <v>Y020-027</v>
          </cell>
          <cell r="B2135" t="str">
            <v>LCT120-044</v>
          </cell>
          <cell r="C2135" t="str">
            <v>Y020</v>
          </cell>
          <cell r="D2135">
            <v>0</v>
          </cell>
          <cell r="E2135" t="str">
            <v>POLY饰條</v>
          </cell>
          <cell r="F2135" t="str">
            <v>483*54*6</v>
          </cell>
          <cell r="G2135">
            <v>483</v>
          </cell>
          <cell r="H2135">
            <v>54</v>
          </cell>
          <cell r="I2135">
            <v>6</v>
          </cell>
          <cell r="J2135">
            <v>0</v>
          </cell>
          <cell r="K2135">
            <v>0</v>
          </cell>
          <cell r="L2135">
            <v>0.51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 t="e">
            <v>#DIV/0!</v>
          </cell>
        </row>
        <row r="2136">
          <cell r="A2136" t="str">
            <v>Y020-028</v>
          </cell>
          <cell r="B2136" t="str">
            <v>LCT120-045</v>
          </cell>
          <cell r="C2136" t="str">
            <v>Y020</v>
          </cell>
          <cell r="D2136">
            <v>0</v>
          </cell>
          <cell r="E2136" t="str">
            <v>POLY饰條</v>
          </cell>
          <cell r="F2136" t="str">
            <v>737*54*6</v>
          </cell>
          <cell r="G2136">
            <v>737</v>
          </cell>
          <cell r="H2136">
            <v>54</v>
          </cell>
          <cell r="I2136">
            <v>6</v>
          </cell>
          <cell r="J2136">
            <v>0</v>
          </cell>
          <cell r="K2136">
            <v>0</v>
          </cell>
          <cell r="L2136">
            <v>0.78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 t="e">
            <v>#DIV/0!</v>
          </cell>
        </row>
        <row r="2137">
          <cell r="A2137" t="str">
            <v>Y020-029</v>
          </cell>
          <cell r="B2137" t="str">
            <v>LCT120-046</v>
          </cell>
          <cell r="C2137" t="str">
            <v>Y020</v>
          </cell>
          <cell r="D2137">
            <v>0</v>
          </cell>
          <cell r="E2137" t="str">
            <v>POLY饰條</v>
          </cell>
          <cell r="F2137" t="str">
            <v>1401*54*6</v>
          </cell>
          <cell r="G2137">
            <v>1401</v>
          </cell>
          <cell r="H2137">
            <v>54</v>
          </cell>
          <cell r="I2137">
            <v>6</v>
          </cell>
          <cell r="J2137">
            <v>0</v>
          </cell>
          <cell r="K2137">
            <v>0</v>
          </cell>
          <cell r="L2137">
            <v>1.49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 t="e">
            <v>#DIV/0!</v>
          </cell>
        </row>
        <row r="2138">
          <cell r="A2138" t="str">
            <v>Y020-030</v>
          </cell>
          <cell r="B2138" t="str">
            <v>LCT120-047</v>
          </cell>
          <cell r="C2138" t="str">
            <v>Y020</v>
          </cell>
          <cell r="D2138">
            <v>0</v>
          </cell>
          <cell r="E2138" t="str">
            <v>POLY饰條</v>
          </cell>
          <cell r="F2138" t="str">
            <v>190*15*7</v>
          </cell>
          <cell r="G2138">
            <v>190</v>
          </cell>
          <cell r="H2138">
            <v>15</v>
          </cell>
          <cell r="I2138">
            <v>7</v>
          </cell>
          <cell r="J2138">
            <v>0</v>
          </cell>
          <cell r="K2138">
            <v>0</v>
          </cell>
          <cell r="L2138">
            <v>0.14000000000000001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 t="e">
            <v>#DIV/0!</v>
          </cell>
        </row>
        <row r="2139">
          <cell r="A2139" t="str">
            <v>Y020-031</v>
          </cell>
          <cell r="B2139" t="str">
            <v>LCT120-048</v>
          </cell>
          <cell r="C2139" t="str">
            <v>Y020</v>
          </cell>
          <cell r="D2139">
            <v>0</v>
          </cell>
          <cell r="E2139" t="str">
            <v>POLY饰條</v>
          </cell>
          <cell r="F2139" t="str">
            <v>150*10*5</v>
          </cell>
          <cell r="G2139">
            <v>150</v>
          </cell>
          <cell r="H2139">
            <v>10</v>
          </cell>
          <cell r="I2139">
            <v>5</v>
          </cell>
          <cell r="J2139">
            <v>0</v>
          </cell>
          <cell r="K2139">
            <v>0</v>
          </cell>
          <cell r="L2139">
            <v>0.06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 t="e">
            <v>#DIV/0!</v>
          </cell>
        </row>
        <row r="2140">
          <cell r="A2140" t="str">
            <v>Y020-032</v>
          </cell>
          <cell r="B2140" t="str">
            <v>LCT120-054</v>
          </cell>
          <cell r="C2140" t="str">
            <v>Y020</v>
          </cell>
          <cell r="D2140" t="str">
            <v>#BQ600</v>
          </cell>
          <cell r="E2140" t="str">
            <v>khung guong 镜框-R</v>
          </cell>
          <cell r="F2140" t="str">
            <v>375*185*7</v>
          </cell>
          <cell r="G2140">
            <v>375</v>
          </cell>
          <cell r="H2140">
            <v>185</v>
          </cell>
          <cell r="I2140">
            <v>7</v>
          </cell>
          <cell r="J2140">
            <v>142</v>
          </cell>
          <cell r="K2140">
            <v>0</v>
          </cell>
          <cell r="L2140">
            <v>0.69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4.859154929577465</v>
          </cell>
        </row>
        <row r="2141">
          <cell r="A2141" t="str">
            <v>Y020-033</v>
          </cell>
          <cell r="B2141" t="str">
            <v>LCT120-055</v>
          </cell>
          <cell r="C2141" t="str">
            <v>Y020</v>
          </cell>
          <cell r="D2141" t="str">
            <v>#RG600</v>
          </cell>
          <cell r="E2141" t="str">
            <v>POLY飾條-L</v>
          </cell>
          <cell r="F2141" t="str">
            <v>150*90*7</v>
          </cell>
          <cell r="G2141">
            <v>150</v>
          </cell>
          <cell r="H2141">
            <v>90</v>
          </cell>
          <cell r="I2141">
            <v>7</v>
          </cell>
          <cell r="J2141">
            <v>140</v>
          </cell>
          <cell r="K2141">
            <v>0</v>
          </cell>
          <cell r="L2141">
            <v>0.2</v>
          </cell>
          <cell r="M2141">
            <v>0</v>
          </cell>
          <cell r="N2141">
            <v>0</v>
          </cell>
          <cell r="O2141">
            <v>0</v>
          </cell>
          <cell r="P2141" t="str">
            <v>1010</v>
          </cell>
          <cell r="Q2141" t="str">
            <v>1010</v>
          </cell>
          <cell r="R2141">
            <v>1.4285714285714286</v>
          </cell>
        </row>
        <row r="2142">
          <cell r="A2142" t="str">
            <v>Y020-034</v>
          </cell>
          <cell r="B2142" t="str">
            <v>LCT120-056</v>
          </cell>
          <cell r="C2142" t="str">
            <v>Y020</v>
          </cell>
          <cell r="D2142" t="str">
            <v>#RG600</v>
          </cell>
          <cell r="E2142" t="str">
            <v>POLY飾條-R</v>
          </cell>
          <cell r="F2142" t="str">
            <v>150*90*7</v>
          </cell>
          <cell r="G2142">
            <v>150</v>
          </cell>
          <cell r="H2142">
            <v>90</v>
          </cell>
          <cell r="I2142">
            <v>7</v>
          </cell>
          <cell r="J2142">
            <v>140</v>
          </cell>
          <cell r="K2142">
            <v>0</v>
          </cell>
          <cell r="L2142">
            <v>0.2</v>
          </cell>
          <cell r="M2142">
            <v>0</v>
          </cell>
          <cell r="N2142">
            <v>0</v>
          </cell>
          <cell r="O2142">
            <v>0</v>
          </cell>
          <cell r="P2142" t="str">
            <v>1010</v>
          </cell>
          <cell r="Q2142" t="str">
            <v>1010</v>
          </cell>
          <cell r="R2142">
            <v>1.4285714285714286</v>
          </cell>
        </row>
        <row r="2143">
          <cell r="A2143" t="str">
            <v>Y020-035</v>
          </cell>
          <cell r="B2143" t="str">
            <v>LCT120-057</v>
          </cell>
          <cell r="C2143" t="str">
            <v>Y020</v>
          </cell>
          <cell r="D2143">
            <v>0</v>
          </cell>
          <cell r="E2143" t="str">
            <v>POLY饰條</v>
          </cell>
          <cell r="F2143" t="str">
            <v>1000*15*20</v>
          </cell>
          <cell r="G2143">
            <v>1000</v>
          </cell>
          <cell r="H2143">
            <v>15</v>
          </cell>
          <cell r="I2143">
            <v>20</v>
          </cell>
          <cell r="J2143">
            <v>0</v>
          </cell>
          <cell r="K2143">
            <v>0</v>
          </cell>
          <cell r="L2143">
            <v>1.25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 t="e">
            <v>#DIV/0!</v>
          </cell>
        </row>
        <row r="2144">
          <cell r="A2144" t="str">
            <v>Y020-036</v>
          </cell>
          <cell r="B2144">
            <v>0</v>
          </cell>
          <cell r="C2144" t="str">
            <v>Y020</v>
          </cell>
          <cell r="D2144" t="str">
            <v>#DL600/650</v>
          </cell>
          <cell r="E2144" t="str">
            <v>CHỈ POLY饰條</v>
          </cell>
          <cell r="F2144" t="str">
            <v>12*15*1088</v>
          </cell>
          <cell r="G2144">
            <v>12</v>
          </cell>
          <cell r="H2144">
            <v>15</v>
          </cell>
          <cell r="I2144">
            <v>1088</v>
          </cell>
          <cell r="J2144">
            <v>260</v>
          </cell>
          <cell r="K2144">
            <v>0</v>
          </cell>
          <cell r="L2144">
            <v>0.58199999999999996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2.2384615384615381</v>
          </cell>
          <cell r="S2144">
            <v>0</v>
          </cell>
        </row>
        <row r="2145">
          <cell r="A2145" t="str">
            <v>Y020-037</v>
          </cell>
          <cell r="B2145">
            <v>0</v>
          </cell>
          <cell r="C2145" t="str">
            <v>Y020</v>
          </cell>
          <cell r="D2145" t="str">
            <v>#DL600/650</v>
          </cell>
          <cell r="E2145" t="str">
            <v>CHỈ POLY饰條</v>
          </cell>
          <cell r="F2145" t="str">
            <v>15*18.5*951</v>
          </cell>
          <cell r="G2145">
            <v>15</v>
          </cell>
          <cell r="H2145">
            <v>18.5</v>
          </cell>
          <cell r="I2145">
            <v>951</v>
          </cell>
          <cell r="J2145">
            <v>360</v>
          </cell>
          <cell r="K2145">
            <v>0</v>
          </cell>
          <cell r="L2145">
            <v>0.82499999999999996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2.2916666666666665</v>
          </cell>
          <cell r="S2145">
            <v>0</v>
          </cell>
        </row>
        <row r="2146">
          <cell r="A2146" t="str">
            <v>Y020-038</v>
          </cell>
          <cell r="B2146">
            <v>0</v>
          </cell>
          <cell r="C2146" t="str">
            <v>Y020</v>
          </cell>
          <cell r="D2146" t="str">
            <v>#DL600/650</v>
          </cell>
          <cell r="E2146" t="str">
            <v>CHỈ POLY饰條</v>
          </cell>
          <cell r="F2146" t="str">
            <v>15*20*1422</v>
          </cell>
          <cell r="G2146">
            <v>15</v>
          </cell>
          <cell r="H2146">
            <v>20</v>
          </cell>
          <cell r="I2146">
            <v>1422</v>
          </cell>
          <cell r="J2146">
            <v>580</v>
          </cell>
          <cell r="K2146">
            <v>0</v>
          </cell>
          <cell r="L2146">
            <v>1.41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2.4310344827586206</v>
          </cell>
          <cell r="S2146">
            <v>0</v>
          </cell>
        </row>
        <row r="2147">
          <cell r="A2147" t="str">
            <v>Y020-039</v>
          </cell>
          <cell r="B2147">
            <v>0</v>
          </cell>
          <cell r="C2147" t="str">
            <v>Y020</v>
          </cell>
          <cell r="D2147" t="str">
            <v>#DL600/650</v>
          </cell>
          <cell r="E2147" t="str">
            <v>CHỈ POLY饰條</v>
          </cell>
          <cell r="F2147" t="str">
            <v>15*20*1815</v>
          </cell>
          <cell r="G2147">
            <v>15</v>
          </cell>
          <cell r="H2147">
            <v>20</v>
          </cell>
          <cell r="I2147">
            <v>1815</v>
          </cell>
          <cell r="J2147">
            <v>740</v>
          </cell>
          <cell r="K2147">
            <v>0</v>
          </cell>
          <cell r="L2147">
            <v>1.74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2.3513513513513513</v>
          </cell>
          <cell r="S2147">
            <v>0</v>
          </cell>
        </row>
        <row r="2148">
          <cell r="A2148" t="str">
            <v>Y020-040</v>
          </cell>
          <cell r="B2148">
            <v>0</v>
          </cell>
          <cell r="C2148" t="str">
            <v>Y020</v>
          </cell>
          <cell r="D2148">
            <v>0</v>
          </cell>
          <cell r="E2148">
            <v>0</v>
          </cell>
          <cell r="F2148">
            <v>0</v>
          </cell>
          <cell r="G2148">
            <v>15</v>
          </cell>
          <cell r="H2148">
            <v>20</v>
          </cell>
          <cell r="I2148">
            <v>901</v>
          </cell>
          <cell r="J2148">
            <v>0</v>
          </cell>
          <cell r="K2148">
            <v>0</v>
          </cell>
          <cell r="L2148">
            <v>1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 t="e">
            <v>#DIV/0!</v>
          </cell>
          <cell r="S2148">
            <v>0</v>
          </cell>
        </row>
        <row r="2149">
          <cell r="A2149" t="str">
            <v>Y020-041</v>
          </cell>
          <cell r="B2149">
            <v>0</v>
          </cell>
          <cell r="C2149" t="str">
            <v>Y020</v>
          </cell>
          <cell r="D2149" t="str">
            <v>#DL600/650</v>
          </cell>
          <cell r="E2149" t="str">
            <v>CHỈ POLY饰條</v>
          </cell>
          <cell r="F2149" t="str">
            <v>15*20*1265</v>
          </cell>
          <cell r="G2149">
            <v>15</v>
          </cell>
          <cell r="H2149">
            <v>20</v>
          </cell>
          <cell r="I2149">
            <v>1265</v>
          </cell>
          <cell r="J2149">
            <v>460</v>
          </cell>
          <cell r="K2149">
            <v>0</v>
          </cell>
          <cell r="L2149">
            <v>1.26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2.7391304347826084</v>
          </cell>
          <cell r="S2149">
            <v>0</v>
          </cell>
        </row>
        <row r="2150">
          <cell r="A2150" t="str">
            <v>Y020-042</v>
          </cell>
          <cell r="B2150">
            <v>0</v>
          </cell>
          <cell r="C2150" t="str">
            <v>Y020</v>
          </cell>
          <cell r="D2150" t="str">
            <v>#KT600/650</v>
          </cell>
          <cell r="E2150" t="str">
            <v>CHỈ POLY饰條</v>
          </cell>
          <cell r="F2150" t="str">
            <v>11*18*1074</v>
          </cell>
          <cell r="G2150">
            <v>11</v>
          </cell>
          <cell r="H2150">
            <v>18</v>
          </cell>
          <cell r="I2150">
            <v>1074</v>
          </cell>
          <cell r="J2150">
            <v>365</v>
          </cell>
          <cell r="K2150">
            <v>0</v>
          </cell>
          <cell r="L2150">
            <v>0.96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2.6301369863013697</v>
          </cell>
          <cell r="S2150">
            <v>0</v>
          </cell>
        </row>
        <row r="2151">
          <cell r="A2151" t="str">
            <v>Y020-043</v>
          </cell>
          <cell r="B2151">
            <v>0</v>
          </cell>
          <cell r="C2151" t="str">
            <v>Y020</v>
          </cell>
          <cell r="D2151" t="str">
            <v>#KT600/650</v>
          </cell>
          <cell r="E2151" t="str">
            <v>CHỈ POLY饰條</v>
          </cell>
          <cell r="F2151" t="str">
            <v>11*18*280</v>
          </cell>
          <cell r="G2151">
            <v>11</v>
          </cell>
          <cell r="H2151">
            <v>18</v>
          </cell>
          <cell r="I2151">
            <v>280</v>
          </cell>
          <cell r="J2151">
            <v>110</v>
          </cell>
          <cell r="K2151">
            <v>0</v>
          </cell>
          <cell r="L2151">
            <v>0.28999999999999998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2.6363636363636362</v>
          </cell>
          <cell r="S2151">
            <v>0</v>
          </cell>
        </row>
        <row r="2152">
          <cell r="A2152" t="str">
            <v>Y020-044</v>
          </cell>
          <cell r="B2152">
            <v>0</v>
          </cell>
          <cell r="C2152" t="str">
            <v>Y020</v>
          </cell>
          <cell r="D2152" t="str">
            <v>#KT600/650</v>
          </cell>
          <cell r="E2152" t="str">
            <v>CHỈ POLY饰條</v>
          </cell>
          <cell r="F2152" t="str">
            <v>11*18*560</v>
          </cell>
          <cell r="G2152">
            <v>11</v>
          </cell>
          <cell r="H2152">
            <v>18</v>
          </cell>
          <cell r="I2152">
            <v>560</v>
          </cell>
          <cell r="J2152">
            <v>201</v>
          </cell>
          <cell r="K2152">
            <v>0</v>
          </cell>
          <cell r="L2152">
            <v>0.52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2.5870646766169152</v>
          </cell>
          <cell r="S2152">
            <v>0</v>
          </cell>
        </row>
        <row r="2153">
          <cell r="A2153" t="str">
            <v>Y020-045</v>
          </cell>
          <cell r="B2153">
            <v>0</v>
          </cell>
          <cell r="C2153" t="str">
            <v>Y020</v>
          </cell>
          <cell r="D2153" t="str">
            <v>#KT600/650</v>
          </cell>
          <cell r="E2153" t="str">
            <v>CHỈ POLY饰條</v>
          </cell>
          <cell r="F2153" t="str">
            <v>11*18*632</v>
          </cell>
          <cell r="G2153">
            <v>11</v>
          </cell>
          <cell r="H2153">
            <v>18</v>
          </cell>
          <cell r="I2153">
            <v>632</v>
          </cell>
          <cell r="J2153">
            <v>225</v>
          </cell>
          <cell r="K2153">
            <v>0</v>
          </cell>
          <cell r="L2153">
            <v>0.57999999999999996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2.5777777777777775</v>
          </cell>
          <cell r="S2153">
            <v>0</v>
          </cell>
        </row>
        <row r="2154">
          <cell r="A2154" t="str">
            <v>Y020-046</v>
          </cell>
          <cell r="B2154">
            <v>0</v>
          </cell>
          <cell r="C2154" t="str">
            <v>Y020</v>
          </cell>
          <cell r="D2154" t="str">
            <v>#KT600/650</v>
          </cell>
          <cell r="E2154" t="str">
            <v>CHỈ POLY饰條</v>
          </cell>
          <cell r="F2154" t="str">
            <v>11*18*366</v>
          </cell>
          <cell r="G2154">
            <v>11</v>
          </cell>
          <cell r="H2154">
            <v>18</v>
          </cell>
          <cell r="I2154">
            <v>366</v>
          </cell>
          <cell r="J2154">
            <v>138</v>
          </cell>
          <cell r="K2154">
            <v>0</v>
          </cell>
          <cell r="L2154">
            <v>0.36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2.6086956521739126</v>
          </cell>
          <cell r="S2154">
            <v>0</v>
          </cell>
        </row>
        <row r="2155">
          <cell r="A2155" t="str">
            <v>Y020-047</v>
          </cell>
          <cell r="B2155">
            <v>0</v>
          </cell>
          <cell r="C2155" t="str">
            <v>Y020</v>
          </cell>
          <cell r="D2155" t="str">
            <v>#KT600/650</v>
          </cell>
          <cell r="E2155" t="str">
            <v>CHỈ POLY饰條</v>
          </cell>
          <cell r="F2155" t="str">
            <v>11*18*788</v>
          </cell>
          <cell r="G2155">
            <v>11</v>
          </cell>
          <cell r="H2155">
            <v>18</v>
          </cell>
          <cell r="I2155">
            <v>788</v>
          </cell>
          <cell r="J2155">
            <v>285</v>
          </cell>
          <cell r="K2155">
            <v>0</v>
          </cell>
          <cell r="L2155">
            <v>0.75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2.6315789473684212</v>
          </cell>
          <cell r="S2155">
            <v>0</v>
          </cell>
        </row>
        <row r="2156">
          <cell r="A2156" t="str">
            <v>Y020-048</v>
          </cell>
          <cell r="B2156">
            <v>0</v>
          </cell>
          <cell r="C2156" t="str">
            <v>Y020</v>
          </cell>
          <cell r="D2156" t="str">
            <v>#KT600/650</v>
          </cell>
          <cell r="E2156" t="str">
            <v>CHỈ POLY饰條</v>
          </cell>
          <cell r="F2156" t="str">
            <v>11*18*632</v>
          </cell>
          <cell r="G2156">
            <v>11</v>
          </cell>
          <cell r="H2156">
            <v>18</v>
          </cell>
          <cell r="I2156">
            <v>632</v>
          </cell>
          <cell r="J2156">
            <v>225</v>
          </cell>
          <cell r="K2156">
            <v>0</v>
          </cell>
          <cell r="L2156">
            <v>0.57999999999999996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2.5777777777777775</v>
          </cell>
          <cell r="S2156">
            <v>0</v>
          </cell>
        </row>
        <row r="2157">
          <cell r="A2157" t="str">
            <v>Y020-049</v>
          </cell>
          <cell r="B2157">
            <v>0</v>
          </cell>
          <cell r="C2157" t="str">
            <v>Y020</v>
          </cell>
          <cell r="D2157" t="str">
            <v>#1636-CH</v>
          </cell>
          <cell r="E2157" t="str">
            <v>CHỈ POLY饰條</v>
          </cell>
          <cell r="F2157" t="str">
            <v>10*19*2000</v>
          </cell>
          <cell r="G2157">
            <v>10</v>
          </cell>
          <cell r="H2157">
            <v>19</v>
          </cell>
          <cell r="I2157">
            <v>2000</v>
          </cell>
          <cell r="J2157">
            <v>458</v>
          </cell>
          <cell r="K2157">
            <v>0</v>
          </cell>
          <cell r="L2157">
            <v>1.61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3.5152838427947599</v>
          </cell>
          <cell r="S2157">
            <v>0</v>
          </cell>
        </row>
        <row r="2158">
          <cell r="A2158" t="str">
            <v>Y020-050</v>
          </cell>
          <cell r="B2158">
            <v>0</v>
          </cell>
          <cell r="C2158" t="str">
            <v>Y020</v>
          </cell>
          <cell r="D2158" t="str">
            <v>#DL600/650</v>
          </cell>
          <cell r="E2158" t="str">
            <v>Poly 饰条(饰条）</v>
          </cell>
          <cell r="F2158" t="str">
            <v>15*20*1900</v>
          </cell>
          <cell r="G2158">
            <v>15</v>
          </cell>
          <cell r="H2158">
            <v>20</v>
          </cell>
          <cell r="I2158">
            <v>1900</v>
          </cell>
          <cell r="J2158">
            <v>775</v>
          </cell>
          <cell r="K2158">
            <v>0</v>
          </cell>
          <cell r="L2158">
            <v>1.99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2.5677419354838711</v>
          </cell>
          <cell r="S2158">
            <v>0</v>
          </cell>
        </row>
        <row r="2159">
          <cell r="A2159" t="str">
            <v>Y020-2001</v>
          </cell>
          <cell r="B2159" t="str">
            <v>樣品費,有單扣回</v>
          </cell>
          <cell r="C2159" t="str">
            <v>Y020</v>
          </cell>
          <cell r="D2159">
            <v>0</v>
          </cell>
          <cell r="E2159">
            <v>0</v>
          </cell>
          <cell r="F2159">
            <v>0</v>
          </cell>
          <cell r="G2159">
            <v>15</v>
          </cell>
          <cell r="H2159">
            <v>20</v>
          </cell>
          <cell r="I2159">
            <v>2000</v>
          </cell>
          <cell r="J2159">
            <v>0</v>
          </cell>
          <cell r="K2159">
            <v>0</v>
          </cell>
          <cell r="L2159">
            <v>1.73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 t="e">
            <v>#DIV/0!</v>
          </cell>
          <cell r="S2159">
            <v>0</v>
          </cell>
        </row>
        <row r="2160">
          <cell r="A2160" t="str">
            <v>Y020-2002</v>
          </cell>
          <cell r="B2160" t="str">
            <v>樣品費,有單扣回</v>
          </cell>
          <cell r="C2160" t="str">
            <v>Y020</v>
          </cell>
          <cell r="D2160">
            <v>0</v>
          </cell>
          <cell r="E2160">
            <v>0</v>
          </cell>
          <cell r="F2160">
            <v>0</v>
          </cell>
          <cell r="G2160">
            <v>12</v>
          </cell>
          <cell r="H2160">
            <v>28</v>
          </cell>
          <cell r="I2160">
            <v>2000</v>
          </cell>
          <cell r="J2160">
            <v>0</v>
          </cell>
          <cell r="K2160">
            <v>0</v>
          </cell>
          <cell r="L2160">
            <v>1.77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 t="e">
            <v>#DIV/0!</v>
          </cell>
          <cell r="S2160">
            <v>0</v>
          </cell>
        </row>
        <row r="2161">
          <cell r="A2161" t="str">
            <v>Y020-2003</v>
          </cell>
          <cell r="B2161" t="str">
            <v>樣品費,有單扣回</v>
          </cell>
          <cell r="C2161" t="str">
            <v>Y020</v>
          </cell>
          <cell r="D2161">
            <v>0</v>
          </cell>
          <cell r="E2161">
            <v>0</v>
          </cell>
          <cell r="F2161">
            <v>0</v>
          </cell>
          <cell r="G2161">
            <v>18.5</v>
          </cell>
          <cell r="H2161">
            <v>20</v>
          </cell>
          <cell r="I2161">
            <v>2000</v>
          </cell>
          <cell r="J2161">
            <v>0</v>
          </cell>
          <cell r="K2161">
            <v>0</v>
          </cell>
          <cell r="L2161">
            <v>2.21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 t="e">
            <v>#DIV/0!</v>
          </cell>
          <cell r="S2161">
            <v>0</v>
          </cell>
        </row>
        <row r="2162">
          <cell r="A2162" t="str">
            <v>Y021-001</v>
          </cell>
          <cell r="B2162" t="str">
            <v>LCT021-104</v>
          </cell>
          <cell r="C2162" t="str">
            <v>Y021</v>
          </cell>
          <cell r="D2162">
            <v>0</v>
          </cell>
          <cell r="E2162" t="str">
            <v>POLY -L+R</v>
          </cell>
          <cell r="F2162" t="str">
            <v>94*38*10</v>
          </cell>
          <cell r="G2162">
            <v>94</v>
          </cell>
          <cell r="H2162">
            <v>38</v>
          </cell>
          <cell r="I2162">
            <v>10</v>
          </cell>
          <cell r="J2162">
            <v>60</v>
          </cell>
          <cell r="K2162">
            <v>0</v>
          </cell>
          <cell r="L2162">
            <v>0.18</v>
          </cell>
          <cell r="M2162">
            <v>0</v>
          </cell>
          <cell r="N2162">
            <v>0</v>
          </cell>
          <cell r="O2162" t="str">
            <v>T</v>
          </cell>
          <cell r="P2162" t="str">
            <v>1010</v>
          </cell>
          <cell r="Q2162">
            <v>1010</v>
          </cell>
          <cell r="R2162">
            <v>3</v>
          </cell>
        </row>
        <row r="2163">
          <cell r="A2163" t="str">
            <v>Y021-002</v>
          </cell>
          <cell r="B2163" t="str">
            <v>LCT021-105</v>
          </cell>
          <cell r="C2163" t="str">
            <v>Y021</v>
          </cell>
          <cell r="D2163">
            <v>0</v>
          </cell>
          <cell r="E2163" t="str">
            <v>POLY</v>
          </cell>
          <cell r="F2163" t="str">
            <v>1359*38*10</v>
          </cell>
          <cell r="G2163">
            <v>1359</v>
          </cell>
          <cell r="H2163">
            <v>38</v>
          </cell>
          <cell r="I2163">
            <v>10</v>
          </cell>
          <cell r="J2163">
            <v>760</v>
          </cell>
          <cell r="K2163">
            <v>0</v>
          </cell>
          <cell r="L2163">
            <v>2.37</v>
          </cell>
          <cell r="M2163">
            <v>0</v>
          </cell>
          <cell r="N2163">
            <v>0</v>
          </cell>
          <cell r="O2163" t="str">
            <v>T</v>
          </cell>
          <cell r="P2163" t="str">
            <v>1010</v>
          </cell>
          <cell r="Q2163">
            <v>1010</v>
          </cell>
          <cell r="R2163">
            <v>3.1184210526315792</v>
          </cell>
        </row>
        <row r="2164">
          <cell r="A2164" t="str">
            <v>Y021-003</v>
          </cell>
          <cell r="B2164" t="str">
            <v>LCT021-106</v>
          </cell>
          <cell r="C2164" t="str">
            <v>Y021</v>
          </cell>
          <cell r="D2164">
            <v>0</v>
          </cell>
          <cell r="E2164" t="str">
            <v>POLY VUÔNG</v>
          </cell>
          <cell r="F2164" t="str">
            <v>60*35-6</v>
          </cell>
          <cell r="G2164">
            <v>60</v>
          </cell>
          <cell r="H2164">
            <v>35</v>
          </cell>
          <cell r="I2164">
            <v>6</v>
          </cell>
          <cell r="J2164">
            <v>40</v>
          </cell>
          <cell r="K2164">
            <v>0</v>
          </cell>
          <cell r="L2164">
            <v>0.2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5</v>
          </cell>
        </row>
        <row r="2165">
          <cell r="A2165" t="str">
            <v>Y021-004</v>
          </cell>
          <cell r="B2165" t="str">
            <v>LCT021-107</v>
          </cell>
          <cell r="C2165" t="str">
            <v>Y021</v>
          </cell>
          <cell r="D2165">
            <v>0</v>
          </cell>
          <cell r="E2165" t="str">
            <v>POLY</v>
          </cell>
          <cell r="F2165" t="str">
            <v>188*50*25</v>
          </cell>
          <cell r="G2165">
            <v>188</v>
          </cell>
          <cell r="H2165">
            <v>50</v>
          </cell>
          <cell r="I2165">
            <v>25</v>
          </cell>
          <cell r="J2165">
            <v>0</v>
          </cell>
          <cell r="K2165">
            <v>0</v>
          </cell>
          <cell r="L2165">
            <v>0.32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 t="e">
            <v>#DIV/0!</v>
          </cell>
        </row>
        <row r="2166">
          <cell r="A2166" t="str">
            <v>Y021-005</v>
          </cell>
          <cell r="B2166" t="str">
            <v>LCT021-108</v>
          </cell>
          <cell r="C2166" t="str">
            <v>Y021</v>
          </cell>
          <cell r="D2166">
            <v>0</v>
          </cell>
          <cell r="E2166" t="str">
            <v>POLY</v>
          </cell>
          <cell r="F2166" t="str">
            <v>1255*115*8</v>
          </cell>
          <cell r="G2166">
            <v>1225</v>
          </cell>
          <cell r="H2166">
            <v>115</v>
          </cell>
          <cell r="I2166">
            <v>8</v>
          </cell>
          <cell r="J2166">
            <v>0</v>
          </cell>
          <cell r="K2166">
            <v>0</v>
          </cell>
          <cell r="L2166">
            <v>1.22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 t="e">
            <v>#DIV/0!</v>
          </cell>
        </row>
        <row r="2167">
          <cell r="A2167" t="str">
            <v>Y021-006</v>
          </cell>
          <cell r="B2167" t="str">
            <v>LCT021-109</v>
          </cell>
          <cell r="C2167" t="str">
            <v>Y021</v>
          </cell>
          <cell r="D2167">
            <v>0</v>
          </cell>
          <cell r="E2167" t="str">
            <v>POLY</v>
          </cell>
          <cell r="F2167" t="str">
            <v>791*696*8</v>
          </cell>
          <cell r="G2167">
            <v>791</v>
          </cell>
          <cell r="H2167">
            <v>696</v>
          </cell>
          <cell r="I2167">
            <v>8</v>
          </cell>
          <cell r="J2167">
            <v>0</v>
          </cell>
          <cell r="K2167">
            <v>0</v>
          </cell>
          <cell r="L2167">
            <v>1.38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 t="e">
            <v>#DIV/0!</v>
          </cell>
        </row>
        <row r="2168">
          <cell r="A2168" t="str">
            <v>Y021-007</v>
          </cell>
          <cell r="B2168" t="str">
            <v>LCT021-111</v>
          </cell>
          <cell r="C2168" t="str">
            <v>Y021</v>
          </cell>
          <cell r="D2168">
            <v>0</v>
          </cell>
          <cell r="E2168" t="str">
            <v>POLY</v>
          </cell>
          <cell r="F2168" t="str">
            <v>192*90*50</v>
          </cell>
          <cell r="G2168">
            <v>192</v>
          </cell>
          <cell r="H2168">
            <v>90</v>
          </cell>
          <cell r="I2168">
            <v>50</v>
          </cell>
          <cell r="J2168">
            <v>0</v>
          </cell>
          <cell r="K2168">
            <v>0</v>
          </cell>
          <cell r="L2168">
            <v>1.33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 t="e">
            <v>#DIV/0!</v>
          </cell>
        </row>
        <row r="2169">
          <cell r="A2169" t="str">
            <v>Y021-008</v>
          </cell>
          <cell r="B2169" t="str">
            <v>LCT021-113</v>
          </cell>
          <cell r="C2169" t="str">
            <v>Y021</v>
          </cell>
          <cell r="D2169">
            <v>0</v>
          </cell>
          <cell r="E2169" t="str">
            <v>POLY</v>
          </cell>
          <cell r="F2169" t="str">
            <v>168*115*51</v>
          </cell>
          <cell r="G2169">
            <v>168</v>
          </cell>
          <cell r="H2169">
            <v>115</v>
          </cell>
          <cell r="I2169">
            <v>51</v>
          </cell>
          <cell r="J2169">
            <v>0</v>
          </cell>
          <cell r="K2169">
            <v>0</v>
          </cell>
          <cell r="L2169">
            <v>1.44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 t="e">
            <v>#DIV/0!</v>
          </cell>
        </row>
        <row r="2170">
          <cell r="A2170" t="str">
            <v>Y021-009</v>
          </cell>
          <cell r="B2170" t="str">
            <v>LCT021-117</v>
          </cell>
          <cell r="C2170" t="str">
            <v>Y021</v>
          </cell>
          <cell r="D2170">
            <v>0</v>
          </cell>
          <cell r="E2170" t="str">
            <v>POLY Khung vuông</v>
          </cell>
          <cell r="F2170" t="str">
            <v>560*80*10</v>
          </cell>
          <cell r="G2170">
            <v>560</v>
          </cell>
          <cell r="H2170">
            <v>80</v>
          </cell>
          <cell r="I2170">
            <v>10</v>
          </cell>
          <cell r="J2170">
            <v>220</v>
          </cell>
          <cell r="K2170">
            <v>0</v>
          </cell>
          <cell r="L2170">
            <v>0.64</v>
          </cell>
          <cell r="M2170">
            <v>0</v>
          </cell>
          <cell r="N2170">
            <v>0</v>
          </cell>
          <cell r="O2170" t="str">
            <v>T</v>
          </cell>
          <cell r="P2170" t="str">
            <v>1010</v>
          </cell>
          <cell r="Q2170">
            <v>1010</v>
          </cell>
          <cell r="R2170">
            <v>2.9090909090909092</v>
          </cell>
        </row>
        <row r="2171">
          <cell r="A2171" t="str">
            <v>Y021-010</v>
          </cell>
          <cell r="B2171" t="str">
            <v>LCT021-118</v>
          </cell>
          <cell r="C2171" t="str">
            <v>Y021</v>
          </cell>
          <cell r="D2171">
            <v>0</v>
          </cell>
          <cell r="E2171" t="str">
            <v>POLY Khung vuông</v>
          </cell>
          <cell r="F2171" t="str">
            <v>970*80*10</v>
          </cell>
          <cell r="G2171">
            <v>970</v>
          </cell>
          <cell r="H2171">
            <v>80</v>
          </cell>
          <cell r="I2171">
            <v>10</v>
          </cell>
          <cell r="J2171">
            <v>370</v>
          </cell>
          <cell r="K2171">
            <v>0</v>
          </cell>
          <cell r="L2171">
            <v>1.06</v>
          </cell>
          <cell r="M2171">
            <v>0</v>
          </cell>
          <cell r="N2171">
            <v>0</v>
          </cell>
          <cell r="O2171" t="str">
            <v>T</v>
          </cell>
          <cell r="P2171" t="str">
            <v>1010</v>
          </cell>
          <cell r="Q2171">
            <v>1010</v>
          </cell>
          <cell r="R2171">
            <v>2.8648648648648649</v>
          </cell>
        </row>
        <row r="2172">
          <cell r="A2172" t="str">
            <v>Y021-011</v>
          </cell>
          <cell r="B2172" t="str">
            <v>LCT021-119</v>
          </cell>
          <cell r="C2172" t="str">
            <v>Y021</v>
          </cell>
          <cell r="D2172">
            <v>0</v>
          </cell>
          <cell r="E2172" t="str">
            <v>POLY Khung vuông</v>
          </cell>
          <cell r="F2172" t="str">
            <v>1160*60*10</v>
          </cell>
          <cell r="G2172">
            <v>1160</v>
          </cell>
          <cell r="H2172">
            <v>60</v>
          </cell>
          <cell r="I2172">
            <v>10</v>
          </cell>
          <cell r="J2172">
            <v>460</v>
          </cell>
          <cell r="K2172">
            <v>0</v>
          </cell>
          <cell r="L2172">
            <v>1.29</v>
          </cell>
          <cell r="M2172">
            <v>0</v>
          </cell>
          <cell r="N2172">
            <v>0</v>
          </cell>
          <cell r="O2172" t="str">
            <v>T</v>
          </cell>
          <cell r="P2172" t="str">
            <v>1010</v>
          </cell>
          <cell r="Q2172">
            <v>1010</v>
          </cell>
          <cell r="R2172">
            <v>2.8043478260869565</v>
          </cell>
        </row>
        <row r="2173">
          <cell r="A2173" t="str">
            <v>Y021-012</v>
          </cell>
          <cell r="B2173" t="str">
            <v>LCT021-120</v>
          </cell>
          <cell r="C2173" t="str">
            <v>Y021</v>
          </cell>
          <cell r="D2173">
            <v>0</v>
          </cell>
          <cell r="E2173" t="str">
            <v>POLY Khung vuông</v>
          </cell>
          <cell r="F2173" t="str">
            <v>630*60*10</v>
          </cell>
          <cell r="G2173">
            <v>630</v>
          </cell>
          <cell r="H2173">
            <v>60</v>
          </cell>
          <cell r="I2173">
            <v>10</v>
          </cell>
          <cell r="J2173">
            <v>240</v>
          </cell>
          <cell r="K2173">
            <v>0</v>
          </cell>
          <cell r="L2173">
            <v>0.7</v>
          </cell>
          <cell r="M2173">
            <v>0</v>
          </cell>
          <cell r="N2173">
            <v>0</v>
          </cell>
          <cell r="O2173" t="str">
            <v>T</v>
          </cell>
          <cell r="P2173" t="str">
            <v>1010</v>
          </cell>
          <cell r="Q2173">
            <v>1010</v>
          </cell>
          <cell r="R2173">
            <v>2.9166666666666665</v>
          </cell>
        </row>
        <row r="2174">
          <cell r="A2174" t="str">
            <v>Y021-013</v>
          </cell>
          <cell r="B2174" t="str">
            <v>LCT021-121</v>
          </cell>
          <cell r="C2174" t="str">
            <v>Y021</v>
          </cell>
          <cell r="D2174">
            <v>0</v>
          </cell>
          <cell r="E2174" t="str">
            <v>POLY Khung vuông</v>
          </cell>
          <cell r="F2174" t="str">
            <v>154*134*25</v>
          </cell>
          <cell r="G2174">
            <v>154</v>
          </cell>
          <cell r="H2174">
            <v>134</v>
          </cell>
          <cell r="I2174">
            <v>25</v>
          </cell>
          <cell r="J2174">
            <v>170</v>
          </cell>
          <cell r="K2174">
            <v>0</v>
          </cell>
          <cell r="L2174">
            <v>0.5</v>
          </cell>
          <cell r="M2174">
            <v>0</v>
          </cell>
          <cell r="N2174">
            <v>0</v>
          </cell>
          <cell r="O2174" t="str">
            <v>T</v>
          </cell>
          <cell r="P2174" t="str">
            <v>1010</v>
          </cell>
          <cell r="Q2174">
            <v>1010</v>
          </cell>
          <cell r="R2174">
            <v>2.9411764705882351</v>
          </cell>
        </row>
        <row r="2175">
          <cell r="A2175" t="str">
            <v>Y021-014</v>
          </cell>
          <cell r="B2175" t="str">
            <v>LCT021-122</v>
          </cell>
          <cell r="C2175" t="str">
            <v>Y021</v>
          </cell>
          <cell r="D2175">
            <v>0</v>
          </cell>
          <cell r="E2175" t="str">
            <v>Poly</v>
          </cell>
          <cell r="F2175" t="str">
            <v>1195*60*10</v>
          </cell>
          <cell r="G2175">
            <v>1195</v>
          </cell>
          <cell r="H2175">
            <v>60</v>
          </cell>
          <cell r="I2175">
            <v>10</v>
          </cell>
          <cell r="J2175">
            <v>660</v>
          </cell>
          <cell r="K2175">
            <v>0</v>
          </cell>
          <cell r="L2175">
            <v>1.76</v>
          </cell>
          <cell r="M2175">
            <v>0</v>
          </cell>
          <cell r="N2175">
            <v>0</v>
          </cell>
          <cell r="O2175" t="str">
            <v>T</v>
          </cell>
          <cell r="P2175" t="str">
            <v>1010</v>
          </cell>
          <cell r="Q2175">
            <v>1010</v>
          </cell>
          <cell r="R2175">
            <v>2.6666666666666665</v>
          </cell>
        </row>
        <row r="2176">
          <cell r="A2176" t="str">
            <v>Y021-015</v>
          </cell>
          <cell r="B2176" t="str">
            <v>LCT021-123</v>
          </cell>
          <cell r="C2176" t="str">
            <v>Y021</v>
          </cell>
          <cell r="D2176">
            <v>0</v>
          </cell>
          <cell r="E2176" t="str">
            <v>Poly</v>
          </cell>
          <cell r="F2176" t="str">
            <v>1305*65*10</v>
          </cell>
          <cell r="G2176">
            <v>1305</v>
          </cell>
          <cell r="H2176">
            <v>65</v>
          </cell>
          <cell r="I2176">
            <v>10</v>
          </cell>
          <cell r="J2176">
            <v>700</v>
          </cell>
          <cell r="K2176">
            <v>0</v>
          </cell>
          <cell r="L2176">
            <v>1.9</v>
          </cell>
          <cell r="M2176">
            <v>0</v>
          </cell>
          <cell r="N2176">
            <v>0</v>
          </cell>
          <cell r="O2176" t="str">
            <v>T</v>
          </cell>
          <cell r="P2176" t="str">
            <v>1010</v>
          </cell>
          <cell r="Q2176">
            <v>1010</v>
          </cell>
          <cell r="R2176">
            <v>2.7142857142857144</v>
          </cell>
        </row>
        <row r="2177">
          <cell r="A2177" t="str">
            <v>Y021-016</v>
          </cell>
          <cell r="B2177" t="str">
            <v>LCT021-124</v>
          </cell>
          <cell r="C2177" t="str">
            <v>Y021</v>
          </cell>
          <cell r="D2177">
            <v>0</v>
          </cell>
          <cell r="E2177" t="str">
            <v>Poly</v>
          </cell>
          <cell r="F2177" t="str">
            <v>372*20*12</v>
          </cell>
          <cell r="G2177">
            <v>372</v>
          </cell>
          <cell r="H2177">
            <v>20</v>
          </cell>
          <cell r="I2177">
            <v>12</v>
          </cell>
          <cell r="J2177">
            <v>120</v>
          </cell>
          <cell r="K2177">
            <v>0</v>
          </cell>
          <cell r="L2177">
            <v>0.34</v>
          </cell>
          <cell r="M2177">
            <v>0</v>
          </cell>
          <cell r="N2177">
            <v>0</v>
          </cell>
          <cell r="O2177" t="str">
            <v>T</v>
          </cell>
          <cell r="P2177" t="str">
            <v>1010</v>
          </cell>
          <cell r="Q2177">
            <v>1010</v>
          </cell>
          <cell r="R2177">
            <v>2.8333333333333335</v>
          </cell>
        </row>
        <row r="2178">
          <cell r="A2178" t="str">
            <v>Y021-017</v>
          </cell>
          <cell r="B2178" t="str">
            <v>LCT021-125</v>
          </cell>
          <cell r="C2178" t="str">
            <v>Y021</v>
          </cell>
          <cell r="D2178">
            <v>0</v>
          </cell>
          <cell r="E2178" t="str">
            <v>Poly</v>
          </cell>
          <cell r="F2178" t="str">
            <v>774*20*12</v>
          </cell>
          <cell r="G2178">
            <v>774</v>
          </cell>
          <cell r="H2178">
            <v>20</v>
          </cell>
          <cell r="I2178">
            <v>12</v>
          </cell>
          <cell r="J2178">
            <v>250</v>
          </cell>
          <cell r="K2178">
            <v>0</v>
          </cell>
          <cell r="L2178">
            <v>0.73</v>
          </cell>
          <cell r="M2178">
            <v>0</v>
          </cell>
          <cell r="N2178">
            <v>0</v>
          </cell>
          <cell r="O2178" t="str">
            <v>T</v>
          </cell>
          <cell r="P2178" t="str">
            <v>1010</v>
          </cell>
          <cell r="Q2178">
            <v>1010</v>
          </cell>
          <cell r="R2178">
            <v>2.92</v>
          </cell>
        </row>
        <row r="2179">
          <cell r="A2179" t="str">
            <v>Y021-018</v>
          </cell>
          <cell r="B2179" t="str">
            <v>LCT021-099</v>
          </cell>
          <cell r="C2179" t="str">
            <v>Y021</v>
          </cell>
          <cell r="D2179" t="str">
            <v>N.0210</v>
          </cell>
          <cell r="E2179" t="str">
            <v>POLY饰条</v>
          </cell>
          <cell r="F2179" t="str">
            <v>1308*25*9</v>
          </cell>
          <cell r="G2179">
            <v>1308</v>
          </cell>
          <cell r="H2179">
            <v>25</v>
          </cell>
          <cell r="I2179">
            <v>9</v>
          </cell>
          <cell r="J2179">
            <v>380</v>
          </cell>
          <cell r="K2179">
            <v>0</v>
          </cell>
          <cell r="L2179">
            <v>1.2649999999999999</v>
          </cell>
          <cell r="M2179">
            <v>0</v>
          </cell>
          <cell r="N2179">
            <v>0</v>
          </cell>
          <cell r="O2179" t="str">
            <v>T</v>
          </cell>
          <cell r="P2179" t="str">
            <v>1010</v>
          </cell>
          <cell r="Q2179">
            <v>1010</v>
          </cell>
          <cell r="R2179">
            <v>3.3289473684210522</v>
          </cell>
        </row>
        <row r="2180">
          <cell r="A2180" t="str">
            <v>Y021-019</v>
          </cell>
          <cell r="B2180" t="str">
            <v>LCT021-091</v>
          </cell>
          <cell r="C2180" t="str">
            <v>Y021</v>
          </cell>
          <cell r="D2180" t="str">
            <v>N.0151</v>
          </cell>
          <cell r="E2180" t="str">
            <v>POLY饰条</v>
          </cell>
          <cell r="F2180" t="str">
            <v>1294*10*5</v>
          </cell>
          <cell r="G2180">
            <v>1294</v>
          </cell>
          <cell r="H2180">
            <v>10</v>
          </cell>
          <cell r="I2180">
            <v>5</v>
          </cell>
          <cell r="J2180">
            <v>100</v>
          </cell>
          <cell r="K2180">
            <v>0</v>
          </cell>
          <cell r="L2180">
            <v>0.52</v>
          </cell>
          <cell r="M2180">
            <v>0</v>
          </cell>
          <cell r="N2180">
            <v>0</v>
          </cell>
          <cell r="O2180" t="str">
            <v>T</v>
          </cell>
          <cell r="P2180" t="str">
            <v>1010</v>
          </cell>
          <cell r="Q2180">
            <v>1010</v>
          </cell>
          <cell r="R2180">
            <v>5.2</v>
          </cell>
        </row>
        <row r="2181">
          <cell r="A2181" t="str">
            <v>Y021-020</v>
          </cell>
          <cell r="B2181" t="str">
            <v>LCT021-098</v>
          </cell>
          <cell r="C2181" t="str">
            <v>Y021</v>
          </cell>
          <cell r="D2181" t="str">
            <v>N.0151</v>
          </cell>
          <cell r="E2181" t="str">
            <v>POLY饰条</v>
          </cell>
          <cell r="F2181" t="str">
            <v>1610*10*5</v>
          </cell>
          <cell r="G2181">
            <v>1610</v>
          </cell>
          <cell r="H2181">
            <v>10</v>
          </cell>
          <cell r="I2181">
            <v>5</v>
          </cell>
          <cell r="J2181">
            <v>120</v>
          </cell>
          <cell r="K2181">
            <v>0</v>
          </cell>
          <cell r="L2181">
            <v>0.65</v>
          </cell>
          <cell r="M2181">
            <v>0</v>
          </cell>
          <cell r="N2181">
            <v>0</v>
          </cell>
          <cell r="O2181" t="str">
            <v>T</v>
          </cell>
          <cell r="P2181" t="str">
            <v>1010</v>
          </cell>
          <cell r="Q2181">
            <v>1010</v>
          </cell>
          <cell r="R2181">
            <v>5.416666666666667</v>
          </cell>
        </row>
        <row r="2182">
          <cell r="A2182" t="str">
            <v>Y021-021</v>
          </cell>
          <cell r="B2182" t="str">
            <v>LCT021-093</v>
          </cell>
          <cell r="C2182" t="str">
            <v>Y021</v>
          </cell>
          <cell r="D2182" t="str">
            <v>N.0151</v>
          </cell>
          <cell r="E2182" t="str">
            <v>POLY饰条</v>
          </cell>
          <cell r="F2182" t="str">
            <v>104*10*5</v>
          </cell>
          <cell r="G2182">
            <v>104</v>
          </cell>
          <cell r="H2182">
            <v>10</v>
          </cell>
          <cell r="I2182">
            <v>5</v>
          </cell>
          <cell r="J2182">
            <v>10</v>
          </cell>
          <cell r="K2182">
            <v>0</v>
          </cell>
          <cell r="L2182">
            <v>0.04</v>
          </cell>
          <cell r="M2182">
            <v>0</v>
          </cell>
          <cell r="N2182">
            <v>0</v>
          </cell>
          <cell r="O2182" t="str">
            <v>T</v>
          </cell>
          <cell r="P2182" t="str">
            <v>1010</v>
          </cell>
          <cell r="Q2182">
            <v>1010</v>
          </cell>
          <cell r="R2182">
            <v>4</v>
          </cell>
        </row>
        <row r="2183">
          <cell r="A2183" t="str">
            <v>Y021-022</v>
          </cell>
          <cell r="B2183" t="str">
            <v>LCT021-094</v>
          </cell>
          <cell r="C2183" t="str">
            <v>Y021</v>
          </cell>
          <cell r="D2183" t="str">
            <v>N.0151</v>
          </cell>
          <cell r="E2183" t="str">
            <v>POLY饰条</v>
          </cell>
          <cell r="F2183" t="str">
            <v>63*10*5</v>
          </cell>
          <cell r="G2183">
            <v>63</v>
          </cell>
          <cell r="H2183">
            <v>10</v>
          </cell>
          <cell r="I2183">
            <v>5</v>
          </cell>
          <cell r="J2183">
            <v>8</v>
          </cell>
          <cell r="K2183">
            <v>0</v>
          </cell>
          <cell r="L2183">
            <v>0.03</v>
          </cell>
          <cell r="M2183">
            <v>0</v>
          </cell>
          <cell r="N2183">
            <v>0</v>
          </cell>
          <cell r="O2183" t="str">
            <v>T</v>
          </cell>
          <cell r="P2183" t="str">
            <v>1010</v>
          </cell>
          <cell r="Q2183">
            <v>1010</v>
          </cell>
          <cell r="R2183">
            <v>3.75</v>
          </cell>
        </row>
        <row r="2184">
          <cell r="A2184" t="str">
            <v>Y021-023</v>
          </cell>
          <cell r="B2184" t="str">
            <v>LCT021-034</v>
          </cell>
          <cell r="C2184" t="str">
            <v>Y021</v>
          </cell>
          <cell r="D2184" t="str">
            <v>N.2116/17</v>
          </cell>
          <cell r="E2184" t="str">
            <v>半圓飾條</v>
          </cell>
          <cell r="F2184" t="str">
            <v>50*10*5</v>
          </cell>
          <cell r="G2184">
            <v>50</v>
          </cell>
          <cell r="H2184">
            <v>10</v>
          </cell>
          <cell r="I2184">
            <v>5</v>
          </cell>
          <cell r="J2184">
            <v>5</v>
          </cell>
          <cell r="K2184">
            <v>0</v>
          </cell>
          <cell r="L2184">
            <v>3.5000000000000003E-2</v>
          </cell>
          <cell r="M2184">
            <v>0</v>
          </cell>
          <cell r="N2184">
            <v>0</v>
          </cell>
          <cell r="O2184" t="str">
            <v>40V</v>
          </cell>
          <cell r="P2184" t="str">
            <v>1010</v>
          </cell>
          <cell r="Q2184">
            <v>1010</v>
          </cell>
          <cell r="R2184">
            <v>7.0000000000000009</v>
          </cell>
        </row>
        <row r="2185">
          <cell r="A2185" t="str">
            <v>Y021-024</v>
          </cell>
          <cell r="B2185" t="str">
            <v>LCT021-127</v>
          </cell>
          <cell r="C2185" t="str">
            <v>Y021</v>
          </cell>
          <cell r="D2185">
            <v>0</v>
          </cell>
          <cell r="E2185" t="str">
            <v>POLY</v>
          </cell>
          <cell r="F2185" t="str">
            <v>679*19*6</v>
          </cell>
          <cell r="G2185">
            <v>679</v>
          </cell>
          <cell r="H2185">
            <v>19</v>
          </cell>
          <cell r="I2185">
            <v>6</v>
          </cell>
          <cell r="J2185">
            <v>125</v>
          </cell>
          <cell r="K2185">
            <v>0</v>
          </cell>
          <cell r="L2185">
            <v>0.35</v>
          </cell>
          <cell r="M2185">
            <v>0</v>
          </cell>
          <cell r="N2185">
            <v>0</v>
          </cell>
          <cell r="O2185" t="str">
            <v>T</v>
          </cell>
          <cell r="P2185" t="str">
            <v>1010</v>
          </cell>
          <cell r="Q2185">
            <v>1010</v>
          </cell>
          <cell r="R2185">
            <v>2.8</v>
          </cell>
        </row>
        <row r="2186">
          <cell r="A2186" t="str">
            <v>Y021-025</v>
          </cell>
          <cell r="B2186" t="str">
            <v>LCT021-128</v>
          </cell>
          <cell r="C2186" t="str">
            <v>Y021</v>
          </cell>
          <cell r="D2186">
            <v>0</v>
          </cell>
          <cell r="E2186" t="str">
            <v>POLY</v>
          </cell>
          <cell r="F2186" t="str">
            <v>117*98*19</v>
          </cell>
          <cell r="G2186">
            <v>117</v>
          </cell>
          <cell r="H2186">
            <v>98</v>
          </cell>
          <cell r="I2186">
            <v>19</v>
          </cell>
          <cell r="J2186">
            <v>90</v>
          </cell>
          <cell r="K2186">
            <v>0</v>
          </cell>
          <cell r="L2186">
            <v>0.32</v>
          </cell>
          <cell r="M2186">
            <v>0</v>
          </cell>
          <cell r="N2186">
            <v>0</v>
          </cell>
          <cell r="O2186" t="str">
            <v>T</v>
          </cell>
          <cell r="P2186" t="str">
            <v>1010</v>
          </cell>
          <cell r="Q2186">
            <v>1010</v>
          </cell>
          <cell r="R2186">
            <v>3.5555555555555558</v>
          </cell>
        </row>
        <row r="2187">
          <cell r="A2187" t="str">
            <v>Y021-026</v>
          </cell>
          <cell r="B2187" t="str">
            <v>LCT021-131</v>
          </cell>
          <cell r="C2187" t="str">
            <v>Y021</v>
          </cell>
          <cell r="D2187">
            <v>0</v>
          </cell>
          <cell r="E2187" t="str">
            <v>POLY</v>
          </cell>
          <cell r="F2187" t="str">
            <v>282*120*3</v>
          </cell>
          <cell r="G2187">
            <v>282</v>
          </cell>
          <cell r="H2187">
            <v>120</v>
          </cell>
          <cell r="I2187">
            <v>3</v>
          </cell>
          <cell r="J2187">
            <v>40</v>
          </cell>
          <cell r="K2187">
            <v>0</v>
          </cell>
          <cell r="L2187">
            <v>0.16</v>
          </cell>
          <cell r="M2187">
            <v>0</v>
          </cell>
          <cell r="N2187">
            <v>0</v>
          </cell>
          <cell r="O2187" t="str">
            <v>T</v>
          </cell>
          <cell r="P2187" t="str">
            <v>1010</v>
          </cell>
          <cell r="Q2187">
            <v>1010</v>
          </cell>
          <cell r="R2187">
            <v>4</v>
          </cell>
        </row>
        <row r="2188">
          <cell r="A2188" t="str">
            <v>Y021-027</v>
          </cell>
          <cell r="B2188" t="str">
            <v>LCT021-132</v>
          </cell>
          <cell r="C2188" t="str">
            <v>Y021</v>
          </cell>
          <cell r="D2188">
            <v>0</v>
          </cell>
          <cell r="E2188" t="str">
            <v>POLY</v>
          </cell>
          <cell r="F2188" t="str">
            <v>339*282*3</v>
          </cell>
          <cell r="G2188">
            <v>339</v>
          </cell>
          <cell r="H2188">
            <v>282</v>
          </cell>
          <cell r="I2188">
            <v>3</v>
          </cell>
          <cell r="J2188">
            <v>55</v>
          </cell>
          <cell r="K2188">
            <v>0</v>
          </cell>
          <cell r="L2188">
            <v>0.22</v>
          </cell>
          <cell r="M2188">
            <v>0</v>
          </cell>
          <cell r="N2188">
            <v>0</v>
          </cell>
          <cell r="O2188" t="str">
            <v>T</v>
          </cell>
          <cell r="P2188" t="str">
            <v>1010</v>
          </cell>
          <cell r="Q2188">
            <v>1010</v>
          </cell>
          <cell r="R2188">
            <v>4</v>
          </cell>
        </row>
        <row r="2189">
          <cell r="A2189" t="str">
            <v>Y021-028</v>
          </cell>
          <cell r="B2189" t="str">
            <v>LCT021-133</v>
          </cell>
          <cell r="C2189" t="str">
            <v>Y021</v>
          </cell>
          <cell r="D2189">
            <v>0</v>
          </cell>
          <cell r="E2189" t="str">
            <v>POLY</v>
          </cell>
          <cell r="F2189" t="str">
            <v>694*127*3</v>
          </cell>
          <cell r="G2189">
            <v>694</v>
          </cell>
          <cell r="H2189">
            <v>127</v>
          </cell>
          <cell r="I2189">
            <v>3</v>
          </cell>
          <cell r="J2189">
            <v>60</v>
          </cell>
          <cell r="K2189">
            <v>0</v>
          </cell>
          <cell r="L2189">
            <v>0.26</v>
          </cell>
          <cell r="M2189">
            <v>0</v>
          </cell>
          <cell r="N2189">
            <v>0</v>
          </cell>
          <cell r="O2189" t="str">
            <v>T</v>
          </cell>
          <cell r="P2189" t="str">
            <v>1010</v>
          </cell>
          <cell r="Q2189">
            <v>1010</v>
          </cell>
          <cell r="R2189">
            <v>4.3333333333333339</v>
          </cell>
        </row>
        <row r="2190">
          <cell r="A2190" t="str">
            <v>Y021-029</v>
          </cell>
          <cell r="B2190" t="str">
            <v>LCT021-135</v>
          </cell>
          <cell r="C2190" t="str">
            <v>Y021</v>
          </cell>
          <cell r="D2190">
            <v>0</v>
          </cell>
          <cell r="E2190" t="str">
            <v>POLY</v>
          </cell>
          <cell r="F2190" t="str">
            <v>176*69.5*48</v>
          </cell>
          <cell r="G2190">
            <v>176</v>
          </cell>
          <cell r="H2190">
            <v>69.5</v>
          </cell>
          <cell r="I2190">
            <v>48</v>
          </cell>
          <cell r="J2190">
            <v>350</v>
          </cell>
          <cell r="K2190">
            <v>0</v>
          </cell>
          <cell r="L2190">
            <v>0.88</v>
          </cell>
          <cell r="M2190">
            <v>0</v>
          </cell>
          <cell r="N2190">
            <v>80</v>
          </cell>
          <cell r="O2190" t="str">
            <v>T</v>
          </cell>
          <cell r="P2190" t="str">
            <v>1010</v>
          </cell>
          <cell r="Q2190">
            <v>1010</v>
          </cell>
          <cell r="R2190">
            <v>2.5142857142857147</v>
          </cell>
        </row>
        <row r="2191">
          <cell r="A2191" t="str">
            <v>Y021-030</v>
          </cell>
          <cell r="B2191" t="str">
            <v>LCT021-137</v>
          </cell>
          <cell r="C2191" t="str">
            <v>Y021</v>
          </cell>
          <cell r="D2191">
            <v>0</v>
          </cell>
          <cell r="E2191" t="str">
            <v>POLY-L</v>
          </cell>
          <cell r="F2191" t="str">
            <v>954*32*20</v>
          </cell>
          <cell r="G2191">
            <v>943</v>
          </cell>
          <cell r="H2191">
            <v>32</v>
          </cell>
          <cell r="I2191">
            <v>20</v>
          </cell>
          <cell r="J2191">
            <v>840</v>
          </cell>
          <cell r="K2191">
            <v>0</v>
          </cell>
          <cell r="L2191">
            <v>2.1</v>
          </cell>
          <cell r="M2191">
            <v>0</v>
          </cell>
          <cell r="N2191">
            <v>0</v>
          </cell>
          <cell r="O2191" t="str">
            <v>T</v>
          </cell>
          <cell r="P2191" t="str">
            <v>1010</v>
          </cell>
          <cell r="Q2191">
            <v>1010</v>
          </cell>
          <cell r="R2191">
            <v>2.5</v>
          </cell>
        </row>
        <row r="2192">
          <cell r="A2192" t="str">
            <v>Y021-031</v>
          </cell>
          <cell r="B2192" t="str">
            <v>LCT021-138</v>
          </cell>
          <cell r="C2192" t="str">
            <v>Y021</v>
          </cell>
          <cell r="D2192">
            <v>0</v>
          </cell>
          <cell r="E2192" t="str">
            <v>POLY-R</v>
          </cell>
          <cell r="F2192" t="str">
            <v>954*32*20</v>
          </cell>
          <cell r="G2192">
            <v>943</v>
          </cell>
          <cell r="H2192">
            <v>32</v>
          </cell>
          <cell r="I2192">
            <v>20</v>
          </cell>
          <cell r="J2192">
            <v>840</v>
          </cell>
          <cell r="K2192">
            <v>0</v>
          </cell>
          <cell r="L2192">
            <v>2.1</v>
          </cell>
          <cell r="M2192">
            <v>0</v>
          </cell>
          <cell r="N2192">
            <v>0</v>
          </cell>
          <cell r="O2192" t="str">
            <v>T</v>
          </cell>
          <cell r="P2192" t="str">
            <v>1010</v>
          </cell>
          <cell r="Q2192">
            <v>1010</v>
          </cell>
          <cell r="R2192">
            <v>2.5</v>
          </cell>
        </row>
        <row r="2193">
          <cell r="A2193" t="str">
            <v>Y021-032</v>
          </cell>
          <cell r="B2193" t="str">
            <v>LCT021-139</v>
          </cell>
          <cell r="C2193" t="str">
            <v>Y021</v>
          </cell>
          <cell r="D2193">
            <v>0</v>
          </cell>
          <cell r="E2193" t="str">
            <v>POLY</v>
          </cell>
          <cell r="F2193" t="str">
            <v>73*66*16</v>
          </cell>
          <cell r="G2193">
            <v>73</v>
          </cell>
          <cell r="H2193">
            <v>66</v>
          </cell>
          <cell r="I2193">
            <v>16</v>
          </cell>
          <cell r="J2193">
            <v>70</v>
          </cell>
          <cell r="K2193">
            <v>0</v>
          </cell>
          <cell r="L2193">
            <v>0.28000000000000003</v>
          </cell>
          <cell r="M2193">
            <v>0</v>
          </cell>
          <cell r="N2193">
            <v>0</v>
          </cell>
          <cell r="O2193" t="str">
            <v>T</v>
          </cell>
          <cell r="P2193" t="str">
            <v>1010</v>
          </cell>
          <cell r="Q2193">
            <v>1010</v>
          </cell>
          <cell r="R2193">
            <v>4</v>
          </cell>
        </row>
        <row r="2194">
          <cell r="A2194" t="str">
            <v>Y021-033</v>
          </cell>
          <cell r="C2194" t="str">
            <v>Y021</v>
          </cell>
          <cell r="D2194">
            <v>0</v>
          </cell>
          <cell r="E2194" t="str">
            <v>POLY</v>
          </cell>
          <cell r="F2194" t="str">
            <v>195*354*6</v>
          </cell>
          <cell r="G2194">
            <v>195</v>
          </cell>
          <cell r="H2194">
            <v>354</v>
          </cell>
          <cell r="I2194">
            <v>6</v>
          </cell>
          <cell r="J2194">
            <v>220</v>
          </cell>
          <cell r="K2194">
            <v>0</v>
          </cell>
          <cell r="L2194">
            <v>0.56999999999999995</v>
          </cell>
          <cell r="M2194">
            <v>0</v>
          </cell>
          <cell r="N2194">
            <v>0</v>
          </cell>
          <cell r="O2194">
            <v>0</v>
          </cell>
          <cell r="P2194" t="str">
            <v>1010</v>
          </cell>
          <cell r="Q2194">
            <v>1010</v>
          </cell>
          <cell r="R2194">
            <v>2.5909090909090908</v>
          </cell>
        </row>
        <row r="2195">
          <cell r="A2195" t="str">
            <v>Y021-034</v>
          </cell>
          <cell r="C2195" t="str">
            <v>Y021</v>
          </cell>
          <cell r="D2195">
            <v>0</v>
          </cell>
          <cell r="E2195" t="str">
            <v>POLY-L</v>
          </cell>
          <cell r="F2195" t="str">
            <v>399*332*6</v>
          </cell>
          <cell r="G2195">
            <v>399</v>
          </cell>
          <cell r="H2195">
            <v>332</v>
          </cell>
          <cell r="I2195">
            <v>6</v>
          </cell>
          <cell r="J2195">
            <v>280</v>
          </cell>
          <cell r="K2195">
            <v>0</v>
          </cell>
          <cell r="L2195">
            <v>0.73</v>
          </cell>
          <cell r="M2195">
            <v>0</v>
          </cell>
          <cell r="N2195">
            <v>0</v>
          </cell>
          <cell r="O2195">
            <v>0</v>
          </cell>
          <cell r="P2195" t="str">
            <v>1010</v>
          </cell>
          <cell r="Q2195">
            <v>1010</v>
          </cell>
          <cell r="R2195">
            <v>2.6071428571428568</v>
          </cell>
        </row>
        <row r="2196">
          <cell r="A2196" t="str">
            <v>Y021-035</v>
          </cell>
          <cell r="C2196" t="str">
            <v>Y021</v>
          </cell>
          <cell r="D2196">
            <v>0</v>
          </cell>
          <cell r="E2196" t="str">
            <v>POLY-R</v>
          </cell>
          <cell r="F2196" t="str">
            <v>399*332*6</v>
          </cell>
          <cell r="G2196">
            <v>399</v>
          </cell>
          <cell r="H2196">
            <v>332</v>
          </cell>
          <cell r="I2196">
            <v>6</v>
          </cell>
          <cell r="J2196">
            <v>280</v>
          </cell>
          <cell r="K2196">
            <v>0</v>
          </cell>
          <cell r="L2196">
            <v>0.73</v>
          </cell>
          <cell r="M2196">
            <v>0</v>
          </cell>
          <cell r="N2196">
            <v>0</v>
          </cell>
          <cell r="O2196">
            <v>0</v>
          </cell>
          <cell r="P2196" t="str">
            <v>1010</v>
          </cell>
          <cell r="Q2196">
            <v>1010</v>
          </cell>
          <cell r="R2196">
            <v>2.6071428571428568</v>
          </cell>
        </row>
        <row r="2197">
          <cell r="A2197" t="str">
            <v>Y021-036</v>
          </cell>
          <cell r="C2197" t="str">
            <v>Y021</v>
          </cell>
          <cell r="D2197">
            <v>0</v>
          </cell>
          <cell r="E2197" t="str">
            <v>POLY</v>
          </cell>
          <cell r="F2197" t="str">
            <v>1265*12*8</v>
          </cell>
          <cell r="G2197">
            <v>1265</v>
          </cell>
          <cell r="H2197">
            <v>12</v>
          </cell>
          <cell r="I2197">
            <v>8</v>
          </cell>
          <cell r="J2197">
            <v>240</v>
          </cell>
          <cell r="K2197">
            <v>0</v>
          </cell>
          <cell r="L2197">
            <v>0.62</v>
          </cell>
          <cell r="M2197">
            <v>0</v>
          </cell>
          <cell r="N2197">
            <v>0</v>
          </cell>
          <cell r="O2197">
            <v>0</v>
          </cell>
          <cell r="P2197" t="str">
            <v>1010</v>
          </cell>
          <cell r="Q2197">
            <v>1010</v>
          </cell>
          <cell r="R2197">
            <v>2.5833333333333335</v>
          </cell>
        </row>
        <row r="2198">
          <cell r="A2198" t="str">
            <v>Y021-037</v>
          </cell>
          <cell r="C2198" t="str">
            <v>Y021</v>
          </cell>
          <cell r="D2198">
            <v>0</v>
          </cell>
          <cell r="E2198" t="str">
            <v>POLY</v>
          </cell>
          <cell r="F2198" t="str">
            <v>135*130*127</v>
          </cell>
          <cell r="G2198">
            <v>135</v>
          </cell>
          <cell r="H2198">
            <v>130</v>
          </cell>
          <cell r="I2198">
            <v>127</v>
          </cell>
          <cell r="J2198">
            <v>650</v>
          </cell>
          <cell r="K2198">
            <v>0</v>
          </cell>
          <cell r="L2198">
            <v>1.63</v>
          </cell>
          <cell r="M2198">
            <v>0</v>
          </cell>
          <cell r="N2198">
            <v>270</v>
          </cell>
          <cell r="O2198">
            <v>0</v>
          </cell>
          <cell r="P2198">
            <v>0</v>
          </cell>
          <cell r="Q2198">
            <v>0</v>
          </cell>
          <cell r="R2198">
            <v>2.5076923076923072</v>
          </cell>
        </row>
        <row r="2199">
          <cell r="A2199" t="str">
            <v>Y021-038</v>
          </cell>
          <cell r="C2199" t="str">
            <v>Y021</v>
          </cell>
          <cell r="D2199">
            <v>0</v>
          </cell>
          <cell r="E2199" t="str">
            <v>POLY</v>
          </cell>
          <cell r="F2199" t="str">
            <v>233*155*127</v>
          </cell>
          <cell r="G2199">
            <v>223</v>
          </cell>
          <cell r="H2199">
            <v>155</v>
          </cell>
          <cell r="I2199">
            <v>127</v>
          </cell>
          <cell r="J2199">
            <v>1450</v>
          </cell>
          <cell r="K2199">
            <v>0</v>
          </cell>
          <cell r="L2199">
            <v>3.63</v>
          </cell>
          <cell r="M2199">
            <v>0</v>
          </cell>
          <cell r="N2199">
            <v>500</v>
          </cell>
          <cell r="O2199">
            <v>0</v>
          </cell>
          <cell r="P2199">
            <v>0</v>
          </cell>
          <cell r="Q2199">
            <v>0</v>
          </cell>
          <cell r="R2199">
            <v>2.5034482758620689</v>
          </cell>
        </row>
        <row r="2200">
          <cell r="A2200" t="str">
            <v>Y021-039</v>
          </cell>
          <cell r="B2200" t="str">
            <v>1704調價 0.042</v>
          </cell>
          <cell r="C2200" t="str">
            <v>Y021</v>
          </cell>
          <cell r="D2200" t="str">
            <v>0608-9-11</v>
          </cell>
          <cell r="E2200" t="str">
            <v>POLY小飾片</v>
          </cell>
          <cell r="F2200" t="str">
            <v>1600*6*3</v>
          </cell>
          <cell r="G2200">
            <v>31</v>
          </cell>
          <cell r="H2200">
            <v>6</v>
          </cell>
          <cell r="I2200">
            <v>3</v>
          </cell>
          <cell r="J2200">
            <v>3</v>
          </cell>
          <cell r="K2200">
            <v>3.5000000000000003E-2</v>
          </cell>
          <cell r="L2200">
            <v>4.2000000000000003E-2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14</v>
          </cell>
        </row>
        <row r="2201">
          <cell r="A2201" t="str">
            <v>Y021-040</v>
          </cell>
          <cell r="C2201" t="str">
            <v>Y021</v>
          </cell>
          <cell r="D2201">
            <v>0</v>
          </cell>
          <cell r="E2201" t="str">
            <v>POLY</v>
          </cell>
          <cell r="F2201" t="str">
            <v>130*64*127.5</v>
          </cell>
          <cell r="G2201">
            <v>130</v>
          </cell>
          <cell r="H2201">
            <v>64</v>
          </cell>
          <cell r="I2201">
            <v>127.5</v>
          </cell>
          <cell r="J2201">
            <v>370</v>
          </cell>
          <cell r="K2201">
            <v>0</v>
          </cell>
          <cell r="L2201">
            <v>1.04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2.810810810810811</v>
          </cell>
        </row>
        <row r="2202">
          <cell r="A2202" t="str">
            <v>Y021-041</v>
          </cell>
          <cell r="C2202" t="str">
            <v>Y021</v>
          </cell>
          <cell r="D2202">
            <v>0</v>
          </cell>
          <cell r="E2202" t="str">
            <v>POLY -R</v>
          </cell>
          <cell r="F2202" t="str">
            <v>108*74*127.5</v>
          </cell>
          <cell r="G2202">
            <v>108</v>
          </cell>
          <cell r="H2202">
            <v>74</v>
          </cell>
          <cell r="I2202">
            <v>127.5</v>
          </cell>
          <cell r="J2202">
            <v>320</v>
          </cell>
          <cell r="K2202">
            <v>0</v>
          </cell>
          <cell r="L2202">
            <v>0.9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2.8125</v>
          </cell>
        </row>
        <row r="2203">
          <cell r="A2203" t="str">
            <v>Y021-042</v>
          </cell>
          <cell r="C2203" t="str">
            <v>Y021</v>
          </cell>
          <cell r="D2203">
            <v>0</v>
          </cell>
          <cell r="E2203" t="str">
            <v>POLY -L</v>
          </cell>
          <cell r="F2203" t="str">
            <v>108*74*127.5</v>
          </cell>
          <cell r="G2203">
            <v>108</v>
          </cell>
          <cell r="H2203">
            <v>74</v>
          </cell>
          <cell r="I2203">
            <v>127.5</v>
          </cell>
          <cell r="J2203">
            <v>320</v>
          </cell>
          <cell r="K2203">
            <v>0</v>
          </cell>
          <cell r="L2203">
            <v>0.9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2.8125</v>
          </cell>
        </row>
        <row r="2204">
          <cell r="A2204" t="str">
            <v>Y021-043</v>
          </cell>
          <cell r="C2204" t="str">
            <v>Y021</v>
          </cell>
          <cell r="D2204">
            <v>0</v>
          </cell>
          <cell r="E2204" t="str">
            <v>POLY -R</v>
          </cell>
          <cell r="F2204" t="str">
            <v>702*21*19</v>
          </cell>
          <cell r="G2204">
            <v>702</v>
          </cell>
          <cell r="H2204">
            <v>21</v>
          </cell>
          <cell r="I2204">
            <v>19</v>
          </cell>
          <cell r="J2204">
            <v>430</v>
          </cell>
          <cell r="K2204">
            <v>0</v>
          </cell>
          <cell r="L2204">
            <v>1.2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2.7906976744186047</v>
          </cell>
        </row>
        <row r="2205">
          <cell r="A2205" t="str">
            <v>Y021-044</v>
          </cell>
          <cell r="C2205" t="str">
            <v>Y021</v>
          </cell>
          <cell r="D2205">
            <v>0</v>
          </cell>
          <cell r="E2205" t="str">
            <v>POLY -L</v>
          </cell>
          <cell r="F2205" t="str">
            <v>702*21*19</v>
          </cell>
          <cell r="G2205">
            <v>702</v>
          </cell>
          <cell r="H2205">
            <v>21</v>
          </cell>
          <cell r="I2205">
            <v>19</v>
          </cell>
          <cell r="J2205">
            <v>430</v>
          </cell>
          <cell r="K2205">
            <v>0</v>
          </cell>
          <cell r="L2205">
            <v>1.2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2.7906976744186047</v>
          </cell>
        </row>
        <row r="2206">
          <cell r="A2206" t="str">
            <v>Y021-045</v>
          </cell>
          <cell r="C2206" t="str">
            <v>Y021</v>
          </cell>
          <cell r="D2206">
            <v>0</v>
          </cell>
          <cell r="E2206" t="str">
            <v>POLY -R</v>
          </cell>
          <cell r="F2206" t="str">
            <v>89*70*54</v>
          </cell>
          <cell r="G2206">
            <v>89</v>
          </cell>
          <cell r="H2206">
            <v>70</v>
          </cell>
          <cell r="I2206">
            <v>54</v>
          </cell>
          <cell r="J2206">
            <v>280</v>
          </cell>
          <cell r="K2206">
            <v>0</v>
          </cell>
          <cell r="L2206">
            <v>0.78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2.7857142857142856</v>
          </cell>
        </row>
        <row r="2207">
          <cell r="A2207" t="str">
            <v>Y021-046</v>
          </cell>
          <cell r="C2207" t="str">
            <v>Y021</v>
          </cell>
          <cell r="D2207">
            <v>0</v>
          </cell>
          <cell r="E2207" t="str">
            <v>POLY -L</v>
          </cell>
          <cell r="F2207" t="str">
            <v>89*70*54</v>
          </cell>
          <cell r="G2207">
            <v>89</v>
          </cell>
          <cell r="H2207">
            <v>70</v>
          </cell>
          <cell r="I2207">
            <v>54</v>
          </cell>
          <cell r="J2207">
            <v>280</v>
          </cell>
          <cell r="K2207">
            <v>0</v>
          </cell>
          <cell r="L2207">
            <v>0.78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2.7857142857142856</v>
          </cell>
        </row>
        <row r="2208">
          <cell r="A2208" t="str">
            <v>Y021-047</v>
          </cell>
          <cell r="C2208" t="str">
            <v>Y021</v>
          </cell>
          <cell r="D2208">
            <v>0</v>
          </cell>
          <cell r="E2208" t="str">
            <v>POLY</v>
          </cell>
          <cell r="F2208" t="str">
            <v>484*21*28.5</v>
          </cell>
          <cell r="G2208">
            <v>484</v>
          </cell>
          <cell r="H2208">
            <v>21</v>
          </cell>
          <cell r="I2208">
            <v>28.5</v>
          </cell>
          <cell r="J2208">
            <v>220</v>
          </cell>
          <cell r="K2208">
            <v>0</v>
          </cell>
          <cell r="L2208">
            <v>0.62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2.8181818181818183</v>
          </cell>
        </row>
        <row r="2209">
          <cell r="A2209" t="str">
            <v>Y021-048</v>
          </cell>
          <cell r="C2209" t="str">
            <v>Y021</v>
          </cell>
          <cell r="D2209">
            <v>0</v>
          </cell>
          <cell r="E2209" t="str">
            <v>POLY</v>
          </cell>
          <cell r="F2209" t="str">
            <v>1410*21*28.5</v>
          </cell>
          <cell r="G2209">
            <v>1410</v>
          </cell>
          <cell r="H2209">
            <v>21</v>
          </cell>
          <cell r="I2209">
            <v>28.5</v>
          </cell>
          <cell r="J2209">
            <v>630</v>
          </cell>
          <cell r="K2209">
            <v>0</v>
          </cell>
          <cell r="L2209">
            <v>1.58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2.5079365079365079</v>
          </cell>
        </row>
        <row r="2210">
          <cell r="A2210" t="str">
            <v>Y021-049</v>
          </cell>
          <cell r="C2210" t="str">
            <v>Y021</v>
          </cell>
          <cell r="D2210">
            <v>0</v>
          </cell>
          <cell r="E2210" t="str">
            <v>POLY</v>
          </cell>
          <cell r="F2210" t="str">
            <v>958*21*28.5</v>
          </cell>
          <cell r="G2210">
            <v>958</v>
          </cell>
          <cell r="H2210">
            <v>21</v>
          </cell>
          <cell r="I2210">
            <v>28.5</v>
          </cell>
          <cell r="J2210">
            <v>480</v>
          </cell>
          <cell r="K2210">
            <v>0</v>
          </cell>
          <cell r="L2210">
            <v>1.2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2.5</v>
          </cell>
        </row>
        <row r="2211">
          <cell r="A2211" t="str">
            <v>Y021-050</v>
          </cell>
          <cell r="C2211" t="str">
            <v>Y021</v>
          </cell>
          <cell r="D2211">
            <v>0</v>
          </cell>
          <cell r="E2211" t="str">
            <v>POLY</v>
          </cell>
          <cell r="F2211" t="str">
            <v>433*21*28.5</v>
          </cell>
          <cell r="G2211">
            <v>433</v>
          </cell>
          <cell r="H2211">
            <v>21</v>
          </cell>
          <cell r="I2211">
            <v>28.5</v>
          </cell>
          <cell r="J2211">
            <v>200</v>
          </cell>
          <cell r="K2211">
            <v>0</v>
          </cell>
          <cell r="L2211">
            <v>0.56000000000000005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2.8000000000000003</v>
          </cell>
        </row>
        <row r="2212">
          <cell r="A2212" t="str">
            <v>Y021-051</v>
          </cell>
          <cell r="C2212" t="str">
            <v>Y021</v>
          </cell>
          <cell r="D2212">
            <v>0</v>
          </cell>
          <cell r="E2212" t="str">
            <v>POLY</v>
          </cell>
          <cell r="F2212" t="str">
            <v>653*21*28.5</v>
          </cell>
          <cell r="G2212">
            <v>653</v>
          </cell>
          <cell r="H2212">
            <v>21</v>
          </cell>
          <cell r="I2212">
            <v>28.5</v>
          </cell>
          <cell r="J2212">
            <v>330</v>
          </cell>
          <cell r="K2212">
            <v>0</v>
          </cell>
          <cell r="L2212">
            <v>0.92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2.7878787878787881</v>
          </cell>
        </row>
        <row r="2213">
          <cell r="A2213" t="str">
            <v>Y021-052</v>
          </cell>
          <cell r="C2213" t="str">
            <v>Y021</v>
          </cell>
          <cell r="D2213">
            <v>0</v>
          </cell>
          <cell r="E2213" t="str">
            <v>POLY</v>
          </cell>
          <cell r="F2213" t="str">
            <v>115*105*20</v>
          </cell>
          <cell r="G2213">
            <v>115</v>
          </cell>
          <cell r="H2213">
            <v>105</v>
          </cell>
          <cell r="I2213">
            <v>20</v>
          </cell>
          <cell r="J2213">
            <v>210</v>
          </cell>
          <cell r="K2213">
            <v>0</v>
          </cell>
          <cell r="L2213">
            <v>0.53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2.5238095238095242</v>
          </cell>
        </row>
        <row r="2214">
          <cell r="A2214" t="str">
            <v>Y021-053</v>
          </cell>
          <cell r="B2214">
            <v>0</v>
          </cell>
          <cell r="C2214" t="str">
            <v>Y021</v>
          </cell>
          <cell r="D2214">
            <v>0</v>
          </cell>
          <cell r="E2214" t="str">
            <v>POLY-弧形</v>
          </cell>
          <cell r="F2214" t="str">
            <v>(76+10)*10*5</v>
          </cell>
          <cell r="G2214">
            <v>86</v>
          </cell>
          <cell r="H2214">
            <v>10</v>
          </cell>
          <cell r="I2214">
            <v>5</v>
          </cell>
          <cell r="J2214">
            <v>9</v>
          </cell>
          <cell r="K2214">
            <v>0</v>
          </cell>
          <cell r="L2214">
            <v>0.05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5.5555555555555562</v>
          </cell>
          <cell r="S2214">
            <v>0</v>
          </cell>
        </row>
        <row r="2215">
          <cell r="A2215" t="str">
            <v>Y021-054</v>
          </cell>
          <cell r="B2215">
            <v>0</v>
          </cell>
          <cell r="C2215" t="str">
            <v>Y021</v>
          </cell>
          <cell r="D2215">
            <v>0</v>
          </cell>
          <cell r="E2215" t="str">
            <v>POLY-弧形</v>
          </cell>
          <cell r="F2215" t="str">
            <v>(86+10)*10*5</v>
          </cell>
          <cell r="G2215">
            <v>96</v>
          </cell>
          <cell r="H2215">
            <v>10</v>
          </cell>
          <cell r="I2215">
            <v>5</v>
          </cell>
          <cell r="J2215">
            <v>10</v>
          </cell>
          <cell r="K2215">
            <v>0</v>
          </cell>
          <cell r="L2215">
            <v>0.05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5</v>
          </cell>
          <cell r="S2215">
            <v>0</v>
          </cell>
        </row>
        <row r="2216">
          <cell r="A2216" t="str">
            <v>Y022-001</v>
          </cell>
          <cell r="B2216" t="str">
            <v>LCT032-025</v>
          </cell>
          <cell r="C2216" t="str">
            <v>Y022</v>
          </cell>
          <cell r="D2216" t="str">
            <v>970D-90</v>
          </cell>
          <cell r="E2216" t="str">
            <v>上横饰条</v>
          </cell>
          <cell r="F2216" t="str">
            <v>1320*18*7</v>
          </cell>
          <cell r="G2216">
            <v>1320</v>
          </cell>
          <cell r="H2216">
            <v>18</v>
          </cell>
          <cell r="I2216">
            <v>7</v>
          </cell>
          <cell r="J2216">
            <v>220</v>
          </cell>
          <cell r="K2216">
            <v>0</v>
          </cell>
          <cell r="L2216">
            <v>0.74</v>
          </cell>
          <cell r="M2216">
            <v>0</v>
          </cell>
          <cell r="N2216">
            <v>0</v>
          </cell>
          <cell r="O2216">
            <v>0</v>
          </cell>
          <cell r="P2216" t="str">
            <v>1010</v>
          </cell>
          <cell r="Q2216">
            <v>1010</v>
          </cell>
          <cell r="R2216">
            <v>3.3636363636363638</v>
          </cell>
        </row>
        <row r="2217">
          <cell r="A2217" t="str">
            <v>Y022-002</v>
          </cell>
          <cell r="B2217" t="str">
            <v>LCT032-026</v>
          </cell>
          <cell r="C2217" t="str">
            <v>Y022</v>
          </cell>
          <cell r="D2217" t="str">
            <v>970D-90</v>
          </cell>
          <cell r="E2217" t="str">
            <v>测上饰条</v>
          </cell>
          <cell r="F2217" t="str">
            <v>379*18*7</v>
          </cell>
          <cell r="G2217">
            <v>379</v>
          </cell>
          <cell r="H2217">
            <v>18</v>
          </cell>
          <cell r="I2217">
            <v>7</v>
          </cell>
          <cell r="J2217">
            <v>60</v>
          </cell>
          <cell r="K2217">
            <v>0</v>
          </cell>
          <cell r="L2217">
            <v>0.21</v>
          </cell>
          <cell r="M2217">
            <v>0</v>
          </cell>
          <cell r="N2217">
            <v>0</v>
          </cell>
          <cell r="O2217">
            <v>0</v>
          </cell>
          <cell r="P2217" t="str">
            <v>1010</v>
          </cell>
          <cell r="Q2217">
            <v>1010</v>
          </cell>
          <cell r="R2217">
            <v>3.5</v>
          </cell>
        </row>
        <row r="2218">
          <cell r="A2218" t="str">
            <v>Y022-003</v>
          </cell>
          <cell r="B2218" t="str">
            <v>LCT032-027</v>
          </cell>
          <cell r="C2218" t="str">
            <v>Y022</v>
          </cell>
          <cell r="D2218" t="str">
            <v>970D-90</v>
          </cell>
          <cell r="E2218" t="str">
            <v>上饰条</v>
          </cell>
          <cell r="F2218" t="str">
            <v>88*53*50</v>
          </cell>
          <cell r="G2218">
            <v>88</v>
          </cell>
          <cell r="H2218">
            <v>53</v>
          </cell>
          <cell r="I2218">
            <v>50</v>
          </cell>
          <cell r="J2218">
            <v>110</v>
          </cell>
          <cell r="K2218">
            <v>0</v>
          </cell>
          <cell r="L2218">
            <v>0.34</v>
          </cell>
          <cell r="M2218">
            <v>0</v>
          </cell>
          <cell r="N2218">
            <v>20</v>
          </cell>
          <cell r="O2218" t="str">
            <v>40V</v>
          </cell>
          <cell r="P2218" t="str">
            <v>1910</v>
          </cell>
          <cell r="Q2218" t="str">
            <v>1910</v>
          </cell>
          <cell r="R2218">
            <v>3.0909090909090913</v>
          </cell>
        </row>
        <row r="2219">
          <cell r="A2219" t="str">
            <v>Y022-004</v>
          </cell>
          <cell r="B2219" t="str">
            <v>LCT032-029</v>
          </cell>
          <cell r="C2219" t="str">
            <v>Y022</v>
          </cell>
          <cell r="D2219" t="str">
            <v>361-64餐桌</v>
          </cell>
          <cell r="E2219" t="str">
            <v>侧立水中饰条</v>
          </cell>
          <cell r="F2219" t="str">
            <v>905*43*7</v>
          </cell>
          <cell r="G2219">
            <v>905</v>
          </cell>
          <cell r="H2219">
            <v>43</v>
          </cell>
          <cell r="I2219">
            <v>7</v>
          </cell>
          <cell r="J2219">
            <v>460</v>
          </cell>
          <cell r="K2219">
            <v>0</v>
          </cell>
          <cell r="L2219">
            <v>1.21</v>
          </cell>
          <cell r="M2219">
            <v>0</v>
          </cell>
          <cell r="N2219">
            <v>0</v>
          </cell>
          <cell r="O2219">
            <v>0</v>
          </cell>
          <cell r="P2219" t="str">
            <v>1010</v>
          </cell>
          <cell r="Q2219">
            <v>1010</v>
          </cell>
          <cell r="R2219">
            <v>2.6304347826086953</v>
          </cell>
        </row>
        <row r="2220">
          <cell r="A2220" t="str">
            <v>Y022-005</v>
          </cell>
          <cell r="B2220" t="str">
            <v>LCT032-030</v>
          </cell>
          <cell r="C2220" t="str">
            <v>Y022</v>
          </cell>
          <cell r="D2220" t="str">
            <v>361-64餐桌</v>
          </cell>
          <cell r="E2220" t="str">
            <v>左/右立水中饰条</v>
          </cell>
          <cell r="F2220" t="str">
            <v>726*43*7</v>
          </cell>
          <cell r="G2220">
            <v>726</v>
          </cell>
          <cell r="H2220">
            <v>43</v>
          </cell>
          <cell r="I2220">
            <v>7</v>
          </cell>
          <cell r="J2220">
            <v>320</v>
          </cell>
          <cell r="K2220">
            <v>0</v>
          </cell>
          <cell r="L2220">
            <v>0.97</v>
          </cell>
          <cell r="M2220">
            <v>0</v>
          </cell>
          <cell r="N2220">
            <v>0</v>
          </cell>
          <cell r="O2220">
            <v>0</v>
          </cell>
          <cell r="P2220" t="str">
            <v>1010</v>
          </cell>
          <cell r="Q2220">
            <v>1010</v>
          </cell>
          <cell r="R2220">
            <v>3.03125</v>
          </cell>
        </row>
        <row r="2221">
          <cell r="A2221" t="str">
            <v>Y022-006</v>
          </cell>
          <cell r="B2221" t="str">
            <v>LCT032-031</v>
          </cell>
          <cell r="C2221" t="str">
            <v>Y022</v>
          </cell>
          <cell r="D2221" t="str">
            <v>361-65餐桌</v>
          </cell>
          <cell r="E2221" t="str">
            <v>立水中饰条</v>
          </cell>
          <cell r="F2221" t="str">
            <v>451*43*7</v>
          </cell>
          <cell r="G2221">
            <v>451</v>
          </cell>
          <cell r="H2221">
            <v>43</v>
          </cell>
          <cell r="I2221">
            <v>7</v>
          </cell>
          <cell r="J2221">
            <v>230</v>
          </cell>
          <cell r="K2221">
            <v>0</v>
          </cell>
          <cell r="L2221">
            <v>0.6</v>
          </cell>
          <cell r="M2221">
            <v>0</v>
          </cell>
          <cell r="N2221">
            <v>0</v>
          </cell>
          <cell r="O2221">
            <v>0</v>
          </cell>
          <cell r="P2221" t="str">
            <v>1010</v>
          </cell>
          <cell r="Q2221">
            <v>1010</v>
          </cell>
          <cell r="R2221">
            <v>2.6086956521739126</v>
          </cell>
        </row>
        <row r="2222">
          <cell r="A2222" t="str">
            <v>Y022-007</v>
          </cell>
          <cell r="B2222" t="str">
            <v>LCT032-032</v>
          </cell>
          <cell r="C2222" t="str">
            <v>Y022</v>
          </cell>
          <cell r="D2222" t="str">
            <v>361-36/46</v>
          </cell>
          <cell r="E2222" t="str">
            <v>椅脑钸条</v>
          </cell>
          <cell r="F2222" t="str">
            <v>398*10*5</v>
          </cell>
          <cell r="G2222">
            <v>398</v>
          </cell>
          <cell r="H2222">
            <v>10</v>
          </cell>
          <cell r="I2222">
            <v>5</v>
          </cell>
          <cell r="J2222">
            <v>40</v>
          </cell>
          <cell r="K2222">
            <v>0</v>
          </cell>
          <cell r="L2222">
            <v>0.15</v>
          </cell>
          <cell r="M2222">
            <v>0</v>
          </cell>
          <cell r="N2222">
            <v>0</v>
          </cell>
          <cell r="O2222">
            <v>0</v>
          </cell>
          <cell r="P2222" t="str">
            <v>1010</v>
          </cell>
          <cell r="Q2222">
            <v>1010</v>
          </cell>
          <cell r="R2222">
            <v>3.75</v>
          </cell>
        </row>
        <row r="2223">
          <cell r="A2223" t="str">
            <v>Y022-008</v>
          </cell>
          <cell r="B2223" t="str">
            <v>LCT032-033</v>
          </cell>
          <cell r="C2223" t="str">
            <v>Y022</v>
          </cell>
          <cell r="D2223" t="str">
            <v>361-36/46</v>
          </cell>
          <cell r="E2223" t="str">
            <v>椅脑钸条</v>
          </cell>
          <cell r="F2223" t="str">
            <v>410*29.5*7</v>
          </cell>
          <cell r="G2223">
            <v>410</v>
          </cell>
          <cell r="H2223">
            <v>29.5</v>
          </cell>
          <cell r="I2223">
            <v>7</v>
          </cell>
          <cell r="J2223">
            <v>150</v>
          </cell>
          <cell r="K2223">
            <v>0</v>
          </cell>
          <cell r="L2223">
            <v>0.37</v>
          </cell>
          <cell r="M2223">
            <v>0</v>
          </cell>
          <cell r="N2223">
            <v>0</v>
          </cell>
          <cell r="O2223">
            <v>0</v>
          </cell>
          <cell r="P2223" t="str">
            <v>1010</v>
          </cell>
          <cell r="Q2223">
            <v>1010</v>
          </cell>
          <cell r="R2223">
            <v>2.4666666666666668</v>
          </cell>
        </row>
        <row r="2224">
          <cell r="A2224" t="str">
            <v>Y022-009</v>
          </cell>
          <cell r="B2224" t="str">
            <v>LCT032-035</v>
          </cell>
          <cell r="C2224" t="str">
            <v>Y022</v>
          </cell>
          <cell r="D2224" t="str">
            <v>MY070-DT-4296</v>
          </cell>
          <cell r="E2224" t="str">
            <v>边板转角立水</v>
          </cell>
          <cell r="F2224" t="str">
            <v>104*58*44.3</v>
          </cell>
          <cell r="G2224">
            <v>104</v>
          </cell>
          <cell r="H2224">
            <v>58</v>
          </cell>
          <cell r="I2224">
            <v>44.3</v>
          </cell>
          <cell r="J2224">
            <v>120</v>
          </cell>
          <cell r="K2224">
            <v>0</v>
          </cell>
          <cell r="L2224">
            <v>0.37</v>
          </cell>
          <cell r="M2224">
            <v>0</v>
          </cell>
          <cell r="N2224">
            <v>40</v>
          </cell>
          <cell r="O2224" t="str">
            <v>40V</v>
          </cell>
          <cell r="P2224" t="str">
            <v>1910</v>
          </cell>
          <cell r="Q2224" t="str">
            <v>1910</v>
          </cell>
          <cell r="R2224">
            <v>3.0833333333333335</v>
          </cell>
        </row>
        <row r="2225">
          <cell r="A2225" t="str">
            <v>Y022-010</v>
          </cell>
          <cell r="B2225" t="str">
            <v>LCT032-036</v>
          </cell>
          <cell r="C2225" t="str">
            <v>Y022</v>
          </cell>
          <cell r="D2225" t="str">
            <v>NJ02-DT-G餐桌</v>
          </cell>
          <cell r="E2225" t="str">
            <v>脚柱饰块</v>
          </cell>
          <cell r="F2225" t="str">
            <v>64*20*5</v>
          </cell>
          <cell r="G2225">
            <v>64</v>
          </cell>
          <cell r="H2225">
            <v>20</v>
          </cell>
          <cell r="I2225">
            <v>5</v>
          </cell>
          <cell r="J2225">
            <v>0</v>
          </cell>
          <cell r="K2225">
            <v>0</v>
          </cell>
          <cell r="L2225">
            <v>0.12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 t="e">
            <v>#DIV/0!</v>
          </cell>
        </row>
        <row r="2226">
          <cell r="A2226" t="str">
            <v>Y022-011</v>
          </cell>
          <cell r="B2226" t="str">
            <v>LCT032-037</v>
          </cell>
          <cell r="C2226" t="str">
            <v>Y022</v>
          </cell>
          <cell r="D2226" t="str">
            <v>869D-3</v>
          </cell>
          <cell r="E2226" t="str">
            <v>椅背饰框</v>
          </cell>
          <cell r="F2226" t="str">
            <v>520*432*6</v>
          </cell>
          <cell r="G2226">
            <v>520</v>
          </cell>
          <cell r="H2226">
            <v>432</v>
          </cell>
          <cell r="I2226">
            <v>6</v>
          </cell>
          <cell r="J2226">
            <v>0</v>
          </cell>
          <cell r="K2226">
            <v>0</v>
          </cell>
          <cell r="L2226">
            <v>1.18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 t="e">
            <v>#DIV/0!</v>
          </cell>
        </row>
        <row r="2227">
          <cell r="A2227" t="str">
            <v>Y022-012</v>
          </cell>
          <cell r="B2227" t="str">
            <v>LCT032-038</v>
          </cell>
          <cell r="C2227" t="str">
            <v>Y022</v>
          </cell>
          <cell r="D2227" t="str">
            <v>869D-3</v>
          </cell>
          <cell r="E2227" t="str">
            <v>椅脚</v>
          </cell>
          <cell r="F2227" t="str">
            <v>413*57*57</v>
          </cell>
          <cell r="G2227">
            <v>413</v>
          </cell>
          <cell r="H2227">
            <v>57</v>
          </cell>
          <cell r="I2227">
            <v>57</v>
          </cell>
          <cell r="J2227">
            <v>540</v>
          </cell>
          <cell r="K2227">
            <v>0</v>
          </cell>
          <cell r="L2227">
            <v>1.48</v>
          </cell>
          <cell r="M2227">
            <v>0</v>
          </cell>
          <cell r="N2227">
            <v>260</v>
          </cell>
          <cell r="O2227" t="str">
            <v>40V</v>
          </cell>
          <cell r="P2227" t="str">
            <v>1910</v>
          </cell>
          <cell r="Q2227" t="str">
            <v>1910</v>
          </cell>
          <cell r="R2227">
            <v>2.7407407407407405</v>
          </cell>
        </row>
        <row r="2228">
          <cell r="A2228" t="str">
            <v>Y022-013</v>
          </cell>
          <cell r="B2228" t="str">
            <v>LCT032-039</v>
          </cell>
          <cell r="C2228" t="str">
            <v>Y022</v>
          </cell>
          <cell r="D2228" t="str">
            <v>341-72 下櫃</v>
          </cell>
          <cell r="E2228" t="str">
            <v>前立水上飾條</v>
          </cell>
          <cell r="F2228" t="str">
            <v>650*43*7</v>
          </cell>
          <cell r="G2228">
            <v>650</v>
          </cell>
          <cell r="H2228">
            <v>43</v>
          </cell>
          <cell r="I2228">
            <v>7</v>
          </cell>
          <cell r="J2228">
            <v>0</v>
          </cell>
          <cell r="K2228">
            <v>0</v>
          </cell>
          <cell r="L2228">
            <v>0.87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 t="e">
            <v>#DIV/0!</v>
          </cell>
        </row>
        <row r="2229">
          <cell r="A2229" t="str">
            <v>Y022-014</v>
          </cell>
          <cell r="B2229" t="str">
            <v>LCT032-040</v>
          </cell>
          <cell r="C2229" t="str">
            <v>Y022</v>
          </cell>
          <cell r="D2229" t="str">
            <v>341-72 下櫃</v>
          </cell>
          <cell r="E2229" t="str">
            <v>側立水上飾條</v>
          </cell>
          <cell r="F2229" t="str">
            <v>337*43*7</v>
          </cell>
          <cell r="G2229">
            <v>337</v>
          </cell>
          <cell r="H2229">
            <v>43</v>
          </cell>
          <cell r="I2229">
            <v>7</v>
          </cell>
          <cell r="J2229">
            <v>180</v>
          </cell>
          <cell r="K2229">
            <v>0</v>
          </cell>
          <cell r="L2229">
            <v>0.45</v>
          </cell>
          <cell r="M2229">
            <v>0</v>
          </cell>
          <cell r="N2229">
            <v>0</v>
          </cell>
          <cell r="O2229">
            <v>0</v>
          </cell>
          <cell r="P2229" t="str">
            <v>1010</v>
          </cell>
          <cell r="Q2229">
            <v>1010</v>
          </cell>
          <cell r="R2229">
            <v>2.5</v>
          </cell>
        </row>
        <row r="2230">
          <cell r="A2230" t="str">
            <v>Y022-015</v>
          </cell>
          <cell r="B2230" t="str">
            <v>LCT032-042</v>
          </cell>
          <cell r="C2230" t="str">
            <v>Y022</v>
          </cell>
          <cell r="D2230">
            <v>869</v>
          </cell>
          <cell r="E2230" t="str">
            <v>木钉</v>
          </cell>
          <cell r="F2230" t="str">
            <v>13.2*13.2*13.5mmH</v>
          </cell>
          <cell r="G2230">
            <v>13.2</v>
          </cell>
          <cell r="H2230">
            <v>13.2</v>
          </cell>
          <cell r="I2230">
            <v>13.5</v>
          </cell>
          <cell r="J2230">
            <v>4</v>
          </cell>
          <cell r="K2230">
            <v>0</v>
          </cell>
          <cell r="L2230">
            <v>0.03</v>
          </cell>
          <cell r="M2230">
            <v>0</v>
          </cell>
          <cell r="N2230">
            <v>0</v>
          </cell>
          <cell r="O2230">
            <v>0</v>
          </cell>
          <cell r="P2230" t="str">
            <v>1010</v>
          </cell>
          <cell r="Q2230">
            <v>1010</v>
          </cell>
          <cell r="R2230">
            <v>7.5</v>
          </cell>
        </row>
        <row r="2231">
          <cell r="A2231" t="str">
            <v>Y022-016</v>
          </cell>
          <cell r="B2231" t="str">
            <v>LCT032-023</v>
          </cell>
          <cell r="C2231" t="str">
            <v>Y022</v>
          </cell>
          <cell r="D2231" t="str">
            <v>849D-10</v>
          </cell>
          <cell r="E2231" t="str">
            <v>侧框上饰条</v>
          </cell>
          <cell r="F2231" t="str">
            <v>338*10*5</v>
          </cell>
          <cell r="G2231">
            <v>338</v>
          </cell>
          <cell r="H2231">
            <v>10</v>
          </cell>
          <cell r="I2231">
            <v>5</v>
          </cell>
          <cell r="J2231">
            <v>30</v>
          </cell>
          <cell r="K2231">
            <v>0</v>
          </cell>
          <cell r="L2231">
            <v>0.15</v>
          </cell>
          <cell r="M2231">
            <v>0</v>
          </cell>
          <cell r="N2231">
            <v>0</v>
          </cell>
          <cell r="O2231">
            <v>0</v>
          </cell>
          <cell r="P2231" t="str">
            <v>1010</v>
          </cell>
          <cell r="Q2231">
            <v>1010</v>
          </cell>
          <cell r="R2231">
            <v>5</v>
          </cell>
        </row>
        <row r="2232">
          <cell r="A2232" t="str">
            <v>Y022-017</v>
          </cell>
          <cell r="B2232" t="str">
            <v>LCT032-024</v>
          </cell>
          <cell r="C2232" t="str">
            <v>Y022</v>
          </cell>
          <cell r="D2232" t="str">
            <v>849D-10</v>
          </cell>
          <cell r="E2232" t="str">
            <v>门框上饰条</v>
          </cell>
          <cell r="F2232" t="str">
            <v>306*10*5</v>
          </cell>
          <cell r="G2232">
            <v>306</v>
          </cell>
          <cell r="H2232">
            <v>10</v>
          </cell>
          <cell r="I2232">
            <v>5</v>
          </cell>
          <cell r="J2232">
            <v>25</v>
          </cell>
          <cell r="K2232">
            <v>0</v>
          </cell>
          <cell r="L2232">
            <v>0.14000000000000001</v>
          </cell>
          <cell r="M2232">
            <v>0</v>
          </cell>
          <cell r="N2232">
            <v>0</v>
          </cell>
          <cell r="O2232">
            <v>0</v>
          </cell>
          <cell r="P2232" t="str">
            <v>1010</v>
          </cell>
          <cell r="Q2232">
            <v>1010</v>
          </cell>
          <cell r="R2232">
            <v>5.6000000000000005</v>
          </cell>
        </row>
        <row r="2233">
          <cell r="A2233" t="str">
            <v>Y022-018</v>
          </cell>
          <cell r="B2233" t="str">
            <v>LCT032-043</v>
          </cell>
          <cell r="C2233" t="str">
            <v>Y022</v>
          </cell>
          <cell r="D2233" t="str">
            <v>341-72 下櫃</v>
          </cell>
          <cell r="E2233" t="str">
            <v>前立水上飾條</v>
          </cell>
          <cell r="F2233" t="str">
            <v>645*43*7</v>
          </cell>
          <cell r="G2233">
            <v>645</v>
          </cell>
          <cell r="H2233">
            <v>43</v>
          </cell>
          <cell r="I2233">
            <v>7</v>
          </cell>
          <cell r="J2233">
            <v>640</v>
          </cell>
          <cell r="K2233">
            <v>0</v>
          </cell>
          <cell r="L2233">
            <v>0.86</v>
          </cell>
          <cell r="M2233">
            <v>0</v>
          </cell>
          <cell r="N2233">
            <v>0</v>
          </cell>
          <cell r="O2233">
            <v>0</v>
          </cell>
          <cell r="P2233" t="str">
            <v>1010</v>
          </cell>
          <cell r="Q2233">
            <v>1010</v>
          </cell>
          <cell r="R2233">
            <v>1.34375</v>
          </cell>
        </row>
        <row r="2234">
          <cell r="A2234" t="str">
            <v>Y022-019</v>
          </cell>
          <cell r="B2234" t="str">
            <v>LCT032-044</v>
          </cell>
          <cell r="C2234" t="str">
            <v>Y022</v>
          </cell>
          <cell r="D2234" t="str">
            <v>341-72 下櫃</v>
          </cell>
          <cell r="E2234" t="str">
            <v>前立水上飾條</v>
          </cell>
          <cell r="F2234" t="str">
            <v>1281*43*7</v>
          </cell>
          <cell r="G2234">
            <v>1281</v>
          </cell>
          <cell r="H2234">
            <v>43</v>
          </cell>
          <cell r="I2234">
            <v>7</v>
          </cell>
          <cell r="J2234">
            <v>640</v>
          </cell>
          <cell r="K2234">
            <v>0</v>
          </cell>
          <cell r="L2234">
            <v>1.71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2.671875</v>
          </cell>
        </row>
        <row r="2235">
          <cell r="A2235" t="str">
            <v>Y022-020</v>
          </cell>
          <cell r="B2235">
            <v>0</v>
          </cell>
          <cell r="C2235" t="str">
            <v>Y022</v>
          </cell>
          <cell r="D2235" t="str">
            <v>NJ04-DTB</v>
          </cell>
          <cell r="E2235" t="str">
            <v>腳片飾花</v>
          </cell>
          <cell r="F2235" t="str">
            <v>682*47*3</v>
          </cell>
          <cell r="G2235">
            <v>682</v>
          </cell>
          <cell r="H2235">
            <v>47</v>
          </cell>
          <cell r="I2235">
            <v>3</v>
          </cell>
          <cell r="J2235">
            <v>130</v>
          </cell>
          <cell r="K2235">
            <v>0</v>
          </cell>
          <cell r="L2235">
            <v>0.42</v>
          </cell>
          <cell r="M2235">
            <v>0</v>
          </cell>
          <cell r="N2235">
            <v>0</v>
          </cell>
          <cell r="O2235" t="str">
            <v>V</v>
          </cell>
          <cell r="P2235" t="str">
            <v>1010</v>
          </cell>
          <cell r="Q2235" t="str">
            <v>1010</v>
          </cell>
          <cell r="R2235">
            <v>3.2307692307692304</v>
          </cell>
        </row>
        <row r="2236">
          <cell r="A2236" t="str">
            <v>Y022-021</v>
          </cell>
          <cell r="B2236">
            <v>0</v>
          </cell>
          <cell r="C2236" t="str">
            <v>Y022</v>
          </cell>
          <cell r="D2236" t="str">
            <v>2618-AC/SC</v>
          </cell>
          <cell r="E2236" t="str">
            <v>椅背 横条</v>
          </cell>
          <cell r="F2236" t="str">
            <v>450*16*13</v>
          </cell>
          <cell r="G2236">
            <v>450</v>
          </cell>
          <cell r="H2236">
            <v>16</v>
          </cell>
          <cell r="I2236">
            <v>13</v>
          </cell>
          <cell r="J2236">
            <v>200</v>
          </cell>
          <cell r="K2236">
            <v>0</v>
          </cell>
          <cell r="L2236">
            <v>0.5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2.5</v>
          </cell>
          <cell r="S2236">
            <v>0</v>
          </cell>
        </row>
        <row r="2237">
          <cell r="A2237" t="str">
            <v>Y022-022</v>
          </cell>
          <cell r="B2237">
            <v>0</v>
          </cell>
          <cell r="C2237" t="str">
            <v>Y022</v>
          </cell>
          <cell r="D2237" t="str">
            <v>NJ05-DTB</v>
          </cell>
          <cell r="E2237" t="str">
            <v>腳片飾花</v>
          </cell>
          <cell r="F2237" t="str">
            <v>623*47*3</v>
          </cell>
          <cell r="G2237">
            <v>623</v>
          </cell>
          <cell r="H2237">
            <v>47</v>
          </cell>
          <cell r="I2237">
            <v>3</v>
          </cell>
          <cell r="J2237">
            <v>0</v>
          </cell>
          <cell r="K2237">
            <v>0</v>
          </cell>
          <cell r="L2237">
            <v>0.38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 t="e">
            <v>#DIV/0!</v>
          </cell>
          <cell r="S2237">
            <v>0</v>
          </cell>
        </row>
        <row r="2238">
          <cell r="A2238" t="str">
            <v>Y022-023</v>
          </cell>
          <cell r="B2238">
            <v>0</v>
          </cell>
          <cell r="C2238" t="str">
            <v>Y022</v>
          </cell>
          <cell r="D2238" t="str">
            <v>NJ05-CT</v>
          </cell>
          <cell r="E2238" t="str">
            <v>腳片飾花</v>
          </cell>
          <cell r="F2238" t="str">
            <v>412*47*3</v>
          </cell>
          <cell r="G2238">
            <v>412</v>
          </cell>
          <cell r="H2238">
            <v>47</v>
          </cell>
          <cell r="I2238">
            <v>3</v>
          </cell>
          <cell r="J2238">
            <v>0</v>
          </cell>
          <cell r="K2238">
            <v>0</v>
          </cell>
          <cell r="L2238">
            <v>0.25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 t="e">
            <v>#DIV/0!</v>
          </cell>
          <cell r="S2238">
            <v>0</v>
          </cell>
        </row>
        <row r="2239">
          <cell r="A2239" t="str">
            <v>Y022-024</v>
          </cell>
          <cell r="B2239">
            <v>0</v>
          </cell>
          <cell r="C2239" t="str">
            <v>Y022</v>
          </cell>
          <cell r="D2239" t="str">
            <v>NJ05-ET</v>
          </cell>
          <cell r="E2239" t="str">
            <v>腳片飾花</v>
          </cell>
          <cell r="F2239" t="str">
            <v>561*47*3</v>
          </cell>
          <cell r="G2239">
            <v>561</v>
          </cell>
          <cell r="H2239">
            <v>47</v>
          </cell>
          <cell r="I2239">
            <v>3</v>
          </cell>
          <cell r="J2239">
            <v>0</v>
          </cell>
          <cell r="K2239">
            <v>0</v>
          </cell>
          <cell r="L2239">
            <v>0.35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 t="e">
            <v>#DIV/0!</v>
          </cell>
          <cell r="S2239">
            <v>0</v>
          </cell>
        </row>
        <row r="2240">
          <cell r="A2240" t="str">
            <v>Y022-025</v>
          </cell>
          <cell r="B2240">
            <v>0</v>
          </cell>
          <cell r="C2240" t="str">
            <v>Y022</v>
          </cell>
          <cell r="D2240" t="str">
            <v>079-SVR</v>
          </cell>
          <cell r="E2240" t="str">
            <v>上横饰条</v>
          </cell>
          <cell r="F2240" t="str">
            <v>1482*18*7</v>
          </cell>
          <cell r="G2240">
            <v>1482</v>
          </cell>
          <cell r="H2240">
            <v>18</v>
          </cell>
          <cell r="I2240">
            <v>7</v>
          </cell>
          <cell r="J2240">
            <v>275</v>
          </cell>
          <cell r="K2240">
            <v>0</v>
          </cell>
          <cell r="L2240">
            <v>0.79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2.8727272727272726</v>
          </cell>
          <cell r="S2240">
            <v>0</v>
          </cell>
        </row>
        <row r="2241">
          <cell r="A2241" t="str">
            <v>Y022-026</v>
          </cell>
          <cell r="B2241">
            <v>0</v>
          </cell>
          <cell r="C2241" t="str">
            <v>Y022</v>
          </cell>
          <cell r="D2241" t="str">
            <v>079-SVR</v>
          </cell>
          <cell r="E2241" t="str">
            <v>側饰条</v>
          </cell>
          <cell r="F2241" t="str">
            <v>389*18*7</v>
          </cell>
          <cell r="G2241">
            <v>389</v>
          </cell>
          <cell r="H2241">
            <v>18</v>
          </cell>
          <cell r="I2241">
            <v>7</v>
          </cell>
          <cell r="J2241">
            <v>76</v>
          </cell>
          <cell r="K2241">
            <v>0</v>
          </cell>
          <cell r="L2241">
            <v>0.22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2.8947368421052633</v>
          </cell>
          <cell r="S2241">
            <v>42429</v>
          </cell>
        </row>
        <row r="2242">
          <cell r="A2242" t="str">
            <v>Y022-027</v>
          </cell>
          <cell r="B2242">
            <v>0</v>
          </cell>
          <cell r="C2242" t="str">
            <v>Y022</v>
          </cell>
          <cell r="D2242" t="str">
            <v>NJ05-CT</v>
          </cell>
          <cell r="E2242" t="str">
            <v>腳片飾花</v>
          </cell>
          <cell r="F2242" t="str">
            <v>465*47*3</v>
          </cell>
          <cell r="G2242">
            <v>465</v>
          </cell>
          <cell r="H2242">
            <v>47</v>
          </cell>
          <cell r="I2242">
            <v>3</v>
          </cell>
          <cell r="J2242">
            <v>104</v>
          </cell>
          <cell r="K2242">
            <v>0</v>
          </cell>
          <cell r="L2242">
            <v>0.3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2.8846153846153846</v>
          </cell>
          <cell r="S2242">
            <v>42429</v>
          </cell>
        </row>
        <row r="2243">
          <cell r="A2243" t="str">
            <v>Y022-028</v>
          </cell>
          <cell r="B2243">
            <v>0</v>
          </cell>
          <cell r="C2243" t="str">
            <v>Y022</v>
          </cell>
          <cell r="D2243" t="str">
            <v>865D-2S</v>
          </cell>
          <cell r="E2243" t="str">
            <v>座框</v>
          </cell>
          <cell r="F2243" t="str">
            <v>516*466*52</v>
          </cell>
          <cell r="G2243">
            <v>516</v>
          </cell>
          <cell r="H2243">
            <v>466</v>
          </cell>
          <cell r="I2243">
            <v>52</v>
          </cell>
          <cell r="J2243">
            <v>698</v>
          </cell>
          <cell r="K2243">
            <v>0</v>
          </cell>
          <cell r="L2243">
            <v>2.1</v>
          </cell>
          <cell r="M2243">
            <v>0</v>
          </cell>
          <cell r="N2243">
            <v>1439</v>
          </cell>
          <cell r="O2243">
            <v>0</v>
          </cell>
          <cell r="P2243">
            <v>0</v>
          </cell>
          <cell r="Q2243">
            <v>0</v>
          </cell>
          <cell r="R2243">
            <v>3.0085959885386822</v>
          </cell>
          <cell r="S2243">
            <v>42429</v>
          </cell>
        </row>
        <row r="2244">
          <cell r="A2244" t="str">
            <v>Y022-029</v>
          </cell>
          <cell r="B2244">
            <v>0</v>
          </cell>
          <cell r="C2244" t="str">
            <v>Y022</v>
          </cell>
          <cell r="D2244" t="str">
            <v>865D-2A</v>
          </cell>
          <cell r="E2244" t="str">
            <v>座框</v>
          </cell>
          <cell r="F2244" t="str">
            <v>596*466*52</v>
          </cell>
          <cell r="G2244">
            <v>596</v>
          </cell>
          <cell r="H2244">
            <v>466</v>
          </cell>
          <cell r="I2244">
            <v>52</v>
          </cell>
          <cell r="J2244">
            <v>816</v>
          </cell>
          <cell r="K2244">
            <v>0</v>
          </cell>
          <cell r="L2244">
            <v>2.5</v>
          </cell>
          <cell r="M2244">
            <v>0</v>
          </cell>
          <cell r="N2244">
            <v>1485</v>
          </cell>
          <cell r="O2244">
            <v>0</v>
          </cell>
          <cell r="P2244">
            <v>0</v>
          </cell>
          <cell r="Q2244">
            <v>0</v>
          </cell>
          <cell r="R2244">
            <v>3.0637254901960786</v>
          </cell>
          <cell r="S2244">
            <v>42429</v>
          </cell>
        </row>
        <row r="2245">
          <cell r="A2245" t="str">
            <v>Y022-030</v>
          </cell>
          <cell r="B2245">
            <v>0</v>
          </cell>
          <cell r="C2245" t="str">
            <v>Y022</v>
          </cell>
          <cell r="D2245" t="str">
            <v>865D-1DT-1</v>
          </cell>
          <cell r="E2245" t="str">
            <v>面板前立水饰条</v>
          </cell>
          <cell r="F2245" t="str">
            <v>1230*42*4</v>
          </cell>
          <cell r="G2245">
            <v>1230</v>
          </cell>
          <cell r="H2245">
            <v>42</v>
          </cell>
          <cell r="I2245">
            <v>4</v>
          </cell>
          <cell r="J2245">
            <v>410</v>
          </cell>
          <cell r="K2245">
            <v>0</v>
          </cell>
          <cell r="L2245">
            <v>1.06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2.5853658536585367</v>
          </cell>
          <cell r="S2245">
            <v>42429</v>
          </cell>
        </row>
        <row r="2246">
          <cell r="A2246" t="str">
            <v>Y022-031</v>
          </cell>
          <cell r="B2246">
            <v>0</v>
          </cell>
          <cell r="C2246" t="str">
            <v>Y022</v>
          </cell>
          <cell r="D2246" t="str">
            <v>865D-1DT-3</v>
          </cell>
          <cell r="E2246" t="str">
            <v>面板前立水饰条</v>
          </cell>
          <cell r="F2246" t="str">
            <v>1740*42*4</v>
          </cell>
          <cell r="G2246">
            <v>1740</v>
          </cell>
          <cell r="H2246">
            <v>42</v>
          </cell>
          <cell r="I2246">
            <v>4</v>
          </cell>
          <cell r="J2246">
            <v>549</v>
          </cell>
          <cell r="K2246">
            <v>0</v>
          </cell>
          <cell r="L2246">
            <v>1.5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2.7322404371584699</v>
          </cell>
          <cell r="S2246">
            <v>42429</v>
          </cell>
        </row>
        <row r="2247">
          <cell r="A2247" t="str">
            <v>Y022-032</v>
          </cell>
          <cell r="B2247">
            <v>0</v>
          </cell>
          <cell r="C2247" t="str">
            <v>Y022</v>
          </cell>
          <cell r="D2247" t="str">
            <v>865D-5B</v>
          </cell>
          <cell r="E2247" t="str">
            <v>側柱中饰条</v>
          </cell>
          <cell r="F2247" t="str">
            <v>1149*37*4</v>
          </cell>
          <cell r="G2247">
            <v>1149</v>
          </cell>
          <cell r="H2247">
            <v>37</v>
          </cell>
          <cell r="I2247">
            <v>4</v>
          </cell>
          <cell r="J2247">
            <v>325</v>
          </cell>
          <cell r="K2247">
            <v>0</v>
          </cell>
          <cell r="L2247">
            <v>0.89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2.7384615384615385</v>
          </cell>
          <cell r="S2247">
            <v>42429</v>
          </cell>
        </row>
        <row r="2248">
          <cell r="A2248" t="str">
            <v>Y022-033</v>
          </cell>
          <cell r="B2248">
            <v>0</v>
          </cell>
          <cell r="C2248" t="str">
            <v>Y022</v>
          </cell>
          <cell r="D2248" t="str">
            <v>865D-2S/2A</v>
          </cell>
          <cell r="E2248" t="str">
            <v>后中横饰条</v>
          </cell>
          <cell r="F2248" t="str">
            <v>375*37*4</v>
          </cell>
          <cell r="G2248">
            <v>375</v>
          </cell>
          <cell r="H2248">
            <v>37</v>
          </cell>
          <cell r="I2248">
            <v>4</v>
          </cell>
          <cell r="J2248">
            <v>100</v>
          </cell>
          <cell r="K2248">
            <v>0</v>
          </cell>
          <cell r="L2248">
            <v>0.28999999999999998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2.8999999999999995</v>
          </cell>
          <cell r="S2248">
            <v>42429</v>
          </cell>
        </row>
        <row r="2249">
          <cell r="A2249" t="str">
            <v>Y022-034</v>
          </cell>
          <cell r="B2249">
            <v>0</v>
          </cell>
          <cell r="C2249" t="str">
            <v>Y022</v>
          </cell>
          <cell r="D2249" t="str">
            <v>865D-2S/2A</v>
          </cell>
          <cell r="E2249" t="str">
            <v>后脚饰条</v>
          </cell>
          <cell r="F2249" t="str">
            <v>455*27*4</v>
          </cell>
          <cell r="G2249">
            <v>455</v>
          </cell>
          <cell r="H2249">
            <v>27</v>
          </cell>
          <cell r="I2249">
            <v>4</v>
          </cell>
          <cell r="J2249">
            <v>80</v>
          </cell>
          <cell r="K2249">
            <v>0</v>
          </cell>
          <cell r="L2249">
            <v>0.22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2.75</v>
          </cell>
          <cell r="S2249">
            <v>42429</v>
          </cell>
        </row>
        <row r="2250">
          <cell r="A2250" t="str">
            <v>Y022-035</v>
          </cell>
          <cell r="B2250">
            <v>0</v>
          </cell>
          <cell r="C2250" t="str">
            <v>Y022</v>
          </cell>
          <cell r="D2250" t="str">
            <v>865D-2S/2A</v>
          </cell>
          <cell r="E2250" t="str">
            <v>椅脑饰条</v>
          </cell>
          <cell r="F2250" t="str">
            <v>492*21*4</v>
          </cell>
          <cell r="G2250">
            <v>492</v>
          </cell>
          <cell r="H2250">
            <v>21</v>
          </cell>
          <cell r="I2250">
            <v>4</v>
          </cell>
          <cell r="J2250">
            <v>87</v>
          </cell>
          <cell r="K2250">
            <v>0</v>
          </cell>
          <cell r="L2250">
            <v>0.26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2.9885057471264371</v>
          </cell>
          <cell r="S2250">
            <v>42429</v>
          </cell>
        </row>
        <row r="2251">
          <cell r="A2251" t="str">
            <v>Y022-036</v>
          </cell>
          <cell r="B2251">
            <v>0</v>
          </cell>
          <cell r="C2251" t="str">
            <v>Y022</v>
          </cell>
          <cell r="D2251" t="str">
            <v>865D-2A</v>
          </cell>
          <cell r="E2251" t="str">
            <v>扶手前中饰条</v>
          </cell>
          <cell r="F2251" t="str">
            <v>109*24*4</v>
          </cell>
          <cell r="G2251">
            <v>109</v>
          </cell>
          <cell r="H2251">
            <v>24</v>
          </cell>
          <cell r="I2251">
            <v>4</v>
          </cell>
          <cell r="J2251">
            <v>0</v>
          </cell>
          <cell r="K2251">
            <v>0</v>
          </cell>
          <cell r="L2251">
            <v>0.05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 t="e">
            <v>#DIV/0!</v>
          </cell>
          <cell r="S2251">
            <v>42429</v>
          </cell>
        </row>
        <row r="2252">
          <cell r="A2252" t="str">
            <v>Y022-037</v>
          </cell>
          <cell r="B2252">
            <v>0</v>
          </cell>
          <cell r="C2252" t="str">
            <v>Y022</v>
          </cell>
          <cell r="D2252" t="str">
            <v>865D-3T</v>
          </cell>
          <cell r="E2252" t="str">
            <v>侧前横前下饰条</v>
          </cell>
          <cell r="F2252" t="str">
            <v>690*37*4</v>
          </cell>
          <cell r="G2252">
            <v>690</v>
          </cell>
          <cell r="H2252">
            <v>37</v>
          </cell>
          <cell r="I2252">
            <v>4</v>
          </cell>
          <cell r="J2252">
            <v>202</v>
          </cell>
          <cell r="K2252">
            <v>0</v>
          </cell>
          <cell r="L2252">
            <v>0.52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2.5742574257425743</v>
          </cell>
          <cell r="S2252">
            <v>0</v>
          </cell>
        </row>
        <row r="2253">
          <cell r="A2253" t="str">
            <v>Y022-038</v>
          </cell>
          <cell r="B2253">
            <v>0</v>
          </cell>
          <cell r="C2253" t="str">
            <v>Y022</v>
          </cell>
          <cell r="D2253" t="str">
            <v>865D-3T</v>
          </cell>
          <cell r="E2253" t="str">
            <v>侧前横上饰条</v>
          </cell>
          <cell r="F2253" t="str">
            <v>690*37*4</v>
          </cell>
          <cell r="G2253">
            <v>690</v>
          </cell>
          <cell r="H2253">
            <v>37</v>
          </cell>
          <cell r="I2253">
            <v>4</v>
          </cell>
          <cell r="J2253">
            <v>202</v>
          </cell>
          <cell r="K2253">
            <v>0</v>
          </cell>
          <cell r="L2253">
            <v>0.52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2.5742574257425743</v>
          </cell>
          <cell r="S2253">
            <v>0</v>
          </cell>
        </row>
        <row r="2254">
          <cell r="A2254" t="str">
            <v>Y022-039</v>
          </cell>
          <cell r="B2254">
            <v>0</v>
          </cell>
          <cell r="C2254" t="str">
            <v>Y022</v>
          </cell>
          <cell r="D2254" t="str">
            <v>865D-3T</v>
          </cell>
          <cell r="E2254" t="str">
            <v>侧上横饰条</v>
          </cell>
          <cell r="F2254" t="str">
            <v>690*37*4</v>
          </cell>
          <cell r="G2254">
            <v>690</v>
          </cell>
          <cell r="H2254">
            <v>37</v>
          </cell>
          <cell r="I2254">
            <v>4</v>
          </cell>
          <cell r="J2254">
            <v>202</v>
          </cell>
          <cell r="K2254">
            <v>0</v>
          </cell>
          <cell r="L2254">
            <v>0.52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2.5742574257425743</v>
          </cell>
          <cell r="S2254">
            <v>0</v>
          </cell>
        </row>
        <row r="2255">
          <cell r="A2255" t="str">
            <v>Y022-040</v>
          </cell>
          <cell r="B2255">
            <v>0</v>
          </cell>
          <cell r="C2255" t="str">
            <v>Y022</v>
          </cell>
          <cell r="D2255" t="str">
            <v>865D-3T</v>
          </cell>
          <cell r="E2255" t="str">
            <v>后上横饰条</v>
          </cell>
          <cell r="F2255" t="str">
            <v>1830*37*4</v>
          </cell>
          <cell r="G2255">
            <v>1830</v>
          </cell>
          <cell r="H2255">
            <v>37</v>
          </cell>
          <cell r="I2255">
            <v>4</v>
          </cell>
          <cell r="J2255">
            <v>553</v>
          </cell>
          <cell r="K2255">
            <v>0</v>
          </cell>
          <cell r="L2255">
            <v>1.41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2.5497287522603975</v>
          </cell>
          <cell r="S2255">
            <v>0</v>
          </cell>
        </row>
        <row r="2256">
          <cell r="A2256" t="str">
            <v>Y022-041</v>
          </cell>
          <cell r="B2256">
            <v>0</v>
          </cell>
          <cell r="C2256" t="str">
            <v>Y022</v>
          </cell>
          <cell r="D2256" t="str">
            <v>865D-4T</v>
          </cell>
          <cell r="E2256" t="str">
            <v>侧柱中饰条</v>
          </cell>
          <cell r="F2256" t="str">
            <v>538*37*4</v>
          </cell>
          <cell r="G2256">
            <v>538</v>
          </cell>
          <cell r="H2256">
            <v>37</v>
          </cell>
          <cell r="I2256">
            <v>4</v>
          </cell>
          <cell r="J2256">
            <v>167</v>
          </cell>
          <cell r="K2256">
            <v>0</v>
          </cell>
          <cell r="L2256">
            <v>0.41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2.455089820359281</v>
          </cell>
          <cell r="S2256">
            <v>0</v>
          </cell>
        </row>
        <row r="2257">
          <cell r="A2257" t="str">
            <v>Y022-042</v>
          </cell>
          <cell r="B2257">
            <v>0</v>
          </cell>
          <cell r="C2257" t="str">
            <v>Y022</v>
          </cell>
          <cell r="D2257" t="str">
            <v>865D-4B</v>
          </cell>
          <cell r="E2257" t="str">
            <v>侧前横上饰条</v>
          </cell>
          <cell r="F2257" t="str">
            <v>538*37*4</v>
          </cell>
          <cell r="G2257">
            <v>538</v>
          </cell>
          <cell r="H2257">
            <v>37</v>
          </cell>
          <cell r="I2257">
            <v>4</v>
          </cell>
          <cell r="J2257">
            <v>167</v>
          </cell>
          <cell r="K2257">
            <v>0</v>
          </cell>
          <cell r="L2257">
            <v>0.41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2.455089820359281</v>
          </cell>
          <cell r="S2257">
            <v>0</v>
          </cell>
        </row>
        <row r="2258">
          <cell r="A2258" t="str">
            <v>Y022-043</v>
          </cell>
          <cell r="B2258">
            <v>0</v>
          </cell>
          <cell r="C2258" t="str">
            <v>Y022</v>
          </cell>
          <cell r="D2258" t="str">
            <v>865-1DT-1/2/3</v>
          </cell>
          <cell r="E2258" t="str">
            <v>脚柱長饰条</v>
          </cell>
          <cell r="F2258" t="str">
            <v>791*42*4</v>
          </cell>
          <cell r="G2258">
            <v>791</v>
          </cell>
          <cell r="H2258">
            <v>42</v>
          </cell>
          <cell r="I2258">
            <v>4</v>
          </cell>
          <cell r="J2258">
            <v>248</v>
          </cell>
          <cell r="K2258">
            <v>0</v>
          </cell>
          <cell r="L2258">
            <v>0.68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2.741935483870968</v>
          </cell>
          <cell r="S2258">
            <v>0</v>
          </cell>
        </row>
        <row r="2259">
          <cell r="A2259" t="str">
            <v>Y022-044</v>
          </cell>
          <cell r="B2259">
            <v>0</v>
          </cell>
          <cell r="C2259" t="str">
            <v>Y022</v>
          </cell>
          <cell r="D2259" t="str">
            <v>865-1DT-1/2/3</v>
          </cell>
          <cell r="E2259" t="str">
            <v>脚柱短饰条</v>
          </cell>
          <cell r="F2259" t="str">
            <v>791*42*4</v>
          </cell>
          <cell r="G2259">
            <v>791</v>
          </cell>
          <cell r="H2259">
            <v>42</v>
          </cell>
          <cell r="I2259">
            <v>4</v>
          </cell>
          <cell r="J2259">
            <v>248</v>
          </cell>
          <cell r="K2259">
            <v>0</v>
          </cell>
          <cell r="L2259">
            <v>0.68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2.741935483870968</v>
          </cell>
          <cell r="S2259">
            <v>0</v>
          </cell>
        </row>
        <row r="2260">
          <cell r="A2260" t="str">
            <v>Y022-045</v>
          </cell>
          <cell r="B2260">
            <v>0</v>
          </cell>
          <cell r="C2260" t="str">
            <v>Y022</v>
          </cell>
          <cell r="D2260" t="str">
            <v>865-4T</v>
          </cell>
          <cell r="E2260" t="str">
            <v>脚瑰</v>
          </cell>
          <cell r="F2260" t="str">
            <v>167*78*78</v>
          </cell>
          <cell r="G2260">
            <v>167</v>
          </cell>
          <cell r="H2260">
            <v>78</v>
          </cell>
          <cell r="I2260">
            <v>78</v>
          </cell>
          <cell r="J2260">
            <v>398</v>
          </cell>
          <cell r="K2260">
            <v>0</v>
          </cell>
          <cell r="L2260">
            <v>1.1499999999999999</v>
          </cell>
          <cell r="M2260">
            <v>0</v>
          </cell>
          <cell r="N2260">
            <v>303</v>
          </cell>
          <cell r="O2260">
            <v>0</v>
          </cell>
          <cell r="P2260">
            <v>0</v>
          </cell>
          <cell r="Q2260">
            <v>0</v>
          </cell>
          <cell r="R2260">
            <v>2.8894472361809043</v>
          </cell>
          <cell r="S2260">
            <v>0</v>
          </cell>
        </row>
        <row r="2261">
          <cell r="A2261" t="str">
            <v>Y022-046</v>
          </cell>
          <cell r="B2261">
            <v>0</v>
          </cell>
          <cell r="C2261" t="str">
            <v>Y022</v>
          </cell>
          <cell r="D2261" t="str">
            <v>865-3B</v>
          </cell>
          <cell r="E2261" t="str">
            <v>侧竖饰条</v>
          </cell>
          <cell r="F2261" t="str">
            <v>715*37*4</v>
          </cell>
          <cell r="G2261">
            <v>715</v>
          </cell>
          <cell r="H2261">
            <v>37</v>
          </cell>
          <cell r="I2261">
            <v>4</v>
          </cell>
          <cell r="J2261">
            <v>206</v>
          </cell>
          <cell r="K2261">
            <v>0</v>
          </cell>
          <cell r="L2261">
            <v>0.52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2.5242718446601944</v>
          </cell>
          <cell r="S2261">
            <v>0</v>
          </cell>
        </row>
        <row r="2262">
          <cell r="A2262" t="str">
            <v>Y022-047</v>
          </cell>
          <cell r="B2262">
            <v>0</v>
          </cell>
          <cell r="C2262" t="str">
            <v>Y022</v>
          </cell>
          <cell r="D2262" t="str">
            <v>865D-2A</v>
          </cell>
          <cell r="E2262" t="str">
            <v>前脚饰条</v>
          </cell>
          <cell r="F2262" t="str">
            <v>41*41*8</v>
          </cell>
          <cell r="G2262">
            <v>41</v>
          </cell>
          <cell r="H2262">
            <v>41</v>
          </cell>
          <cell r="I2262">
            <v>8</v>
          </cell>
          <cell r="J2262">
            <v>6</v>
          </cell>
          <cell r="K2262">
            <v>0</v>
          </cell>
          <cell r="L2262">
            <v>0.03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5</v>
          </cell>
          <cell r="S2262">
            <v>0</v>
          </cell>
        </row>
        <row r="2263">
          <cell r="A2263" t="str">
            <v>Y022-048</v>
          </cell>
          <cell r="B2263">
            <v>0</v>
          </cell>
          <cell r="C2263" t="str">
            <v>Y022</v>
          </cell>
          <cell r="D2263" t="str">
            <v>KL3912-DT</v>
          </cell>
          <cell r="E2263" t="str">
            <v>边板侧饰条</v>
          </cell>
          <cell r="F2263" t="str">
            <v>800*20*12</v>
          </cell>
          <cell r="G2263">
            <v>800</v>
          </cell>
          <cell r="H2263">
            <v>20</v>
          </cell>
          <cell r="I2263">
            <v>12</v>
          </cell>
          <cell r="J2263">
            <v>238</v>
          </cell>
          <cell r="K2263">
            <v>0</v>
          </cell>
          <cell r="L2263">
            <v>0.67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2.8151260504201683</v>
          </cell>
          <cell r="S2263">
            <v>0</v>
          </cell>
        </row>
        <row r="2264">
          <cell r="A2264" t="str">
            <v>Y022-049</v>
          </cell>
          <cell r="B2264">
            <v>0</v>
          </cell>
          <cell r="C2264" t="str">
            <v>Y022</v>
          </cell>
          <cell r="D2264" t="str">
            <v>KL3912-DT</v>
          </cell>
          <cell r="E2264" t="str">
            <v>边板前后饰条左 R</v>
          </cell>
          <cell r="F2264" t="str">
            <v>632*20*12</v>
          </cell>
          <cell r="G2264">
            <v>632</v>
          </cell>
          <cell r="H2264">
            <v>20</v>
          </cell>
          <cell r="I2264">
            <v>12</v>
          </cell>
          <cell r="J2264">
            <v>195</v>
          </cell>
          <cell r="K2264">
            <v>0</v>
          </cell>
          <cell r="L2264">
            <v>0.55000000000000004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2.8205128205128207</v>
          </cell>
          <cell r="S2264">
            <v>0</v>
          </cell>
        </row>
        <row r="2265">
          <cell r="A2265" t="str">
            <v>Y022-050</v>
          </cell>
          <cell r="B2265">
            <v>0</v>
          </cell>
          <cell r="C2265" t="str">
            <v>Y022</v>
          </cell>
          <cell r="D2265" t="str">
            <v>KL3912-DT</v>
          </cell>
          <cell r="E2265" t="str">
            <v>边板前后饰条右 L</v>
          </cell>
          <cell r="F2265" t="str">
            <v>632*20*12</v>
          </cell>
          <cell r="G2265">
            <v>632</v>
          </cell>
          <cell r="H2265">
            <v>20</v>
          </cell>
          <cell r="I2265">
            <v>12</v>
          </cell>
          <cell r="J2265">
            <v>195</v>
          </cell>
          <cell r="K2265">
            <v>0</v>
          </cell>
          <cell r="L2265">
            <v>0.55000000000000004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2.8205128205128207</v>
          </cell>
          <cell r="S2265">
            <v>0</v>
          </cell>
        </row>
        <row r="2266">
          <cell r="A2266" t="str">
            <v>Y022-051</v>
          </cell>
          <cell r="B2266">
            <v>0</v>
          </cell>
          <cell r="C2266" t="str">
            <v>Y022</v>
          </cell>
          <cell r="D2266" t="str">
            <v>KL3912-DT</v>
          </cell>
          <cell r="E2266" t="str">
            <v>中板饰条</v>
          </cell>
          <cell r="F2266" t="str">
            <v>463*20*20</v>
          </cell>
          <cell r="G2266">
            <v>463</v>
          </cell>
          <cell r="H2266">
            <v>20</v>
          </cell>
          <cell r="I2266">
            <v>20</v>
          </cell>
          <cell r="J2266">
            <v>140</v>
          </cell>
          <cell r="K2266">
            <v>0</v>
          </cell>
          <cell r="L2266">
            <v>0.39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2.7857142857142856</v>
          </cell>
          <cell r="S2266">
            <v>0</v>
          </cell>
        </row>
        <row r="2267">
          <cell r="A2267" t="str">
            <v>Y022-052</v>
          </cell>
          <cell r="B2267">
            <v>0</v>
          </cell>
          <cell r="C2267" t="str">
            <v>Y022</v>
          </cell>
          <cell r="D2267" t="str">
            <v>KL3912-DT</v>
          </cell>
          <cell r="E2267" t="str">
            <v>脚柱饰条左 R</v>
          </cell>
          <cell r="F2267" t="str">
            <v>96*20*12</v>
          </cell>
          <cell r="G2267">
            <v>96</v>
          </cell>
          <cell r="H2267">
            <v>20</v>
          </cell>
          <cell r="I2267">
            <v>12</v>
          </cell>
          <cell r="J2267">
            <v>30</v>
          </cell>
          <cell r="K2267">
            <v>0</v>
          </cell>
          <cell r="L2267">
            <v>0.08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2.666666666666667</v>
          </cell>
          <cell r="S2267">
            <v>0</v>
          </cell>
        </row>
        <row r="2268">
          <cell r="A2268" t="str">
            <v>Y022-053</v>
          </cell>
          <cell r="B2268">
            <v>0</v>
          </cell>
          <cell r="C2268" t="str">
            <v>Y022</v>
          </cell>
          <cell r="D2268" t="str">
            <v>KL3912-DT</v>
          </cell>
          <cell r="E2268" t="str">
            <v>脚柱饰条右 L</v>
          </cell>
          <cell r="F2268" t="str">
            <v>96*20*12</v>
          </cell>
          <cell r="G2268">
            <v>96</v>
          </cell>
          <cell r="H2268">
            <v>20</v>
          </cell>
          <cell r="I2268">
            <v>12</v>
          </cell>
          <cell r="J2268">
            <v>30</v>
          </cell>
          <cell r="K2268">
            <v>0</v>
          </cell>
          <cell r="L2268">
            <v>0.08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2.666666666666667</v>
          </cell>
          <cell r="S2268">
            <v>0</v>
          </cell>
        </row>
        <row r="2269">
          <cell r="A2269" t="str">
            <v>Y022-054</v>
          </cell>
          <cell r="B2269">
            <v>0</v>
          </cell>
          <cell r="C2269" t="str">
            <v>Y022</v>
          </cell>
          <cell r="D2269" t="str">
            <v>KL3912-SV</v>
          </cell>
          <cell r="E2269" t="str">
            <v>面下前饰条</v>
          </cell>
          <cell r="F2269" t="str">
            <v>1440*20*12</v>
          </cell>
          <cell r="G2269">
            <v>1440</v>
          </cell>
          <cell r="H2269">
            <v>20</v>
          </cell>
          <cell r="I2269">
            <v>12</v>
          </cell>
          <cell r="J2269">
            <v>440</v>
          </cell>
          <cell r="K2269">
            <v>0</v>
          </cell>
          <cell r="L2269">
            <v>1.24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2.8181818181818183</v>
          </cell>
          <cell r="S2269">
            <v>0</v>
          </cell>
        </row>
        <row r="2270">
          <cell r="A2270" t="str">
            <v>Y022-055</v>
          </cell>
          <cell r="B2270">
            <v>0</v>
          </cell>
          <cell r="C2270" t="str">
            <v>Y022</v>
          </cell>
          <cell r="D2270" t="str">
            <v>KL3912-SV</v>
          </cell>
          <cell r="E2270" t="str">
            <v>面下侧饰条</v>
          </cell>
          <cell r="F2270" t="str">
            <v>417*20*12</v>
          </cell>
          <cell r="G2270">
            <v>417</v>
          </cell>
          <cell r="H2270">
            <v>20</v>
          </cell>
          <cell r="I2270">
            <v>12</v>
          </cell>
          <cell r="J2270">
            <v>124</v>
          </cell>
          <cell r="K2270">
            <v>0</v>
          </cell>
          <cell r="L2270">
            <v>0.35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2.82258064516129</v>
          </cell>
          <cell r="S2270">
            <v>0</v>
          </cell>
        </row>
        <row r="2271">
          <cell r="A2271" t="str">
            <v>Y022-056</v>
          </cell>
          <cell r="B2271">
            <v>0</v>
          </cell>
          <cell r="C2271" t="str">
            <v>Y022</v>
          </cell>
          <cell r="D2271" t="str">
            <v>885D-1T餐桌面板</v>
          </cell>
          <cell r="E2271" t="str">
            <v>侧立水饰条</v>
          </cell>
          <cell r="F2271" t="str">
            <v>1145*9*9</v>
          </cell>
          <cell r="G2271">
            <v>1145</v>
          </cell>
          <cell r="H2271">
            <v>9</v>
          </cell>
          <cell r="I2271">
            <v>9</v>
          </cell>
          <cell r="J2271">
            <v>0</v>
          </cell>
          <cell r="K2271">
            <v>0</v>
          </cell>
          <cell r="L2271">
            <v>0.36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 t="e">
            <v>#DIV/0!</v>
          </cell>
          <cell r="S2271">
            <v>0</v>
          </cell>
        </row>
        <row r="2272">
          <cell r="A2272" t="str">
            <v>Y022-057</v>
          </cell>
          <cell r="B2272">
            <v>0</v>
          </cell>
          <cell r="C2272" t="str">
            <v>Y022</v>
          </cell>
          <cell r="D2272" t="str">
            <v>885D-6B柜身</v>
          </cell>
          <cell r="E2272" t="str">
            <v>门饰板</v>
          </cell>
          <cell r="F2272" t="str">
            <v>760*440*5</v>
          </cell>
          <cell r="G2272">
            <v>760</v>
          </cell>
          <cell r="H2272">
            <v>440</v>
          </cell>
          <cell r="I2272">
            <v>5</v>
          </cell>
          <cell r="J2272">
            <v>2732</v>
          </cell>
          <cell r="K2272">
            <v>0</v>
          </cell>
          <cell r="L2272">
            <v>7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2.5622254758418741</v>
          </cell>
          <cell r="S2272">
            <v>0</v>
          </cell>
        </row>
        <row r="2273">
          <cell r="A2273" t="str">
            <v>Y022-058</v>
          </cell>
          <cell r="B2273" t="str">
            <v>粗半圓飾條</v>
          </cell>
          <cell r="C2273" t="str">
            <v>Y022</v>
          </cell>
          <cell r="D2273" t="str">
            <v>798D-5上框</v>
          </cell>
          <cell r="E2273" t="str">
            <v>前飾條</v>
          </cell>
          <cell r="F2273" t="str">
            <v>1477*20*10</v>
          </cell>
          <cell r="G2273">
            <v>1477</v>
          </cell>
          <cell r="H2273">
            <v>20</v>
          </cell>
          <cell r="I2273">
            <v>10</v>
          </cell>
          <cell r="J2273">
            <v>0</v>
          </cell>
          <cell r="K2273">
            <v>0</v>
          </cell>
          <cell r="L2273">
            <v>1.1000000000000001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 t="e">
            <v>#DIV/0!</v>
          </cell>
          <cell r="S2273">
            <v>0</v>
          </cell>
        </row>
        <row r="2274">
          <cell r="A2274" t="str">
            <v>Y022-059</v>
          </cell>
          <cell r="B2274" t="str">
            <v>粗半圓飾條</v>
          </cell>
          <cell r="C2274" t="str">
            <v>Y022</v>
          </cell>
          <cell r="D2274" t="str">
            <v>798D-5上框</v>
          </cell>
          <cell r="E2274" t="str">
            <v>前飾條</v>
          </cell>
          <cell r="F2274" t="str">
            <v>450*20*10</v>
          </cell>
          <cell r="G2274">
            <v>450</v>
          </cell>
          <cell r="H2274">
            <v>20</v>
          </cell>
          <cell r="I2274">
            <v>10</v>
          </cell>
          <cell r="J2274">
            <v>0</v>
          </cell>
          <cell r="K2274">
            <v>0</v>
          </cell>
          <cell r="L2274">
            <v>0.33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 t="e">
            <v>#DIV/0!</v>
          </cell>
          <cell r="S2274">
            <v>0</v>
          </cell>
        </row>
        <row r="2275">
          <cell r="A2275" t="str">
            <v>Y022-060</v>
          </cell>
          <cell r="B2275">
            <v>0</v>
          </cell>
          <cell r="C2275" t="str">
            <v>Y022</v>
          </cell>
          <cell r="D2275" t="str">
            <v>5562-40 服務柜</v>
          </cell>
          <cell r="E2275" t="str">
            <v>下飾條</v>
          </cell>
          <cell r="F2275" t="str">
            <v>2200*65*8</v>
          </cell>
          <cell r="G2275">
            <v>2200</v>
          </cell>
          <cell r="H2275">
            <v>65</v>
          </cell>
          <cell r="I2275">
            <v>8</v>
          </cell>
          <cell r="J2275">
            <v>0</v>
          </cell>
          <cell r="K2275">
            <v>0</v>
          </cell>
          <cell r="L2275">
            <v>5.8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 t="e">
            <v>#DIV/0!</v>
          </cell>
          <cell r="S2275">
            <v>0</v>
          </cell>
        </row>
        <row r="2276">
          <cell r="A2276" t="str">
            <v>Y022-061</v>
          </cell>
          <cell r="B2276" t="str">
            <v>放癈料改不放</v>
          </cell>
          <cell r="C2276" t="str">
            <v>Y022</v>
          </cell>
          <cell r="D2276" t="str">
            <v>5562-S 餐椅</v>
          </cell>
          <cell r="E2276" t="str">
            <v>后腳上贴块</v>
          </cell>
          <cell r="F2276" t="str">
            <v>273*45*36</v>
          </cell>
          <cell r="G2276">
            <v>273</v>
          </cell>
          <cell r="H2276">
            <v>45</v>
          </cell>
          <cell r="I2276">
            <v>36</v>
          </cell>
          <cell r="J2276">
            <v>0</v>
          </cell>
          <cell r="K2276">
            <v>0</v>
          </cell>
          <cell r="L2276">
            <v>0.64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 t="e">
            <v>#DIV/0!</v>
          </cell>
          <cell r="S2276">
            <v>0</v>
          </cell>
        </row>
        <row r="2277">
          <cell r="A2277" t="str">
            <v>Y022-062</v>
          </cell>
          <cell r="B2277" t="str">
            <v>放癈料改不放</v>
          </cell>
          <cell r="C2277" t="str">
            <v>Y022</v>
          </cell>
          <cell r="D2277" t="str">
            <v>5562-S 餐椅</v>
          </cell>
          <cell r="E2277" t="str">
            <v>后腳上贴块</v>
          </cell>
          <cell r="F2277" t="str">
            <v>255*44*40</v>
          </cell>
          <cell r="G2277">
            <v>255</v>
          </cell>
          <cell r="H2277">
            <v>44</v>
          </cell>
          <cell r="I2277">
            <v>40</v>
          </cell>
          <cell r="J2277">
            <v>0</v>
          </cell>
          <cell r="K2277">
            <v>0</v>
          </cell>
          <cell r="L2277">
            <v>0.69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 t="e">
            <v>#DIV/0!</v>
          </cell>
          <cell r="S2277">
            <v>0</v>
          </cell>
        </row>
        <row r="2278">
          <cell r="A2278" t="str">
            <v>Y022-063</v>
          </cell>
          <cell r="B2278" t="str">
            <v>放癈料改不放</v>
          </cell>
          <cell r="C2278" t="str">
            <v>Y022</v>
          </cell>
          <cell r="D2278" t="str">
            <v>5562-S 餐椅</v>
          </cell>
          <cell r="E2278" t="str">
            <v>后腳上贴块</v>
          </cell>
          <cell r="F2278" t="str">
            <v>255*44*40</v>
          </cell>
          <cell r="G2278">
            <v>255</v>
          </cell>
          <cell r="H2278">
            <v>44</v>
          </cell>
          <cell r="I2278">
            <v>40</v>
          </cell>
          <cell r="J2278">
            <v>0</v>
          </cell>
          <cell r="K2278">
            <v>0</v>
          </cell>
          <cell r="L2278">
            <v>0.69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 t="e">
            <v>#DIV/0!</v>
          </cell>
          <cell r="S2278">
            <v>0</v>
          </cell>
        </row>
        <row r="2279">
          <cell r="A2279" t="str">
            <v>Y022-064</v>
          </cell>
          <cell r="B2279">
            <v>0</v>
          </cell>
          <cell r="C2279" t="str">
            <v>Y022</v>
          </cell>
          <cell r="D2279" t="str">
            <v>855D-5下框</v>
          </cell>
          <cell r="E2279" t="str">
            <v>企柱上饰条</v>
          </cell>
          <cell r="F2279" t="str">
            <v>184*100*20</v>
          </cell>
          <cell r="G2279">
            <v>184</v>
          </cell>
          <cell r="H2279">
            <v>100</v>
          </cell>
          <cell r="I2279">
            <v>20</v>
          </cell>
          <cell r="J2279">
            <v>254</v>
          </cell>
          <cell r="K2279">
            <v>0</v>
          </cell>
          <cell r="L2279">
            <v>0.68</v>
          </cell>
          <cell r="M2279">
            <v>0</v>
          </cell>
          <cell r="N2279">
            <v>137</v>
          </cell>
          <cell r="O2279">
            <v>0</v>
          </cell>
          <cell r="P2279">
            <v>0</v>
          </cell>
          <cell r="Q2279" t="str">
            <v>7310</v>
          </cell>
          <cell r="R2279">
            <v>2.6771653543307088</v>
          </cell>
          <cell r="S2279">
            <v>42816</v>
          </cell>
        </row>
        <row r="2280">
          <cell r="A2280" t="str">
            <v>Y022-065</v>
          </cell>
          <cell r="B2280">
            <v>0</v>
          </cell>
          <cell r="C2280" t="str">
            <v>Y022</v>
          </cell>
          <cell r="D2280" t="str">
            <v>855D-5下框</v>
          </cell>
          <cell r="E2280" t="str">
            <v>企柱饰花</v>
          </cell>
          <cell r="F2280" t="str">
            <v>228*100*100</v>
          </cell>
          <cell r="G2280">
            <v>228</v>
          </cell>
          <cell r="H2280">
            <v>100</v>
          </cell>
          <cell r="I2280">
            <v>100</v>
          </cell>
          <cell r="J2280">
            <v>938</v>
          </cell>
          <cell r="K2280">
            <v>0</v>
          </cell>
          <cell r="L2280">
            <v>2.5</v>
          </cell>
          <cell r="M2280">
            <v>0</v>
          </cell>
          <cell r="N2280">
            <v>570</v>
          </cell>
          <cell r="O2280">
            <v>0</v>
          </cell>
          <cell r="P2280">
            <v>0</v>
          </cell>
          <cell r="Q2280" t="str">
            <v>7310</v>
          </cell>
          <cell r="R2280">
            <v>2.6652452025586357</v>
          </cell>
          <cell r="S2280">
            <v>42816</v>
          </cell>
        </row>
        <row r="2281">
          <cell r="A2281" t="str">
            <v>Y022-066</v>
          </cell>
          <cell r="B2281">
            <v>0</v>
          </cell>
          <cell r="C2281" t="str">
            <v>Y022</v>
          </cell>
          <cell r="D2281" t="str">
            <v>855D-5下框</v>
          </cell>
          <cell r="E2281" t="str">
            <v>抽面上下饰条</v>
          </cell>
          <cell r="F2281" t="str">
            <v>700*32*19</v>
          </cell>
          <cell r="G2281">
            <v>700</v>
          </cell>
          <cell r="H2281">
            <v>32</v>
          </cell>
          <cell r="I2281">
            <v>19</v>
          </cell>
          <cell r="J2281">
            <v>455</v>
          </cell>
          <cell r="K2281">
            <v>0</v>
          </cell>
          <cell r="L2281">
            <v>1.22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 t="str">
            <v>1010</v>
          </cell>
          <cell r="R2281">
            <v>2.6813186813186811</v>
          </cell>
          <cell r="S2281">
            <v>42816</v>
          </cell>
        </row>
        <row r="2282">
          <cell r="A2282" t="str">
            <v>Y022-067</v>
          </cell>
          <cell r="B2282">
            <v>0</v>
          </cell>
          <cell r="C2282" t="str">
            <v>Y022</v>
          </cell>
          <cell r="D2282" t="str">
            <v>855D-5下框</v>
          </cell>
          <cell r="E2282" t="str">
            <v>们板下外饰条</v>
          </cell>
          <cell r="F2282" t="str">
            <v>350*32*19</v>
          </cell>
          <cell r="G2282">
            <v>350</v>
          </cell>
          <cell r="H2282">
            <v>32</v>
          </cell>
          <cell r="I2282">
            <v>19</v>
          </cell>
          <cell r="J2282">
            <v>225</v>
          </cell>
          <cell r="K2282">
            <v>0</v>
          </cell>
          <cell r="L2282">
            <v>0.6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 t="str">
            <v>1010</v>
          </cell>
          <cell r="R2282">
            <v>2.6666666666666665</v>
          </cell>
          <cell r="S2282">
            <v>42816</v>
          </cell>
        </row>
        <row r="2283">
          <cell r="A2283" t="str">
            <v>Y022-068</v>
          </cell>
          <cell r="B2283">
            <v>0</v>
          </cell>
          <cell r="C2283" t="str">
            <v>Y022</v>
          </cell>
          <cell r="D2283" t="str">
            <v>855D-5下框</v>
          </cell>
          <cell r="E2283" t="str">
            <v>底饰框</v>
          </cell>
          <cell r="F2283" t="str">
            <v>1710*522*59</v>
          </cell>
          <cell r="G2283">
            <v>1710</v>
          </cell>
          <cell r="H2283">
            <v>522</v>
          </cell>
          <cell r="I2283">
            <v>59</v>
          </cell>
          <cell r="J2283">
            <v>1909</v>
          </cell>
          <cell r="K2283">
            <v>0</v>
          </cell>
          <cell r="L2283">
            <v>5.3</v>
          </cell>
          <cell r="M2283">
            <v>0</v>
          </cell>
          <cell r="N2283">
            <v>3305</v>
          </cell>
          <cell r="O2283">
            <v>0</v>
          </cell>
          <cell r="P2283">
            <v>0</v>
          </cell>
          <cell r="Q2283" t="str">
            <v>7310</v>
          </cell>
          <cell r="R2283">
            <v>2.7763226820324776</v>
          </cell>
          <cell r="S2283">
            <v>42816</v>
          </cell>
        </row>
        <row r="2284">
          <cell r="A2284" t="str">
            <v>Y022-069</v>
          </cell>
          <cell r="B2284">
            <v>0</v>
          </cell>
          <cell r="C2284" t="str">
            <v>Y022</v>
          </cell>
          <cell r="D2284" t="str">
            <v>855D-6下框</v>
          </cell>
          <cell r="E2284" t="str">
            <v>企柱饰条</v>
          </cell>
          <cell r="F2284" t="str">
            <v>228*100*100</v>
          </cell>
          <cell r="G2284">
            <v>228</v>
          </cell>
          <cell r="H2284">
            <v>100</v>
          </cell>
          <cell r="I2284">
            <v>100</v>
          </cell>
          <cell r="J2284">
            <v>938</v>
          </cell>
          <cell r="K2284">
            <v>0</v>
          </cell>
          <cell r="L2284">
            <v>2.5</v>
          </cell>
          <cell r="M2284">
            <v>0</v>
          </cell>
          <cell r="N2284">
            <v>570</v>
          </cell>
          <cell r="O2284">
            <v>0</v>
          </cell>
          <cell r="P2284">
            <v>0</v>
          </cell>
          <cell r="Q2284" t="str">
            <v>7310</v>
          </cell>
          <cell r="R2284">
            <v>2.6652452025586357</v>
          </cell>
          <cell r="S2284">
            <v>42816</v>
          </cell>
        </row>
        <row r="2285">
          <cell r="A2285" t="str">
            <v>Y022-070</v>
          </cell>
          <cell r="B2285">
            <v>0</v>
          </cell>
          <cell r="C2285" t="str">
            <v>Y022</v>
          </cell>
          <cell r="D2285" t="str">
            <v>855D-6下框</v>
          </cell>
          <cell r="E2285" t="str">
            <v>上饰条-前</v>
          </cell>
          <cell r="F2285" t="str">
            <v>1456*37*13</v>
          </cell>
          <cell r="G2285">
            <v>1456</v>
          </cell>
          <cell r="H2285">
            <v>37</v>
          </cell>
          <cell r="I2285">
            <v>13</v>
          </cell>
          <cell r="J2285">
            <v>766</v>
          </cell>
          <cell r="K2285">
            <v>0</v>
          </cell>
          <cell r="L2285">
            <v>2.09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 t="str">
            <v>1010</v>
          </cell>
          <cell r="R2285">
            <v>2.7284595300261096</v>
          </cell>
          <cell r="S2285">
            <v>42816</v>
          </cell>
        </row>
        <row r="2286">
          <cell r="A2286" t="str">
            <v>Y022-071</v>
          </cell>
          <cell r="B2286">
            <v>0</v>
          </cell>
          <cell r="C2286" t="str">
            <v>Y022</v>
          </cell>
          <cell r="D2286" t="str">
            <v>855D-6下框</v>
          </cell>
          <cell r="E2286" t="str">
            <v>上饰条-侧-L</v>
          </cell>
          <cell r="F2286" t="str">
            <v>531*37*13</v>
          </cell>
          <cell r="G2286">
            <v>531</v>
          </cell>
          <cell r="H2286">
            <v>37</v>
          </cell>
          <cell r="I2286">
            <v>13</v>
          </cell>
          <cell r="J2286">
            <v>289</v>
          </cell>
          <cell r="K2286">
            <v>0</v>
          </cell>
          <cell r="L2286">
            <v>0.78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 t="str">
            <v>1010</v>
          </cell>
          <cell r="R2286">
            <v>2.6989619377162635</v>
          </cell>
          <cell r="S2286">
            <v>42816</v>
          </cell>
        </row>
        <row r="2287">
          <cell r="A2287" t="str">
            <v>Y022-072</v>
          </cell>
          <cell r="B2287">
            <v>0</v>
          </cell>
          <cell r="C2287" t="str">
            <v>Y022</v>
          </cell>
          <cell r="D2287" t="str">
            <v>855D-6下框</v>
          </cell>
          <cell r="E2287" t="str">
            <v>上饰条-侧-R</v>
          </cell>
          <cell r="F2287" t="str">
            <v>531*37*13</v>
          </cell>
          <cell r="G2287">
            <v>531</v>
          </cell>
          <cell r="H2287">
            <v>37</v>
          </cell>
          <cell r="I2287">
            <v>13</v>
          </cell>
          <cell r="J2287">
            <v>289</v>
          </cell>
          <cell r="K2287">
            <v>0</v>
          </cell>
          <cell r="L2287">
            <v>0.78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 t="str">
            <v>1010</v>
          </cell>
          <cell r="R2287">
            <v>2.6989619377162635</v>
          </cell>
          <cell r="S2287">
            <v>42816</v>
          </cell>
        </row>
        <row r="2288">
          <cell r="A2288" t="str">
            <v>Y022-073</v>
          </cell>
          <cell r="B2288">
            <v>0</v>
          </cell>
          <cell r="C2288" t="str">
            <v>Y022</v>
          </cell>
          <cell r="D2288" t="str">
            <v>855D-6下框</v>
          </cell>
          <cell r="E2288" t="str">
            <v>上饰条-转脚前</v>
          </cell>
          <cell r="F2288" t="str">
            <v>132*37*13</v>
          </cell>
          <cell r="G2288">
            <v>132</v>
          </cell>
          <cell r="H2288">
            <v>37</v>
          </cell>
          <cell r="I2288">
            <v>13</v>
          </cell>
          <cell r="J2288">
            <v>73</v>
          </cell>
          <cell r="K2288">
            <v>0</v>
          </cell>
          <cell r="L2288">
            <v>0.19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 t="str">
            <v>1010</v>
          </cell>
          <cell r="R2288">
            <v>2.6027397260273974</v>
          </cell>
          <cell r="S2288">
            <v>42816</v>
          </cell>
        </row>
        <row r="2289">
          <cell r="A2289" t="str">
            <v>Y022-074</v>
          </cell>
          <cell r="B2289">
            <v>0</v>
          </cell>
          <cell r="C2289" t="str">
            <v>Y022</v>
          </cell>
          <cell r="D2289" t="str">
            <v>855D-6下框</v>
          </cell>
          <cell r="E2289" t="str">
            <v>上饰条-转脚侧-L</v>
          </cell>
          <cell r="F2289" t="str">
            <v>99*37*13</v>
          </cell>
          <cell r="G2289">
            <v>99</v>
          </cell>
          <cell r="H2289">
            <v>37</v>
          </cell>
          <cell r="I2289">
            <v>13</v>
          </cell>
          <cell r="J2289">
            <v>56</v>
          </cell>
          <cell r="K2289">
            <v>0</v>
          </cell>
          <cell r="L2289">
            <v>0.15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 t="str">
            <v>1010</v>
          </cell>
          <cell r="R2289">
            <v>2.6785714285714284</v>
          </cell>
          <cell r="S2289">
            <v>42816</v>
          </cell>
        </row>
        <row r="2290">
          <cell r="A2290" t="str">
            <v>Y022-075</v>
          </cell>
          <cell r="B2290">
            <v>0</v>
          </cell>
          <cell r="C2290" t="str">
            <v>Y022</v>
          </cell>
          <cell r="D2290" t="str">
            <v>855D-6下框</v>
          </cell>
          <cell r="E2290" t="str">
            <v>上饰条-转脚侧-R</v>
          </cell>
          <cell r="F2290" t="str">
            <v>99*37*13</v>
          </cell>
          <cell r="G2290">
            <v>99</v>
          </cell>
          <cell r="H2290">
            <v>37</v>
          </cell>
          <cell r="I2290">
            <v>13</v>
          </cell>
          <cell r="J2290">
            <v>56</v>
          </cell>
          <cell r="K2290">
            <v>0</v>
          </cell>
          <cell r="L2290">
            <v>0.15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 t="str">
            <v>1010</v>
          </cell>
          <cell r="R2290">
            <v>2.6785714285714284</v>
          </cell>
          <cell r="S2290">
            <v>42816</v>
          </cell>
        </row>
        <row r="2291">
          <cell r="A2291" t="str">
            <v>Y022-076</v>
          </cell>
          <cell r="B2291">
            <v>0</v>
          </cell>
          <cell r="C2291" t="str">
            <v>Y022</v>
          </cell>
          <cell r="D2291" t="str">
            <v>855D-6下框</v>
          </cell>
          <cell r="E2291" t="str">
            <v>们框饰条</v>
          </cell>
          <cell r="F2291" t="str">
            <v>1290*10.5*7</v>
          </cell>
          <cell r="G2291">
            <v>1290</v>
          </cell>
          <cell r="H2291">
            <v>10.5</v>
          </cell>
          <cell r="I2291">
            <v>7</v>
          </cell>
          <cell r="J2291">
            <v>148</v>
          </cell>
          <cell r="K2291">
            <v>0</v>
          </cell>
          <cell r="L2291">
            <v>0.4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 t="str">
            <v>1010</v>
          </cell>
          <cell r="R2291">
            <v>2.7027027027027031</v>
          </cell>
          <cell r="S2291">
            <v>42816</v>
          </cell>
        </row>
        <row r="2292">
          <cell r="A2292" t="str">
            <v>Y022-077</v>
          </cell>
          <cell r="B2292">
            <v>0</v>
          </cell>
          <cell r="C2292" t="str">
            <v>Y022</v>
          </cell>
          <cell r="D2292" t="str">
            <v>855D-6下框</v>
          </cell>
          <cell r="E2292" t="str">
            <v>顶冠饰框</v>
          </cell>
          <cell r="F2292" t="str">
            <v>1818*594*65</v>
          </cell>
          <cell r="G2292">
            <v>1818</v>
          </cell>
          <cell r="H2292">
            <v>594</v>
          </cell>
          <cell r="I2292">
            <v>65</v>
          </cell>
          <cell r="J2292">
            <v>4768</v>
          </cell>
          <cell r="K2292">
            <v>0</v>
          </cell>
          <cell r="L2292">
            <v>12.7</v>
          </cell>
          <cell r="M2292">
            <v>0</v>
          </cell>
          <cell r="N2292">
            <v>4832</v>
          </cell>
          <cell r="O2292">
            <v>0</v>
          </cell>
          <cell r="P2292">
            <v>0</v>
          </cell>
          <cell r="Q2292" t="str">
            <v>5510</v>
          </cell>
          <cell r="R2292">
            <v>2.6635906040268456</v>
          </cell>
          <cell r="S2292">
            <v>42816</v>
          </cell>
        </row>
        <row r="2293">
          <cell r="A2293" t="str">
            <v>Y022-078</v>
          </cell>
          <cell r="B2293">
            <v>0</v>
          </cell>
          <cell r="C2293" t="str">
            <v>Y022</v>
          </cell>
          <cell r="D2293" t="str">
            <v>855D-1T餐桌面板</v>
          </cell>
          <cell r="E2293" t="str">
            <v>前後立水</v>
          </cell>
          <cell r="F2293" t="str">
            <v>824*85*34</v>
          </cell>
          <cell r="G2293">
            <v>824</v>
          </cell>
          <cell r="H2293">
            <v>85</v>
          </cell>
          <cell r="I2293">
            <v>34</v>
          </cell>
          <cell r="J2293">
            <v>1012</v>
          </cell>
          <cell r="K2293">
            <v>0</v>
          </cell>
          <cell r="L2293">
            <v>2.63</v>
          </cell>
          <cell r="M2293">
            <v>0</v>
          </cell>
          <cell r="N2293">
            <v>627</v>
          </cell>
          <cell r="O2293">
            <v>0</v>
          </cell>
          <cell r="P2293">
            <v>0</v>
          </cell>
          <cell r="Q2293" t="str">
            <v>5510</v>
          </cell>
          <cell r="R2293">
            <v>2.5988142292490117</v>
          </cell>
          <cell r="S2293">
            <v>42816</v>
          </cell>
        </row>
        <row r="2294">
          <cell r="A2294" t="str">
            <v>Y022-079</v>
          </cell>
          <cell r="B2294">
            <v>0</v>
          </cell>
          <cell r="C2294" t="str">
            <v>Y022</v>
          </cell>
          <cell r="D2294" t="str">
            <v>855D-1T餐桌面板</v>
          </cell>
          <cell r="E2294" t="str">
            <v>邊立水</v>
          </cell>
          <cell r="F2294" t="str">
            <v>1024*85*34</v>
          </cell>
          <cell r="G2294">
            <v>1024</v>
          </cell>
          <cell r="H2294">
            <v>85</v>
          </cell>
          <cell r="I2294">
            <v>34</v>
          </cell>
          <cell r="J2294">
            <v>1252</v>
          </cell>
          <cell r="K2294">
            <v>0</v>
          </cell>
          <cell r="L2294">
            <v>3.4</v>
          </cell>
          <cell r="M2294">
            <v>0</v>
          </cell>
          <cell r="N2294">
            <v>1172</v>
          </cell>
          <cell r="O2294">
            <v>0</v>
          </cell>
          <cell r="P2294">
            <v>0</v>
          </cell>
          <cell r="Q2294" t="str">
            <v>5510</v>
          </cell>
          <cell r="R2294">
            <v>2.7156549520766773</v>
          </cell>
          <cell r="S2294">
            <v>42816</v>
          </cell>
        </row>
        <row r="2295">
          <cell r="A2295" t="str">
            <v>Y022-080</v>
          </cell>
          <cell r="B2295">
            <v>0</v>
          </cell>
          <cell r="C2295" t="str">
            <v>Y022</v>
          </cell>
          <cell r="D2295" t="str">
            <v>855D-1T餐桌面板</v>
          </cell>
          <cell r="E2295" t="str">
            <v>轉腳立水</v>
          </cell>
          <cell r="F2295" t="str">
            <v>90*90*84</v>
          </cell>
          <cell r="G2295">
            <v>90</v>
          </cell>
          <cell r="H2295">
            <v>90</v>
          </cell>
          <cell r="I2295">
            <v>84</v>
          </cell>
          <cell r="J2295">
            <v>297</v>
          </cell>
          <cell r="K2295">
            <v>0</v>
          </cell>
          <cell r="L2295">
            <v>0.79</v>
          </cell>
          <cell r="M2295">
            <v>0</v>
          </cell>
          <cell r="N2295">
            <v>212</v>
          </cell>
          <cell r="O2295">
            <v>0</v>
          </cell>
          <cell r="P2295">
            <v>0</v>
          </cell>
          <cell r="Q2295" t="str">
            <v>7310</v>
          </cell>
          <cell r="R2295">
            <v>2.65993265993266</v>
          </cell>
          <cell r="S2295">
            <v>42816</v>
          </cell>
        </row>
        <row r="2296">
          <cell r="A2296" t="str">
            <v>Y022-081</v>
          </cell>
          <cell r="B2296">
            <v>0</v>
          </cell>
          <cell r="C2296" t="str">
            <v>Y022</v>
          </cell>
          <cell r="D2296" t="str">
            <v>855D-1T餐桌面板</v>
          </cell>
          <cell r="E2296" t="str">
            <v>中板立水</v>
          </cell>
          <cell r="F2296" t="str">
            <v>467*85*34</v>
          </cell>
          <cell r="G2296">
            <v>467</v>
          </cell>
          <cell r="H2296">
            <v>85</v>
          </cell>
          <cell r="I2296">
            <v>34</v>
          </cell>
          <cell r="J2296">
            <v>558</v>
          </cell>
          <cell r="K2296">
            <v>0</v>
          </cell>
          <cell r="L2296">
            <v>1.45</v>
          </cell>
          <cell r="M2296">
            <v>0</v>
          </cell>
          <cell r="N2296">
            <v>392</v>
          </cell>
          <cell r="O2296">
            <v>0</v>
          </cell>
          <cell r="P2296">
            <v>0</v>
          </cell>
          <cell r="Q2296" t="str">
            <v>5510</v>
          </cell>
          <cell r="R2296">
            <v>2.5985663082437274</v>
          </cell>
          <cell r="S2296">
            <v>42816</v>
          </cell>
        </row>
        <row r="2297">
          <cell r="A2297" t="str">
            <v>Y022-082</v>
          </cell>
          <cell r="B2297">
            <v>0</v>
          </cell>
          <cell r="C2297" t="str">
            <v>Y022</v>
          </cell>
          <cell r="D2297" t="str">
            <v>855D-1B餐桌底座</v>
          </cell>
          <cell r="E2297" t="str">
            <v>腳柱</v>
          </cell>
          <cell r="F2297" t="str">
            <v>586*99*96</v>
          </cell>
          <cell r="G2297">
            <v>586</v>
          </cell>
          <cell r="H2297">
            <v>99</v>
          </cell>
          <cell r="I2297">
            <v>96</v>
          </cell>
          <cell r="J2297">
            <v>2509</v>
          </cell>
          <cell r="K2297">
            <v>0</v>
          </cell>
          <cell r="L2297">
            <v>6.7</v>
          </cell>
          <cell r="M2297">
            <v>0</v>
          </cell>
          <cell r="N2297">
            <v>2129</v>
          </cell>
          <cell r="O2297">
            <v>0</v>
          </cell>
          <cell r="P2297">
            <v>0</v>
          </cell>
          <cell r="Q2297" t="str">
            <v>5510</v>
          </cell>
          <cell r="R2297">
            <v>2.6703866082104426</v>
          </cell>
          <cell r="S2297">
            <v>42816</v>
          </cell>
        </row>
        <row r="2298">
          <cell r="A2298" t="str">
            <v>Y022-083</v>
          </cell>
          <cell r="B2298">
            <v>0</v>
          </cell>
          <cell r="C2298" t="str">
            <v>Y022</v>
          </cell>
          <cell r="D2298" t="str">
            <v>855D-4S蒙背餐椅</v>
          </cell>
          <cell r="E2298" t="str">
            <v>前腳</v>
          </cell>
          <cell r="F2298" t="str">
            <v>410*70*70</v>
          </cell>
          <cell r="G2298">
            <v>410</v>
          </cell>
          <cell r="H2298">
            <v>80</v>
          </cell>
          <cell r="I2298">
            <v>80</v>
          </cell>
          <cell r="J2298">
            <v>750</v>
          </cell>
          <cell r="K2298">
            <v>0</v>
          </cell>
          <cell r="L2298">
            <v>2.37</v>
          </cell>
          <cell r="M2298">
            <v>0</v>
          </cell>
          <cell r="N2298">
            <v>663</v>
          </cell>
          <cell r="O2298">
            <v>0</v>
          </cell>
          <cell r="P2298">
            <v>0</v>
          </cell>
          <cell r="Q2298" t="str">
            <v>5510</v>
          </cell>
          <cell r="R2298">
            <v>3.16</v>
          </cell>
          <cell r="S2298">
            <v>42816</v>
          </cell>
        </row>
        <row r="2299">
          <cell r="A2299" t="str">
            <v>Y022-084</v>
          </cell>
          <cell r="B2299">
            <v>0</v>
          </cell>
          <cell r="C2299" t="str">
            <v>Y022</v>
          </cell>
          <cell r="D2299" t="str">
            <v>855D-4A蒙背扶手椅</v>
          </cell>
          <cell r="E2299" t="str">
            <v>前腳</v>
          </cell>
          <cell r="F2299" t="str">
            <v>410*70*70</v>
          </cell>
          <cell r="G2299">
            <v>410</v>
          </cell>
          <cell r="H2299">
            <v>80</v>
          </cell>
          <cell r="I2299">
            <v>80</v>
          </cell>
          <cell r="J2299">
            <v>836</v>
          </cell>
          <cell r="K2299">
            <v>0</v>
          </cell>
          <cell r="L2299">
            <v>2.37</v>
          </cell>
          <cell r="M2299">
            <v>0</v>
          </cell>
          <cell r="N2299">
            <v>555</v>
          </cell>
          <cell r="O2299">
            <v>0</v>
          </cell>
          <cell r="P2299">
            <v>0</v>
          </cell>
          <cell r="Q2299" t="str">
            <v>5510</v>
          </cell>
          <cell r="R2299">
            <v>2.834928229665072</v>
          </cell>
          <cell r="S2299">
            <v>42816</v>
          </cell>
        </row>
        <row r="2300">
          <cell r="A2300" t="str">
            <v>Y022-085</v>
          </cell>
          <cell r="B2300" t="str">
            <v>生產py1800.內木大些</v>
          </cell>
          <cell r="C2300" t="str">
            <v>Y022</v>
          </cell>
          <cell r="D2300" t="str">
            <v>855D-7服務框</v>
          </cell>
          <cell r="E2300" t="str">
            <v>底上框</v>
          </cell>
          <cell r="F2300" t="str">
            <v>1656*469*60</v>
          </cell>
          <cell r="G2300">
            <v>1656</v>
          </cell>
          <cell r="H2300">
            <v>469</v>
          </cell>
          <cell r="I2300">
            <v>60</v>
          </cell>
          <cell r="J2300">
            <v>2203</v>
          </cell>
          <cell r="K2300">
            <v>1800</v>
          </cell>
          <cell r="L2300">
            <v>5.9</v>
          </cell>
          <cell r="M2300">
            <v>0</v>
          </cell>
          <cell r="N2300" t="str">
            <v>3509 / 3750</v>
          </cell>
          <cell r="O2300">
            <v>0</v>
          </cell>
          <cell r="P2300">
            <v>0</v>
          </cell>
          <cell r="Q2300" t="str">
            <v>7310</v>
          </cell>
          <cell r="R2300">
            <v>2.6781661370857925</v>
          </cell>
          <cell r="S2300">
            <v>42816</v>
          </cell>
        </row>
        <row r="2301">
          <cell r="A2301" t="str">
            <v>Y022-086</v>
          </cell>
          <cell r="B2301">
            <v>0</v>
          </cell>
          <cell r="C2301" t="str">
            <v>Y022</v>
          </cell>
          <cell r="D2301" t="str">
            <v>855D-7服務框</v>
          </cell>
          <cell r="E2301" t="str">
            <v>企柱飾花</v>
          </cell>
          <cell r="F2301" t="str">
            <v>228*100*100</v>
          </cell>
          <cell r="G2301">
            <v>228</v>
          </cell>
          <cell r="H2301">
            <v>100</v>
          </cell>
          <cell r="I2301">
            <v>100</v>
          </cell>
          <cell r="J2301">
            <v>938</v>
          </cell>
          <cell r="K2301">
            <v>0</v>
          </cell>
          <cell r="L2301">
            <v>2.5</v>
          </cell>
          <cell r="M2301">
            <v>0</v>
          </cell>
          <cell r="N2301">
            <v>570</v>
          </cell>
          <cell r="O2301">
            <v>0</v>
          </cell>
          <cell r="P2301">
            <v>0</v>
          </cell>
          <cell r="Q2301" t="str">
            <v>7310</v>
          </cell>
          <cell r="R2301">
            <v>2.6652452025586357</v>
          </cell>
          <cell r="S2301">
            <v>42816</v>
          </cell>
        </row>
        <row r="2302">
          <cell r="A2302" t="str">
            <v>Y022-087</v>
          </cell>
          <cell r="B2302">
            <v>0</v>
          </cell>
          <cell r="C2302" t="str">
            <v>Y022</v>
          </cell>
          <cell r="D2302" t="str">
            <v>855D-7服務框</v>
          </cell>
          <cell r="E2302" t="str">
            <v>企柱下飾瑰</v>
          </cell>
          <cell r="F2302" t="str">
            <v>100*60*23</v>
          </cell>
          <cell r="G2302">
            <v>100</v>
          </cell>
          <cell r="H2302">
            <v>60</v>
          </cell>
          <cell r="I2302">
            <v>23</v>
          </cell>
          <cell r="J2302">
            <v>116</v>
          </cell>
          <cell r="K2302">
            <v>0</v>
          </cell>
          <cell r="L2302">
            <v>0.3</v>
          </cell>
          <cell r="M2302">
            <v>0</v>
          </cell>
          <cell r="N2302">
            <v>18</v>
          </cell>
          <cell r="O2302">
            <v>0</v>
          </cell>
          <cell r="P2302">
            <v>0</v>
          </cell>
          <cell r="Q2302" t="str">
            <v>7310</v>
          </cell>
          <cell r="R2302">
            <v>2.5862068965517238</v>
          </cell>
          <cell r="S2302">
            <v>42816</v>
          </cell>
        </row>
        <row r="2303">
          <cell r="A2303" t="str">
            <v>Y022-088</v>
          </cell>
          <cell r="B2303">
            <v>0</v>
          </cell>
          <cell r="C2303" t="str">
            <v>Y022</v>
          </cell>
          <cell r="D2303" t="str">
            <v>855D-3S蒙背餐椅</v>
          </cell>
          <cell r="E2303" t="str">
            <v>前腳</v>
          </cell>
          <cell r="F2303" t="str">
            <v>410*80*80</v>
          </cell>
          <cell r="G2303">
            <v>410</v>
          </cell>
          <cell r="H2303">
            <v>80</v>
          </cell>
          <cell r="I2303">
            <v>80</v>
          </cell>
          <cell r="J2303">
            <v>0</v>
          </cell>
          <cell r="K2303">
            <v>0</v>
          </cell>
          <cell r="L2303">
            <v>2.37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 t="str">
            <v>5510</v>
          </cell>
          <cell r="R2303" t="e">
            <v>#DIV/0!</v>
          </cell>
          <cell r="S2303">
            <v>0</v>
          </cell>
        </row>
        <row r="2304">
          <cell r="A2304" t="str">
            <v>Y022-089</v>
          </cell>
          <cell r="B2304">
            <v>0</v>
          </cell>
          <cell r="C2304" t="str">
            <v>Y022</v>
          </cell>
          <cell r="D2304" t="str">
            <v>855D-3S蒙背扶手椅</v>
          </cell>
          <cell r="E2304" t="str">
            <v>前腳</v>
          </cell>
          <cell r="F2304" t="str">
            <v>410*80*80</v>
          </cell>
          <cell r="G2304">
            <v>410</v>
          </cell>
          <cell r="H2304">
            <v>80</v>
          </cell>
          <cell r="I2304">
            <v>80</v>
          </cell>
          <cell r="J2304">
            <v>0</v>
          </cell>
          <cell r="K2304">
            <v>0</v>
          </cell>
          <cell r="L2304">
            <v>2.37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 t="str">
            <v>5510</v>
          </cell>
          <cell r="R2304" t="e">
            <v>#DIV/0!</v>
          </cell>
          <cell r="S2304">
            <v>0</v>
          </cell>
        </row>
        <row r="2305">
          <cell r="A2305" t="str">
            <v>Y022-090</v>
          </cell>
          <cell r="B2305">
            <v>0</v>
          </cell>
          <cell r="C2305" t="str">
            <v>Y022</v>
          </cell>
          <cell r="D2305" t="str">
            <v>855D-4S蒙背餐椅</v>
          </cell>
          <cell r="E2305" t="str">
            <v>前饰条</v>
          </cell>
          <cell r="F2305" t="str">
            <v>397*45.5*7</v>
          </cell>
          <cell r="G2305">
            <v>397</v>
          </cell>
          <cell r="H2305">
            <v>45.5</v>
          </cell>
          <cell r="I2305">
            <v>7</v>
          </cell>
          <cell r="J2305">
            <v>195</v>
          </cell>
          <cell r="K2305">
            <v>0</v>
          </cell>
          <cell r="L2305">
            <v>0.52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 t="str">
            <v>1010</v>
          </cell>
          <cell r="R2305">
            <v>2.6666666666666665</v>
          </cell>
          <cell r="S2305">
            <v>0</v>
          </cell>
        </row>
        <row r="2306">
          <cell r="A2306" t="str">
            <v>Y022-091</v>
          </cell>
          <cell r="B2306">
            <v>0</v>
          </cell>
          <cell r="C2306" t="str">
            <v>Y022</v>
          </cell>
          <cell r="D2306" t="str">
            <v>855D-4S蒙背餐椅</v>
          </cell>
          <cell r="E2306" t="str">
            <v>侧饰条</v>
          </cell>
          <cell r="F2306" t="str">
            <v>397*45.5*7</v>
          </cell>
          <cell r="G2306">
            <v>397</v>
          </cell>
          <cell r="H2306">
            <v>45.5</v>
          </cell>
          <cell r="I2306">
            <v>7</v>
          </cell>
          <cell r="J2306">
            <v>195</v>
          </cell>
          <cell r="K2306">
            <v>0</v>
          </cell>
          <cell r="L2306">
            <v>0.52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 t="str">
            <v>1010</v>
          </cell>
          <cell r="R2306">
            <v>2.6666666666666665</v>
          </cell>
          <cell r="S2306">
            <v>0</v>
          </cell>
        </row>
        <row r="2307">
          <cell r="A2307" t="str">
            <v>Y022-092</v>
          </cell>
          <cell r="B2307">
            <v>0</v>
          </cell>
          <cell r="C2307" t="str">
            <v>Y022</v>
          </cell>
          <cell r="D2307" t="str">
            <v>855D-4A蒙背扶手椅</v>
          </cell>
          <cell r="E2307" t="str">
            <v>前饰条</v>
          </cell>
          <cell r="F2307" t="str">
            <v>397*45.5*7</v>
          </cell>
          <cell r="G2307">
            <v>397</v>
          </cell>
          <cell r="H2307">
            <v>45.5</v>
          </cell>
          <cell r="I2307">
            <v>7</v>
          </cell>
          <cell r="J2307">
            <v>195</v>
          </cell>
          <cell r="K2307">
            <v>0</v>
          </cell>
          <cell r="L2307">
            <v>0.52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 t="str">
            <v>1010</v>
          </cell>
          <cell r="R2307">
            <v>2.6666666666666665</v>
          </cell>
          <cell r="S2307">
            <v>0</v>
          </cell>
        </row>
        <row r="2308">
          <cell r="A2308" t="str">
            <v>Y022-093</v>
          </cell>
          <cell r="B2308">
            <v>0</v>
          </cell>
          <cell r="C2308" t="str">
            <v>Y022</v>
          </cell>
          <cell r="D2308" t="str">
            <v>855D-4A蒙背扶手椅</v>
          </cell>
          <cell r="E2308" t="str">
            <v>侧饰条</v>
          </cell>
          <cell r="F2308" t="str">
            <v>397*45.5*7</v>
          </cell>
          <cell r="G2308">
            <v>397</v>
          </cell>
          <cell r="H2308">
            <v>45.5</v>
          </cell>
          <cell r="I2308">
            <v>7</v>
          </cell>
          <cell r="J2308">
            <v>195</v>
          </cell>
          <cell r="K2308">
            <v>0</v>
          </cell>
          <cell r="L2308">
            <v>0.52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 t="str">
            <v>1010</v>
          </cell>
          <cell r="R2308">
            <v>2.6666666666666665</v>
          </cell>
          <cell r="S2308">
            <v>0</v>
          </cell>
        </row>
        <row r="2309">
          <cell r="A2309" t="str">
            <v>Y022-094</v>
          </cell>
          <cell r="B2309">
            <v>0</v>
          </cell>
          <cell r="C2309" t="str">
            <v>Y022</v>
          </cell>
          <cell r="D2309" t="str">
            <v>855D-3S木背餐椅</v>
          </cell>
          <cell r="E2309" t="str">
            <v>前饰条</v>
          </cell>
          <cell r="F2309" t="str">
            <v>397*45.5*7</v>
          </cell>
          <cell r="G2309">
            <v>397</v>
          </cell>
          <cell r="H2309">
            <v>45.5</v>
          </cell>
          <cell r="I2309">
            <v>7</v>
          </cell>
          <cell r="J2309">
            <v>195</v>
          </cell>
          <cell r="K2309">
            <v>0</v>
          </cell>
          <cell r="L2309">
            <v>0.52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 t="str">
            <v>1010</v>
          </cell>
          <cell r="R2309">
            <v>2.6666666666666665</v>
          </cell>
          <cell r="S2309">
            <v>0</v>
          </cell>
        </row>
        <row r="2310">
          <cell r="A2310" t="str">
            <v>Y022-095</v>
          </cell>
          <cell r="B2310">
            <v>0</v>
          </cell>
          <cell r="C2310" t="str">
            <v>Y022</v>
          </cell>
          <cell r="D2310" t="str">
            <v>855D-3S木背餐椅</v>
          </cell>
          <cell r="E2310" t="str">
            <v>侧饰条</v>
          </cell>
          <cell r="F2310" t="str">
            <v>397*45.5*7</v>
          </cell>
          <cell r="G2310">
            <v>397</v>
          </cell>
          <cell r="H2310">
            <v>45.5</v>
          </cell>
          <cell r="I2310">
            <v>7</v>
          </cell>
          <cell r="J2310">
            <v>195</v>
          </cell>
          <cell r="K2310">
            <v>0</v>
          </cell>
          <cell r="L2310">
            <v>0.52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 t="str">
            <v>1010</v>
          </cell>
          <cell r="R2310">
            <v>2.6666666666666665</v>
          </cell>
          <cell r="S2310">
            <v>0</v>
          </cell>
        </row>
        <row r="2311">
          <cell r="A2311" t="str">
            <v>Y022-096</v>
          </cell>
          <cell r="B2311">
            <v>0</v>
          </cell>
          <cell r="C2311" t="str">
            <v>Y022</v>
          </cell>
          <cell r="D2311" t="str">
            <v>855D-3S木背扶手椅</v>
          </cell>
          <cell r="E2311" t="str">
            <v>前饰条</v>
          </cell>
          <cell r="F2311" t="str">
            <v>397*45.5*7</v>
          </cell>
          <cell r="G2311">
            <v>397</v>
          </cell>
          <cell r="H2311">
            <v>45.5</v>
          </cell>
          <cell r="I2311">
            <v>7</v>
          </cell>
          <cell r="J2311">
            <v>195</v>
          </cell>
          <cell r="K2311">
            <v>0</v>
          </cell>
          <cell r="L2311">
            <v>0.52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 t="str">
            <v>1010</v>
          </cell>
          <cell r="R2311">
            <v>2.6666666666666665</v>
          </cell>
          <cell r="S2311">
            <v>0</v>
          </cell>
        </row>
        <row r="2312">
          <cell r="A2312" t="str">
            <v>Y022-097</v>
          </cell>
          <cell r="B2312">
            <v>0</v>
          </cell>
          <cell r="C2312" t="str">
            <v>Y022</v>
          </cell>
          <cell r="D2312" t="str">
            <v>855D-3S木背扶手椅</v>
          </cell>
          <cell r="E2312" t="str">
            <v>侧饰条</v>
          </cell>
          <cell r="F2312" t="str">
            <v>397*45.5*7</v>
          </cell>
          <cell r="G2312">
            <v>397</v>
          </cell>
          <cell r="H2312">
            <v>45.5</v>
          </cell>
          <cell r="I2312">
            <v>7</v>
          </cell>
          <cell r="J2312">
            <v>195</v>
          </cell>
          <cell r="K2312">
            <v>0</v>
          </cell>
          <cell r="L2312">
            <v>0.52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 t="str">
            <v>1010</v>
          </cell>
          <cell r="R2312">
            <v>2.6666666666666665</v>
          </cell>
          <cell r="S2312">
            <v>0</v>
          </cell>
        </row>
        <row r="2313">
          <cell r="A2313" t="str">
            <v>Y022-098</v>
          </cell>
          <cell r="B2313">
            <v>0</v>
          </cell>
          <cell r="C2313" t="str">
            <v>Y022</v>
          </cell>
          <cell r="D2313" t="str">
            <v>855D-5服務框</v>
          </cell>
          <cell r="E2313" t="str">
            <v>企柱下飾瑰</v>
          </cell>
          <cell r="F2313" t="str">
            <v>100*60*23</v>
          </cell>
          <cell r="G2313">
            <v>100</v>
          </cell>
          <cell r="H2313">
            <v>60</v>
          </cell>
          <cell r="I2313">
            <v>23</v>
          </cell>
          <cell r="J2313">
            <v>116</v>
          </cell>
          <cell r="K2313">
            <v>0</v>
          </cell>
          <cell r="L2313">
            <v>0.3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 t="str">
            <v>7310</v>
          </cell>
          <cell r="R2313">
            <v>2.5862068965517238</v>
          </cell>
          <cell r="S2313">
            <v>42816</v>
          </cell>
        </row>
        <row r="2314">
          <cell r="A2314" t="str">
            <v>Y022-099</v>
          </cell>
          <cell r="B2314">
            <v>0</v>
          </cell>
          <cell r="C2314" t="str">
            <v>Y022</v>
          </cell>
          <cell r="D2314" t="str">
            <v>827D-3</v>
          </cell>
          <cell r="E2314" t="str">
            <v>上下饰条</v>
          </cell>
          <cell r="F2314" t="str">
            <v>462*10.5*7</v>
          </cell>
          <cell r="G2314">
            <v>462</v>
          </cell>
          <cell r="H2314">
            <v>10.5</v>
          </cell>
          <cell r="I2314">
            <v>7</v>
          </cell>
          <cell r="J2314">
            <v>53</v>
          </cell>
          <cell r="K2314">
            <v>0</v>
          </cell>
          <cell r="L2314">
            <v>0.15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 t="str">
            <v>1010</v>
          </cell>
          <cell r="R2314">
            <v>2.8301886792452828</v>
          </cell>
          <cell r="S2314">
            <v>0</v>
          </cell>
        </row>
        <row r="2315">
          <cell r="A2315" t="str">
            <v>Y022-100</v>
          </cell>
          <cell r="B2315">
            <v>0</v>
          </cell>
          <cell r="C2315" t="str">
            <v>Y022</v>
          </cell>
          <cell r="D2315" t="str">
            <v>827D-3</v>
          </cell>
          <cell r="E2315" t="str">
            <v>上下饰条</v>
          </cell>
          <cell r="F2315" t="str">
            <v>462*10.5*7</v>
          </cell>
          <cell r="G2315">
            <v>462</v>
          </cell>
          <cell r="H2315">
            <v>10.5</v>
          </cell>
          <cell r="I2315">
            <v>7</v>
          </cell>
          <cell r="J2315">
            <v>53</v>
          </cell>
          <cell r="K2315">
            <v>0</v>
          </cell>
          <cell r="L2315">
            <v>0.15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 t="str">
            <v>1010</v>
          </cell>
          <cell r="R2315">
            <v>2.8301886792452828</v>
          </cell>
          <cell r="S2315">
            <v>0</v>
          </cell>
        </row>
        <row r="2316">
          <cell r="A2316" t="str">
            <v>Y022-101</v>
          </cell>
          <cell r="B2316">
            <v>0</v>
          </cell>
          <cell r="C2316" t="str">
            <v>Y022</v>
          </cell>
          <cell r="D2316" t="str">
            <v>827D-3</v>
          </cell>
          <cell r="E2316" t="str">
            <v>边抽面上下饰条</v>
          </cell>
          <cell r="F2316" t="str">
            <v>462*10.5*7</v>
          </cell>
          <cell r="G2316">
            <v>462</v>
          </cell>
          <cell r="H2316">
            <v>10.5</v>
          </cell>
          <cell r="I2316">
            <v>7</v>
          </cell>
          <cell r="J2316">
            <v>53</v>
          </cell>
          <cell r="K2316">
            <v>0</v>
          </cell>
          <cell r="L2316">
            <v>0.15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 t="str">
            <v>1010</v>
          </cell>
          <cell r="R2316">
            <v>2.8301886792452828</v>
          </cell>
          <cell r="S2316">
            <v>0</v>
          </cell>
        </row>
        <row r="2317">
          <cell r="A2317" t="str">
            <v>Y022-102</v>
          </cell>
          <cell r="B2317">
            <v>0</v>
          </cell>
          <cell r="C2317" t="str">
            <v>Y022</v>
          </cell>
          <cell r="D2317" t="str">
            <v>827D-3</v>
          </cell>
          <cell r="E2317" t="str">
            <v>抽面上下饰条</v>
          </cell>
          <cell r="F2317" t="str">
            <v>462*10.5*7</v>
          </cell>
          <cell r="G2317">
            <v>462</v>
          </cell>
          <cell r="H2317">
            <v>10.5</v>
          </cell>
          <cell r="I2317">
            <v>7</v>
          </cell>
          <cell r="J2317">
            <v>53</v>
          </cell>
          <cell r="K2317">
            <v>0</v>
          </cell>
          <cell r="L2317">
            <v>0.15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 t="str">
            <v>1010</v>
          </cell>
          <cell r="R2317">
            <v>2.8301886792452828</v>
          </cell>
          <cell r="S2317">
            <v>0</v>
          </cell>
        </row>
        <row r="2318">
          <cell r="A2318" t="str">
            <v>Y022-103</v>
          </cell>
          <cell r="B2318">
            <v>0</v>
          </cell>
          <cell r="C2318" t="str">
            <v>Y022</v>
          </cell>
          <cell r="D2318" t="str">
            <v>745D-1 餐桌</v>
          </cell>
          <cell r="E2318" t="str">
            <v>面板饰板</v>
          </cell>
          <cell r="F2318" t="str">
            <v>441*503*5</v>
          </cell>
          <cell r="G2318">
            <v>441</v>
          </cell>
          <cell r="H2318">
            <v>503</v>
          </cell>
          <cell r="I2318">
            <v>5</v>
          </cell>
          <cell r="J2318">
            <v>1550</v>
          </cell>
          <cell r="K2318">
            <v>0</v>
          </cell>
          <cell r="L2318">
            <v>4.0999999999999996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 t="str">
            <v>1010</v>
          </cell>
          <cell r="R2318">
            <v>2.6451612903225805</v>
          </cell>
          <cell r="S2318">
            <v>0</v>
          </cell>
        </row>
        <row r="2319">
          <cell r="A2319" t="str">
            <v>Y022-104</v>
          </cell>
          <cell r="B2319">
            <v>0</v>
          </cell>
          <cell r="C2319" t="str">
            <v>Y022</v>
          </cell>
          <cell r="D2319" t="str">
            <v>746D-1餐桌</v>
          </cell>
          <cell r="E2319" t="str">
            <v>面板饰板</v>
          </cell>
          <cell r="F2319" t="str">
            <v>441*503*5</v>
          </cell>
          <cell r="G2319">
            <v>441</v>
          </cell>
          <cell r="H2319">
            <v>503</v>
          </cell>
          <cell r="I2319">
            <v>5</v>
          </cell>
          <cell r="J2319">
            <v>1550</v>
          </cell>
          <cell r="K2319">
            <v>0</v>
          </cell>
          <cell r="L2319">
            <v>4.0999999999999996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 t="str">
            <v>1010</v>
          </cell>
          <cell r="R2319">
            <v>2.6451612903225805</v>
          </cell>
          <cell r="S2319">
            <v>0</v>
          </cell>
        </row>
        <row r="2320">
          <cell r="A2320" t="str">
            <v>Y022-105</v>
          </cell>
          <cell r="B2320">
            <v>0</v>
          </cell>
          <cell r="C2320" t="str">
            <v>Y022</v>
          </cell>
          <cell r="D2320" t="str">
            <v>745D-2S餐椅</v>
          </cell>
          <cell r="E2320" t="str">
            <v>椅背饰条</v>
          </cell>
          <cell r="F2320" t="str">
            <v>640*84*5</v>
          </cell>
          <cell r="G2320">
            <v>640</v>
          </cell>
          <cell r="H2320">
            <v>84</v>
          </cell>
          <cell r="I2320">
            <v>5</v>
          </cell>
          <cell r="J2320">
            <v>350</v>
          </cell>
          <cell r="K2320">
            <v>0</v>
          </cell>
          <cell r="L2320">
            <v>0.91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 t="str">
            <v>1010</v>
          </cell>
          <cell r="R2320">
            <v>2.6</v>
          </cell>
          <cell r="S2320">
            <v>0</v>
          </cell>
        </row>
        <row r="2321">
          <cell r="A2321" t="str">
            <v>Y022-106</v>
          </cell>
          <cell r="B2321">
            <v>0</v>
          </cell>
          <cell r="C2321" t="str">
            <v>Y022</v>
          </cell>
          <cell r="D2321" t="str">
            <v>746D-2S餐椅</v>
          </cell>
          <cell r="E2321" t="str">
            <v>椅背饰条</v>
          </cell>
          <cell r="F2321" t="str">
            <v>640*84*5</v>
          </cell>
          <cell r="G2321">
            <v>640</v>
          </cell>
          <cell r="H2321">
            <v>84</v>
          </cell>
          <cell r="I2321">
            <v>5</v>
          </cell>
          <cell r="J2321">
            <v>350</v>
          </cell>
          <cell r="K2321">
            <v>0</v>
          </cell>
          <cell r="L2321">
            <v>0.91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 t="str">
            <v>1010</v>
          </cell>
          <cell r="R2321">
            <v>2.6</v>
          </cell>
          <cell r="S2321">
            <v>0</v>
          </cell>
        </row>
        <row r="2322">
          <cell r="A2322" t="str">
            <v>Y022-107</v>
          </cell>
          <cell r="B2322">
            <v>0</v>
          </cell>
          <cell r="C2322" t="str">
            <v>Y022</v>
          </cell>
          <cell r="D2322" t="str">
            <v>745-4B 下框</v>
          </cell>
          <cell r="E2322" t="str">
            <v>抽面饰条</v>
          </cell>
          <cell r="F2322" t="str">
            <v>214*178*5</v>
          </cell>
          <cell r="G2322">
            <v>214</v>
          </cell>
          <cell r="H2322">
            <v>178</v>
          </cell>
          <cell r="I2322">
            <v>5</v>
          </cell>
          <cell r="J2322">
            <v>295</v>
          </cell>
          <cell r="K2322">
            <v>0</v>
          </cell>
          <cell r="L2322">
            <v>0.78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 t="str">
            <v>1010</v>
          </cell>
          <cell r="R2322">
            <v>2.6440677966101696</v>
          </cell>
          <cell r="S2322">
            <v>0</v>
          </cell>
        </row>
        <row r="2323">
          <cell r="A2323" t="str">
            <v>Y022-108</v>
          </cell>
          <cell r="B2323">
            <v>0</v>
          </cell>
          <cell r="C2323" t="str">
            <v>Y022</v>
          </cell>
          <cell r="D2323" t="str">
            <v>746-4B 下框</v>
          </cell>
          <cell r="E2323" t="str">
            <v>抽面饰条</v>
          </cell>
          <cell r="F2323" t="str">
            <v>214*178*5</v>
          </cell>
          <cell r="G2323">
            <v>214</v>
          </cell>
          <cell r="H2323">
            <v>178</v>
          </cell>
          <cell r="I2323">
            <v>5</v>
          </cell>
          <cell r="J2323">
            <v>295</v>
          </cell>
          <cell r="K2323">
            <v>0</v>
          </cell>
          <cell r="L2323">
            <v>0.78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 t="str">
            <v>1010</v>
          </cell>
          <cell r="R2323">
            <v>2.6440677966101696</v>
          </cell>
          <cell r="S2323">
            <v>0</v>
          </cell>
        </row>
        <row r="2324">
          <cell r="A2324" t="str">
            <v>Y022-109</v>
          </cell>
          <cell r="B2324">
            <v>0</v>
          </cell>
          <cell r="C2324" t="str">
            <v>Y022</v>
          </cell>
          <cell r="D2324" t="str">
            <v>855D-4S</v>
          </cell>
          <cell r="E2324" t="str">
            <v>前饰条 （新产品 hàng mới)</v>
          </cell>
          <cell r="F2324" t="str">
            <v>399*45.5*7</v>
          </cell>
          <cell r="G2324">
            <v>399</v>
          </cell>
          <cell r="H2324">
            <v>45.5</v>
          </cell>
          <cell r="I2324">
            <v>7</v>
          </cell>
          <cell r="J2324">
            <v>196</v>
          </cell>
          <cell r="K2324">
            <v>0</v>
          </cell>
          <cell r="L2324">
            <v>0.52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 t="str">
            <v>1010</v>
          </cell>
          <cell r="R2324">
            <v>2.6530612244897958</v>
          </cell>
          <cell r="S2324">
            <v>0</v>
          </cell>
        </row>
        <row r="2325">
          <cell r="A2325" t="str">
            <v>Y022-110</v>
          </cell>
          <cell r="B2325">
            <v>0</v>
          </cell>
          <cell r="C2325" t="str">
            <v>Y022</v>
          </cell>
          <cell r="D2325" t="str">
            <v>TJ5420A扶手椅</v>
          </cell>
          <cell r="E2325" t="str">
            <v>前腳</v>
          </cell>
          <cell r="F2325" t="str">
            <v>413*77*77</v>
          </cell>
          <cell r="G2325">
            <v>413</v>
          </cell>
          <cell r="H2325">
            <v>77</v>
          </cell>
          <cell r="I2325">
            <v>77</v>
          </cell>
          <cell r="J2325">
            <v>0</v>
          </cell>
          <cell r="K2325">
            <v>0</v>
          </cell>
          <cell r="L2325">
            <v>1.4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</row>
        <row r="2326">
          <cell r="A2326" t="str">
            <v>Y022-111</v>
          </cell>
          <cell r="B2326">
            <v>0</v>
          </cell>
          <cell r="C2326" t="str">
            <v>Y022</v>
          </cell>
          <cell r="D2326" t="str">
            <v>TJ5420B餐椅</v>
          </cell>
          <cell r="E2326" t="str">
            <v>前腳</v>
          </cell>
          <cell r="F2326" t="str">
            <v>413*77*77</v>
          </cell>
          <cell r="G2326">
            <v>413</v>
          </cell>
          <cell r="H2326">
            <v>77</v>
          </cell>
          <cell r="I2326">
            <v>77</v>
          </cell>
          <cell r="J2326">
            <v>0</v>
          </cell>
          <cell r="K2326">
            <v>0</v>
          </cell>
          <cell r="L2326">
            <v>1.4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</row>
        <row r="2327">
          <cell r="A2327" t="str">
            <v>Y022-112</v>
          </cell>
          <cell r="B2327">
            <v>0</v>
          </cell>
          <cell r="C2327" t="str">
            <v>Y022</v>
          </cell>
          <cell r="D2327" t="str">
            <v>5438-18</v>
          </cell>
          <cell r="E2327" t="str">
            <v>抽面饰框</v>
          </cell>
          <cell r="F2327" t="str">
            <v>402*268*15</v>
          </cell>
          <cell r="G2327">
            <v>402</v>
          </cell>
          <cell r="H2327">
            <v>268</v>
          </cell>
          <cell r="I2327">
            <v>15</v>
          </cell>
          <cell r="J2327">
            <v>0</v>
          </cell>
          <cell r="K2327">
            <v>0</v>
          </cell>
          <cell r="L2327">
            <v>0.94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</row>
        <row r="2328">
          <cell r="A2328" t="str">
            <v>Y022-113</v>
          </cell>
          <cell r="B2328">
            <v>0</v>
          </cell>
          <cell r="C2328" t="str">
            <v>Y022</v>
          </cell>
          <cell r="D2328" t="str">
            <v>5438-18</v>
          </cell>
          <cell r="E2328" t="str">
            <v>抽面饰條框</v>
          </cell>
          <cell r="F2328" t="str">
            <v>792*136*15</v>
          </cell>
          <cell r="G2328">
            <v>792</v>
          </cell>
          <cell r="H2328">
            <v>136</v>
          </cell>
          <cell r="I2328">
            <v>15</v>
          </cell>
          <cell r="J2328">
            <v>0</v>
          </cell>
          <cell r="K2328">
            <v>0</v>
          </cell>
          <cell r="L2328">
            <v>1.22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</row>
        <row r="2329">
          <cell r="A2329" t="str">
            <v>Y022-114</v>
          </cell>
          <cell r="B2329">
            <v>0</v>
          </cell>
          <cell r="C2329" t="str">
            <v>Y022</v>
          </cell>
          <cell r="D2329" t="str">
            <v>5438-18</v>
          </cell>
          <cell r="E2329" t="str">
            <v>門饰條框</v>
          </cell>
          <cell r="F2329" t="str">
            <v>478*325*15</v>
          </cell>
          <cell r="G2329">
            <v>478</v>
          </cell>
          <cell r="H2329">
            <v>325</v>
          </cell>
          <cell r="I2329">
            <v>15</v>
          </cell>
          <cell r="J2329">
            <v>0</v>
          </cell>
          <cell r="K2329">
            <v>0</v>
          </cell>
          <cell r="L2329">
            <v>1.2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</row>
        <row r="2330">
          <cell r="A2330" t="str">
            <v>Y022-115</v>
          </cell>
          <cell r="B2330">
            <v>0</v>
          </cell>
          <cell r="C2330" t="str">
            <v>Y022</v>
          </cell>
          <cell r="D2330" t="str">
            <v>484-DTB</v>
          </cell>
          <cell r="E2330" t="str">
            <v>脚片饰條</v>
          </cell>
          <cell r="F2330" t="str">
            <v>626*50*5</v>
          </cell>
          <cell r="G2330">
            <v>626</v>
          </cell>
          <cell r="H2330">
            <v>50</v>
          </cell>
          <cell r="I2330">
            <v>5</v>
          </cell>
          <cell r="J2330">
            <v>0</v>
          </cell>
          <cell r="K2330">
            <v>0</v>
          </cell>
          <cell r="L2330">
            <v>0.74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43315</v>
          </cell>
          <cell r="T2330">
            <v>0</v>
          </cell>
        </row>
        <row r="2331">
          <cell r="A2331" t="str">
            <v>Y022-116</v>
          </cell>
          <cell r="B2331">
            <v>0</v>
          </cell>
          <cell r="C2331" t="str">
            <v>Y022</v>
          </cell>
          <cell r="D2331" t="str">
            <v>484-BF</v>
          </cell>
          <cell r="E2331" t="str">
            <v>下框脚柱饰條</v>
          </cell>
          <cell r="F2331" t="str">
            <v>385*19.5*5</v>
          </cell>
          <cell r="G2331">
            <v>385</v>
          </cell>
          <cell r="H2331">
            <v>19.5</v>
          </cell>
          <cell r="I2331">
            <v>5</v>
          </cell>
          <cell r="J2331">
            <v>0</v>
          </cell>
          <cell r="K2331">
            <v>0</v>
          </cell>
          <cell r="L2331">
            <v>0.21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43315</v>
          </cell>
          <cell r="T2331">
            <v>0</v>
          </cell>
        </row>
        <row r="2332">
          <cell r="A2332" t="str">
            <v>Y022-117</v>
          </cell>
          <cell r="B2332">
            <v>0</v>
          </cell>
          <cell r="C2332" t="str">
            <v>Y022</v>
          </cell>
          <cell r="D2332" t="str">
            <v>484-SC</v>
          </cell>
          <cell r="E2332" t="str">
            <v>餐椅前脚饰條</v>
          </cell>
          <cell r="F2332" t="str">
            <v>385*19*5</v>
          </cell>
          <cell r="G2332">
            <v>385</v>
          </cell>
          <cell r="H2332">
            <v>19</v>
          </cell>
          <cell r="I2332">
            <v>5</v>
          </cell>
          <cell r="J2332">
            <v>0</v>
          </cell>
          <cell r="K2332">
            <v>0</v>
          </cell>
          <cell r="L2332">
            <v>0.21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43315</v>
          </cell>
          <cell r="T2332">
            <v>0</v>
          </cell>
        </row>
        <row r="2333">
          <cell r="A2333" t="str">
            <v>Y022-118</v>
          </cell>
          <cell r="B2333">
            <v>0</v>
          </cell>
          <cell r="C2333" t="str">
            <v>Y022</v>
          </cell>
          <cell r="D2333" t="str">
            <v>897D-3服务框</v>
          </cell>
          <cell r="E2333" t="str">
            <v>侧板弧形饰条</v>
          </cell>
          <cell r="F2333" t="str">
            <v>356*139*5</v>
          </cell>
          <cell r="G2333">
            <v>356</v>
          </cell>
          <cell r="H2333">
            <v>139</v>
          </cell>
          <cell r="I2333">
            <v>5</v>
          </cell>
          <cell r="J2333">
            <v>0</v>
          </cell>
          <cell r="K2333">
            <v>0</v>
          </cell>
          <cell r="L2333">
            <v>7.4999999999999997E-2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</row>
        <row r="2334">
          <cell r="A2334" t="str">
            <v>Y022-119</v>
          </cell>
          <cell r="B2334">
            <v>0</v>
          </cell>
          <cell r="C2334" t="str">
            <v>Y022</v>
          </cell>
          <cell r="D2334" t="str">
            <v>897D-3服务框</v>
          </cell>
          <cell r="E2334" t="str">
            <v>门板饰条</v>
          </cell>
          <cell r="F2334" t="str">
            <v>648*410*7</v>
          </cell>
          <cell r="G2334">
            <v>648</v>
          </cell>
          <cell r="H2334">
            <v>410</v>
          </cell>
          <cell r="I2334">
            <v>7</v>
          </cell>
          <cell r="J2334">
            <v>0</v>
          </cell>
          <cell r="K2334">
            <v>0</v>
          </cell>
          <cell r="L2334">
            <v>5.6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</row>
        <row r="2335">
          <cell r="A2335" t="str">
            <v>Y022-120</v>
          </cell>
          <cell r="B2335">
            <v>0</v>
          </cell>
          <cell r="C2335" t="str">
            <v>Y022</v>
          </cell>
          <cell r="D2335" t="str">
            <v>897D-3服务框</v>
          </cell>
          <cell r="E2335" t="str">
            <v>抽面饰框</v>
          </cell>
          <cell r="F2335" t="str">
            <v>570*136*5</v>
          </cell>
          <cell r="G2335">
            <v>570</v>
          </cell>
          <cell r="H2335">
            <v>136</v>
          </cell>
          <cell r="I2335">
            <v>5</v>
          </cell>
          <cell r="J2335">
            <v>0</v>
          </cell>
          <cell r="K2335">
            <v>0</v>
          </cell>
          <cell r="L2335">
            <v>0.21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</row>
        <row r="2336">
          <cell r="A2336" t="str">
            <v>Y022-121</v>
          </cell>
          <cell r="B2336">
            <v>0</v>
          </cell>
          <cell r="C2336" t="str">
            <v>Y022</v>
          </cell>
          <cell r="D2336" t="str">
            <v>855D-6上框</v>
          </cell>
          <cell r="E2336" t="str">
            <v>門框條框左 R</v>
          </cell>
          <cell r="F2336" t="str">
            <v>1044*333*7</v>
          </cell>
          <cell r="G2336">
            <v>1044</v>
          </cell>
          <cell r="H2336">
            <v>333</v>
          </cell>
          <cell r="I2336">
            <v>7</v>
          </cell>
          <cell r="J2336">
            <v>0</v>
          </cell>
          <cell r="K2336">
            <v>0</v>
          </cell>
          <cell r="L2336">
            <v>0.84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</row>
        <row r="2337">
          <cell r="A2337" t="str">
            <v>Y022-122</v>
          </cell>
          <cell r="B2337">
            <v>0</v>
          </cell>
          <cell r="C2337" t="str">
            <v>Y022</v>
          </cell>
          <cell r="D2337" t="str">
            <v>855D-6上框</v>
          </cell>
          <cell r="E2337" t="str">
            <v>門框條框右 L</v>
          </cell>
          <cell r="F2337" t="str">
            <v>1044*333*7</v>
          </cell>
          <cell r="G2337">
            <v>1044</v>
          </cell>
          <cell r="H2337">
            <v>333</v>
          </cell>
          <cell r="I2337">
            <v>7</v>
          </cell>
          <cell r="J2337">
            <v>0</v>
          </cell>
          <cell r="K2337">
            <v>0</v>
          </cell>
          <cell r="L2337">
            <v>0.84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</row>
        <row r="2338">
          <cell r="A2338" t="str">
            <v>Y022-123</v>
          </cell>
          <cell r="B2338">
            <v>0</v>
          </cell>
          <cell r="C2338" t="str">
            <v>Y022</v>
          </cell>
          <cell r="D2338" t="str">
            <v>855D-5下框（内埋木）</v>
          </cell>
          <cell r="E2338" t="str">
            <v>抽面外饰框Khung hộc kéo</v>
          </cell>
          <cell r="F2338" t="str">
            <v>676.7*152*19</v>
          </cell>
          <cell r="G2338">
            <v>676.7</v>
          </cell>
          <cell r="H2338">
            <v>152</v>
          </cell>
          <cell r="I2338">
            <v>19</v>
          </cell>
          <cell r="J2338">
            <v>0</v>
          </cell>
          <cell r="K2338">
            <v>0</v>
          </cell>
          <cell r="L2338">
            <v>2.15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</row>
        <row r="2339">
          <cell r="A2339" t="str">
            <v>Y022-124</v>
          </cell>
          <cell r="B2339">
            <v>0</v>
          </cell>
          <cell r="C2339" t="str">
            <v>Y022</v>
          </cell>
          <cell r="D2339" t="str">
            <v>855D-5下框（内埋木）</v>
          </cell>
          <cell r="E2339" t="str">
            <v>边门外饰框Khung cửa bên</v>
          </cell>
          <cell r="F2339" t="str">
            <v>462*338*19</v>
          </cell>
          <cell r="G2339">
            <v>462</v>
          </cell>
          <cell r="H2339">
            <v>338</v>
          </cell>
          <cell r="I2339">
            <v>19</v>
          </cell>
          <cell r="J2339">
            <v>0</v>
          </cell>
          <cell r="K2339">
            <v>0</v>
          </cell>
          <cell r="L2339">
            <v>2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</row>
        <row r="2340">
          <cell r="A2340" t="str">
            <v>Y022-125</v>
          </cell>
          <cell r="B2340">
            <v>0</v>
          </cell>
          <cell r="C2340" t="str">
            <v>Y022</v>
          </cell>
          <cell r="D2340" t="str">
            <v>855D-5下框（内埋木）</v>
          </cell>
          <cell r="E2340" t="str">
            <v>中门外饰框Khung cửa giữa</v>
          </cell>
          <cell r="F2340" t="str">
            <v>462*334.8*19</v>
          </cell>
          <cell r="G2340">
            <v>462</v>
          </cell>
          <cell r="H2340">
            <v>334.8</v>
          </cell>
          <cell r="I2340">
            <v>19</v>
          </cell>
          <cell r="J2340">
            <v>0</v>
          </cell>
          <cell r="K2340">
            <v>0</v>
          </cell>
          <cell r="L2340">
            <v>2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</row>
        <row r="2341">
          <cell r="A2341" t="str">
            <v>Y022-126</v>
          </cell>
          <cell r="B2341">
            <v>0</v>
          </cell>
          <cell r="C2341" t="str">
            <v>Y022</v>
          </cell>
          <cell r="D2341" t="str">
            <v>855D-5下框</v>
          </cell>
          <cell r="E2341" t="str">
            <v>边/中门内饰框Khung cửa giữa /Bên</v>
          </cell>
          <cell r="F2341" t="str">
            <v>339*212*7</v>
          </cell>
          <cell r="G2341">
            <v>339</v>
          </cell>
          <cell r="H2341">
            <v>212</v>
          </cell>
          <cell r="I2341">
            <v>7</v>
          </cell>
          <cell r="J2341">
            <v>0</v>
          </cell>
          <cell r="K2341">
            <v>0</v>
          </cell>
          <cell r="L2341">
            <v>0.31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</row>
        <row r="2342">
          <cell r="A2342" t="str">
            <v>Y022-127</v>
          </cell>
          <cell r="B2342">
            <v>0</v>
          </cell>
          <cell r="C2342" t="str">
            <v>Y022</v>
          </cell>
          <cell r="D2342" t="str">
            <v>AW#201/#204</v>
          </cell>
          <cell r="E2342" t="str">
            <v>椅背飾塊</v>
          </cell>
          <cell r="F2342" t="str">
            <v>60*60*32</v>
          </cell>
          <cell r="G2342">
            <v>60</v>
          </cell>
          <cell r="H2342">
            <v>60</v>
          </cell>
          <cell r="I2342">
            <v>32</v>
          </cell>
          <cell r="J2342">
            <v>0</v>
          </cell>
          <cell r="K2342">
            <v>0</v>
          </cell>
          <cell r="L2342">
            <v>0.2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43551</v>
          </cell>
          <cell r="T2342" t="str">
            <v>毅哥+啊才</v>
          </cell>
        </row>
        <row r="2343">
          <cell r="A2343" t="str">
            <v>Y022-128</v>
          </cell>
          <cell r="B2343">
            <v>0</v>
          </cell>
          <cell r="C2343" t="str">
            <v>Y022</v>
          </cell>
          <cell r="D2343" t="str">
            <v>AW-B2-251-26L</v>
          </cell>
          <cell r="E2343" t="str">
            <v>圖吧凳立水飾條</v>
          </cell>
          <cell r="F2343" t="str">
            <v>307*56*21</v>
          </cell>
          <cell r="G2343">
            <v>307</v>
          </cell>
          <cell r="H2343">
            <v>56</v>
          </cell>
          <cell r="I2343">
            <v>21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43551</v>
          </cell>
          <cell r="T2343" t="str">
            <v>毅哥+啊才</v>
          </cell>
        </row>
        <row r="2344">
          <cell r="A2344" t="str">
            <v>Y022-129</v>
          </cell>
          <cell r="B2344">
            <v>0</v>
          </cell>
          <cell r="C2344" t="str">
            <v>Y022</v>
          </cell>
          <cell r="D2344" t="str">
            <v>855D-7服務框</v>
          </cell>
          <cell r="E2344" t="str">
            <v>門板外饰框 khung ngoài cửa</v>
          </cell>
          <cell r="F2344" t="str">
            <v>584*287*19</v>
          </cell>
          <cell r="G2344">
            <v>584</v>
          </cell>
          <cell r="H2344">
            <v>287</v>
          </cell>
          <cell r="I2344">
            <v>19</v>
          </cell>
          <cell r="J2344">
            <v>0</v>
          </cell>
          <cell r="K2344">
            <v>0</v>
          </cell>
          <cell r="L2344">
            <v>2.64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43556</v>
          </cell>
          <cell r="T2344" t="str">
            <v>毅哥</v>
          </cell>
        </row>
        <row r="2345">
          <cell r="A2345" t="str">
            <v>Y022-130</v>
          </cell>
          <cell r="B2345">
            <v>0</v>
          </cell>
          <cell r="C2345" t="str">
            <v>Y022</v>
          </cell>
          <cell r="D2345" t="str">
            <v>855D-7服務框</v>
          </cell>
          <cell r="E2345" t="str">
            <v>門板內饰框 khung trong cửa</v>
          </cell>
          <cell r="F2345" t="str">
            <v>461*164*7</v>
          </cell>
          <cell r="G2345">
            <v>461</v>
          </cell>
          <cell r="H2345">
            <v>164</v>
          </cell>
          <cell r="I2345">
            <v>7</v>
          </cell>
          <cell r="J2345">
            <v>0</v>
          </cell>
          <cell r="K2345">
            <v>0</v>
          </cell>
          <cell r="L2345">
            <v>0.36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43556</v>
          </cell>
          <cell r="T2345" t="str">
            <v>毅哥</v>
          </cell>
        </row>
        <row r="2346">
          <cell r="A2346" t="str">
            <v>Y022-131</v>
          </cell>
          <cell r="B2346">
            <v>0</v>
          </cell>
          <cell r="C2346" t="str">
            <v>Y022</v>
          </cell>
          <cell r="D2346" t="str">
            <v>855D-7服務框</v>
          </cell>
          <cell r="E2346" t="str">
            <v>抽面外饰框Khung ngoài hộc kéo</v>
          </cell>
          <cell r="F2346" t="str">
            <v>578*152*19</v>
          </cell>
          <cell r="G2346">
            <v>578</v>
          </cell>
          <cell r="H2346">
            <v>152</v>
          </cell>
          <cell r="I2346">
            <v>19</v>
          </cell>
          <cell r="J2346">
            <v>0</v>
          </cell>
          <cell r="K2346">
            <v>0</v>
          </cell>
          <cell r="L2346">
            <v>1.9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43556</v>
          </cell>
          <cell r="T2346" t="str">
            <v>毅哥</v>
          </cell>
        </row>
        <row r="2347">
          <cell r="A2347" t="str">
            <v>Y022-2001</v>
          </cell>
          <cell r="B2347" t="str">
            <v>樣品</v>
          </cell>
          <cell r="C2347" t="str">
            <v>Y022</v>
          </cell>
          <cell r="D2347">
            <v>0</v>
          </cell>
          <cell r="E2347" t="str">
            <v>腳柱</v>
          </cell>
          <cell r="F2347" t="str">
            <v>410*70*70</v>
          </cell>
          <cell r="G2347">
            <v>410</v>
          </cell>
          <cell r="H2347">
            <v>70</v>
          </cell>
          <cell r="I2347">
            <v>70</v>
          </cell>
          <cell r="J2347">
            <v>845</v>
          </cell>
          <cell r="K2347">
            <v>0</v>
          </cell>
          <cell r="L2347">
            <v>2.7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 t="str">
            <v>5510</v>
          </cell>
          <cell r="R2347">
            <v>3.1952662721893494</v>
          </cell>
          <cell r="S2347">
            <v>0</v>
          </cell>
        </row>
        <row r="2348">
          <cell r="A2348" t="str">
            <v>Y023-001</v>
          </cell>
          <cell r="B2348" t="str">
            <v>LCT030-141</v>
          </cell>
          <cell r="C2348" t="str">
            <v>Y023</v>
          </cell>
          <cell r="D2348" t="str">
            <v>B-231-100S7896</v>
          </cell>
          <cell r="E2348" t="str">
            <v>圓飾片</v>
          </cell>
          <cell r="F2348" t="str">
            <v>48*48*8</v>
          </cell>
          <cell r="G2348">
            <v>48</v>
          </cell>
          <cell r="H2348">
            <v>48</v>
          </cell>
          <cell r="I2348">
            <v>8</v>
          </cell>
          <cell r="J2348">
            <v>15</v>
          </cell>
          <cell r="K2348">
            <v>0</v>
          </cell>
          <cell r="L2348">
            <v>6.6000000000000003E-2</v>
          </cell>
          <cell r="M2348">
            <v>0</v>
          </cell>
          <cell r="N2348">
            <v>0</v>
          </cell>
          <cell r="O2348" t="str">
            <v>T</v>
          </cell>
          <cell r="P2348" t="str">
            <v>1010</v>
          </cell>
          <cell r="Q2348">
            <v>1010</v>
          </cell>
          <cell r="R2348">
            <v>4.4000000000000004</v>
          </cell>
        </row>
        <row r="2349">
          <cell r="A2349" t="str">
            <v>Y023-002</v>
          </cell>
          <cell r="B2349" t="str">
            <v>LCT030-142</v>
          </cell>
          <cell r="C2349" t="str">
            <v>Y023</v>
          </cell>
          <cell r="D2349" t="str">
            <v>B-231-100S7896</v>
          </cell>
          <cell r="E2349" t="str">
            <v>圓飾片</v>
          </cell>
          <cell r="F2349" t="str">
            <v>48*48*8</v>
          </cell>
          <cell r="G2349">
            <v>48</v>
          </cell>
          <cell r="H2349">
            <v>48</v>
          </cell>
          <cell r="I2349">
            <v>8</v>
          </cell>
          <cell r="J2349">
            <v>15</v>
          </cell>
          <cell r="K2349">
            <v>0</v>
          </cell>
          <cell r="L2349">
            <v>6.6000000000000003E-2</v>
          </cell>
          <cell r="M2349">
            <v>0</v>
          </cell>
          <cell r="N2349">
            <v>0</v>
          </cell>
          <cell r="O2349" t="str">
            <v>T</v>
          </cell>
          <cell r="P2349" t="str">
            <v>1010</v>
          </cell>
          <cell r="Q2349">
            <v>1010</v>
          </cell>
          <cell r="R2349">
            <v>4.4000000000000004</v>
          </cell>
        </row>
        <row r="2350">
          <cell r="A2350" t="str">
            <v>Y023-003</v>
          </cell>
          <cell r="B2350" t="str">
            <v>LCT030-145</v>
          </cell>
          <cell r="C2350" t="str">
            <v>Y023</v>
          </cell>
          <cell r="D2350" t="str">
            <v>B-323-100S7896</v>
          </cell>
          <cell r="E2350" t="str">
            <v>木飾花(圓飾片)</v>
          </cell>
          <cell r="F2350" t="str">
            <v>Ø 48 * 8</v>
          </cell>
          <cell r="G2350" t="str">
            <v xml:space="preserve">Ø </v>
          </cell>
          <cell r="H2350">
            <v>48</v>
          </cell>
          <cell r="I2350">
            <v>8</v>
          </cell>
          <cell r="J2350">
            <v>15</v>
          </cell>
          <cell r="K2350">
            <v>0</v>
          </cell>
          <cell r="L2350">
            <v>6.6000000000000003E-2</v>
          </cell>
          <cell r="M2350">
            <v>0</v>
          </cell>
          <cell r="N2350">
            <v>0</v>
          </cell>
          <cell r="O2350" t="str">
            <v>T</v>
          </cell>
          <cell r="P2350" t="str">
            <v>1010</v>
          </cell>
          <cell r="Q2350">
            <v>1010</v>
          </cell>
          <cell r="R2350">
            <v>4.4000000000000004</v>
          </cell>
        </row>
        <row r="2351">
          <cell r="A2351" t="str">
            <v>Y023-004</v>
          </cell>
          <cell r="B2351" t="str">
            <v>LCT030-146</v>
          </cell>
          <cell r="C2351" t="str">
            <v>Y023</v>
          </cell>
          <cell r="D2351" t="str">
            <v>1401-08001005</v>
          </cell>
          <cell r="E2351" t="str">
            <v>POLY飾條</v>
          </cell>
          <cell r="F2351" t="str">
            <v>800*10*5</v>
          </cell>
          <cell r="G2351">
            <v>800</v>
          </cell>
          <cell r="H2351">
            <v>10</v>
          </cell>
          <cell r="I2351">
            <v>5</v>
          </cell>
          <cell r="J2351">
            <v>65</v>
          </cell>
          <cell r="K2351">
            <v>0</v>
          </cell>
          <cell r="L2351">
            <v>0.27500000000000002</v>
          </cell>
          <cell r="M2351">
            <v>0</v>
          </cell>
          <cell r="N2351">
            <v>0</v>
          </cell>
          <cell r="O2351">
            <v>0</v>
          </cell>
          <cell r="P2351" t="str">
            <v>1010</v>
          </cell>
          <cell r="Q2351">
            <v>1010</v>
          </cell>
          <cell r="R2351">
            <v>4.2307692307692308</v>
          </cell>
        </row>
        <row r="2352">
          <cell r="A2352" t="str">
            <v>Y023-005</v>
          </cell>
          <cell r="B2352" t="str">
            <v>LCT030-147</v>
          </cell>
          <cell r="C2352" t="str">
            <v>Y023</v>
          </cell>
          <cell r="D2352" t="str">
            <v>B289-100S7447</v>
          </cell>
          <cell r="E2352" t="str">
            <v>床肚板侧饰条(1切3)</v>
          </cell>
          <cell r="F2352" t="str">
            <v>2000*18*11(651)</v>
          </cell>
          <cell r="G2352">
            <v>651</v>
          </cell>
          <cell r="H2352">
            <v>18</v>
          </cell>
          <cell r="I2352">
            <v>11</v>
          </cell>
          <cell r="J2352">
            <v>170</v>
          </cell>
          <cell r="K2352">
            <v>0</v>
          </cell>
          <cell r="L2352">
            <v>0.42</v>
          </cell>
          <cell r="M2352">
            <v>0</v>
          </cell>
          <cell r="N2352">
            <v>0</v>
          </cell>
          <cell r="O2352">
            <v>0</v>
          </cell>
          <cell r="P2352" t="str">
            <v>1010</v>
          </cell>
          <cell r="Q2352">
            <v>1010</v>
          </cell>
          <cell r="R2352">
            <v>2.4705882352941173</v>
          </cell>
        </row>
        <row r="2353">
          <cell r="A2353" t="str">
            <v>Y023-006</v>
          </cell>
          <cell r="B2353" t="str">
            <v>LCT030-149</v>
          </cell>
          <cell r="C2353" t="str">
            <v>Y023</v>
          </cell>
          <cell r="D2353" t="str">
            <v>1401-09563009</v>
          </cell>
          <cell r="E2353" t="str">
            <v>饰条</v>
          </cell>
          <cell r="F2353" t="str">
            <v>970*30*9(1000)</v>
          </cell>
          <cell r="G2353">
            <v>970</v>
          </cell>
          <cell r="H2353">
            <v>30</v>
          </cell>
          <cell r="I2353">
            <v>9</v>
          </cell>
          <cell r="J2353">
            <v>340</v>
          </cell>
          <cell r="K2353">
            <v>0</v>
          </cell>
          <cell r="L2353">
            <v>0.83</v>
          </cell>
          <cell r="M2353">
            <v>0</v>
          </cell>
          <cell r="N2353">
            <v>0</v>
          </cell>
          <cell r="O2353">
            <v>0</v>
          </cell>
          <cell r="P2353" t="str">
            <v>1010</v>
          </cell>
          <cell r="Q2353">
            <v>1010</v>
          </cell>
          <cell r="R2353">
            <v>2.4411764705882351</v>
          </cell>
        </row>
        <row r="2354">
          <cell r="A2354" t="str">
            <v>Y023-007</v>
          </cell>
          <cell r="B2354" t="str">
            <v>LCT030-150</v>
          </cell>
          <cell r="C2354" t="str">
            <v>Y023</v>
          </cell>
          <cell r="D2354" t="str">
            <v>1401-11363009</v>
          </cell>
          <cell r="E2354" t="str">
            <v>饰条</v>
          </cell>
          <cell r="F2354" t="str">
            <v>1150*30*9(1000)</v>
          </cell>
          <cell r="G2354" t="str">
            <v>1150(M)</v>
          </cell>
          <cell r="H2354">
            <v>30</v>
          </cell>
          <cell r="I2354">
            <v>9</v>
          </cell>
          <cell r="J2354">
            <v>390</v>
          </cell>
          <cell r="K2354">
            <v>0</v>
          </cell>
          <cell r="L2354">
            <v>0.83</v>
          </cell>
          <cell r="M2354">
            <v>0</v>
          </cell>
          <cell r="N2354">
            <v>0</v>
          </cell>
          <cell r="O2354">
            <v>0</v>
          </cell>
          <cell r="P2354" t="str">
            <v>1010</v>
          </cell>
          <cell r="Q2354">
            <v>1010</v>
          </cell>
          <cell r="R2354">
            <v>2.1282051282051282</v>
          </cell>
        </row>
        <row r="2355">
          <cell r="A2355" t="str">
            <v>Y023-008</v>
          </cell>
          <cell r="B2355" t="str">
            <v>LCT030-151</v>
          </cell>
          <cell r="C2355" t="str">
            <v>Y023</v>
          </cell>
          <cell r="D2355" t="str">
            <v>1401-12502510</v>
          </cell>
          <cell r="E2355" t="str">
            <v>饰条</v>
          </cell>
          <cell r="F2355" t="str">
            <v>1250*25*10(1000)</v>
          </cell>
          <cell r="G2355" t="str">
            <v>1250(M)</v>
          </cell>
          <cell r="H2355">
            <v>25</v>
          </cell>
          <cell r="I2355">
            <v>10</v>
          </cell>
          <cell r="J2355">
            <v>400</v>
          </cell>
          <cell r="K2355">
            <v>0</v>
          </cell>
          <cell r="L2355">
            <v>0.68</v>
          </cell>
          <cell r="M2355">
            <v>0</v>
          </cell>
          <cell r="N2355">
            <v>0</v>
          </cell>
          <cell r="O2355">
            <v>0</v>
          </cell>
          <cell r="P2355" t="str">
            <v>1010</v>
          </cell>
          <cell r="Q2355">
            <v>1010</v>
          </cell>
          <cell r="R2355">
            <v>1.7</v>
          </cell>
        </row>
        <row r="2356">
          <cell r="A2356" t="str">
            <v>Y023-009</v>
          </cell>
          <cell r="B2356" t="str">
            <v>LCT030-127</v>
          </cell>
          <cell r="C2356" t="str">
            <v>Y023</v>
          </cell>
          <cell r="D2356" t="str">
            <v>B-315-100S7896</v>
          </cell>
          <cell r="E2356" t="str">
            <v>圓飾片</v>
          </cell>
          <cell r="F2356" t="str">
            <v>48*48*8</v>
          </cell>
          <cell r="G2356">
            <v>48</v>
          </cell>
          <cell r="H2356">
            <v>48</v>
          </cell>
          <cell r="I2356">
            <v>8</v>
          </cell>
          <cell r="J2356">
            <v>15</v>
          </cell>
          <cell r="K2356">
            <v>0</v>
          </cell>
          <cell r="L2356">
            <v>6.6000000000000003E-2</v>
          </cell>
          <cell r="M2356">
            <v>0</v>
          </cell>
          <cell r="N2356">
            <v>0</v>
          </cell>
          <cell r="O2356" t="str">
            <v>T</v>
          </cell>
          <cell r="P2356" t="str">
            <v>1010</v>
          </cell>
          <cell r="Q2356">
            <v>1010</v>
          </cell>
          <cell r="R2356">
            <v>4.4000000000000004</v>
          </cell>
        </row>
        <row r="2357">
          <cell r="A2357" t="str">
            <v>Y023-010</v>
          </cell>
          <cell r="B2357" t="str">
            <v>LCT030-128</v>
          </cell>
          <cell r="C2357" t="str">
            <v>Y023</v>
          </cell>
          <cell r="D2357" t="str">
            <v>B-315-200S7896</v>
          </cell>
          <cell r="E2357" t="str">
            <v>圓飾片</v>
          </cell>
          <cell r="F2357" t="str">
            <v>48*48*8</v>
          </cell>
          <cell r="G2357">
            <v>48</v>
          </cell>
          <cell r="H2357">
            <v>48</v>
          </cell>
          <cell r="I2357">
            <v>8</v>
          </cell>
          <cell r="J2357">
            <v>15</v>
          </cell>
          <cell r="K2357">
            <v>0</v>
          </cell>
          <cell r="L2357">
            <v>6.6000000000000003E-2</v>
          </cell>
          <cell r="M2357">
            <v>0</v>
          </cell>
          <cell r="N2357">
            <v>0</v>
          </cell>
          <cell r="O2357" t="str">
            <v>T</v>
          </cell>
          <cell r="P2357" t="str">
            <v>1010</v>
          </cell>
          <cell r="Q2357">
            <v>1010</v>
          </cell>
          <cell r="R2357">
            <v>4.4000000000000004</v>
          </cell>
        </row>
        <row r="2358">
          <cell r="A2358" t="str">
            <v>Y024-001</v>
          </cell>
          <cell r="B2358" t="str">
            <v>LCT044-048</v>
          </cell>
          <cell r="C2358" t="str">
            <v>Y024</v>
          </cell>
          <cell r="D2358">
            <v>0</v>
          </cell>
          <cell r="E2358" t="str">
            <v>椅背飾條 A</v>
          </cell>
          <cell r="F2358" t="str">
            <v>610*30*6</v>
          </cell>
          <cell r="G2358">
            <v>610</v>
          </cell>
          <cell r="H2358">
            <v>30</v>
          </cell>
          <cell r="I2358">
            <v>5</v>
          </cell>
          <cell r="J2358">
            <v>150</v>
          </cell>
          <cell r="K2358">
            <v>0</v>
          </cell>
          <cell r="L2358">
            <v>0.4</v>
          </cell>
          <cell r="M2358">
            <v>0</v>
          </cell>
          <cell r="N2358">
            <v>0</v>
          </cell>
          <cell r="O2358">
            <v>0</v>
          </cell>
          <cell r="P2358" t="str">
            <v>1010</v>
          </cell>
          <cell r="Q2358">
            <v>1010</v>
          </cell>
          <cell r="R2358">
            <v>2.666666666666667</v>
          </cell>
        </row>
        <row r="2359">
          <cell r="A2359" t="str">
            <v>Y024-002</v>
          </cell>
          <cell r="B2359" t="str">
            <v>LCT044-049</v>
          </cell>
          <cell r="C2359" t="str">
            <v>Y024</v>
          </cell>
          <cell r="D2359">
            <v>0</v>
          </cell>
          <cell r="E2359" t="str">
            <v>椅背飾條 B</v>
          </cell>
          <cell r="F2359" t="str">
            <v>610*30*6</v>
          </cell>
          <cell r="G2359">
            <v>610</v>
          </cell>
          <cell r="H2359">
            <v>30</v>
          </cell>
          <cell r="I2359">
            <v>5</v>
          </cell>
          <cell r="J2359">
            <v>150</v>
          </cell>
          <cell r="K2359">
            <v>0</v>
          </cell>
          <cell r="L2359">
            <v>0.4</v>
          </cell>
          <cell r="M2359">
            <v>0</v>
          </cell>
          <cell r="N2359">
            <v>0</v>
          </cell>
          <cell r="O2359">
            <v>0</v>
          </cell>
          <cell r="P2359" t="str">
            <v>1010</v>
          </cell>
          <cell r="Q2359">
            <v>1010</v>
          </cell>
          <cell r="R2359">
            <v>2.666666666666667</v>
          </cell>
        </row>
        <row r="2360">
          <cell r="A2360" t="str">
            <v>Y024-003</v>
          </cell>
          <cell r="B2360" t="str">
            <v>LCT044-050</v>
          </cell>
          <cell r="C2360" t="str">
            <v>Y024</v>
          </cell>
          <cell r="D2360">
            <v>0</v>
          </cell>
          <cell r="E2360" t="str">
            <v>椅腦飾條 A</v>
          </cell>
          <cell r="F2360" t="str">
            <v>250*30*6</v>
          </cell>
          <cell r="G2360">
            <v>250</v>
          </cell>
          <cell r="H2360">
            <v>30</v>
          </cell>
          <cell r="I2360">
            <v>5</v>
          </cell>
          <cell r="J2360">
            <v>60</v>
          </cell>
          <cell r="K2360">
            <v>0</v>
          </cell>
          <cell r="L2360">
            <v>0.15</v>
          </cell>
          <cell r="M2360">
            <v>0</v>
          </cell>
          <cell r="N2360">
            <v>0</v>
          </cell>
          <cell r="O2360">
            <v>0</v>
          </cell>
          <cell r="P2360" t="str">
            <v>1010</v>
          </cell>
          <cell r="Q2360">
            <v>1010</v>
          </cell>
          <cell r="R2360">
            <v>2.5</v>
          </cell>
        </row>
        <row r="2361">
          <cell r="A2361" t="str">
            <v>Y024-004</v>
          </cell>
          <cell r="B2361" t="str">
            <v>LCT044-051</v>
          </cell>
          <cell r="C2361" t="str">
            <v>Y024</v>
          </cell>
          <cell r="D2361">
            <v>0</v>
          </cell>
          <cell r="E2361" t="str">
            <v>椅腦飾條 B</v>
          </cell>
          <cell r="F2361" t="str">
            <v>250*30*6</v>
          </cell>
          <cell r="G2361">
            <v>250</v>
          </cell>
          <cell r="H2361">
            <v>30</v>
          </cell>
          <cell r="I2361">
            <v>5</v>
          </cell>
          <cell r="J2361">
            <v>60</v>
          </cell>
          <cell r="K2361">
            <v>0</v>
          </cell>
          <cell r="L2361">
            <v>0.15</v>
          </cell>
          <cell r="M2361">
            <v>0</v>
          </cell>
          <cell r="N2361">
            <v>0</v>
          </cell>
          <cell r="O2361">
            <v>0</v>
          </cell>
          <cell r="P2361" t="str">
            <v>1010</v>
          </cell>
          <cell r="Q2361">
            <v>1010</v>
          </cell>
          <cell r="R2361">
            <v>2.5</v>
          </cell>
        </row>
        <row r="2362">
          <cell r="A2362" t="str">
            <v>Y024-005</v>
          </cell>
          <cell r="B2362" t="str">
            <v>LCT044-052</v>
          </cell>
          <cell r="C2362" t="str">
            <v>Y024</v>
          </cell>
          <cell r="D2362">
            <v>12404</v>
          </cell>
          <cell r="E2362">
            <v>0</v>
          </cell>
          <cell r="F2362" t="str">
            <v>23*135*480</v>
          </cell>
          <cell r="G2362">
            <v>23</v>
          </cell>
          <cell r="H2362">
            <v>135</v>
          </cell>
          <cell r="I2362">
            <v>480</v>
          </cell>
          <cell r="J2362">
            <v>880</v>
          </cell>
          <cell r="K2362">
            <v>0</v>
          </cell>
          <cell r="L2362">
            <v>2.6</v>
          </cell>
          <cell r="M2362">
            <v>0</v>
          </cell>
          <cell r="N2362">
            <v>320</v>
          </cell>
          <cell r="O2362" t="str">
            <v>40V</v>
          </cell>
          <cell r="P2362" t="str">
            <v>1910</v>
          </cell>
          <cell r="Q2362" t="str">
            <v>1910</v>
          </cell>
          <cell r="R2362">
            <v>2.9545454545454546</v>
          </cell>
        </row>
        <row r="2363">
          <cell r="A2363" t="str">
            <v>Y024-006</v>
          </cell>
          <cell r="B2363" t="str">
            <v>LCT044-054</v>
          </cell>
          <cell r="C2363" t="str">
            <v>Y024</v>
          </cell>
          <cell r="D2363">
            <v>62863</v>
          </cell>
          <cell r="E2363" t="str">
            <v>POLY椅腦</v>
          </cell>
          <cell r="F2363" t="str">
            <v>477*190*33</v>
          </cell>
          <cell r="G2363">
            <v>477</v>
          </cell>
          <cell r="H2363">
            <v>190</v>
          </cell>
          <cell r="I2363">
            <v>33</v>
          </cell>
          <cell r="J2363">
            <v>1170</v>
          </cell>
          <cell r="K2363">
            <v>0</v>
          </cell>
          <cell r="L2363">
            <v>2.9</v>
          </cell>
          <cell r="M2363">
            <v>0</v>
          </cell>
          <cell r="N2363">
            <v>280</v>
          </cell>
          <cell r="O2363" t="str">
            <v>40V</v>
          </cell>
          <cell r="P2363" t="str">
            <v>1910</v>
          </cell>
          <cell r="Q2363" t="str">
            <v>1910</v>
          </cell>
          <cell r="R2363">
            <v>2.4786324786324787</v>
          </cell>
          <cell r="S2363">
            <v>0</v>
          </cell>
        </row>
        <row r="2364">
          <cell r="A2364" t="str">
            <v>Y024-007</v>
          </cell>
          <cell r="B2364" t="str">
            <v>LCT044-055</v>
          </cell>
          <cell r="C2364" t="str">
            <v>Y024</v>
          </cell>
          <cell r="D2364">
            <v>16220</v>
          </cell>
          <cell r="E2364" t="str">
            <v>POLY椅腦</v>
          </cell>
          <cell r="F2364" t="str">
            <v>485*195*33</v>
          </cell>
          <cell r="G2364">
            <v>485</v>
          </cell>
          <cell r="H2364">
            <v>195</v>
          </cell>
          <cell r="I2364">
            <v>33</v>
          </cell>
          <cell r="J2364">
            <v>1140</v>
          </cell>
          <cell r="K2364">
            <v>0</v>
          </cell>
          <cell r="L2364">
            <v>2.75</v>
          </cell>
          <cell r="M2364">
            <v>0</v>
          </cell>
          <cell r="N2364">
            <v>320</v>
          </cell>
          <cell r="O2364" t="str">
            <v>40V</v>
          </cell>
          <cell r="P2364" t="str">
            <v>1910</v>
          </cell>
          <cell r="Q2364" t="str">
            <v>1910</v>
          </cell>
          <cell r="R2364">
            <v>2.4122807017543861</v>
          </cell>
          <cell r="S2364">
            <v>0</v>
          </cell>
        </row>
        <row r="2365">
          <cell r="A2365" t="str">
            <v>Y024-008</v>
          </cell>
          <cell r="B2365" t="str">
            <v>LCT044-056</v>
          </cell>
          <cell r="C2365" t="str">
            <v>Y024</v>
          </cell>
          <cell r="D2365">
            <v>16220</v>
          </cell>
          <cell r="E2365" t="str">
            <v>圓珠飾框</v>
          </cell>
          <cell r="F2365" t="str">
            <v>182*115*7</v>
          </cell>
          <cell r="G2365">
            <v>182</v>
          </cell>
          <cell r="H2365">
            <v>115</v>
          </cell>
          <cell r="I2365">
            <v>7</v>
          </cell>
          <cell r="J2365">
            <v>50</v>
          </cell>
          <cell r="K2365">
            <v>0</v>
          </cell>
          <cell r="L2365">
            <v>0.18</v>
          </cell>
          <cell r="M2365">
            <v>0</v>
          </cell>
          <cell r="N2365">
            <v>0</v>
          </cell>
          <cell r="O2365">
            <v>0</v>
          </cell>
          <cell r="P2365" t="str">
            <v>1010</v>
          </cell>
          <cell r="Q2365">
            <v>1010</v>
          </cell>
          <cell r="R2365">
            <v>3.5999999999999996</v>
          </cell>
          <cell r="S2365">
            <v>0</v>
          </cell>
        </row>
        <row r="2366">
          <cell r="A2366" t="str">
            <v>Y024-009</v>
          </cell>
          <cell r="B2366" t="str">
            <v>LCT044-037</v>
          </cell>
          <cell r="C2366" t="str">
            <v>Y024</v>
          </cell>
          <cell r="D2366">
            <v>60033</v>
          </cell>
          <cell r="E2366" t="str">
            <v>椅背柜子</v>
          </cell>
          <cell r="F2366" t="str">
            <v>150*52*52</v>
          </cell>
          <cell r="G2366">
            <v>150</v>
          </cell>
          <cell r="H2366">
            <v>52</v>
          </cell>
          <cell r="I2366">
            <v>52</v>
          </cell>
          <cell r="J2366">
            <v>0</v>
          </cell>
          <cell r="K2366">
            <v>0</v>
          </cell>
          <cell r="L2366">
            <v>0.8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 t="e">
            <v>#DIV/0!</v>
          </cell>
        </row>
        <row r="2367">
          <cell r="A2367" t="str">
            <v>Y024-010</v>
          </cell>
          <cell r="B2367">
            <v>0</v>
          </cell>
          <cell r="C2367" t="str">
            <v>Y024</v>
          </cell>
          <cell r="D2367">
            <v>0</v>
          </cell>
          <cell r="E2367" t="str">
            <v>椅背花</v>
          </cell>
          <cell r="F2367">
            <v>0</v>
          </cell>
          <cell r="G2367">
            <v>397</v>
          </cell>
          <cell r="H2367">
            <v>170</v>
          </cell>
          <cell r="I2367">
            <v>16</v>
          </cell>
          <cell r="J2367">
            <v>395</v>
          </cell>
          <cell r="K2367">
            <v>0</v>
          </cell>
          <cell r="L2367">
            <v>3.8</v>
          </cell>
          <cell r="M2367">
            <v>0</v>
          </cell>
          <cell r="N2367" t="str">
            <v>SAT134</v>
          </cell>
          <cell r="O2367">
            <v>0</v>
          </cell>
          <cell r="P2367" t="str">
            <v>3775</v>
          </cell>
          <cell r="Q2367" t="str">
            <v>3775</v>
          </cell>
          <cell r="R2367">
            <v>9.6202531645569618</v>
          </cell>
        </row>
        <row r="2368">
          <cell r="A2368" t="str">
            <v>Y024-011</v>
          </cell>
          <cell r="B2368">
            <v>0</v>
          </cell>
          <cell r="C2368" t="str">
            <v>Y024</v>
          </cell>
          <cell r="D2368">
            <v>0</v>
          </cell>
          <cell r="E2368" t="str">
            <v>圓飾塊</v>
          </cell>
          <cell r="F2368" t="str">
            <v>48*48*5</v>
          </cell>
          <cell r="G2368">
            <v>48</v>
          </cell>
          <cell r="H2368">
            <v>48</v>
          </cell>
          <cell r="I2368">
            <v>5</v>
          </cell>
          <cell r="J2368">
            <v>19</v>
          </cell>
          <cell r="K2368">
            <v>0</v>
          </cell>
          <cell r="L2368">
            <v>7.0000000000000007E-2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 t="str">
            <v>1010</v>
          </cell>
          <cell r="R2368">
            <v>3.6842105263157898</v>
          </cell>
          <cell r="S2368">
            <v>0</v>
          </cell>
        </row>
        <row r="2369">
          <cell r="A2369" t="str">
            <v>Y024-012</v>
          </cell>
          <cell r="B2369">
            <v>0</v>
          </cell>
          <cell r="C2369" t="str">
            <v>Y024</v>
          </cell>
          <cell r="D2369">
            <v>0</v>
          </cell>
          <cell r="E2369" t="str">
            <v>耳朵</v>
          </cell>
          <cell r="F2369" t="str">
            <v>195*34*20</v>
          </cell>
          <cell r="G2369">
            <v>195</v>
          </cell>
          <cell r="H2369">
            <v>34</v>
          </cell>
          <cell r="I2369">
            <v>20</v>
          </cell>
          <cell r="J2369">
            <v>183</v>
          </cell>
          <cell r="K2369">
            <v>0</v>
          </cell>
          <cell r="L2369">
            <v>0.52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 t="str">
            <v>1010</v>
          </cell>
          <cell r="R2369">
            <v>2.8415300546448088</v>
          </cell>
          <cell r="S2369">
            <v>0</v>
          </cell>
        </row>
        <row r="2370">
          <cell r="A2370" t="str">
            <v>Y024-013</v>
          </cell>
          <cell r="B2370">
            <v>0</v>
          </cell>
          <cell r="C2370" t="str">
            <v>Y024</v>
          </cell>
          <cell r="D2370">
            <v>0</v>
          </cell>
          <cell r="E2370" t="str">
            <v>POLY 饰条</v>
          </cell>
          <cell r="F2370" t="str">
            <v>300*46*7</v>
          </cell>
          <cell r="G2370">
            <v>300</v>
          </cell>
          <cell r="H2370">
            <v>46</v>
          </cell>
          <cell r="I2370">
            <v>7</v>
          </cell>
          <cell r="J2370">
            <v>140</v>
          </cell>
          <cell r="K2370">
            <v>0</v>
          </cell>
          <cell r="L2370">
            <v>0.4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 t="str">
            <v>1010</v>
          </cell>
          <cell r="R2370">
            <v>2.8571428571428572</v>
          </cell>
          <cell r="S2370">
            <v>0</v>
          </cell>
        </row>
        <row r="2371">
          <cell r="A2371" t="str">
            <v>Y024-014</v>
          </cell>
          <cell r="B2371">
            <v>0</v>
          </cell>
          <cell r="C2371" t="str">
            <v>Y024</v>
          </cell>
          <cell r="D2371" t="str">
            <v>#4202</v>
          </cell>
          <cell r="E2371" t="str">
            <v>POLY 饰条</v>
          </cell>
          <cell r="F2371" t="str">
            <v>310*46*7</v>
          </cell>
          <cell r="G2371">
            <v>310</v>
          </cell>
          <cell r="H2371">
            <v>46</v>
          </cell>
          <cell r="I2371">
            <v>7</v>
          </cell>
          <cell r="J2371">
            <v>0</v>
          </cell>
          <cell r="K2371">
            <v>0</v>
          </cell>
          <cell r="L2371">
            <v>0.37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</row>
        <row r="2372">
          <cell r="A2372" t="str">
            <v>Y024-015</v>
          </cell>
          <cell r="B2372">
            <v>0</v>
          </cell>
          <cell r="C2372" t="str">
            <v>Y024</v>
          </cell>
          <cell r="D2372" t="str">
            <v>#4202</v>
          </cell>
          <cell r="E2372" t="str">
            <v>POLY 饰条</v>
          </cell>
          <cell r="F2372" t="str">
            <v>184*28*20</v>
          </cell>
          <cell r="G2372">
            <v>184</v>
          </cell>
          <cell r="H2372">
            <v>28</v>
          </cell>
          <cell r="I2372">
            <v>20</v>
          </cell>
          <cell r="J2372">
            <v>0</v>
          </cell>
          <cell r="K2372">
            <v>0</v>
          </cell>
          <cell r="L2372">
            <v>0.4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</row>
        <row r="2373">
          <cell r="A2373" t="str">
            <v>Y024-016</v>
          </cell>
          <cell r="B2373">
            <v>0</v>
          </cell>
          <cell r="C2373" t="str">
            <v>Y024</v>
          </cell>
          <cell r="D2373" t="str">
            <v>#4202</v>
          </cell>
          <cell r="E2373" t="str">
            <v>POLY 饰条</v>
          </cell>
          <cell r="F2373" t="str">
            <v>405*46*7</v>
          </cell>
          <cell r="G2373">
            <v>405</v>
          </cell>
          <cell r="H2373">
            <v>46</v>
          </cell>
          <cell r="I2373">
            <v>7</v>
          </cell>
          <cell r="J2373">
            <v>0</v>
          </cell>
          <cell r="K2373">
            <v>0</v>
          </cell>
          <cell r="L2373">
            <v>0.53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</row>
        <row r="2374">
          <cell r="A2374" t="str">
            <v>Y024-017</v>
          </cell>
          <cell r="B2374">
            <v>0</v>
          </cell>
          <cell r="C2374" t="str">
            <v>Y024</v>
          </cell>
          <cell r="D2374" t="str">
            <v>#4202</v>
          </cell>
          <cell r="E2374" t="str">
            <v>POLY 饰条</v>
          </cell>
          <cell r="F2374" t="str">
            <v>429*74*74</v>
          </cell>
          <cell r="G2374">
            <v>429</v>
          </cell>
          <cell r="H2374">
            <v>74</v>
          </cell>
          <cell r="I2374">
            <v>74</v>
          </cell>
          <cell r="J2374">
            <v>0</v>
          </cell>
          <cell r="K2374">
            <v>0</v>
          </cell>
          <cell r="L2374">
            <v>2.6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</row>
        <row r="2375">
          <cell r="A2375" t="str">
            <v>Y024-018</v>
          </cell>
          <cell r="B2375">
            <v>0</v>
          </cell>
          <cell r="C2375" t="str">
            <v>Y024</v>
          </cell>
          <cell r="D2375" t="str">
            <v>#4202</v>
          </cell>
          <cell r="E2375" t="str">
            <v>POLY 饰条</v>
          </cell>
          <cell r="F2375" t="str">
            <v>47*47*5</v>
          </cell>
          <cell r="G2375">
            <v>47</v>
          </cell>
          <cell r="H2375">
            <v>47</v>
          </cell>
          <cell r="I2375">
            <v>5</v>
          </cell>
          <cell r="J2375">
            <v>0</v>
          </cell>
          <cell r="K2375">
            <v>0</v>
          </cell>
          <cell r="L2375">
            <v>0.08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</row>
        <row r="2376">
          <cell r="A2376" t="str">
            <v>Y024-019</v>
          </cell>
          <cell r="B2376">
            <v>0</v>
          </cell>
          <cell r="C2376" t="str">
            <v>Y024</v>
          </cell>
          <cell r="D2376" t="str">
            <v>9003-12S</v>
          </cell>
          <cell r="E2376" t="str">
            <v>POLY 饰条</v>
          </cell>
          <cell r="F2376" t="str">
            <v>117*68*4</v>
          </cell>
          <cell r="G2376">
            <v>117</v>
          </cell>
          <cell r="H2376">
            <v>68</v>
          </cell>
          <cell r="I2376">
            <v>4</v>
          </cell>
          <cell r="J2376">
            <v>0</v>
          </cell>
          <cell r="K2376">
            <v>0</v>
          </cell>
          <cell r="L2376">
            <v>0.16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43347</v>
          </cell>
          <cell r="T2376">
            <v>0</v>
          </cell>
        </row>
        <row r="2377">
          <cell r="A2377" t="str">
            <v>Y024-020</v>
          </cell>
          <cell r="B2377">
            <v>0</v>
          </cell>
          <cell r="C2377" t="str">
            <v>Y024</v>
          </cell>
          <cell r="D2377" t="str">
            <v>9003-EG11AS</v>
          </cell>
          <cell r="E2377" t="str">
            <v>POLY 饰条- TRÁI （L）</v>
          </cell>
          <cell r="F2377" t="str">
            <v>132*105*52</v>
          </cell>
          <cell r="G2377">
            <v>132</v>
          </cell>
          <cell r="H2377">
            <v>105</v>
          </cell>
          <cell r="I2377">
            <v>52</v>
          </cell>
          <cell r="J2377">
            <v>0</v>
          </cell>
          <cell r="K2377">
            <v>0</v>
          </cell>
          <cell r="L2377">
            <v>0.83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</row>
        <row r="2378">
          <cell r="A2378" t="str">
            <v>Y024-021</v>
          </cell>
          <cell r="B2378">
            <v>0</v>
          </cell>
          <cell r="C2378" t="str">
            <v>Y024</v>
          </cell>
          <cell r="D2378" t="str">
            <v>9003-EG11AS</v>
          </cell>
          <cell r="E2378" t="str">
            <v>POLY 饰条- PHẢI ( R)</v>
          </cell>
          <cell r="F2378" t="str">
            <v>132*105*52</v>
          </cell>
          <cell r="G2378">
            <v>132</v>
          </cell>
          <cell r="H2378">
            <v>105</v>
          </cell>
          <cell r="I2378">
            <v>52</v>
          </cell>
          <cell r="J2378">
            <v>0</v>
          </cell>
          <cell r="K2378">
            <v>0</v>
          </cell>
          <cell r="L2378">
            <v>0.83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</row>
        <row r="2379">
          <cell r="A2379" t="str">
            <v>Y024-022</v>
          </cell>
          <cell r="B2379">
            <v>0</v>
          </cell>
          <cell r="C2379" t="str">
            <v>Y024</v>
          </cell>
          <cell r="D2379" t="str">
            <v>235-620</v>
          </cell>
          <cell r="E2379" t="str">
            <v xml:space="preserve">POLY </v>
          </cell>
          <cell r="F2379" t="str">
            <v>46*46*6</v>
          </cell>
          <cell r="G2379">
            <v>46</v>
          </cell>
          <cell r="H2379">
            <v>46</v>
          </cell>
          <cell r="I2379">
            <v>6</v>
          </cell>
          <cell r="J2379">
            <v>0</v>
          </cell>
          <cell r="K2379">
            <v>0</v>
          </cell>
          <cell r="L2379">
            <v>0.08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</row>
        <row r="2380">
          <cell r="A2380" t="str">
            <v>Y024-023</v>
          </cell>
          <cell r="B2380">
            <v>0</v>
          </cell>
          <cell r="C2380" t="str">
            <v>Y024</v>
          </cell>
          <cell r="D2380" t="str">
            <v>235-620</v>
          </cell>
          <cell r="E2380" t="str">
            <v xml:space="preserve">POLY </v>
          </cell>
          <cell r="F2380" t="str">
            <v>22*22*6</v>
          </cell>
          <cell r="G2380">
            <v>22</v>
          </cell>
          <cell r="H2380">
            <v>22</v>
          </cell>
          <cell r="I2380">
            <v>6</v>
          </cell>
          <cell r="J2380">
            <v>0</v>
          </cell>
          <cell r="K2380">
            <v>0</v>
          </cell>
          <cell r="L2380">
            <v>0.04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</row>
        <row r="2381">
          <cell r="A2381" t="str">
            <v>Y024-024</v>
          </cell>
          <cell r="B2381">
            <v>0</v>
          </cell>
          <cell r="C2381" t="str">
            <v>Y024</v>
          </cell>
          <cell r="D2381" t="str">
            <v>507-240</v>
          </cell>
          <cell r="E2381" t="str">
            <v>饰花</v>
          </cell>
          <cell r="F2381" t="str">
            <v>131*84*20</v>
          </cell>
          <cell r="G2381">
            <v>131</v>
          </cell>
          <cell r="H2381">
            <v>84</v>
          </cell>
          <cell r="I2381">
            <v>20</v>
          </cell>
          <cell r="J2381">
            <v>0</v>
          </cell>
          <cell r="K2381">
            <v>0</v>
          </cell>
          <cell r="L2381">
            <v>0.54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</row>
        <row r="2382">
          <cell r="A2382" t="str">
            <v>Y024-025</v>
          </cell>
          <cell r="B2382">
            <v>0</v>
          </cell>
          <cell r="C2382" t="str">
            <v>Y024</v>
          </cell>
          <cell r="D2382" t="str">
            <v>507-240</v>
          </cell>
          <cell r="E2382" t="str">
            <v>饰條</v>
          </cell>
          <cell r="F2382" t="str">
            <v>914*14*10</v>
          </cell>
          <cell r="G2382">
            <v>914</v>
          </cell>
          <cell r="H2382">
            <v>14</v>
          </cell>
          <cell r="I2382">
            <v>10</v>
          </cell>
          <cell r="J2382">
            <v>0</v>
          </cell>
          <cell r="K2382">
            <v>0</v>
          </cell>
          <cell r="L2382">
            <v>0.5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</row>
        <row r="2383">
          <cell r="A2383" t="str">
            <v>Y024-026</v>
          </cell>
          <cell r="B2383">
            <v>0</v>
          </cell>
          <cell r="C2383" t="str">
            <v>Y024</v>
          </cell>
          <cell r="D2383" t="str">
            <v>507-244</v>
          </cell>
          <cell r="E2383" t="str">
            <v>饰條</v>
          </cell>
          <cell r="F2383" t="str">
            <v>1900*14*10</v>
          </cell>
          <cell r="G2383">
            <v>1900</v>
          </cell>
          <cell r="H2383">
            <v>14</v>
          </cell>
          <cell r="I2383">
            <v>10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</row>
        <row r="2384">
          <cell r="A2384" t="str">
            <v>Y024-2001</v>
          </cell>
          <cell r="B2384">
            <v>0</v>
          </cell>
          <cell r="C2384" t="str">
            <v>Y024</v>
          </cell>
          <cell r="D2384">
            <v>0</v>
          </cell>
          <cell r="E2384" t="str">
            <v>圓飾塊</v>
          </cell>
          <cell r="F2384">
            <v>0</v>
          </cell>
          <cell r="G2384">
            <v>48</v>
          </cell>
          <cell r="H2384">
            <v>48</v>
          </cell>
          <cell r="I2384">
            <v>5</v>
          </cell>
          <cell r="J2384">
            <v>0</v>
          </cell>
          <cell r="K2384">
            <v>0</v>
          </cell>
          <cell r="L2384">
            <v>7.0000000000000007E-2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 t="e">
            <v>#DIV/0!</v>
          </cell>
        </row>
        <row r="2385">
          <cell r="A2385" t="str">
            <v>Y024-2002</v>
          </cell>
          <cell r="B2385">
            <v>0</v>
          </cell>
          <cell r="C2385" t="str">
            <v>Y024</v>
          </cell>
          <cell r="D2385">
            <v>0</v>
          </cell>
          <cell r="E2385" t="str">
            <v>耳朵</v>
          </cell>
          <cell r="F2385">
            <v>0</v>
          </cell>
          <cell r="G2385">
            <v>195</v>
          </cell>
          <cell r="H2385">
            <v>34</v>
          </cell>
          <cell r="I2385">
            <v>20</v>
          </cell>
          <cell r="J2385">
            <v>0</v>
          </cell>
          <cell r="K2385">
            <v>0</v>
          </cell>
          <cell r="L2385">
            <v>0.52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 t="e">
            <v>#DIV/0!</v>
          </cell>
        </row>
        <row r="2386">
          <cell r="A2386" t="str">
            <v>Y024-2003</v>
          </cell>
          <cell r="B2386">
            <v>0</v>
          </cell>
          <cell r="C2386" t="str">
            <v>Y024</v>
          </cell>
          <cell r="D2386">
            <v>0</v>
          </cell>
          <cell r="E2386" t="str">
            <v>座框飾條</v>
          </cell>
          <cell r="F2386">
            <v>0</v>
          </cell>
          <cell r="G2386">
            <v>1280</v>
          </cell>
          <cell r="H2386">
            <v>84</v>
          </cell>
          <cell r="I2386">
            <v>13</v>
          </cell>
          <cell r="J2386">
            <v>0</v>
          </cell>
          <cell r="K2386">
            <v>0</v>
          </cell>
          <cell r="L2386">
            <v>5.5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 t="e">
            <v>#DIV/0!</v>
          </cell>
        </row>
        <row r="2387">
          <cell r="A2387" t="str">
            <v>Y024-2004</v>
          </cell>
          <cell r="B2387">
            <v>0</v>
          </cell>
          <cell r="C2387" t="str">
            <v>Y024</v>
          </cell>
          <cell r="D2387">
            <v>0</v>
          </cell>
          <cell r="E2387" t="str">
            <v>半圓飾條</v>
          </cell>
          <cell r="F2387">
            <v>0</v>
          </cell>
          <cell r="G2387">
            <v>1000</v>
          </cell>
          <cell r="H2387">
            <v>10</v>
          </cell>
          <cell r="I2387">
            <v>5</v>
          </cell>
          <cell r="J2387">
            <v>93</v>
          </cell>
          <cell r="K2387">
            <v>0</v>
          </cell>
          <cell r="L2387">
            <v>0.27</v>
          </cell>
          <cell r="M2387">
            <v>0</v>
          </cell>
          <cell r="N2387">
            <v>0</v>
          </cell>
          <cell r="O2387">
            <v>0</v>
          </cell>
          <cell r="P2387" t="str">
            <v>1010</v>
          </cell>
          <cell r="Q2387" t="str">
            <v>1010</v>
          </cell>
          <cell r="R2387">
            <v>2.903225806451613</v>
          </cell>
        </row>
        <row r="2388">
          <cell r="A2388" t="str">
            <v>Y025-001</v>
          </cell>
          <cell r="B2388" t="str">
            <v>LCT059-081</v>
          </cell>
          <cell r="C2388" t="str">
            <v>Y025</v>
          </cell>
          <cell r="D2388" t="str">
            <v>36011345570A</v>
          </cell>
          <cell r="E2388" t="str">
            <v>Poly 1345-570A 床頭框上飾條</v>
          </cell>
          <cell r="F2388" t="str">
            <v>1588*13*6</v>
          </cell>
          <cell r="G2388">
            <v>1586</v>
          </cell>
          <cell r="H2388">
            <v>13</v>
          </cell>
          <cell r="I2388">
            <v>6</v>
          </cell>
          <cell r="J2388">
            <v>0</v>
          </cell>
          <cell r="K2388">
            <v>0</v>
          </cell>
          <cell r="L2388">
            <v>2.46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 t="e">
            <v>#DIV/0!</v>
          </cell>
        </row>
        <row r="2389">
          <cell r="A2389" t="str">
            <v>Y025-002</v>
          </cell>
          <cell r="B2389" t="str">
            <v>LCT059-082</v>
          </cell>
          <cell r="C2389" t="str">
            <v>Y025</v>
          </cell>
          <cell r="D2389" t="str">
            <v>36011345570B</v>
          </cell>
          <cell r="E2389" t="str">
            <v>Poly 1345-570A 床頭框側飾條</v>
          </cell>
          <cell r="F2389" t="str">
            <v>655*13*6</v>
          </cell>
          <cell r="G2389">
            <v>655</v>
          </cell>
          <cell r="H2389">
            <v>13</v>
          </cell>
          <cell r="I2389">
            <v>6</v>
          </cell>
          <cell r="J2389">
            <v>0</v>
          </cell>
          <cell r="K2389">
            <v>0</v>
          </cell>
          <cell r="L2389">
            <v>1.05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 t="e">
            <v>#DIV/0!</v>
          </cell>
        </row>
        <row r="2390">
          <cell r="A2390" t="str">
            <v>Y025-003</v>
          </cell>
          <cell r="B2390" t="str">
            <v>LCT059-083</v>
          </cell>
          <cell r="C2390" t="str">
            <v>Y025</v>
          </cell>
          <cell r="D2390" t="str">
            <v>36011345580A</v>
          </cell>
          <cell r="E2390" t="str">
            <v>Poly 1345-580A 床尾框上飾條</v>
          </cell>
          <cell r="F2390" t="str">
            <v>1552*13*6</v>
          </cell>
          <cell r="G2390">
            <v>1552</v>
          </cell>
          <cell r="H2390">
            <v>13</v>
          </cell>
          <cell r="I2390">
            <v>6</v>
          </cell>
          <cell r="J2390">
            <v>0</v>
          </cell>
          <cell r="K2390">
            <v>0</v>
          </cell>
          <cell r="L2390">
            <v>2.5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 t="e">
            <v>#DIV/0!</v>
          </cell>
        </row>
        <row r="2391">
          <cell r="A2391" t="str">
            <v>Y025-004</v>
          </cell>
          <cell r="B2391" t="str">
            <v>LCT059-084</v>
          </cell>
          <cell r="C2391" t="str">
            <v>Y025</v>
          </cell>
          <cell r="D2391" t="str">
            <v>36011345580B</v>
          </cell>
          <cell r="E2391" t="str">
            <v>Poly 1345-580A 床尾框側飾條</v>
          </cell>
          <cell r="F2391" t="str">
            <v>355*13*6</v>
          </cell>
          <cell r="G2391">
            <v>355</v>
          </cell>
          <cell r="H2391">
            <v>13</v>
          </cell>
          <cell r="I2391">
            <v>6</v>
          </cell>
          <cell r="J2391">
            <v>0</v>
          </cell>
          <cell r="K2391">
            <v>0</v>
          </cell>
          <cell r="L2391">
            <v>0.57999999999999996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 t="e">
            <v>#DIV/0!</v>
          </cell>
        </row>
        <row r="2392">
          <cell r="A2392" t="str">
            <v>Y025-005</v>
          </cell>
          <cell r="B2392" t="str">
            <v>LCT059-085</v>
          </cell>
          <cell r="C2392" t="str">
            <v>Y025</v>
          </cell>
          <cell r="D2392" t="str">
            <v>360140913081A</v>
          </cell>
          <cell r="E2392" t="str">
            <v>Poly  40913-081A 側上板飾條</v>
          </cell>
          <cell r="F2392" t="str">
            <v>313*19*8</v>
          </cell>
          <cell r="G2392">
            <v>313</v>
          </cell>
          <cell r="H2392">
            <v>19</v>
          </cell>
          <cell r="I2392">
            <v>8</v>
          </cell>
          <cell r="J2392">
            <v>58</v>
          </cell>
          <cell r="K2392">
            <v>0</v>
          </cell>
          <cell r="L2392">
            <v>0.16</v>
          </cell>
          <cell r="M2392">
            <v>0</v>
          </cell>
          <cell r="N2392">
            <v>0</v>
          </cell>
          <cell r="O2392">
            <v>0</v>
          </cell>
          <cell r="P2392" t="str">
            <v>1010</v>
          </cell>
          <cell r="Q2392" t="str">
            <v>1010</v>
          </cell>
          <cell r="R2392">
            <v>2.7586206896551722</v>
          </cell>
        </row>
        <row r="2393">
          <cell r="A2393" t="str">
            <v>Y025-006</v>
          </cell>
          <cell r="B2393" t="str">
            <v>LCT059-086</v>
          </cell>
          <cell r="C2393" t="str">
            <v>Y025</v>
          </cell>
          <cell r="D2393" t="str">
            <v>360140913081B</v>
          </cell>
          <cell r="E2393" t="str">
            <v>Poly  40913-081B 尾飾條一</v>
          </cell>
          <cell r="F2393" t="str">
            <v>443*6*3</v>
          </cell>
          <cell r="G2393">
            <v>443</v>
          </cell>
          <cell r="H2393">
            <v>6</v>
          </cell>
          <cell r="I2393">
            <v>3</v>
          </cell>
          <cell r="J2393">
            <v>20</v>
          </cell>
          <cell r="K2393">
            <v>0</v>
          </cell>
          <cell r="L2393">
            <v>0.12</v>
          </cell>
          <cell r="M2393">
            <v>0</v>
          </cell>
          <cell r="N2393">
            <v>0</v>
          </cell>
          <cell r="O2393">
            <v>0</v>
          </cell>
          <cell r="P2393" t="str">
            <v>1010</v>
          </cell>
          <cell r="Q2393" t="str">
            <v>1010</v>
          </cell>
          <cell r="R2393">
            <v>6</v>
          </cell>
        </row>
        <row r="2394">
          <cell r="A2394" t="str">
            <v>Y025-007</v>
          </cell>
          <cell r="B2394" t="str">
            <v>LCT059-087</v>
          </cell>
          <cell r="C2394" t="str">
            <v>Y025</v>
          </cell>
          <cell r="D2394" t="str">
            <v>360140913081C</v>
          </cell>
          <cell r="E2394" t="str">
            <v>Poly 40913-081C 尾飾條二</v>
          </cell>
          <cell r="F2394" t="str">
            <v>313*6*3</v>
          </cell>
          <cell r="G2394">
            <v>313</v>
          </cell>
          <cell r="H2394">
            <v>6</v>
          </cell>
          <cell r="I2394">
            <v>3</v>
          </cell>
          <cell r="J2394">
            <v>17</v>
          </cell>
          <cell r="K2394">
            <v>0</v>
          </cell>
          <cell r="L2394">
            <v>0.08</v>
          </cell>
          <cell r="M2394">
            <v>0</v>
          </cell>
          <cell r="N2394">
            <v>0</v>
          </cell>
          <cell r="O2394">
            <v>0</v>
          </cell>
          <cell r="P2394" t="str">
            <v>1010</v>
          </cell>
          <cell r="Q2394" t="str">
            <v>1010</v>
          </cell>
          <cell r="R2394">
            <v>4.7058823529411766</v>
          </cell>
        </row>
        <row r="2395">
          <cell r="A2395" t="str">
            <v>Y025-008</v>
          </cell>
          <cell r="B2395" t="str">
            <v>LCT059-088</v>
          </cell>
          <cell r="C2395" t="str">
            <v>Y025</v>
          </cell>
          <cell r="D2395" t="str">
            <v>3601451000</v>
          </cell>
          <cell r="E2395" t="str">
            <v>Poly 451 企柱飾條</v>
          </cell>
          <cell r="F2395" t="str">
            <v>54*32*6</v>
          </cell>
          <cell r="G2395">
            <v>54</v>
          </cell>
          <cell r="H2395">
            <v>32</v>
          </cell>
          <cell r="I2395">
            <v>6</v>
          </cell>
          <cell r="J2395">
            <v>21</v>
          </cell>
          <cell r="K2395">
            <v>0</v>
          </cell>
          <cell r="L2395">
            <v>0.1</v>
          </cell>
          <cell r="M2395">
            <v>0</v>
          </cell>
          <cell r="N2395">
            <v>0</v>
          </cell>
          <cell r="O2395">
            <v>0</v>
          </cell>
          <cell r="P2395" t="str">
            <v>1010</v>
          </cell>
          <cell r="Q2395" t="str">
            <v>1010</v>
          </cell>
          <cell r="R2395">
            <v>4.7619047619047619</v>
          </cell>
        </row>
        <row r="2396">
          <cell r="A2396" t="str">
            <v>Y025-009</v>
          </cell>
          <cell r="B2396" t="str">
            <v>LCT059-035</v>
          </cell>
          <cell r="C2396" t="str">
            <v>Y025</v>
          </cell>
          <cell r="D2396" t="str">
            <v>900-621F</v>
          </cell>
          <cell r="E2396" t="str">
            <v>抽面弯形饰条</v>
          </cell>
          <cell r="F2396" t="str">
            <v>725*37*22</v>
          </cell>
          <cell r="G2396">
            <v>725</v>
          </cell>
          <cell r="H2396">
            <v>37</v>
          </cell>
          <cell r="I2396">
            <v>22</v>
          </cell>
          <cell r="J2396">
            <v>620</v>
          </cell>
          <cell r="K2396">
            <v>0</v>
          </cell>
          <cell r="L2396">
            <v>1.96</v>
          </cell>
          <cell r="M2396">
            <v>0</v>
          </cell>
          <cell r="N2396">
            <v>0</v>
          </cell>
          <cell r="O2396">
            <v>0</v>
          </cell>
          <cell r="P2396" t="str">
            <v>1010</v>
          </cell>
          <cell r="Q2396" t="str">
            <v>1010</v>
          </cell>
          <cell r="R2396">
            <v>3.161290322580645</v>
          </cell>
        </row>
        <row r="2397">
          <cell r="A2397" t="str">
            <v>Y025-010</v>
          </cell>
          <cell r="B2397" t="str">
            <v>LCT059-036</v>
          </cell>
          <cell r="C2397" t="str">
            <v>Y025</v>
          </cell>
          <cell r="D2397" t="str">
            <v>900-622A</v>
          </cell>
          <cell r="E2397" t="str">
            <v>饰花</v>
          </cell>
          <cell r="F2397" t="str">
            <v>313*110*11</v>
          </cell>
          <cell r="G2397">
            <v>313</v>
          </cell>
          <cell r="H2397">
            <v>110</v>
          </cell>
          <cell r="I2397">
            <v>11</v>
          </cell>
          <cell r="J2397">
            <v>120</v>
          </cell>
          <cell r="K2397">
            <v>0</v>
          </cell>
          <cell r="L2397">
            <v>0.33</v>
          </cell>
          <cell r="M2397">
            <v>0</v>
          </cell>
          <cell r="N2397">
            <v>0</v>
          </cell>
          <cell r="O2397">
            <v>0</v>
          </cell>
          <cell r="P2397" t="str">
            <v>1010</v>
          </cell>
          <cell r="Q2397" t="str">
            <v>1010</v>
          </cell>
          <cell r="R2397">
            <v>2.7500000000000004</v>
          </cell>
        </row>
        <row r="2398">
          <cell r="A2398" t="str">
            <v>Y025-011</v>
          </cell>
          <cell r="B2398" t="str">
            <v>LCT059-060</v>
          </cell>
          <cell r="C2398" t="str">
            <v>Y025</v>
          </cell>
          <cell r="D2398" t="str">
            <v>900-134G</v>
          </cell>
          <cell r="E2398" t="str">
            <v>内弯饰条</v>
          </cell>
          <cell r="F2398" t="str">
            <v>1364*29*19</v>
          </cell>
          <cell r="G2398">
            <v>1364</v>
          </cell>
          <cell r="H2398">
            <v>29</v>
          </cell>
          <cell r="I2398">
            <v>19</v>
          </cell>
          <cell r="J2398">
            <v>940</v>
          </cell>
          <cell r="K2398">
            <v>2.2599999999999998</v>
          </cell>
          <cell r="L2398">
            <v>2.2599999999999998</v>
          </cell>
          <cell r="M2398">
            <v>0</v>
          </cell>
          <cell r="N2398">
            <v>0</v>
          </cell>
          <cell r="O2398">
            <v>60</v>
          </cell>
          <cell r="P2398" t="str">
            <v>1010</v>
          </cell>
          <cell r="Q2398">
            <v>1010</v>
          </cell>
          <cell r="R2398">
            <v>2.4042553191489362</v>
          </cell>
        </row>
        <row r="2399">
          <cell r="A2399" t="str">
            <v>Y025-012</v>
          </cell>
          <cell r="B2399" t="str">
            <v>LCT059-046</v>
          </cell>
          <cell r="C2399" t="str">
            <v>Y025</v>
          </cell>
          <cell r="D2399" t="str">
            <v>900-876A</v>
          </cell>
          <cell r="E2399" t="str">
            <v>连接块饰块</v>
          </cell>
          <cell r="F2399" t="str">
            <v>81*81*12</v>
          </cell>
          <cell r="G2399">
            <v>81</v>
          </cell>
          <cell r="H2399">
            <v>81</v>
          </cell>
          <cell r="I2399">
            <v>12</v>
          </cell>
          <cell r="J2399">
            <v>63</v>
          </cell>
          <cell r="K2399">
            <v>0</v>
          </cell>
          <cell r="L2399">
            <v>0.28000000000000003</v>
          </cell>
          <cell r="M2399">
            <v>0</v>
          </cell>
          <cell r="N2399">
            <v>0</v>
          </cell>
          <cell r="O2399" t="str">
            <v>V</v>
          </cell>
          <cell r="P2399" t="str">
            <v>1010</v>
          </cell>
          <cell r="Q2399">
            <v>1010</v>
          </cell>
          <cell r="R2399">
            <v>4.4444444444444446</v>
          </cell>
        </row>
        <row r="2400">
          <cell r="A2400" t="str">
            <v>Y025-013</v>
          </cell>
          <cell r="B2400" t="str">
            <v>LCT059-047</v>
          </cell>
          <cell r="C2400" t="str">
            <v>Y025</v>
          </cell>
          <cell r="D2400" t="str">
            <v>900-876B</v>
          </cell>
          <cell r="E2400" t="str">
            <v>连接块饰块2</v>
          </cell>
          <cell r="F2400" t="str">
            <v>37*37*4</v>
          </cell>
          <cell r="G2400">
            <v>37</v>
          </cell>
          <cell r="H2400">
            <v>37</v>
          </cell>
          <cell r="I2400">
            <v>4</v>
          </cell>
          <cell r="J2400">
            <v>5</v>
          </cell>
          <cell r="K2400">
            <v>0</v>
          </cell>
          <cell r="L2400">
            <v>0.06</v>
          </cell>
          <cell r="M2400">
            <v>0</v>
          </cell>
          <cell r="N2400">
            <v>0</v>
          </cell>
          <cell r="O2400" t="str">
            <v>V</v>
          </cell>
          <cell r="P2400" t="str">
            <v>1010</v>
          </cell>
          <cell r="Q2400">
            <v>1010</v>
          </cell>
          <cell r="R2400">
            <v>12</v>
          </cell>
        </row>
        <row r="2401">
          <cell r="A2401" t="str">
            <v>Y025-014</v>
          </cell>
          <cell r="B2401" t="str">
            <v>LCT059-076</v>
          </cell>
          <cell r="C2401" t="str">
            <v>Y025</v>
          </cell>
          <cell r="D2401" t="str">
            <v>3601900134A</v>
          </cell>
          <cell r="E2401" t="str">
            <v>POLY直饰條</v>
          </cell>
          <cell r="F2401" t="str">
            <v>1200*29*19</v>
          </cell>
          <cell r="G2401">
            <v>1200</v>
          </cell>
          <cell r="H2401">
            <v>29</v>
          </cell>
          <cell r="I2401">
            <v>19</v>
          </cell>
          <cell r="J2401">
            <v>710</v>
          </cell>
          <cell r="K2401">
            <v>0</v>
          </cell>
          <cell r="L2401">
            <v>2</v>
          </cell>
          <cell r="M2401">
            <v>0</v>
          </cell>
          <cell r="N2401">
            <v>0</v>
          </cell>
          <cell r="O2401" t="str">
            <v>V</v>
          </cell>
          <cell r="P2401" t="str">
            <v>1010</v>
          </cell>
          <cell r="Q2401">
            <v>1010</v>
          </cell>
          <cell r="R2401">
            <v>2.8169014084507045</v>
          </cell>
        </row>
        <row r="2402">
          <cell r="A2402" t="str">
            <v>Y025-015</v>
          </cell>
          <cell r="B2402" t="str">
            <v>LCT059-070</v>
          </cell>
          <cell r="C2402" t="str">
            <v>Y025</v>
          </cell>
          <cell r="D2402" t="str">
            <v>3601900954C</v>
          </cell>
          <cell r="E2402" t="str">
            <v>测板饰框</v>
          </cell>
          <cell r="F2402" t="str">
            <v>130*27*25</v>
          </cell>
          <cell r="G2402">
            <v>130</v>
          </cell>
          <cell r="H2402">
            <v>27</v>
          </cell>
          <cell r="I2402">
            <v>25</v>
          </cell>
          <cell r="J2402">
            <v>60</v>
          </cell>
          <cell r="K2402">
            <v>0</v>
          </cell>
          <cell r="L2402">
            <v>0.37</v>
          </cell>
          <cell r="M2402">
            <v>0</v>
          </cell>
          <cell r="N2402">
            <v>0</v>
          </cell>
          <cell r="O2402" t="str">
            <v>V</v>
          </cell>
          <cell r="P2402" t="str">
            <v>1010</v>
          </cell>
          <cell r="Q2402">
            <v>1010</v>
          </cell>
          <cell r="R2402">
            <v>6.166666666666667</v>
          </cell>
        </row>
        <row r="2403">
          <cell r="A2403" t="str">
            <v>Y025-016</v>
          </cell>
          <cell r="B2403" t="str">
            <v>LCT059-071</v>
          </cell>
          <cell r="C2403" t="str">
            <v>Y025</v>
          </cell>
          <cell r="D2403" t="str">
            <v>3601900954C</v>
          </cell>
          <cell r="E2403" t="str">
            <v>测板饰框</v>
          </cell>
          <cell r="F2403" t="str">
            <v>130*27*25</v>
          </cell>
          <cell r="G2403">
            <v>130</v>
          </cell>
          <cell r="H2403">
            <v>27</v>
          </cell>
          <cell r="I2403">
            <v>25</v>
          </cell>
          <cell r="J2403">
            <v>60</v>
          </cell>
          <cell r="K2403">
            <v>0</v>
          </cell>
          <cell r="L2403">
            <v>0.37</v>
          </cell>
          <cell r="M2403">
            <v>0</v>
          </cell>
          <cell r="N2403">
            <v>0</v>
          </cell>
          <cell r="O2403" t="str">
            <v>V</v>
          </cell>
          <cell r="P2403" t="str">
            <v>1010</v>
          </cell>
          <cell r="Q2403">
            <v>1010</v>
          </cell>
          <cell r="R2403">
            <v>6.166666666666667</v>
          </cell>
        </row>
        <row r="2404">
          <cell r="A2404" t="str">
            <v>Y025-017</v>
          </cell>
          <cell r="B2404" t="str">
            <v>LCT059-080</v>
          </cell>
          <cell r="C2404" t="str">
            <v>Y025</v>
          </cell>
          <cell r="D2404" t="str">
            <v>3601900954D</v>
          </cell>
          <cell r="E2404" t="str">
            <v>面板弯形饰条</v>
          </cell>
          <cell r="F2404" t="str">
            <v>555*105*25</v>
          </cell>
          <cell r="G2404">
            <v>555</v>
          </cell>
          <cell r="H2404">
            <v>105</v>
          </cell>
          <cell r="I2404">
            <v>25</v>
          </cell>
          <cell r="J2404">
            <v>240</v>
          </cell>
          <cell r="K2404">
            <v>0</v>
          </cell>
          <cell r="L2404">
            <v>0.64</v>
          </cell>
          <cell r="M2404">
            <v>0</v>
          </cell>
          <cell r="N2404">
            <v>0</v>
          </cell>
          <cell r="O2404" t="str">
            <v>V</v>
          </cell>
          <cell r="P2404" t="str">
            <v>1010</v>
          </cell>
          <cell r="Q2404">
            <v>1010</v>
          </cell>
          <cell r="R2404">
            <v>2.666666666666667</v>
          </cell>
        </row>
        <row r="2405">
          <cell r="A2405" t="str">
            <v>Y025-018</v>
          </cell>
          <cell r="B2405" t="str">
            <v>LCT059-032</v>
          </cell>
          <cell r="C2405" t="str">
            <v>Y025</v>
          </cell>
          <cell r="D2405" t="str">
            <v>900-234/621/624A</v>
          </cell>
          <cell r="E2405" t="str">
            <v>前框企柱饰条</v>
          </cell>
          <cell r="F2405" t="str">
            <v>100*42*11</v>
          </cell>
          <cell r="G2405">
            <v>100</v>
          </cell>
          <cell r="H2405">
            <v>42</v>
          </cell>
          <cell r="I2405">
            <v>11</v>
          </cell>
          <cell r="J2405">
            <v>41</v>
          </cell>
          <cell r="K2405">
            <v>0</v>
          </cell>
          <cell r="L2405">
            <v>0.22</v>
          </cell>
          <cell r="M2405">
            <v>0</v>
          </cell>
          <cell r="N2405">
            <v>0</v>
          </cell>
          <cell r="O2405">
            <v>0</v>
          </cell>
          <cell r="P2405" t="str">
            <v>1010</v>
          </cell>
          <cell r="Q2405" t="str">
            <v>1010</v>
          </cell>
          <cell r="R2405">
            <v>5.3658536585365848</v>
          </cell>
        </row>
        <row r="2406">
          <cell r="A2406" t="str">
            <v>Y025-019</v>
          </cell>
          <cell r="B2406" t="str">
            <v>LCT059-034</v>
          </cell>
          <cell r="C2406" t="str">
            <v>Y025</v>
          </cell>
          <cell r="D2406" t="str">
            <v>900-621D</v>
          </cell>
          <cell r="E2406" t="str">
            <v>底框弯形饰条</v>
          </cell>
          <cell r="F2406" t="str">
            <v>860*130*22</v>
          </cell>
          <cell r="G2406">
            <v>860</v>
          </cell>
          <cell r="H2406">
            <v>130</v>
          </cell>
          <cell r="I2406">
            <v>22</v>
          </cell>
          <cell r="J2406">
            <v>430</v>
          </cell>
          <cell r="K2406">
            <v>0</v>
          </cell>
          <cell r="L2406">
            <v>1.2</v>
          </cell>
          <cell r="M2406">
            <v>0</v>
          </cell>
          <cell r="N2406">
            <v>0</v>
          </cell>
          <cell r="O2406">
            <v>0</v>
          </cell>
          <cell r="P2406" t="str">
            <v>1010</v>
          </cell>
          <cell r="Q2406" t="str">
            <v>1010</v>
          </cell>
          <cell r="R2406">
            <v>2.7906976744186047</v>
          </cell>
        </row>
        <row r="2407">
          <cell r="A2407" t="str">
            <v>Y025-020</v>
          </cell>
          <cell r="B2407" t="str">
            <v>LCT059-078</v>
          </cell>
          <cell r="C2407" t="str">
            <v>Y025</v>
          </cell>
          <cell r="D2407" t="str">
            <v>3601900945D</v>
          </cell>
          <cell r="E2407" t="str">
            <v>面框饰條</v>
          </cell>
          <cell r="F2407" t="str">
            <v>1300*27*25</v>
          </cell>
          <cell r="G2407">
            <v>1300</v>
          </cell>
          <cell r="H2407">
            <v>27</v>
          </cell>
          <cell r="I2407">
            <v>25</v>
          </cell>
          <cell r="J2407">
            <v>710</v>
          </cell>
          <cell r="K2407">
            <v>0</v>
          </cell>
          <cell r="L2407">
            <v>1.5</v>
          </cell>
          <cell r="M2407">
            <v>0</v>
          </cell>
          <cell r="N2407">
            <v>0</v>
          </cell>
          <cell r="O2407" t="str">
            <v>V</v>
          </cell>
          <cell r="P2407" t="str">
            <v>1010</v>
          </cell>
          <cell r="Q2407">
            <v>1010</v>
          </cell>
          <cell r="R2407">
            <v>2.1126760563380285</v>
          </cell>
        </row>
        <row r="2408">
          <cell r="A2408" t="str">
            <v>Y025-021</v>
          </cell>
          <cell r="B2408" t="str">
            <v>LCT059-079</v>
          </cell>
          <cell r="C2408" t="str">
            <v>Y025</v>
          </cell>
          <cell r="D2408" t="str">
            <v>3601900945E</v>
          </cell>
          <cell r="E2408" t="str">
            <v>面框饰條</v>
          </cell>
          <cell r="F2408" t="str">
            <v>1240*27*25</v>
          </cell>
          <cell r="G2408">
            <v>1240</v>
          </cell>
          <cell r="H2408">
            <v>27</v>
          </cell>
          <cell r="I2408">
            <v>25</v>
          </cell>
          <cell r="J2408">
            <v>650</v>
          </cell>
          <cell r="K2408">
            <v>0</v>
          </cell>
          <cell r="L2408">
            <v>1.43</v>
          </cell>
          <cell r="M2408">
            <v>0</v>
          </cell>
          <cell r="N2408">
            <v>0</v>
          </cell>
          <cell r="O2408" t="str">
            <v>V</v>
          </cell>
          <cell r="P2408" t="str">
            <v>1010</v>
          </cell>
          <cell r="Q2408">
            <v>1010</v>
          </cell>
          <cell r="R2408">
            <v>2.1999999999999997</v>
          </cell>
        </row>
        <row r="2409">
          <cell r="A2409" t="str">
            <v>Y025-022</v>
          </cell>
          <cell r="B2409" t="str">
            <v>LCT059-058</v>
          </cell>
          <cell r="C2409" t="str">
            <v>Y025</v>
          </cell>
          <cell r="D2409" t="str">
            <v>900-234/621/624D</v>
          </cell>
          <cell r="E2409" t="str">
            <v>直饰条</v>
          </cell>
          <cell r="F2409" t="str">
            <v>1880*25*14</v>
          </cell>
          <cell r="G2409">
            <v>1880</v>
          </cell>
          <cell r="H2409">
            <v>25</v>
          </cell>
          <cell r="I2409">
            <v>14</v>
          </cell>
          <cell r="J2409">
            <v>765</v>
          </cell>
          <cell r="K2409">
            <v>0</v>
          </cell>
          <cell r="L2409">
            <v>2.14</v>
          </cell>
          <cell r="M2409">
            <v>0</v>
          </cell>
          <cell r="N2409">
            <v>0</v>
          </cell>
          <cell r="O2409">
            <v>60</v>
          </cell>
          <cell r="P2409" t="str">
            <v>1010</v>
          </cell>
          <cell r="Q2409">
            <v>1010</v>
          </cell>
          <cell r="R2409">
            <v>2.797385620915033</v>
          </cell>
        </row>
        <row r="2410">
          <cell r="A2410" t="str">
            <v>Y025-023</v>
          </cell>
          <cell r="B2410" t="str">
            <v>LCT059-022</v>
          </cell>
          <cell r="C2410" t="str">
            <v>Y025</v>
          </cell>
          <cell r="D2410" t="str">
            <v>3601145002906</v>
          </cell>
          <cell r="E2410" t="str">
            <v>100-329/102-505飾條</v>
          </cell>
          <cell r="F2410" t="str">
            <v>1450*29*6</v>
          </cell>
          <cell r="G2410">
            <v>1450</v>
          </cell>
          <cell r="H2410">
            <v>29</v>
          </cell>
          <cell r="I2410">
            <v>6</v>
          </cell>
          <cell r="J2410">
            <v>330</v>
          </cell>
          <cell r="K2410">
            <v>0</v>
          </cell>
          <cell r="L2410">
            <v>1.1000000000000001</v>
          </cell>
          <cell r="M2410">
            <v>0</v>
          </cell>
          <cell r="N2410" t="str">
            <v>T</v>
          </cell>
          <cell r="O2410">
            <v>0</v>
          </cell>
          <cell r="P2410" t="str">
            <v>1010</v>
          </cell>
          <cell r="Q2410" t="str">
            <v>1010</v>
          </cell>
          <cell r="R2410">
            <v>3.3333333333333335</v>
          </cell>
        </row>
        <row r="2411">
          <cell r="A2411" t="str">
            <v>Y025-024</v>
          </cell>
          <cell r="B2411" t="str">
            <v>LCT059-089</v>
          </cell>
          <cell r="C2411" t="str">
            <v>Y025</v>
          </cell>
          <cell r="D2411" t="str">
            <v>3601B023350</v>
          </cell>
          <cell r="E2411" t="str">
            <v xml:space="preserve">B023-350 </v>
          </cell>
          <cell r="F2411" t="str">
            <v>600*46*30</v>
          </cell>
          <cell r="G2411">
            <v>600</v>
          </cell>
          <cell r="H2411">
            <v>46</v>
          </cell>
          <cell r="I2411">
            <v>30</v>
          </cell>
          <cell r="J2411">
            <v>530</v>
          </cell>
          <cell r="K2411">
            <v>0</v>
          </cell>
          <cell r="L2411">
            <v>1.5</v>
          </cell>
          <cell r="M2411">
            <v>0</v>
          </cell>
          <cell r="N2411">
            <v>0</v>
          </cell>
          <cell r="O2411">
            <v>0</v>
          </cell>
          <cell r="P2411" t="str">
            <v>1010</v>
          </cell>
          <cell r="Q2411" t="str">
            <v>1010</v>
          </cell>
          <cell r="R2411">
            <v>2.8301886792452828</v>
          </cell>
        </row>
        <row r="2412">
          <cell r="A2412" t="str">
            <v>Y025-025</v>
          </cell>
          <cell r="B2412" t="str">
            <v>LCT059-069</v>
          </cell>
          <cell r="C2412" t="str">
            <v>Y025</v>
          </cell>
          <cell r="D2412" t="str">
            <v>900-234</v>
          </cell>
          <cell r="E2412" t="str">
            <v>L中抽直飾條</v>
          </cell>
          <cell r="F2412" t="str">
            <v>400*37*22</v>
          </cell>
          <cell r="G2412">
            <v>400</v>
          </cell>
          <cell r="H2412">
            <v>37</v>
          </cell>
          <cell r="I2412">
            <v>22</v>
          </cell>
          <cell r="J2412">
            <v>360</v>
          </cell>
          <cell r="K2412">
            <v>0</v>
          </cell>
          <cell r="L2412">
            <v>1.01</v>
          </cell>
          <cell r="M2412">
            <v>0</v>
          </cell>
          <cell r="N2412">
            <v>0</v>
          </cell>
          <cell r="O2412" t="str">
            <v>V</v>
          </cell>
          <cell r="P2412" t="str">
            <v>1010</v>
          </cell>
          <cell r="Q2412">
            <v>1010</v>
          </cell>
          <cell r="R2412">
            <v>2.8055555555555558</v>
          </cell>
        </row>
        <row r="2413">
          <cell r="A2413" t="str">
            <v>Y025-026</v>
          </cell>
          <cell r="B2413" t="str">
            <v>LCT059-033</v>
          </cell>
          <cell r="C2413" t="str">
            <v>Y025</v>
          </cell>
          <cell r="D2413" t="str">
            <v>900-234D</v>
          </cell>
          <cell r="E2413" t="str">
            <v>底框弯形饰条</v>
          </cell>
          <cell r="F2413" t="str">
            <v>1830*145*22</v>
          </cell>
          <cell r="G2413">
            <v>1830</v>
          </cell>
          <cell r="H2413">
            <v>145</v>
          </cell>
          <cell r="I2413">
            <v>22</v>
          </cell>
          <cell r="J2413">
            <v>920</v>
          </cell>
          <cell r="K2413">
            <v>0</v>
          </cell>
          <cell r="L2413">
            <v>2.57</v>
          </cell>
          <cell r="M2413">
            <v>0</v>
          </cell>
          <cell r="N2413">
            <v>0</v>
          </cell>
          <cell r="O2413">
            <v>0</v>
          </cell>
          <cell r="P2413" t="str">
            <v>1010</v>
          </cell>
          <cell r="Q2413" t="str">
            <v>1010</v>
          </cell>
          <cell r="R2413">
            <v>2.793478260869565</v>
          </cell>
        </row>
        <row r="2414">
          <cell r="A2414" t="str">
            <v>Y025-027</v>
          </cell>
          <cell r="B2414" t="str">
            <v>LCT059-064</v>
          </cell>
          <cell r="C2414" t="str">
            <v>Y025</v>
          </cell>
          <cell r="D2414" t="str">
            <v>900-234FL</v>
          </cell>
          <cell r="E2414" t="str">
            <v>左抽面饰条 trai</v>
          </cell>
          <cell r="F2414" t="str">
            <v>554*38*22</v>
          </cell>
          <cell r="G2414">
            <v>554</v>
          </cell>
          <cell r="H2414">
            <v>38</v>
          </cell>
          <cell r="I2414">
            <v>22</v>
          </cell>
          <cell r="J2414">
            <v>610</v>
          </cell>
          <cell r="K2414">
            <v>0</v>
          </cell>
          <cell r="L2414">
            <v>1.26</v>
          </cell>
          <cell r="M2414">
            <v>0</v>
          </cell>
          <cell r="N2414">
            <v>0</v>
          </cell>
          <cell r="O2414">
            <v>0</v>
          </cell>
          <cell r="P2414" t="str">
            <v>1010</v>
          </cell>
          <cell r="Q2414">
            <v>1010</v>
          </cell>
          <cell r="R2414">
            <v>2.0655737704918034</v>
          </cell>
        </row>
        <row r="2415">
          <cell r="A2415" t="str">
            <v>Y025-028</v>
          </cell>
          <cell r="B2415" t="str">
            <v>LCT059-065</v>
          </cell>
          <cell r="C2415" t="str">
            <v>Y025</v>
          </cell>
          <cell r="D2415" t="str">
            <v>900-234FL</v>
          </cell>
          <cell r="E2415" t="str">
            <v>右抽面饰条 phai</v>
          </cell>
          <cell r="F2415" t="str">
            <v>554*38*22</v>
          </cell>
          <cell r="G2415">
            <v>554</v>
          </cell>
          <cell r="H2415">
            <v>38</v>
          </cell>
          <cell r="I2415">
            <v>22</v>
          </cell>
          <cell r="J2415">
            <v>610</v>
          </cell>
          <cell r="K2415">
            <v>0</v>
          </cell>
          <cell r="L2415">
            <v>1.26</v>
          </cell>
          <cell r="M2415">
            <v>0</v>
          </cell>
          <cell r="N2415">
            <v>0</v>
          </cell>
          <cell r="O2415">
            <v>0</v>
          </cell>
          <cell r="P2415" t="str">
            <v>1010</v>
          </cell>
          <cell r="Q2415">
            <v>1010</v>
          </cell>
          <cell r="R2415">
            <v>2.0655737704918034</v>
          </cell>
        </row>
        <row r="2416">
          <cell r="A2416" t="str">
            <v>Y025-029</v>
          </cell>
          <cell r="B2416" t="str">
            <v>LCT059-039</v>
          </cell>
          <cell r="C2416" t="str">
            <v>Y025</v>
          </cell>
          <cell r="D2416" t="str">
            <v>900-852A</v>
          </cell>
          <cell r="E2416" t="str">
            <v>前横饰花</v>
          </cell>
          <cell r="F2416" t="str">
            <v>506*99*11</v>
          </cell>
          <cell r="G2416">
            <v>506</v>
          </cell>
          <cell r="H2416">
            <v>99</v>
          </cell>
          <cell r="I2416">
            <v>11</v>
          </cell>
          <cell r="J2416">
            <v>210</v>
          </cell>
          <cell r="K2416">
            <v>0</v>
          </cell>
          <cell r="L2416">
            <v>0.57999999999999996</v>
          </cell>
          <cell r="M2416">
            <v>0</v>
          </cell>
          <cell r="N2416">
            <v>0</v>
          </cell>
          <cell r="O2416">
            <v>0</v>
          </cell>
          <cell r="P2416" t="str">
            <v>1010</v>
          </cell>
          <cell r="Q2416" t="str">
            <v>1010</v>
          </cell>
          <cell r="R2416">
            <v>2.7619047619047619</v>
          </cell>
        </row>
        <row r="2417">
          <cell r="A2417" t="str">
            <v>Y025-030</v>
          </cell>
          <cell r="B2417" t="str">
            <v>LCT059-040</v>
          </cell>
          <cell r="C2417" t="str">
            <v>Y025</v>
          </cell>
          <cell r="D2417" t="str">
            <v>900-852B</v>
          </cell>
          <cell r="E2417" t="str">
            <v>前横饰花</v>
          </cell>
          <cell r="F2417" t="str">
            <v>220*160*11</v>
          </cell>
          <cell r="G2417">
            <v>220</v>
          </cell>
          <cell r="H2417">
            <v>160</v>
          </cell>
          <cell r="I2417">
            <v>11</v>
          </cell>
          <cell r="J2417">
            <v>130</v>
          </cell>
          <cell r="K2417">
            <v>0</v>
          </cell>
          <cell r="L2417">
            <v>0.39</v>
          </cell>
          <cell r="M2417">
            <v>0</v>
          </cell>
          <cell r="N2417">
            <v>0</v>
          </cell>
          <cell r="O2417">
            <v>0</v>
          </cell>
          <cell r="P2417" t="str">
            <v>1010</v>
          </cell>
          <cell r="Q2417" t="str">
            <v>1010</v>
          </cell>
          <cell r="R2417">
            <v>3</v>
          </cell>
        </row>
        <row r="2418">
          <cell r="A2418" t="str">
            <v>Y025-031</v>
          </cell>
          <cell r="B2418" t="str">
            <v>LCT059-041</v>
          </cell>
          <cell r="C2418" t="str">
            <v>Y025</v>
          </cell>
          <cell r="D2418" t="str">
            <v>900-852C</v>
          </cell>
          <cell r="E2418" t="str">
            <v>角块直饰花</v>
          </cell>
          <cell r="F2418" t="str">
            <v>110*70*14</v>
          </cell>
          <cell r="G2418">
            <v>110</v>
          </cell>
          <cell r="H2418">
            <v>70</v>
          </cell>
          <cell r="I2418">
            <v>14</v>
          </cell>
          <cell r="J2418">
            <v>50</v>
          </cell>
          <cell r="K2418">
            <v>0</v>
          </cell>
          <cell r="L2418">
            <v>0.25</v>
          </cell>
          <cell r="M2418">
            <v>0</v>
          </cell>
          <cell r="N2418">
            <v>0</v>
          </cell>
          <cell r="O2418">
            <v>60</v>
          </cell>
          <cell r="P2418" t="str">
            <v>1010</v>
          </cell>
          <cell r="Q2418">
            <v>1010</v>
          </cell>
          <cell r="R2418">
            <v>5</v>
          </cell>
        </row>
        <row r="2419">
          <cell r="A2419" t="str">
            <v>Y025-032</v>
          </cell>
          <cell r="B2419" t="str">
            <v>LCT059-066</v>
          </cell>
          <cell r="C2419" t="str">
            <v>Y025</v>
          </cell>
          <cell r="D2419" t="str">
            <v>900-852C</v>
          </cell>
          <cell r="E2419" t="str">
            <v>鱼块弧形饰条</v>
          </cell>
          <cell r="F2419" t="str">
            <v>110*70*14</v>
          </cell>
          <cell r="G2419">
            <v>110</v>
          </cell>
          <cell r="H2419">
            <v>70</v>
          </cell>
          <cell r="I2419">
            <v>14</v>
          </cell>
          <cell r="J2419">
            <v>50</v>
          </cell>
          <cell r="K2419">
            <v>0</v>
          </cell>
          <cell r="L2419">
            <v>0.25</v>
          </cell>
          <cell r="M2419">
            <v>0</v>
          </cell>
          <cell r="N2419">
            <v>0</v>
          </cell>
          <cell r="O2419">
            <v>0</v>
          </cell>
          <cell r="P2419" t="str">
            <v>1010</v>
          </cell>
          <cell r="Q2419">
            <v>1010</v>
          </cell>
          <cell r="R2419">
            <v>5</v>
          </cell>
        </row>
        <row r="2420">
          <cell r="A2420" t="str">
            <v>Y025-033</v>
          </cell>
          <cell r="B2420" t="str">
            <v>LCT059-042</v>
          </cell>
          <cell r="C2420" t="str">
            <v>Y025</v>
          </cell>
          <cell r="D2420" t="str">
            <v>900-852D</v>
          </cell>
          <cell r="E2420" t="str">
            <v>企柱饰条</v>
          </cell>
          <cell r="F2420" t="str">
            <v>100*44*19</v>
          </cell>
          <cell r="G2420">
            <v>100</v>
          </cell>
          <cell r="H2420">
            <v>44</v>
          </cell>
          <cell r="I2420">
            <v>19</v>
          </cell>
          <cell r="J2420">
            <v>110</v>
          </cell>
          <cell r="K2420">
            <v>0</v>
          </cell>
          <cell r="L2420">
            <v>0.42</v>
          </cell>
          <cell r="M2420">
            <v>0</v>
          </cell>
          <cell r="N2420">
            <v>0</v>
          </cell>
          <cell r="O2420">
            <v>60</v>
          </cell>
          <cell r="P2420" t="str">
            <v>1010</v>
          </cell>
          <cell r="Q2420">
            <v>1010</v>
          </cell>
          <cell r="R2420">
            <v>3.8181818181818179</v>
          </cell>
        </row>
        <row r="2421">
          <cell r="A2421" t="str">
            <v>Y025-034</v>
          </cell>
          <cell r="B2421" t="str">
            <v>LCT059-043</v>
          </cell>
          <cell r="C2421" t="str">
            <v>Y025</v>
          </cell>
          <cell r="D2421" t="str">
            <v>900-852E</v>
          </cell>
          <cell r="E2421" t="str">
            <v>门外直饰条</v>
          </cell>
          <cell r="F2421" t="str">
            <v>690*32*18</v>
          </cell>
          <cell r="G2421">
            <v>690</v>
          </cell>
          <cell r="H2421">
            <v>32</v>
          </cell>
          <cell r="I2421">
            <v>18</v>
          </cell>
          <cell r="J2421">
            <v>440</v>
          </cell>
          <cell r="K2421">
            <v>0</v>
          </cell>
          <cell r="L2421">
            <v>1.23</v>
          </cell>
          <cell r="M2421">
            <v>0</v>
          </cell>
          <cell r="N2421">
            <v>0</v>
          </cell>
          <cell r="O2421">
            <v>60</v>
          </cell>
          <cell r="P2421" t="str">
            <v>1010</v>
          </cell>
          <cell r="Q2421">
            <v>1010</v>
          </cell>
          <cell r="R2421">
            <v>2.7954545454545454</v>
          </cell>
        </row>
        <row r="2422">
          <cell r="A2422" t="str">
            <v>Y025-035</v>
          </cell>
          <cell r="B2422" t="str">
            <v>LCT059-044</v>
          </cell>
          <cell r="C2422" t="str">
            <v>Y025</v>
          </cell>
          <cell r="D2422" t="str">
            <v>900-853F</v>
          </cell>
          <cell r="E2422" t="str">
            <v>门内弯饰条</v>
          </cell>
          <cell r="F2422" t="str">
            <v>351*24*17</v>
          </cell>
          <cell r="G2422">
            <v>351</v>
          </cell>
          <cell r="H2422">
            <v>24</v>
          </cell>
          <cell r="I2422">
            <v>17</v>
          </cell>
          <cell r="J2422">
            <v>210</v>
          </cell>
          <cell r="K2422">
            <v>0</v>
          </cell>
          <cell r="L2422">
            <v>0.95</v>
          </cell>
          <cell r="M2422">
            <v>0</v>
          </cell>
          <cell r="N2422">
            <v>0</v>
          </cell>
          <cell r="O2422">
            <v>0</v>
          </cell>
          <cell r="P2422" t="str">
            <v>1010</v>
          </cell>
          <cell r="Q2422">
            <v>1010</v>
          </cell>
          <cell r="R2422">
            <v>4.5238095238095237</v>
          </cell>
        </row>
        <row r="2423">
          <cell r="A2423" t="str">
            <v>Y025-036</v>
          </cell>
          <cell r="B2423" t="str">
            <v>LCT059-045</v>
          </cell>
          <cell r="C2423" t="str">
            <v>Y025</v>
          </cell>
          <cell r="D2423" t="str">
            <v>900-854G</v>
          </cell>
          <cell r="E2423" t="str">
            <v>门内直饰条</v>
          </cell>
          <cell r="F2423" t="str">
            <v>815*24*17</v>
          </cell>
          <cell r="G2423">
            <v>815</v>
          </cell>
          <cell r="H2423">
            <v>24</v>
          </cell>
          <cell r="I2423">
            <v>17</v>
          </cell>
          <cell r="J2423">
            <v>340</v>
          </cell>
          <cell r="K2423">
            <v>0</v>
          </cell>
          <cell r="L2423">
            <v>0.57999999999999996</v>
          </cell>
          <cell r="M2423">
            <v>0</v>
          </cell>
          <cell r="N2423">
            <v>0</v>
          </cell>
          <cell r="O2423">
            <v>60</v>
          </cell>
          <cell r="P2423" t="str">
            <v>1010</v>
          </cell>
          <cell r="Q2423">
            <v>1010</v>
          </cell>
          <cell r="R2423">
            <v>1.7058823529411762</v>
          </cell>
        </row>
        <row r="2424">
          <cell r="A2424" t="str">
            <v>Y025-037</v>
          </cell>
          <cell r="B2424" t="str">
            <v>LCT059-023</v>
          </cell>
          <cell r="C2424" t="str">
            <v>Y025</v>
          </cell>
          <cell r="D2424" t="str">
            <v>360108001010</v>
          </cell>
          <cell r="E2424" t="str">
            <v>020-13-152飾條</v>
          </cell>
          <cell r="F2424" t="str">
            <v>830*10*10</v>
          </cell>
          <cell r="G2424">
            <v>830</v>
          </cell>
          <cell r="H2424">
            <v>10</v>
          </cell>
          <cell r="I2424">
            <v>10</v>
          </cell>
          <cell r="J2424">
            <v>90</v>
          </cell>
          <cell r="K2424">
            <v>0</v>
          </cell>
          <cell r="L2424">
            <v>0.33</v>
          </cell>
          <cell r="M2424">
            <v>0</v>
          </cell>
          <cell r="N2424">
            <v>0</v>
          </cell>
          <cell r="O2424">
            <v>0</v>
          </cell>
          <cell r="P2424" t="str">
            <v>1010</v>
          </cell>
          <cell r="Q2424" t="str">
            <v>1010</v>
          </cell>
          <cell r="R2424">
            <v>3.666666666666667</v>
          </cell>
        </row>
        <row r="2425">
          <cell r="A2425" t="str">
            <v>Y025-038</v>
          </cell>
          <cell r="B2425" t="str">
            <v>LCT059-090</v>
          </cell>
          <cell r="C2425" t="str">
            <v>Y025</v>
          </cell>
          <cell r="D2425" t="str">
            <v>3901945189</v>
          </cell>
          <cell r="E2425" t="str">
            <v>床尾企柱中飾條</v>
          </cell>
          <cell r="F2425" t="str">
            <v>232*19*10</v>
          </cell>
          <cell r="G2425">
            <v>232</v>
          </cell>
          <cell r="H2425">
            <v>19</v>
          </cell>
          <cell r="I2425">
            <v>10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 t="str">
            <v>1010</v>
          </cell>
          <cell r="Q2425" t="str">
            <v>1010</v>
          </cell>
          <cell r="R2425" t="e">
            <v>#DIV/0!</v>
          </cell>
        </row>
        <row r="2426">
          <cell r="A2426" t="str">
            <v>Y025-039</v>
          </cell>
          <cell r="B2426" t="str">
            <v>LCT059-091</v>
          </cell>
          <cell r="C2426" t="str">
            <v>Y025</v>
          </cell>
          <cell r="D2426" t="str">
            <v>3601945943A</v>
          </cell>
          <cell r="E2426" t="str">
            <v>前後飾框</v>
          </cell>
          <cell r="F2426" t="str">
            <v>198*150*5</v>
          </cell>
          <cell r="G2426">
            <v>198</v>
          </cell>
          <cell r="H2426">
            <v>150</v>
          </cell>
          <cell r="I2426">
            <v>5</v>
          </cell>
          <cell r="J2426">
            <v>100</v>
          </cell>
          <cell r="K2426">
            <v>0</v>
          </cell>
          <cell r="L2426">
            <v>0.31</v>
          </cell>
          <cell r="M2426">
            <v>0</v>
          </cell>
          <cell r="N2426">
            <v>0</v>
          </cell>
          <cell r="O2426" t="str">
            <v>40V</v>
          </cell>
          <cell r="P2426" t="str">
            <v>1010</v>
          </cell>
          <cell r="Q2426" t="str">
            <v>1010</v>
          </cell>
          <cell r="R2426">
            <v>3.0999999999999996</v>
          </cell>
        </row>
        <row r="2427">
          <cell r="A2427" t="str">
            <v>Y025-040</v>
          </cell>
          <cell r="B2427" t="str">
            <v>LCT059-092</v>
          </cell>
          <cell r="C2427" t="str">
            <v>Y025</v>
          </cell>
          <cell r="D2427" t="str">
            <v>3601945943B</v>
          </cell>
          <cell r="E2427" t="str">
            <v>側飾框</v>
          </cell>
          <cell r="F2427" t="str">
            <v>248*158*5</v>
          </cell>
          <cell r="G2427">
            <v>248</v>
          </cell>
          <cell r="H2427">
            <v>158</v>
          </cell>
          <cell r="I2427">
            <v>5</v>
          </cell>
          <cell r="J2427">
            <v>100</v>
          </cell>
          <cell r="K2427">
            <v>0</v>
          </cell>
          <cell r="L2427">
            <v>0.34</v>
          </cell>
          <cell r="M2427">
            <v>0</v>
          </cell>
          <cell r="N2427">
            <v>0</v>
          </cell>
          <cell r="O2427">
            <v>0</v>
          </cell>
          <cell r="P2427" t="str">
            <v>1010</v>
          </cell>
          <cell r="Q2427" t="str">
            <v>1010</v>
          </cell>
          <cell r="R2427">
            <v>3.4</v>
          </cell>
        </row>
        <row r="2428">
          <cell r="A2428" t="str">
            <v>Y025-041</v>
          </cell>
          <cell r="B2428" t="str">
            <v>LCT059-096</v>
          </cell>
          <cell r="C2428" t="str">
            <v>Y025</v>
          </cell>
          <cell r="D2428" t="str">
            <v>3601945189</v>
          </cell>
          <cell r="E2428" t="str">
            <v>床尾企柱中飾條</v>
          </cell>
          <cell r="F2428" t="str">
            <v>510*19*10</v>
          </cell>
          <cell r="G2428">
            <v>510</v>
          </cell>
          <cell r="H2428">
            <v>19</v>
          </cell>
          <cell r="I2428">
            <v>10</v>
          </cell>
          <cell r="J2428">
            <v>120</v>
          </cell>
          <cell r="K2428">
            <v>0</v>
          </cell>
          <cell r="L2428">
            <v>0.36</v>
          </cell>
          <cell r="M2428">
            <v>0</v>
          </cell>
          <cell r="N2428">
            <v>0</v>
          </cell>
          <cell r="O2428">
            <v>0</v>
          </cell>
          <cell r="P2428" t="str">
            <v>1010</v>
          </cell>
          <cell r="Q2428" t="str">
            <v>1010</v>
          </cell>
          <cell r="R2428">
            <v>3</v>
          </cell>
        </row>
        <row r="2429">
          <cell r="A2429" t="str">
            <v>Y025-042</v>
          </cell>
          <cell r="B2429" t="str">
            <v>LCT059-097</v>
          </cell>
          <cell r="C2429" t="str">
            <v>Y025</v>
          </cell>
          <cell r="D2429" t="str">
            <v>3601945950</v>
          </cell>
          <cell r="E2429" t="str">
            <v>門橫飾條</v>
          </cell>
          <cell r="F2429" t="str">
            <v>760*38*10</v>
          </cell>
          <cell r="G2429">
            <v>760</v>
          </cell>
          <cell r="H2429">
            <v>38</v>
          </cell>
          <cell r="I2429">
            <v>10</v>
          </cell>
          <cell r="J2429">
            <v>460</v>
          </cell>
          <cell r="K2429">
            <v>0</v>
          </cell>
          <cell r="L2429">
            <v>1.22</v>
          </cell>
          <cell r="M2429">
            <v>0</v>
          </cell>
          <cell r="N2429">
            <v>0</v>
          </cell>
          <cell r="O2429">
            <v>0</v>
          </cell>
          <cell r="P2429" t="str">
            <v>1010</v>
          </cell>
          <cell r="Q2429" t="str">
            <v>1010</v>
          </cell>
          <cell r="R2429">
            <v>2.652173913043478</v>
          </cell>
        </row>
        <row r="2430">
          <cell r="A2430" t="str">
            <v>Y025-043</v>
          </cell>
          <cell r="B2430">
            <v>0</v>
          </cell>
          <cell r="C2430" t="str">
            <v>Y025</v>
          </cell>
          <cell r="D2430" t="str">
            <v>36015101130</v>
          </cell>
          <cell r="E2430" t="str">
            <v>POLY 510-X1130 圓桌立水上飾條</v>
          </cell>
          <cell r="F2430" t="str">
            <v>1235*8*5</v>
          </cell>
          <cell r="G2430">
            <v>1235</v>
          </cell>
          <cell r="H2430">
            <v>8</v>
          </cell>
          <cell r="I2430">
            <v>5</v>
          </cell>
          <cell r="J2430">
            <v>120</v>
          </cell>
          <cell r="K2430">
            <v>0</v>
          </cell>
          <cell r="L2430">
            <v>0.3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 t="str">
            <v>1010</v>
          </cell>
          <cell r="R2430">
            <v>2.5</v>
          </cell>
          <cell r="S2430">
            <v>0</v>
          </cell>
        </row>
        <row r="2431">
          <cell r="A2431" t="str">
            <v>Y025-044</v>
          </cell>
          <cell r="B2431">
            <v>0</v>
          </cell>
          <cell r="C2431" t="str">
            <v>Y025</v>
          </cell>
          <cell r="D2431" t="str">
            <v>3601510B</v>
          </cell>
          <cell r="E2431" t="str">
            <v>POLY 510 飾瑰</v>
          </cell>
          <cell r="F2431" t="str">
            <v>53*52*8</v>
          </cell>
          <cell r="G2431">
            <v>53</v>
          </cell>
          <cell r="H2431">
            <v>52</v>
          </cell>
          <cell r="I2431">
            <v>8</v>
          </cell>
          <cell r="J2431">
            <v>60</v>
          </cell>
          <cell r="K2431">
            <v>0</v>
          </cell>
          <cell r="L2431">
            <v>0.18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 t="str">
            <v>1010</v>
          </cell>
          <cell r="R2431">
            <v>3</v>
          </cell>
          <cell r="S2431">
            <v>0</v>
          </cell>
        </row>
        <row r="2432">
          <cell r="A2432" t="str">
            <v>Y025-045</v>
          </cell>
          <cell r="B2432">
            <v>0</v>
          </cell>
          <cell r="C2432" t="str">
            <v>Y025</v>
          </cell>
          <cell r="D2432" t="str">
            <v>36015101005A</v>
          </cell>
          <cell r="E2432" t="str">
            <v>飾瑰</v>
          </cell>
          <cell r="F2432" t="str">
            <v>42*48.5*13</v>
          </cell>
          <cell r="G2432">
            <v>42</v>
          </cell>
          <cell r="H2432">
            <v>48.5</v>
          </cell>
          <cell r="I2432">
            <v>13</v>
          </cell>
          <cell r="J2432">
            <v>60</v>
          </cell>
          <cell r="K2432">
            <v>0</v>
          </cell>
          <cell r="L2432">
            <v>0.24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 t="str">
            <v>1010</v>
          </cell>
          <cell r="R2432">
            <v>4</v>
          </cell>
          <cell r="S2432">
            <v>0</v>
          </cell>
        </row>
        <row r="2433">
          <cell r="A2433" t="str">
            <v>Y025-046</v>
          </cell>
          <cell r="B2433">
            <v>0</v>
          </cell>
          <cell r="C2433" t="str">
            <v>Y025</v>
          </cell>
          <cell r="D2433" t="str">
            <v>36015101005B</v>
          </cell>
          <cell r="E2433" t="str">
            <v>飾瑰</v>
          </cell>
          <cell r="F2433" t="str">
            <v>30*47*13</v>
          </cell>
          <cell r="G2433">
            <v>30</v>
          </cell>
          <cell r="H2433">
            <v>47</v>
          </cell>
          <cell r="I2433">
            <v>13</v>
          </cell>
          <cell r="J2433">
            <v>55</v>
          </cell>
          <cell r="K2433">
            <v>0</v>
          </cell>
          <cell r="L2433">
            <v>0.2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 t="str">
            <v>1010</v>
          </cell>
          <cell r="R2433">
            <v>3.6363636363636367</v>
          </cell>
          <cell r="S2433">
            <v>0</v>
          </cell>
        </row>
        <row r="2434">
          <cell r="A2434" t="str">
            <v>Y025-047</v>
          </cell>
          <cell r="B2434">
            <v>0</v>
          </cell>
          <cell r="C2434" t="str">
            <v>Y025</v>
          </cell>
          <cell r="D2434" t="str">
            <v>3601510C</v>
          </cell>
          <cell r="E2434" t="str">
            <v>床头飾瑰</v>
          </cell>
          <cell r="F2434" t="str">
            <v>51*51*9</v>
          </cell>
          <cell r="G2434">
            <v>51</v>
          </cell>
          <cell r="H2434">
            <v>51</v>
          </cell>
          <cell r="I2434">
            <v>9</v>
          </cell>
          <cell r="J2434">
            <v>60</v>
          </cell>
          <cell r="K2434">
            <v>0</v>
          </cell>
          <cell r="L2434">
            <v>0.23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 t="str">
            <v>1010</v>
          </cell>
          <cell r="R2434">
            <v>3.8333333333333335</v>
          </cell>
          <cell r="S2434">
            <v>0</v>
          </cell>
        </row>
        <row r="2435">
          <cell r="A2435" t="str">
            <v>Y025-048</v>
          </cell>
          <cell r="B2435" t="str">
            <v>LCT059-025</v>
          </cell>
          <cell r="C2435" t="str">
            <v>Y025</v>
          </cell>
          <cell r="D2435" t="str">
            <v>3601700000603</v>
          </cell>
          <cell r="E2435" t="str">
            <v>POLY 193-1-06/071半圆飾條</v>
          </cell>
          <cell r="F2435" t="str">
            <v>1700*6*3</v>
          </cell>
          <cell r="G2435">
            <v>1700</v>
          </cell>
          <cell r="H2435">
            <v>6</v>
          </cell>
          <cell r="I2435">
            <v>3</v>
          </cell>
          <cell r="J2435">
            <v>0</v>
          </cell>
          <cell r="K2435">
            <v>0</v>
          </cell>
          <cell r="L2435">
            <v>0.22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 t="str">
            <v>1010</v>
          </cell>
          <cell r="R2435" t="e">
            <v>#DIV/0!</v>
          </cell>
          <cell r="S2435">
            <v>0</v>
          </cell>
        </row>
        <row r="2436">
          <cell r="A2436" t="str">
            <v>Y025-049</v>
          </cell>
          <cell r="B2436">
            <v>0</v>
          </cell>
          <cell r="C2436" t="str">
            <v>Y025</v>
          </cell>
          <cell r="D2436" t="str">
            <v>36015271130</v>
          </cell>
          <cell r="E2436" t="str">
            <v>立水</v>
          </cell>
          <cell r="F2436" t="str">
            <v>1104*48*6</v>
          </cell>
          <cell r="G2436">
            <v>1104</v>
          </cell>
          <cell r="H2436">
            <v>48</v>
          </cell>
          <cell r="I2436">
            <v>6</v>
          </cell>
          <cell r="J2436">
            <v>476</v>
          </cell>
          <cell r="K2436">
            <v>0</v>
          </cell>
          <cell r="L2436">
            <v>1.24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 t="str">
            <v>1010</v>
          </cell>
          <cell r="R2436">
            <v>2.6050420168067228</v>
          </cell>
          <cell r="S2436">
            <v>0</v>
          </cell>
        </row>
        <row r="2437">
          <cell r="A2437" t="str">
            <v>Y025-050</v>
          </cell>
          <cell r="B2437" t="str">
            <v>要放內木框</v>
          </cell>
          <cell r="C2437" t="str">
            <v>Y025</v>
          </cell>
          <cell r="D2437" t="str">
            <v>360152703012A</v>
          </cell>
          <cell r="E2437" t="str">
            <v>上抽面</v>
          </cell>
          <cell r="F2437" t="str">
            <v>552*158*10</v>
          </cell>
          <cell r="G2437">
            <v>552</v>
          </cell>
          <cell r="H2437">
            <v>158</v>
          </cell>
          <cell r="I2437">
            <v>10</v>
          </cell>
          <cell r="J2437">
            <v>1358</v>
          </cell>
          <cell r="K2437">
            <v>0</v>
          </cell>
          <cell r="L2437">
            <v>3.57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 t="str">
            <v>1010</v>
          </cell>
          <cell r="R2437">
            <v>2.6288659793814428</v>
          </cell>
          <cell r="S2437">
            <v>0</v>
          </cell>
        </row>
        <row r="2438">
          <cell r="A2438" t="str">
            <v>Y025-051</v>
          </cell>
          <cell r="B2438" t="str">
            <v>要放內木框</v>
          </cell>
          <cell r="C2438" t="str">
            <v>Y025</v>
          </cell>
          <cell r="D2438" t="str">
            <v>360152703012B</v>
          </cell>
          <cell r="E2438" t="str">
            <v>中抽面</v>
          </cell>
          <cell r="F2438" t="str">
            <v>552*178*10</v>
          </cell>
          <cell r="G2438">
            <v>552</v>
          </cell>
          <cell r="H2438">
            <v>178</v>
          </cell>
          <cell r="I2438">
            <v>10</v>
          </cell>
          <cell r="J2438">
            <v>1468</v>
          </cell>
          <cell r="K2438">
            <v>0</v>
          </cell>
          <cell r="L2438">
            <v>3.86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 t="str">
            <v>1010</v>
          </cell>
          <cell r="R2438">
            <v>2.6294277929155312</v>
          </cell>
          <cell r="S2438">
            <v>0</v>
          </cell>
        </row>
        <row r="2439">
          <cell r="A2439" t="str">
            <v>Y025-052</v>
          </cell>
          <cell r="B2439" t="str">
            <v>要放內木框</v>
          </cell>
          <cell r="C2439" t="str">
            <v>Y025</v>
          </cell>
          <cell r="D2439" t="str">
            <v>360152703012C</v>
          </cell>
          <cell r="E2439" t="str">
            <v>下抽面</v>
          </cell>
          <cell r="F2439" t="str">
            <v>552*210*10</v>
          </cell>
          <cell r="G2439">
            <v>552</v>
          </cell>
          <cell r="H2439">
            <v>210</v>
          </cell>
          <cell r="I2439">
            <v>10</v>
          </cell>
          <cell r="J2439">
            <v>1615</v>
          </cell>
          <cell r="K2439">
            <v>0</v>
          </cell>
          <cell r="L2439">
            <v>4.25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 t="str">
            <v>1010</v>
          </cell>
          <cell r="R2439">
            <v>2.6315789473684212</v>
          </cell>
          <cell r="S2439">
            <v>0</v>
          </cell>
        </row>
        <row r="2440">
          <cell r="A2440" t="str">
            <v>Y025-053</v>
          </cell>
          <cell r="B2440">
            <v>0</v>
          </cell>
          <cell r="C2440" t="str">
            <v>Y025</v>
          </cell>
          <cell r="D2440" t="str">
            <v>36015273034A</v>
          </cell>
          <cell r="E2440" t="str">
            <v>企柱</v>
          </cell>
          <cell r="F2440" t="str">
            <v>1169*111*5</v>
          </cell>
          <cell r="G2440">
            <v>1169</v>
          </cell>
          <cell r="H2440">
            <v>111</v>
          </cell>
          <cell r="I2440">
            <v>5</v>
          </cell>
          <cell r="J2440">
            <v>1095</v>
          </cell>
          <cell r="K2440">
            <v>0</v>
          </cell>
          <cell r="L2440">
            <v>2.9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 t="str">
            <v>1010</v>
          </cell>
          <cell r="R2440">
            <v>2.6484018264840183</v>
          </cell>
          <cell r="S2440">
            <v>0</v>
          </cell>
        </row>
        <row r="2441">
          <cell r="A2441" t="str">
            <v>Y025-054</v>
          </cell>
          <cell r="B2441">
            <v>0</v>
          </cell>
          <cell r="C2441" t="str">
            <v>Y025</v>
          </cell>
          <cell r="D2441" t="str">
            <v>36015273034B</v>
          </cell>
          <cell r="E2441" t="str">
            <v>上下横</v>
          </cell>
          <cell r="F2441" t="str">
            <v>1708*111*5</v>
          </cell>
          <cell r="G2441">
            <v>1708</v>
          </cell>
          <cell r="H2441">
            <v>111</v>
          </cell>
          <cell r="I2441">
            <v>5</v>
          </cell>
          <cell r="J2441">
            <v>1487</v>
          </cell>
          <cell r="K2441">
            <v>0</v>
          </cell>
          <cell r="L2441">
            <v>3.9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 t="str">
            <v>1010</v>
          </cell>
          <cell r="R2441">
            <v>2.6227303295225282</v>
          </cell>
          <cell r="S2441">
            <v>0</v>
          </cell>
        </row>
        <row r="2442">
          <cell r="A2442" t="str">
            <v>Y025-055</v>
          </cell>
          <cell r="B2442">
            <v>0</v>
          </cell>
          <cell r="C2442" t="str">
            <v>Y025</v>
          </cell>
          <cell r="D2442" t="str">
            <v>36015279140A</v>
          </cell>
          <cell r="E2442" t="str">
            <v>床头企柱</v>
          </cell>
          <cell r="F2442" t="str">
            <v>1159*111*5</v>
          </cell>
          <cell r="G2442">
            <v>1159</v>
          </cell>
          <cell r="H2442">
            <v>111</v>
          </cell>
          <cell r="I2442">
            <v>5</v>
          </cell>
          <cell r="J2442">
            <v>1095</v>
          </cell>
          <cell r="K2442">
            <v>0</v>
          </cell>
          <cell r="L2442">
            <v>2.9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 t="str">
            <v>1010</v>
          </cell>
          <cell r="R2442">
            <v>2.6484018264840183</v>
          </cell>
          <cell r="S2442">
            <v>0</v>
          </cell>
        </row>
        <row r="2443">
          <cell r="A2443" t="str">
            <v>Y025-056</v>
          </cell>
          <cell r="B2443">
            <v>0</v>
          </cell>
          <cell r="C2443" t="str">
            <v>Y025</v>
          </cell>
          <cell r="D2443" t="str">
            <v>36015273140B</v>
          </cell>
          <cell r="E2443" t="str">
            <v>床头/床尾上横</v>
          </cell>
          <cell r="F2443" t="str">
            <v>1404*111*5</v>
          </cell>
          <cell r="G2443">
            <v>1404</v>
          </cell>
          <cell r="H2443">
            <v>111</v>
          </cell>
          <cell r="I2443">
            <v>5</v>
          </cell>
          <cell r="J2443">
            <v>1290</v>
          </cell>
          <cell r="K2443">
            <v>0</v>
          </cell>
          <cell r="L2443">
            <v>3.4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 t="str">
            <v>1010</v>
          </cell>
          <cell r="R2443">
            <v>2.635658914728682</v>
          </cell>
          <cell r="S2443">
            <v>0</v>
          </cell>
        </row>
        <row r="2444">
          <cell r="A2444" t="str">
            <v>Y025-057</v>
          </cell>
          <cell r="B2444">
            <v>0</v>
          </cell>
          <cell r="C2444" t="str">
            <v>Y025</v>
          </cell>
          <cell r="D2444" t="str">
            <v>36015273145</v>
          </cell>
          <cell r="E2444" t="str">
            <v>床头/床尾上横</v>
          </cell>
          <cell r="F2444" t="str">
            <v>1808*111*5</v>
          </cell>
          <cell r="G2444">
            <v>1808</v>
          </cell>
          <cell r="H2444">
            <v>111</v>
          </cell>
          <cell r="I2444">
            <v>5</v>
          </cell>
          <cell r="J2444">
            <v>1607</v>
          </cell>
          <cell r="K2444">
            <v>0</v>
          </cell>
          <cell r="L2444">
            <v>4.2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 t="str">
            <v>1010</v>
          </cell>
          <cell r="R2444">
            <v>2.6135656502800249</v>
          </cell>
          <cell r="S2444">
            <v>0</v>
          </cell>
        </row>
        <row r="2445">
          <cell r="A2445" t="str">
            <v>Y025-058</v>
          </cell>
          <cell r="B2445">
            <v>0</v>
          </cell>
          <cell r="C2445" t="str">
            <v>Y025</v>
          </cell>
          <cell r="D2445" t="str">
            <v>36015273440</v>
          </cell>
          <cell r="E2445" t="str">
            <v>床尾企柱</v>
          </cell>
          <cell r="F2445" t="str">
            <v>425*111*5</v>
          </cell>
          <cell r="G2445">
            <v>425</v>
          </cell>
          <cell r="H2445">
            <v>111</v>
          </cell>
          <cell r="I2445">
            <v>5</v>
          </cell>
          <cell r="J2445">
            <v>399</v>
          </cell>
          <cell r="K2445">
            <v>0</v>
          </cell>
          <cell r="L2445">
            <v>1.05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 t="str">
            <v>1010</v>
          </cell>
          <cell r="R2445">
            <v>2.6315789473684212</v>
          </cell>
          <cell r="S2445">
            <v>0</v>
          </cell>
        </row>
        <row r="2446">
          <cell r="A2446" t="str">
            <v>Y025-059</v>
          </cell>
          <cell r="B2446" t="str">
            <v>報價只有978</v>
          </cell>
          <cell r="C2446" t="str">
            <v>Y025</v>
          </cell>
          <cell r="D2446" t="str">
            <v>36015275001A</v>
          </cell>
          <cell r="E2446" t="str">
            <v xml:space="preserve"> 饰条</v>
          </cell>
          <cell r="F2446" t="str">
            <v>978*648*5</v>
          </cell>
          <cell r="G2446">
            <v>978</v>
          </cell>
          <cell r="H2446">
            <v>648</v>
          </cell>
          <cell r="I2446">
            <v>5</v>
          </cell>
          <cell r="J2446">
            <v>6100</v>
          </cell>
          <cell r="K2446">
            <v>0</v>
          </cell>
          <cell r="L2446">
            <v>16.2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 t="str">
            <v>1010</v>
          </cell>
          <cell r="R2446">
            <v>2.6557377049180326</v>
          </cell>
          <cell r="S2446">
            <v>0</v>
          </cell>
        </row>
        <row r="2447">
          <cell r="A2447" t="str">
            <v>Y025-060</v>
          </cell>
          <cell r="B2447" t="str">
            <v>報價只有815</v>
          </cell>
          <cell r="C2447" t="str">
            <v>Y025</v>
          </cell>
          <cell r="D2447" t="str">
            <v>36015275001B</v>
          </cell>
          <cell r="E2447" t="str">
            <v xml:space="preserve"> 饰条</v>
          </cell>
          <cell r="F2447" t="str">
            <v>815*648*5</v>
          </cell>
          <cell r="G2447">
            <v>815</v>
          </cell>
          <cell r="H2447">
            <v>648</v>
          </cell>
          <cell r="I2447">
            <v>5</v>
          </cell>
          <cell r="J2447">
            <v>5083</v>
          </cell>
          <cell r="K2447">
            <v>0</v>
          </cell>
          <cell r="L2447">
            <v>14.8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 t="str">
            <v>1010</v>
          </cell>
          <cell r="R2447">
            <v>2.9116663387763131</v>
          </cell>
          <cell r="S2447">
            <v>0</v>
          </cell>
        </row>
        <row r="2448">
          <cell r="A2448" t="str">
            <v>Y025-061</v>
          </cell>
          <cell r="B2448">
            <v>0</v>
          </cell>
          <cell r="C2448" t="str">
            <v>Y025</v>
          </cell>
          <cell r="D2448" t="str">
            <v>36015275001C</v>
          </cell>
          <cell r="E2448" t="str">
            <v xml:space="preserve"> 饰条</v>
          </cell>
          <cell r="F2448" t="str">
            <v>956*26*7</v>
          </cell>
          <cell r="G2448">
            <v>956</v>
          </cell>
          <cell r="H2448">
            <v>26</v>
          </cell>
          <cell r="I2448">
            <v>7</v>
          </cell>
          <cell r="J2448">
            <v>426</v>
          </cell>
          <cell r="K2448">
            <v>0</v>
          </cell>
          <cell r="L2448">
            <v>1.1200000000000001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 t="str">
            <v>1010</v>
          </cell>
          <cell r="R2448">
            <v>2.6291079812206575</v>
          </cell>
          <cell r="S2448">
            <v>0</v>
          </cell>
        </row>
        <row r="2449">
          <cell r="A2449" t="str">
            <v>Y025-062</v>
          </cell>
          <cell r="B2449">
            <v>0</v>
          </cell>
          <cell r="C2449" t="str">
            <v>Y025</v>
          </cell>
          <cell r="D2449" t="str">
            <v>52721060/70</v>
          </cell>
          <cell r="E2449" t="str">
            <v>扶手餐椅-無扶手</v>
          </cell>
          <cell r="F2449" t="str">
            <v>394*464*12</v>
          </cell>
          <cell r="G2449">
            <v>394</v>
          </cell>
          <cell r="H2449">
            <v>464</v>
          </cell>
          <cell r="I2449">
            <v>12</v>
          </cell>
          <cell r="J2449">
            <v>1776</v>
          </cell>
          <cell r="K2449">
            <v>0</v>
          </cell>
          <cell r="L2449">
            <v>5.3</v>
          </cell>
          <cell r="M2449">
            <v>0</v>
          </cell>
          <cell r="N2449" t="str">
            <v>SAT147</v>
          </cell>
          <cell r="O2449">
            <v>0</v>
          </cell>
          <cell r="P2449">
            <v>0</v>
          </cell>
          <cell r="Q2449" t="str">
            <v>3710</v>
          </cell>
          <cell r="R2449">
            <v>2.9842342342342341</v>
          </cell>
          <cell r="S2449">
            <v>0</v>
          </cell>
        </row>
        <row r="2450">
          <cell r="A2450" t="str">
            <v>Y025-063</v>
          </cell>
          <cell r="B2450">
            <v>0</v>
          </cell>
          <cell r="C2450" t="str">
            <v>Y025</v>
          </cell>
          <cell r="D2450" t="str">
            <v>527X5074</v>
          </cell>
          <cell r="E2450" t="str">
            <v>椅背</v>
          </cell>
          <cell r="F2450" t="str">
            <v>518*500*12</v>
          </cell>
          <cell r="G2450">
            <v>518</v>
          </cell>
          <cell r="H2450">
            <v>500</v>
          </cell>
          <cell r="I2450">
            <v>12</v>
          </cell>
          <cell r="J2450">
            <v>2089</v>
          </cell>
          <cell r="K2450">
            <v>0</v>
          </cell>
          <cell r="L2450">
            <v>5.7</v>
          </cell>
          <cell r="M2450">
            <v>0</v>
          </cell>
          <cell r="N2450" t="str">
            <v>SAT157</v>
          </cell>
          <cell r="O2450">
            <v>0</v>
          </cell>
          <cell r="P2450">
            <v>0</v>
          </cell>
          <cell r="Q2450" t="str">
            <v>3710</v>
          </cell>
          <cell r="R2450">
            <v>2.7285782671134515</v>
          </cell>
          <cell r="S2450">
            <v>0</v>
          </cell>
        </row>
        <row r="2451">
          <cell r="A2451" t="str">
            <v>Y025-064</v>
          </cell>
          <cell r="B2451" t="str">
            <v>橢圓框</v>
          </cell>
          <cell r="C2451" t="str">
            <v>Y025</v>
          </cell>
          <cell r="D2451" t="str">
            <v>3601H300011A</v>
          </cell>
          <cell r="E2451" t="str">
            <v>POLY H300-11上抽饰瑰</v>
          </cell>
          <cell r="F2451" t="str">
            <v>744*175*5</v>
          </cell>
          <cell r="G2451">
            <v>744</v>
          </cell>
          <cell r="H2451">
            <v>175</v>
          </cell>
          <cell r="I2451">
            <v>5</v>
          </cell>
          <cell r="J2451">
            <v>218</v>
          </cell>
          <cell r="K2451">
            <v>0</v>
          </cell>
          <cell r="L2451">
            <v>0.73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 t="str">
            <v>1010</v>
          </cell>
          <cell r="R2451">
            <v>3.3486238532110093</v>
          </cell>
          <cell r="S2451">
            <v>0</v>
          </cell>
        </row>
        <row r="2452">
          <cell r="A2452" t="str">
            <v>Y025-065</v>
          </cell>
          <cell r="B2452">
            <v>0</v>
          </cell>
          <cell r="C2452" t="str">
            <v>Y025</v>
          </cell>
          <cell r="D2452" t="str">
            <v>3601H300011B</v>
          </cell>
          <cell r="E2452" t="str">
            <v>POLY H300-011/061抽饰条/们饰条2</v>
          </cell>
          <cell r="F2452" t="str">
            <v>820*16*10</v>
          </cell>
          <cell r="G2452">
            <v>820</v>
          </cell>
          <cell r="H2452">
            <v>16</v>
          </cell>
          <cell r="I2452">
            <v>10</v>
          </cell>
          <cell r="J2452">
            <v>213</v>
          </cell>
          <cell r="K2452">
            <v>0</v>
          </cell>
          <cell r="L2452">
            <v>0.55000000000000004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 t="str">
            <v>1010</v>
          </cell>
          <cell r="R2452">
            <v>2.5821596244131459</v>
          </cell>
          <cell r="S2452">
            <v>0</v>
          </cell>
        </row>
        <row r="2453">
          <cell r="A2453" t="str">
            <v>Y025-066</v>
          </cell>
          <cell r="B2453">
            <v>0</v>
          </cell>
          <cell r="C2453" t="str">
            <v>Y025</v>
          </cell>
          <cell r="D2453" t="str">
            <v>3601H300011C</v>
          </cell>
          <cell r="E2453" t="str">
            <v>POLY H300-011/021抽饰条</v>
          </cell>
          <cell r="F2453" t="str">
            <v>250*16*10</v>
          </cell>
          <cell r="G2453">
            <v>250</v>
          </cell>
          <cell r="H2453">
            <v>16</v>
          </cell>
          <cell r="I2453">
            <v>10</v>
          </cell>
          <cell r="J2453">
            <v>61</v>
          </cell>
          <cell r="K2453">
            <v>0</v>
          </cell>
          <cell r="L2453">
            <v>0.17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 t="str">
            <v>1010</v>
          </cell>
          <cell r="R2453">
            <v>2.7868852459016398</v>
          </cell>
          <cell r="S2453">
            <v>0</v>
          </cell>
        </row>
        <row r="2454">
          <cell r="A2454" t="str">
            <v>Y025-067</v>
          </cell>
          <cell r="B2454" t="str">
            <v>橢圓框</v>
          </cell>
          <cell r="C2454" t="str">
            <v>Y025</v>
          </cell>
          <cell r="D2454" t="str">
            <v>3601H300011D</v>
          </cell>
          <cell r="E2454" t="str">
            <v>POLY H300-011下抽饰瑰</v>
          </cell>
          <cell r="F2454" t="str">
            <v>744*208*5</v>
          </cell>
          <cell r="G2454">
            <v>744</v>
          </cell>
          <cell r="H2454">
            <v>208</v>
          </cell>
          <cell r="I2454">
            <v>5</v>
          </cell>
          <cell r="J2454">
            <v>226</v>
          </cell>
          <cell r="K2454">
            <v>0</v>
          </cell>
          <cell r="L2454">
            <v>0.75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 t="str">
            <v>1010</v>
          </cell>
          <cell r="R2454">
            <v>3.3185840707964602</v>
          </cell>
          <cell r="S2454">
            <v>0</v>
          </cell>
        </row>
        <row r="2455">
          <cell r="A2455" t="str">
            <v>Y025-068</v>
          </cell>
          <cell r="B2455">
            <v>0</v>
          </cell>
          <cell r="C2455" t="str">
            <v>Y025</v>
          </cell>
          <cell r="D2455" t="str">
            <v>3601H300011E</v>
          </cell>
          <cell r="E2455" t="str">
            <v>POLY H300-011/021/052抽饰条</v>
          </cell>
          <cell r="F2455" t="str">
            <v>280*16*10</v>
          </cell>
          <cell r="G2455">
            <v>280</v>
          </cell>
          <cell r="H2455">
            <v>16</v>
          </cell>
          <cell r="I2455">
            <v>10</v>
          </cell>
          <cell r="J2455">
            <v>73</v>
          </cell>
          <cell r="K2455">
            <v>0</v>
          </cell>
          <cell r="L2455">
            <v>0.2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 t="str">
            <v>1010</v>
          </cell>
          <cell r="R2455">
            <v>2.7397260273972606</v>
          </cell>
          <cell r="S2455">
            <v>0</v>
          </cell>
        </row>
        <row r="2456">
          <cell r="A2456" t="str">
            <v>Y025-069</v>
          </cell>
          <cell r="B2456" t="str">
            <v>橢圓框</v>
          </cell>
          <cell r="C2456" t="str">
            <v>Y025</v>
          </cell>
          <cell r="D2456" t="str">
            <v>3601H300021A</v>
          </cell>
          <cell r="E2456" t="str">
            <v>POLY H300-021上抽饰瑰</v>
          </cell>
          <cell r="F2456" t="str">
            <v>515*164*5</v>
          </cell>
          <cell r="G2456">
            <v>515</v>
          </cell>
          <cell r="H2456">
            <v>164</v>
          </cell>
          <cell r="I2456">
            <v>5</v>
          </cell>
          <cell r="J2456">
            <v>159</v>
          </cell>
          <cell r="K2456">
            <v>0</v>
          </cell>
          <cell r="L2456">
            <v>0.43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 t="str">
            <v>1010</v>
          </cell>
          <cell r="R2456">
            <v>2.7044025157232703</v>
          </cell>
          <cell r="S2456">
            <v>0</v>
          </cell>
        </row>
        <row r="2457">
          <cell r="A2457" t="str">
            <v>Y025-070</v>
          </cell>
          <cell r="B2457" t="str">
            <v>橢圓框</v>
          </cell>
          <cell r="C2457" t="str">
            <v>Y025</v>
          </cell>
          <cell r="D2457" t="str">
            <v>3601H300021D</v>
          </cell>
          <cell r="E2457" t="str">
            <v>POLY H300-021下抽饰瑰</v>
          </cell>
          <cell r="F2457" t="str">
            <v>1105*203*5</v>
          </cell>
          <cell r="G2457">
            <v>1105</v>
          </cell>
          <cell r="H2457">
            <v>203</v>
          </cell>
          <cell r="I2457">
            <v>5</v>
          </cell>
          <cell r="J2457">
            <v>326</v>
          </cell>
          <cell r="K2457">
            <v>0</v>
          </cell>
          <cell r="L2457">
            <v>0.88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 t="str">
            <v>1010</v>
          </cell>
          <cell r="R2457">
            <v>2.6993865030674846</v>
          </cell>
          <cell r="S2457">
            <v>0</v>
          </cell>
        </row>
        <row r="2458">
          <cell r="A2458" t="str">
            <v>Y025-071</v>
          </cell>
          <cell r="B2458">
            <v>0</v>
          </cell>
          <cell r="C2458" t="str">
            <v>Y025</v>
          </cell>
          <cell r="D2458" t="str">
            <v>3601H300021E</v>
          </cell>
          <cell r="E2458" t="str">
            <v>POLY H300-021抽饰条</v>
          </cell>
          <cell r="F2458" t="str">
            <v>1168*16*10</v>
          </cell>
          <cell r="G2458">
            <v>1168</v>
          </cell>
          <cell r="H2458">
            <v>16</v>
          </cell>
          <cell r="I2458">
            <v>10</v>
          </cell>
          <cell r="J2458">
            <v>298</v>
          </cell>
          <cell r="K2458">
            <v>0</v>
          </cell>
          <cell r="L2458">
            <v>0.75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 t="str">
            <v>1010</v>
          </cell>
          <cell r="R2458">
            <v>2.5167785234899331</v>
          </cell>
          <cell r="S2458">
            <v>0</v>
          </cell>
        </row>
        <row r="2459">
          <cell r="A2459" t="str">
            <v>Y025-072</v>
          </cell>
          <cell r="B2459" t="str">
            <v>橢圓框</v>
          </cell>
          <cell r="C2459" t="str">
            <v>Y025</v>
          </cell>
          <cell r="D2459" t="str">
            <v>3601H300052A</v>
          </cell>
          <cell r="E2459" t="str">
            <v>POLY H300-052上抽饰瑰</v>
          </cell>
          <cell r="F2459" t="str">
            <v>856*162*5</v>
          </cell>
          <cell r="G2459">
            <v>856</v>
          </cell>
          <cell r="H2459">
            <v>162</v>
          </cell>
          <cell r="I2459">
            <v>5</v>
          </cell>
          <cell r="J2459">
            <v>239</v>
          </cell>
          <cell r="K2459">
            <v>0</v>
          </cell>
          <cell r="L2459">
            <v>0.64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 t="str">
            <v>1010</v>
          </cell>
          <cell r="R2459">
            <v>2.6778242677824271</v>
          </cell>
          <cell r="S2459">
            <v>0</v>
          </cell>
        </row>
        <row r="2460">
          <cell r="A2460" t="str">
            <v>Y025-073</v>
          </cell>
          <cell r="B2460">
            <v>0</v>
          </cell>
          <cell r="C2460" t="str">
            <v>Y025</v>
          </cell>
          <cell r="D2460" t="str">
            <v>3601H300052B</v>
          </cell>
          <cell r="E2460" t="str">
            <v>POLY H300-052/061抽饰条</v>
          </cell>
          <cell r="F2460" t="str">
            <v>920*16*10</v>
          </cell>
          <cell r="G2460">
            <v>920</v>
          </cell>
          <cell r="H2460">
            <v>16</v>
          </cell>
          <cell r="I2460">
            <v>10</v>
          </cell>
          <cell r="J2460">
            <v>232</v>
          </cell>
          <cell r="K2460">
            <v>0</v>
          </cell>
          <cell r="L2460">
            <v>0.6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 t="str">
            <v>1010</v>
          </cell>
          <cell r="R2460">
            <v>2.5862068965517238</v>
          </cell>
          <cell r="S2460">
            <v>0</v>
          </cell>
        </row>
        <row r="2461">
          <cell r="A2461" t="str">
            <v>Y025-074</v>
          </cell>
          <cell r="B2461" t="str">
            <v>橢圓框</v>
          </cell>
          <cell r="C2461" t="str">
            <v>Y025</v>
          </cell>
          <cell r="D2461" t="str">
            <v>3601H300052D</v>
          </cell>
          <cell r="E2461" t="str">
            <v>POLY H300-052下抽饰瑰</v>
          </cell>
          <cell r="F2461" t="str">
            <v>856*206*5</v>
          </cell>
          <cell r="G2461">
            <v>856</v>
          </cell>
          <cell r="H2461">
            <v>206</v>
          </cell>
          <cell r="I2461">
            <v>5</v>
          </cell>
          <cell r="J2461">
            <v>260</v>
          </cell>
          <cell r="K2461">
            <v>0</v>
          </cell>
          <cell r="L2461">
            <v>0.72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 t="str">
            <v>1010</v>
          </cell>
          <cell r="R2461">
            <v>2.7692307692307692</v>
          </cell>
          <cell r="S2461">
            <v>0</v>
          </cell>
        </row>
        <row r="2462">
          <cell r="A2462" t="str">
            <v>Y025-075</v>
          </cell>
          <cell r="B2462" t="str">
            <v>橢圓框</v>
          </cell>
          <cell r="C2462" t="str">
            <v>Y025</v>
          </cell>
          <cell r="D2462" t="str">
            <v>3601H300061A</v>
          </cell>
          <cell r="E2462" t="str">
            <v>POLY H300-061抽饰瑰</v>
          </cell>
          <cell r="F2462" t="str">
            <v>364*105*5</v>
          </cell>
          <cell r="G2462">
            <v>364</v>
          </cell>
          <cell r="H2462">
            <v>105</v>
          </cell>
          <cell r="I2462">
            <v>5</v>
          </cell>
          <cell r="J2462">
            <v>108</v>
          </cell>
          <cell r="K2462">
            <v>0</v>
          </cell>
          <cell r="L2462">
            <v>0.28000000000000003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 t="str">
            <v>1010</v>
          </cell>
          <cell r="R2462">
            <v>2.592592592592593</v>
          </cell>
          <cell r="S2462">
            <v>0</v>
          </cell>
        </row>
        <row r="2463">
          <cell r="A2463" t="str">
            <v>Y025-076</v>
          </cell>
          <cell r="B2463">
            <v>0</v>
          </cell>
          <cell r="C2463" t="str">
            <v>Y025</v>
          </cell>
          <cell r="D2463" t="str">
            <v>3601H300061C</v>
          </cell>
          <cell r="E2463" t="str">
            <v>POLY H300-061/063抽饰条</v>
          </cell>
          <cell r="F2463" t="str">
            <v>340*16*10</v>
          </cell>
          <cell r="G2463">
            <v>340</v>
          </cell>
          <cell r="H2463">
            <v>16</v>
          </cell>
          <cell r="I2463">
            <v>10</v>
          </cell>
          <cell r="J2463">
            <v>86</v>
          </cell>
          <cell r="K2463">
            <v>0</v>
          </cell>
          <cell r="L2463">
            <v>0.24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 t="str">
            <v>1010</v>
          </cell>
          <cell r="R2463">
            <v>2.7906976744186047</v>
          </cell>
          <cell r="S2463">
            <v>0</v>
          </cell>
        </row>
        <row r="2464">
          <cell r="A2464" t="str">
            <v>Y025-077</v>
          </cell>
          <cell r="B2464" t="str">
            <v>橢圓框</v>
          </cell>
          <cell r="C2464" t="str">
            <v>Y025</v>
          </cell>
          <cell r="D2464" t="str">
            <v>3601H300063A</v>
          </cell>
          <cell r="E2464" t="str">
            <v>POLY H300-063上抽饰瑰</v>
          </cell>
          <cell r="F2464" t="str">
            <v>619*104*5</v>
          </cell>
          <cell r="G2464">
            <v>619</v>
          </cell>
          <cell r="H2464">
            <v>104</v>
          </cell>
          <cell r="I2464">
            <v>5</v>
          </cell>
          <cell r="J2464">
            <v>166</v>
          </cell>
          <cell r="K2464">
            <v>0</v>
          </cell>
          <cell r="L2464">
            <v>0.45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 t="str">
            <v>1010</v>
          </cell>
          <cell r="R2464">
            <v>2.7108433734939759</v>
          </cell>
          <cell r="S2464">
            <v>0</v>
          </cell>
        </row>
        <row r="2465">
          <cell r="A2465" t="str">
            <v>Y025-078</v>
          </cell>
          <cell r="B2465">
            <v>0</v>
          </cell>
          <cell r="C2465" t="str">
            <v>Y025</v>
          </cell>
          <cell r="D2465" t="str">
            <v>3601H300063B</v>
          </cell>
          <cell r="E2465" t="str">
            <v>POLY H300-063抽饰条</v>
          </cell>
          <cell r="F2465" t="str">
            <v>684*16*10</v>
          </cell>
          <cell r="G2465">
            <v>684</v>
          </cell>
          <cell r="H2465">
            <v>16</v>
          </cell>
          <cell r="I2465">
            <v>10</v>
          </cell>
          <cell r="J2465">
            <v>186</v>
          </cell>
          <cell r="K2465">
            <v>0</v>
          </cell>
          <cell r="L2465">
            <v>0.51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 t="str">
            <v>1010</v>
          </cell>
          <cell r="R2465">
            <v>2.741935483870968</v>
          </cell>
          <cell r="S2465">
            <v>0</v>
          </cell>
        </row>
        <row r="2466">
          <cell r="A2466" t="str">
            <v>Y025-079</v>
          </cell>
          <cell r="B2466" t="str">
            <v>橢圓框</v>
          </cell>
          <cell r="C2466" t="str">
            <v>Y025</v>
          </cell>
          <cell r="D2466" t="str">
            <v>3601H300063D</v>
          </cell>
          <cell r="E2466" t="str">
            <v>POLY H300-063下抽饰瑰</v>
          </cell>
          <cell r="F2466" t="str">
            <v>619*137*5</v>
          </cell>
          <cell r="G2466">
            <v>619</v>
          </cell>
          <cell r="H2466">
            <v>137</v>
          </cell>
          <cell r="I2466">
            <v>5</v>
          </cell>
          <cell r="J2466">
            <v>177</v>
          </cell>
          <cell r="K2466">
            <v>0</v>
          </cell>
          <cell r="L2466">
            <v>0.48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 t="str">
            <v>1010</v>
          </cell>
          <cell r="R2466">
            <v>2.7118644067796609</v>
          </cell>
          <cell r="S2466">
            <v>0</v>
          </cell>
        </row>
        <row r="2467">
          <cell r="A2467" t="str">
            <v>Y025-080</v>
          </cell>
          <cell r="B2467">
            <v>0</v>
          </cell>
          <cell r="C2467" t="str">
            <v>Y025</v>
          </cell>
          <cell r="D2467" t="str">
            <v>615-15-009</v>
          </cell>
          <cell r="E2467" t="str">
            <v>Poly 饰条</v>
          </cell>
          <cell r="F2467" t="str">
            <v>560*25*5</v>
          </cell>
          <cell r="G2467">
            <v>560</v>
          </cell>
          <cell r="H2467">
            <v>25</v>
          </cell>
          <cell r="I2467">
            <v>5</v>
          </cell>
          <cell r="J2467">
            <v>0</v>
          </cell>
          <cell r="K2467">
            <v>0</v>
          </cell>
          <cell r="L2467">
            <v>0.34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</row>
        <row r="2468">
          <cell r="A2468" t="str">
            <v>Y025-081</v>
          </cell>
          <cell r="B2468">
            <v>0</v>
          </cell>
          <cell r="C2468" t="str">
            <v>Y025</v>
          </cell>
          <cell r="D2468" t="str">
            <v>615-15-009</v>
          </cell>
          <cell r="E2468" t="str">
            <v>Poly 饰条</v>
          </cell>
          <cell r="F2468" t="str">
            <v>591*25*5</v>
          </cell>
          <cell r="G2468">
            <v>591</v>
          </cell>
          <cell r="H2468">
            <v>25</v>
          </cell>
          <cell r="I2468">
            <v>5</v>
          </cell>
          <cell r="J2468">
            <v>0</v>
          </cell>
          <cell r="K2468">
            <v>0</v>
          </cell>
          <cell r="L2468">
            <v>0.36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</row>
        <row r="2469">
          <cell r="A2469" t="str">
            <v>Y025-082</v>
          </cell>
          <cell r="B2469">
            <v>0</v>
          </cell>
          <cell r="C2469" t="str">
            <v>Y025</v>
          </cell>
          <cell r="D2469" t="str">
            <v>615-15-009/33</v>
          </cell>
          <cell r="E2469" t="str">
            <v>Poly 饰条 （弯 cong )</v>
          </cell>
          <cell r="F2469" t="str">
            <v>100*25*5</v>
          </cell>
          <cell r="G2469">
            <v>100</v>
          </cell>
          <cell r="H2469">
            <v>25</v>
          </cell>
          <cell r="I2469">
            <v>5</v>
          </cell>
          <cell r="J2469">
            <v>0</v>
          </cell>
          <cell r="K2469">
            <v>0</v>
          </cell>
          <cell r="L2469">
            <v>6.5000000000000002E-2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</row>
        <row r="2470">
          <cell r="A2470" t="str">
            <v>Y025-083</v>
          </cell>
          <cell r="B2470">
            <v>0</v>
          </cell>
          <cell r="C2470" t="str">
            <v>Y025</v>
          </cell>
          <cell r="D2470" t="str">
            <v>615-15-18</v>
          </cell>
          <cell r="E2470" t="str">
            <v>Poly 饰条</v>
          </cell>
          <cell r="F2470" t="str">
            <v>880*32*5</v>
          </cell>
          <cell r="G2470">
            <v>880</v>
          </cell>
          <cell r="H2470">
            <v>32</v>
          </cell>
          <cell r="I2470">
            <v>5</v>
          </cell>
          <cell r="J2470">
            <v>0</v>
          </cell>
          <cell r="K2470">
            <v>0</v>
          </cell>
          <cell r="L2470">
            <v>0.61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</row>
        <row r="2471">
          <cell r="A2471" t="str">
            <v>Y025-084</v>
          </cell>
          <cell r="B2471">
            <v>0</v>
          </cell>
          <cell r="C2471" t="str">
            <v>Y025</v>
          </cell>
          <cell r="D2471" t="str">
            <v>615-15-18</v>
          </cell>
          <cell r="E2471" t="str">
            <v>Poly 饰条</v>
          </cell>
          <cell r="F2471" t="str">
            <v>389*32*5</v>
          </cell>
          <cell r="G2471">
            <v>389</v>
          </cell>
          <cell r="H2471">
            <v>32</v>
          </cell>
          <cell r="I2471">
            <v>5</v>
          </cell>
          <cell r="J2471">
            <v>0</v>
          </cell>
          <cell r="K2471">
            <v>0</v>
          </cell>
          <cell r="L2471">
            <v>0.25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</row>
        <row r="2472">
          <cell r="A2472" t="str">
            <v>Y025-085</v>
          </cell>
          <cell r="B2472">
            <v>0</v>
          </cell>
          <cell r="C2472" t="str">
            <v>Y025</v>
          </cell>
          <cell r="D2472" t="str">
            <v>615-15-14</v>
          </cell>
          <cell r="E2472" t="str">
            <v>Poly 饰条</v>
          </cell>
          <cell r="F2472" t="str">
            <v>1075*57*8</v>
          </cell>
          <cell r="G2472">
            <v>1075</v>
          </cell>
          <cell r="H2472">
            <v>57</v>
          </cell>
          <cell r="I2472">
            <v>8</v>
          </cell>
          <cell r="J2472">
            <v>0</v>
          </cell>
          <cell r="K2472">
            <v>0</v>
          </cell>
          <cell r="L2472">
            <v>1.76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</row>
        <row r="2473">
          <cell r="A2473" t="str">
            <v>Y025-086</v>
          </cell>
          <cell r="B2473">
            <v>0</v>
          </cell>
          <cell r="C2473" t="str">
            <v>Y025</v>
          </cell>
          <cell r="D2473" t="str">
            <v>615-15-15</v>
          </cell>
          <cell r="E2473" t="str">
            <v>Poly 饰条</v>
          </cell>
          <cell r="F2473" t="str">
            <v>1075*57*8</v>
          </cell>
          <cell r="G2473">
            <v>1075</v>
          </cell>
          <cell r="H2473">
            <v>57</v>
          </cell>
          <cell r="I2473">
            <v>8</v>
          </cell>
          <cell r="J2473">
            <v>0</v>
          </cell>
          <cell r="K2473">
            <v>0</v>
          </cell>
          <cell r="L2473">
            <v>1.76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</row>
        <row r="2474">
          <cell r="A2474" t="str">
            <v>Y025-087</v>
          </cell>
          <cell r="B2474">
            <v>0</v>
          </cell>
          <cell r="C2474" t="str">
            <v>Y025</v>
          </cell>
          <cell r="D2474" t="str">
            <v>615-15-01</v>
          </cell>
          <cell r="E2474" t="str">
            <v>Poly 饰条</v>
          </cell>
          <cell r="F2474" t="str">
            <v>890*51*5</v>
          </cell>
          <cell r="G2474">
            <v>890</v>
          </cell>
          <cell r="H2474">
            <v>51</v>
          </cell>
          <cell r="I2474">
            <v>5</v>
          </cell>
          <cell r="J2474">
            <v>0</v>
          </cell>
          <cell r="K2474">
            <v>0</v>
          </cell>
          <cell r="L2474">
            <v>0.96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</row>
        <row r="2475">
          <cell r="A2475" t="str">
            <v>Y025-088</v>
          </cell>
          <cell r="B2475">
            <v>0</v>
          </cell>
          <cell r="C2475" t="str">
            <v>Y025</v>
          </cell>
          <cell r="D2475" t="str">
            <v>615-15-01</v>
          </cell>
          <cell r="E2475" t="str">
            <v>Poly 饰条（弯 cong )</v>
          </cell>
          <cell r="F2475" t="str">
            <v>100*51*5</v>
          </cell>
          <cell r="G2475">
            <v>100</v>
          </cell>
          <cell r="H2475">
            <v>51</v>
          </cell>
          <cell r="I2475">
            <v>5</v>
          </cell>
          <cell r="J2475">
            <v>0</v>
          </cell>
          <cell r="K2475">
            <v>0</v>
          </cell>
          <cell r="L2475">
            <v>0.13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</row>
        <row r="2476">
          <cell r="A2476" t="str">
            <v>Y025-089</v>
          </cell>
          <cell r="B2476">
            <v>0</v>
          </cell>
          <cell r="C2476" t="str">
            <v>Y025</v>
          </cell>
          <cell r="D2476" t="str">
            <v>615-15-02</v>
          </cell>
          <cell r="E2476" t="str">
            <v>Poly 饰条</v>
          </cell>
          <cell r="F2476" t="str">
            <v>1287*25*5</v>
          </cell>
          <cell r="G2476">
            <v>1287</v>
          </cell>
          <cell r="H2476">
            <v>25</v>
          </cell>
          <cell r="I2476">
            <v>5</v>
          </cell>
          <cell r="J2476">
            <v>0</v>
          </cell>
          <cell r="K2476">
            <v>0</v>
          </cell>
          <cell r="L2476">
            <v>0.74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</row>
        <row r="2477">
          <cell r="A2477" t="str">
            <v>Y025-090</v>
          </cell>
          <cell r="B2477">
            <v>0</v>
          </cell>
          <cell r="C2477" t="str">
            <v>Y025</v>
          </cell>
          <cell r="D2477" t="str">
            <v>615-15-02</v>
          </cell>
          <cell r="E2477" t="str">
            <v>Poly 饰条</v>
          </cell>
          <cell r="F2477" t="str">
            <v>931*25*5</v>
          </cell>
          <cell r="G2477">
            <v>931</v>
          </cell>
          <cell r="H2477">
            <v>25</v>
          </cell>
          <cell r="I2477">
            <v>5</v>
          </cell>
          <cell r="J2477">
            <v>0</v>
          </cell>
          <cell r="K2477">
            <v>0</v>
          </cell>
          <cell r="L2477">
            <v>0.56999999999999995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</row>
        <row r="2478">
          <cell r="A2478" t="str">
            <v>Y025-091</v>
          </cell>
          <cell r="B2478">
            <v>0</v>
          </cell>
          <cell r="C2478" t="str">
            <v>Y025</v>
          </cell>
          <cell r="D2478" t="str">
            <v>615-15-30</v>
          </cell>
          <cell r="E2478" t="str">
            <v>Poly 饰条</v>
          </cell>
          <cell r="F2478" t="str">
            <v>1804*25*5</v>
          </cell>
          <cell r="G2478">
            <v>1804</v>
          </cell>
          <cell r="H2478">
            <v>25</v>
          </cell>
          <cell r="I2478">
            <v>5</v>
          </cell>
          <cell r="J2478">
            <v>0</v>
          </cell>
          <cell r="K2478">
            <v>0</v>
          </cell>
          <cell r="L2478">
            <v>0.98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</row>
        <row r="2479">
          <cell r="A2479" t="str">
            <v>Y025-092</v>
          </cell>
          <cell r="B2479">
            <v>0</v>
          </cell>
          <cell r="C2479" t="str">
            <v>Y025</v>
          </cell>
          <cell r="D2479" t="str">
            <v>615-15-30</v>
          </cell>
          <cell r="E2479" t="str">
            <v>Poly 饰条</v>
          </cell>
          <cell r="F2479" t="str">
            <v>405*25*5</v>
          </cell>
          <cell r="G2479">
            <v>405</v>
          </cell>
          <cell r="H2479">
            <v>25</v>
          </cell>
          <cell r="I2479">
            <v>5</v>
          </cell>
          <cell r="J2479">
            <v>0</v>
          </cell>
          <cell r="K2479">
            <v>0</v>
          </cell>
          <cell r="L2479">
            <v>0.28000000000000003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</row>
        <row r="2480">
          <cell r="A2480" t="str">
            <v>Y025-093</v>
          </cell>
          <cell r="B2480">
            <v>0</v>
          </cell>
          <cell r="C2480" t="str">
            <v>Y025</v>
          </cell>
          <cell r="D2480" t="str">
            <v>615-15-30</v>
          </cell>
          <cell r="E2480" t="str">
            <v>Poly 饰条</v>
          </cell>
          <cell r="F2480" t="str">
            <v>1545*25*5</v>
          </cell>
          <cell r="G2480">
            <v>1545</v>
          </cell>
          <cell r="H2480">
            <v>25</v>
          </cell>
          <cell r="I2480">
            <v>5</v>
          </cell>
          <cell r="J2480">
            <v>0</v>
          </cell>
          <cell r="K2480">
            <v>0</v>
          </cell>
          <cell r="L2480">
            <v>0.89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</row>
        <row r="2481">
          <cell r="A2481" t="str">
            <v>Y025-094</v>
          </cell>
          <cell r="B2481">
            <v>0</v>
          </cell>
          <cell r="C2481" t="str">
            <v>Y025</v>
          </cell>
          <cell r="D2481" t="str">
            <v>615-15-03</v>
          </cell>
          <cell r="E2481" t="str">
            <v>Poly 饰条</v>
          </cell>
          <cell r="F2481" t="str">
            <v>708*25*5</v>
          </cell>
          <cell r="G2481">
            <v>708</v>
          </cell>
          <cell r="H2481">
            <v>25</v>
          </cell>
          <cell r="I2481">
            <v>5</v>
          </cell>
          <cell r="J2481">
            <v>0</v>
          </cell>
          <cell r="K2481">
            <v>0</v>
          </cell>
          <cell r="L2481">
            <v>0.39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</row>
        <row r="2482">
          <cell r="A2482" t="str">
            <v>Y025-095</v>
          </cell>
          <cell r="B2482">
            <v>0</v>
          </cell>
          <cell r="C2482" t="str">
            <v>Y025</v>
          </cell>
          <cell r="D2482" t="str">
            <v>615-15-05</v>
          </cell>
          <cell r="E2482" t="str">
            <v>Poly 饰条</v>
          </cell>
          <cell r="F2482" t="str">
            <v>1399*25*5</v>
          </cell>
          <cell r="G2482">
            <v>1399</v>
          </cell>
          <cell r="H2482">
            <v>25</v>
          </cell>
          <cell r="I2482">
            <v>5</v>
          </cell>
          <cell r="J2482">
            <v>0</v>
          </cell>
          <cell r="K2482">
            <v>0</v>
          </cell>
          <cell r="L2482">
            <v>0.87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</row>
        <row r="2483">
          <cell r="A2483" t="str">
            <v>Y025-096</v>
          </cell>
          <cell r="B2483">
            <v>0</v>
          </cell>
          <cell r="C2483" t="str">
            <v>Y025</v>
          </cell>
          <cell r="D2483" t="str">
            <v>615-15-05</v>
          </cell>
          <cell r="E2483" t="str">
            <v>Poly 饰条</v>
          </cell>
          <cell r="F2483" t="str">
            <v>372*25*5</v>
          </cell>
          <cell r="G2483">
            <v>372</v>
          </cell>
          <cell r="H2483">
            <v>25</v>
          </cell>
          <cell r="I2483">
            <v>5</v>
          </cell>
          <cell r="J2483">
            <v>0</v>
          </cell>
          <cell r="K2483">
            <v>0</v>
          </cell>
          <cell r="L2483">
            <v>0.24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</row>
        <row r="2484">
          <cell r="A2484" t="str">
            <v>Y025-097</v>
          </cell>
          <cell r="B2484">
            <v>0</v>
          </cell>
          <cell r="C2484" t="str">
            <v>Y025</v>
          </cell>
          <cell r="D2484" t="str">
            <v>615-15-33</v>
          </cell>
          <cell r="E2484" t="str">
            <v>Poly 饰条</v>
          </cell>
          <cell r="F2484" t="str">
            <v>755*25*5</v>
          </cell>
          <cell r="G2484">
            <v>755</v>
          </cell>
          <cell r="H2484">
            <v>25</v>
          </cell>
          <cell r="I2484">
            <v>5</v>
          </cell>
          <cell r="J2484">
            <v>0</v>
          </cell>
          <cell r="K2484">
            <v>0</v>
          </cell>
          <cell r="L2484">
            <v>0.48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</row>
        <row r="2485">
          <cell r="A2485" t="str">
            <v>Y025-098</v>
          </cell>
          <cell r="B2485">
            <v>0</v>
          </cell>
          <cell r="C2485" t="str">
            <v>Y025</v>
          </cell>
          <cell r="D2485" t="str">
            <v>615-15-33</v>
          </cell>
          <cell r="E2485" t="str">
            <v>Poly 饰条</v>
          </cell>
          <cell r="F2485" t="str">
            <v>494*25*5</v>
          </cell>
          <cell r="G2485">
            <v>494</v>
          </cell>
          <cell r="H2485">
            <v>25</v>
          </cell>
          <cell r="I2485">
            <v>5</v>
          </cell>
          <cell r="J2485">
            <v>0</v>
          </cell>
          <cell r="K2485">
            <v>0</v>
          </cell>
          <cell r="L2485">
            <v>0.33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</row>
        <row r="2486">
          <cell r="A2486" t="str">
            <v>Y025-099</v>
          </cell>
          <cell r="B2486">
            <v>0</v>
          </cell>
          <cell r="C2486" t="str">
            <v>Y025</v>
          </cell>
          <cell r="D2486" t="str">
            <v>615-11-05</v>
          </cell>
          <cell r="E2486" t="str">
            <v>Poly 饰条</v>
          </cell>
          <cell r="F2486" t="str">
            <v>1924*32*5</v>
          </cell>
          <cell r="G2486">
            <v>1924</v>
          </cell>
          <cell r="H2486">
            <v>32</v>
          </cell>
          <cell r="I2486">
            <v>5</v>
          </cell>
          <cell r="J2486">
            <v>0</v>
          </cell>
          <cell r="K2486">
            <v>0</v>
          </cell>
          <cell r="L2486">
            <v>1.37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</row>
        <row r="2487">
          <cell r="A2487" t="str">
            <v>Y025-100</v>
          </cell>
          <cell r="B2487">
            <v>0</v>
          </cell>
          <cell r="C2487" t="str">
            <v>Y025</v>
          </cell>
          <cell r="D2487" t="str">
            <v>615-11-05</v>
          </cell>
          <cell r="E2487" t="str">
            <v>Poly 饰条</v>
          </cell>
          <cell r="F2487" t="str">
            <v>509*32*5</v>
          </cell>
          <cell r="G2487">
            <v>509</v>
          </cell>
          <cell r="H2487">
            <v>32</v>
          </cell>
          <cell r="I2487">
            <v>5</v>
          </cell>
          <cell r="J2487">
            <v>0</v>
          </cell>
          <cell r="K2487">
            <v>0</v>
          </cell>
          <cell r="L2487">
            <v>0.4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</row>
        <row r="2488">
          <cell r="A2488" t="str">
            <v>Y025-101</v>
          </cell>
          <cell r="B2488">
            <v>0</v>
          </cell>
          <cell r="C2488" t="str">
            <v>Y025</v>
          </cell>
          <cell r="D2488" t="str">
            <v>615-11-06</v>
          </cell>
          <cell r="E2488" t="str">
            <v>Poly 饰条</v>
          </cell>
          <cell r="F2488" t="str">
            <v>1845*32*5</v>
          </cell>
          <cell r="G2488">
            <v>1845</v>
          </cell>
          <cell r="H2488">
            <v>32</v>
          </cell>
          <cell r="I2488">
            <v>5</v>
          </cell>
          <cell r="J2488">
            <v>0</v>
          </cell>
          <cell r="K2488">
            <v>0</v>
          </cell>
          <cell r="L2488">
            <v>1.32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</row>
        <row r="2489">
          <cell r="A2489" t="str">
            <v>Y025-102</v>
          </cell>
          <cell r="B2489">
            <v>0</v>
          </cell>
          <cell r="C2489" t="str">
            <v>Y025</v>
          </cell>
          <cell r="D2489" t="str">
            <v>615-11-06</v>
          </cell>
          <cell r="E2489" t="str">
            <v>Poly 饰条</v>
          </cell>
          <cell r="F2489" t="str">
            <v>467*32*5</v>
          </cell>
          <cell r="G2489">
            <v>467</v>
          </cell>
          <cell r="H2489">
            <v>32</v>
          </cell>
          <cell r="I2489">
            <v>5</v>
          </cell>
          <cell r="J2489">
            <v>0</v>
          </cell>
          <cell r="K2489">
            <v>0</v>
          </cell>
          <cell r="L2489">
            <v>0.35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</row>
        <row r="2490">
          <cell r="A2490" t="str">
            <v>Y025-103</v>
          </cell>
          <cell r="B2490">
            <v>0</v>
          </cell>
          <cell r="C2490" t="str">
            <v>Y025</v>
          </cell>
          <cell r="D2490" t="str">
            <v>615-13-447/445/549</v>
          </cell>
          <cell r="E2490" t="str">
            <v>Poly 饰条</v>
          </cell>
          <cell r="F2490" t="str">
            <v>1960*32*5</v>
          </cell>
          <cell r="G2490">
            <v>1960</v>
          </cell>
          <cell r="H2490">
            <v>32</v>
          </cell>
          <cell r="I2490">
            <v>5</v>
          </cell>
          <cell r="J2490">
            <v>0</v>
          </cell>
          <cell r="K2490">
            <v>0</v>
          </cell>
          <cell r="L2490">
            <v>1.42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</row>
        <row r="2491">
          <cell r="A2491" t="str">
            <v>Y025-104</v>
          </cell>
          <cell r="B2491">
            <v>0</v>
          </cell>
          <cell r="C2491" t="str">
            <v>Y025</v>
          </cell>
          <cell r="D2491" t="str">
            <v>615-13-447/442/140/440/543/549</v>
          </cell>
          <cell r="E2491" t="str">
            <v>Poly 饰条（弯 cong )</v>
          </cell>
          <cell r="F2491" t="str">
            <v>110*32*5</v>
          </cell>
          <cell r="G2491">
            <v>110</v>
          </cell>
          <cell r="H2491">
            <v>32</v>
          </cell>
          <cell r="I2491">
            <v>5</v>
          </cell>
          <cell r="J2491">
            <v>0</v>
          </cell>
          <cell r="K2491">
            <v>0</v>
          </cell>
          <cell r="L2491">
            <v>7.6999999999999999E-2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</row>
        <row r="2492">
          <cell r="A2492" t="str">
            <v>Y025-105</v>
          </cell>
          <cell r="B2492">
            <v>0</v>
          </cell>
          <cell r="C2492" t="str">
            <v>Y025</v>
          </cell>
          <cell r="D2492" t="str">
            <v>615-13-442/440/543</v>
          </cell>
          <cell r="E2492" t="str">
            <v>Poly 饰条</v>
          </cell>
          <cell r="F2492" t="str">
            <v>1550*32*5</v>
          </cell>
          <cell r="G2492">
            <v>1550</v>
          </cell>
          <cell r="H2492">
            <v>32</v>
          </cell>
          <cell r="I2492">
            <v>5</v>
          </cell>
          <cell r="J2492">
            <v>0</v>
          </cell>
          <cell r="K2492">
            <v>0</v>
          </cell>
          <cell r="L2492">
            <v>1.1299999999999999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</row>
        <row r="2493">
          <cell r="A2493" t="str">
            <v>Y025-106</v>
          </cell>
          <cell r="B2493">
            <v>0</v>
          </cell>
          <cell r="C2493" t="str">
            <v>Y025</v>
          </cell>
          <cell r="D2493" t="str">
            <v>615-13-140</v>
          </cell>
          <cell r="E2493" t="str">
            <v>Poly 饰条</v>
          </cell>
          <cell r="F2493" t="str">
            <v>1690*32*5</v>
          </cell>
          <cell r="G2493">
            <v>1690</v>
          </cell>
          <cell r="H2493">
            <v>32</v>
          </cell>
          <cell r="I2493">
            <v>5</v>
          </cell>
          <cell r="J2493">
            <v>0</v>
          </cell>
          <cell r="K2493">
            <v>0</v>
          </cell>
          <cell r="L2493">
            <v>1.27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</row>
        <row r="2494">
          <cell r="A2494" t="str">
            <v>Y025-107</v>
          </cell>
          <cell r="B2494">
            <v>0</v>
          </cell>
          <cell r="C2494" t="str">
            <v>Y025</v>
          </cell>
          <cell r="D2494" t="str">
            <v>615-13-145</v>
          </cell>
          <cell r="E2494" t="str">
            <v>Poly 饰条</v>
          </cell>
          <cell r="F2494" t="str">
            <v>2060*32*5</v>
          </cell>
          <cell r="G2494">
            <v>2060</v>
          </cell>
          <cell r="H2494">
            <v>32</v>
          </cell>
          <cell r="I2494">
            <v>5</v>
          </cell>
          <cell r="J2494">
            <v>0</v>
          </cell>
          <cell r="K2494">
            <v>0</v>
          </cell>
          <cell r="L2494">
            <v>1.45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</row>
        <row r="2495">
          <cell r="A2495" t="str">
            <v>Y025-108</v>
          </cell>
          <cell r="B2495">
            <v>0</v>
          </cell>
          <cell r="C2495" t="str">
            <v>Y025</v>
          </cell>
          <cell r="D2495" t="str">
            <v>615-13-05</v>
          </cell>
          <cell r="E2495" t="str">
            <v>Poly 饰条</v>
          </cell>
          <cell r="F2495" t="str">
            <v>1623*32*5</v>
          </cell>
          <cell r="G2495">
            <v>1623</v>
          </cell>
          <cell r="H2495">
            <v>32</v>
          </cell>
          <cell r="I2495">
            <v>5</v>
          </cell>
          <cell r="J2495">
            <v>0</v>
          </cell>
          <cell r="K2495">
            <v>0</v>
          </cell>
          <cell r="L2495">
            <v>1.17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</row>
        <row r="2496">
          <cell r="A2496" t="str">
            <v>Y025-109</v>
          </cell>
          <cell r="B2496">
            <v>0</v>
          </cell>
          <cell r="C2496" t="str">
            <v>Y025</v>
          </cell>
          <cell r="D2496" t="str">
            <v>615-13-05</v>
          </cell>
          <cell r="E2496" t="str">
            <v>Poly 饰条</v>
          </cell>
          <cell r="F2496" t="str">
            <v>457*32*5</v>
          </cell>
          <cell r="G2496">
            <v>457</v>
          </cell>
          <cell r="H2496">
            <v>32</v>
          </cell>
          <cell r="I2496">
            <v>5</v>
          </cell>
          <cell r="J2496">
            <v>0</v>
          </cell>
          <cell r="K2496">
            <v>0</v>
          </cell>
          <cell r="L2496">
            <v>0.34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</row>
        <row r="2497">
          <cell r="A2497" t="str">
            <v>Y025-110</v>
          </cell>
          <cell r="B2497">
            <v>0</v>
          </cell>
          <cell r="C2497" t="str">
            <v>Y025</v>
          </cell>
          <cell r="D2497" t="str">
            <v>615-13-05/10/80</v>
          </cell>
          <cell r="E2497" t="str">
            <v>Poly 饰条（弯 cong )</v>
          </cell>
          <cell r="F2497" t="str">
            <v>100*32*5</v>
          </cell>
          <cell r="G2497">
            <v>100</v>
          </cell>
          <cell r="H2497">
            <v>32</v>
          </cell>
          <cell r="I2497">
            <v>5</v>
          </cell>
          <cell r="J2497">
            <v>0</v>
          </cell>
          <cell r="K2497">
            <v>0</v>
          </cell>
          <cell r="L2497">
            <v>7.0000000000000007E-2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</row>
        <row r="2498">
          <cell r="A2498" t="str">
            <v>Y025-111</v>
          </cell>
          <cell r="B2498">
            <v>0</v>
          </cell>
          <cell r="C2498" t="str">
            <v>Y025</v>
          </cell>
          <cell r="D2498" t="str">
            <v>615-13-10</v>
          </cell>
          <cell r="E2498" t="str">
            <v>Poly 饰条</v>
          </cell>
          <cell r="F2498" t="str">
            <v>1005*32*5</v>
          </cell>
          <cell r="G2498">
            <v>1005</v>
          </cell>
          <cell r="H2498">
            <v>32</v>
          </cell>
          <cell r="I2498">
            <v>5</v>
          </cell>
          <cell r="J2498">
            <v>0</v>
          </cell>
          <cell r="K2498">
            <v>0</v>
          </cell>
          <cell r="L2498">
            <v>0.77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</row>
        <row r="2499">
          <cell r="A2499" t="str">
            <v>Y025-112</v>
          </cell>
          <cell r="B2499">
            <v>0</v>
          </cell>
          <cell r="C2499" t="str">
            <v>Y025</v>
          </cell>
          <cell r="D2499" t="str">
            <v>615-13-10</v>
          </cell>
          <cell r="E2499" t="str">
            <v>Poly 饰条</v>
          </cell>
          <cell r="F2499" t="str">
            <v>457*32*5</v>
          </cell>
          <cell r="G2499">
            <v>457</v>
          </cell>
          <cell r="H2499">
            <v>32</v>
          </cell>
          <cell r="I2499">
            <v>5</v>
          </cell>
          <cell r="J2499">
            <v>0</v>
          </cell>
          <cell r="K2499">
            <v>0</v>
          </cell>
          <cell r="L2499">
            <v>0.34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</row>
        <row r="2500">
          <cell r="A2500" t="str">
            <v>Y025-113</v>
          </cell>
          <cell r="B2500">
            <v>0</v>
          </cell>
          <cell r="C2500" t="str">
            <v>Y025</v>
          </cell>
          <cell r="D2500" t="str">
            <v>615-13-11</v>
          </cell>
          <cell r="E2500" t="str">
            <v>Poly 饰条</v>
          </cell>
          <cell r="F2500" t="str">
            <v>1214*32*5</v>
          </cell>
          <cell r="G2500">
            <v>1214</v>
          </cell>
          <cell r="H2500">
            <v>32</v>
          </cell>
          <cell r="I2500">
            <v>5</v>
          </cell>
          <cell r="J2500">
            <v>0</v>
          </cell>
          <cell r="K2500">
            <v>0</v>
          </cell>
          <cell r="L2500">
            <v>0.87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</row>
        <row r="2501">
          <cell r="A2501" t="str">
            <v>Y025-114</v>
          </cell>
          <cell r="B2501">
            <v>0</v>
          </cell>
          <cell r="C2501" t="str">
            <v>Y025</v>
          </cell>
          <cell r="D2501" t="str">
            <v>615-13-11</v>
          </cell>
          <cell r="E2501" t="str">
            <v>Poly 饰条</v>
          </cell>
          <cell r="F2501" t="str">
            <v>481*32*5</v>
          </cell>
          <cell r="G2501">
            <v>481</v>
          </cell>
          <cell r="H2501">
            <v>32</v>
          </cell>
          <cell r="I2501">
            <v>5</v>
          </cell>
          <cell r="J2501">
            <v>0</v>
          </cell>
          <cell r="K2501">
            <v>0</v>
          </cell>
          <cell r="L2501">
            <v>0.36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</row>
        <row r="2502">
          <cell r="A2502" t="str">
            <v>Y025-115</v>
          </cell>
          <cell r="B2502">
            <v>0</v>
          </cell>
          <cell r="C2502" t="str">
            <v>Y025</v>
          </cell>
          <cell r="D2502" t="str">
            <v>615-13-80</v>
          </cell>
          <cell r="E2502" t="str">
            <v>Poly 饰条</v>
          </cell>
          <cell r="F2502" t="str">
            <v>640*32*5</v>
          </cell>
          <cell r="G2502">
            <v>640</v>
          </cell>
          <cell r="H2502">
            <v>32</v>
          </cell>
          <cell r="I2502">
            <v>5</v>
          </cell>
          <cell r="J2502">
            <v>0</v>
          </cell>
          <cell r="K2502">
            <v>0</v>
          </cell>
          <cell r="L2502">
            <v>0.48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</row>
        <row r="2503">
          <cell r="A2503" t="str">
            <v>Y025-116</v>
          </cell>
          <cell r="B2503">
            <v>0</v>
          </cell>
          <cell r="C2503" t="str">
            <v>Y025</v>
          </cell>
          <cell r="D2503" t="str">
            <v>615-13-80</v>
          </cell>
          <cell r="E2503" t="str">
            <v>Poly 饰条</v>
          </cell>
          <cell r="F2503" t="str">
            <v>420*32*5</v>
          </cell>
          <cell r="G2503">
            <v>420</v>
          </cell>
          <cell r="H2503">
            <v>32</v>
          </cell>
          <cell r="I2503">
            <v>5</v>
          </cell>
          <cell r="J2503">
            <v>0</v>
          </cell>
          <cell r="K2503">
            <v>0</v>
          </cell>
          <cell r="L2503">
            <v>0.33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</row>
        <row r="2504">
          <cell r="A2504" t="str">
            <v>Y025-117</v>
          </cell>
          <cell r="B2504">
            <v>0</v>
          </cell>
          <cell r="C2504" t="str">
            <v>Y025</v>
          </cell>
          <cell r="D2504" t="str">
            <v>615-13-16</v>
          </cell>
          <cell r="E2504" t="str">
            <v>Poly 饰条</v>
          </cell>
          <cell r="F2504" t="str">
            <v>772*35*5</v>
          </cell>
          <cell r="G2504">
            <v>772</v>
          </cell>
          <cell r="H2504">
            <v>35</v>
          </cell>
          <cell r="I2504">
            <v>5</v>
          </cell>
          <cell r="J2504">
            <v>0</v>
          </cell>
          <cell r="K2504">
            <v>0</v>
          </cell>
          <cell r="L2504">
            <v>0.67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</row>
        <row r="2505">
          <cell r="A2505" t="str">
            <v>Y025-118</v>
          </cell>
          <cell r="B2505">
            <v>0</v>
          </cell>
          <cell r="C2505" t="str">
            <v>Y025</v>
          </cell>
          <cell r="D2505" t="str">
            <v>615-13-16</v>
          </cell>
          <cell r="E2505" t="str">
            <v>Poly 饰条</v>
          </cell>
          <cell r="F2505" t="str">
            <v>720*35*5</v>
          </cell>
          <cell r="G2505">
            <v>720</v>
          </cell>
          <cell r="H2505">
            <v>35</v>
          </cell>
          <cell r="I2505">
            <v>5</v>
          </cell>
          <cell r="J2505">
            <v>0</v>
          </cell>
          <cell r="K2505">
            <v>0</v>
          </cell>
          <cell r="L2505">
            <v>0.6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</row>
        <row r="2506">
          <cell r="A2506" t="str">
            <v>Y025-119</v>
          </cell>
          <cell r="B2506">
            <v>0</v>
          </cell>
          <cell r="C2506" t="str">
            <v>Y025</v>
          </cell>
          <cell r="D2506" t="str">
            <v>615-13-72</v>
          </cell>
          <cell r="E2506" t="str">
            <v>Poly 饰条</v>
          </cell>
          <cell r="F2506" t="str">
            <v>1125*51*5</v>
          </cell>
          <cell r="G2506">
            <v>1125</v>
          </cell>
          <cell r="H2506">
            <v>51</v>
          </cell>
          <cell r="I2506">
            <v>5</v>
          </cell>
          <cell r="J2506">
            <v>0</v>
          </cell>
          <cell r="K2506">
            <v>0</v>
          </cell>
          <cell r="L2506">
            <v>1.1599999999999999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</row>
        <row r="2507">
          <cell r="A2507" t="str">
            <v>Y025-120</v>
          </cell>
          <cell r="B2507">
            <v>0</v>
          </cell>
          <cell r="C2507" t="str">
            <v>Y025</v>
          </cell>
          <cell r="D2507" t="str">
            <v>615-13-72</v>
          </cell>
          <cell r="E2507" t="str">
            <v>Poly 饰条</v>
          </cell>
          <cell r="F2507" t="str">
            <v>338*51*5</v>
          </cell>
          <cell r="G2507">
            <v>338</v>
          </cell>
          <cell r="H2507">
            <v>51</v>
          </cell>
          <cell r="I2507">
            <v>5</v>
          </cell>
          <cell r="J2507">
            <v>0</v>
          </cell>
          <cell r="K2507">
            <v>0</v>
          </cell>
          <cell r="L2507">
            <v>0.39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</row>
        <row r="2508">
          <cell r="A2508" t="str">
            <v>Y025-121</v>
          </cell>
          <cell r="B2508">
            <v>0</v>
          </cell>
          <cell r="C2508" t="str">
            <v>Y025</v>
          </cell>
          <cell r="D2508" t="str">
            <v>615-11-72/73</v>
          </cell>
          <cell r="E2508" t="str">
            <v>Poly 饰条1,2,3</v>
          </cell>
          <cell r="F2508" t="str">
            <v>1460*51*5</v>
          </cell>
          <cell r="G2508">
            <v>1460</v>
          </cell>
          <cell r="H2508">
            <v>51</v>
          </cell>
          <cell r="I2508">
            <v>5</v>
          </cell>
          <cell r="J2508">
            <v>0</v>
          </cell>
          <cell r="K2508">
            <v>0</v>
          </cell>
          <cell r="L2508">
            <v>1.47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</row>
        <row r="2509">
          <cell r="A2509" t="str">
            <v>Y025-122</v>
          </cell>
          <cell r="B2509">
            <v>0</v>
          </cell>
          <cell r="C2509" t="str">
            <v>Y025</v>
          </cell>
          <cell r="D2509" t="str">
            <v>615-11-74</v>
          </cell>
          <cell r="E2509" t="str">
            <v>Poly 饰条1，2</v>
          </cell>
          <cell r="F2509" t="str">
            <v>1040*50*5</v>
          </cell>
          <cell r="G2509">
            <v>1040</v>
          </cell>
          <cell r="H2509">
            <v>50</v>
          </cell>
          <cell r="I2509">
            <v>5</v>
          </cell>
          <cell r="J2509">
            <v>0</v>
          </cell>
          <cell r="K2509">
            <v>0</v>
          </cell>
          <cell r="L2509">
            <v>1.1499999999999999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</row>
        <row r="2510">
          <cell r="A2510" t="str">
            <v>Y025-123</v>
          </cell>
          <cell r="B2510">
            <v>0</v>
          </cell>
          <cell r="C2510" t="str">
            <v>Y025</v>
          </cell>
          <cell r="D2510" t="str">
            <v>615-15-74</v>
          </cell>
          <cell r="E2510" t="str">
            <v>Poly 饰条1，2</v>
          </cell>
          <cell r="F2510" t="str">
            <v>1040*50*5</v>
          </cell>
          <cell r="G2510">
            <v>1040</v>
          </cell>
          <cell r="H2510">
            <v>50</v>
          </cell>
          <cell r="I2510">
            <v>5</v>
          </cell>
          <cell r="J2510">
            <v>0</v>
          </cell>
          <cell r="K2510">
            <v>0</v>
          </cell>
          <cell r="L2510">
            <v>1.1499999999999999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</row>
        <row r="2511">
          <cell r="A2511" t="str">
            <v>Y025-124</v>
          </cell>
          <cell r="B2511">
            <v>0</v>
          </cell>
          <cell r="C2511" t="str">
            <v>Y025</v>
          </cell>
          <cell r="D2511" t="str">
            <v>615-11-30</v>
          </cell>
          <cell r="E2511" t="str">
            <v>Poly 饰条</v>
          </cell>
          <cell r="F2511" t="str">
            <v>899*57*5</v>
          </cell>
          <cell r="G2511">
            <v>899</v>
          </cell>
          <cell r="H2511">
            <v>57</v>
          </cell>
          <cell r="I2511">
            <v>5</v>
          </cell>
          <cell r="J2511">
            <v>0</v>
          </cell>
          <cell r="K2511">
            <v>0</v>
          </cell>
          <cell r="L2511">
            <v>1.1000000000000001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</row>
        <row r="2512">
          <cell r="A2512" t="str">
            <v>Y025-125</v>
          </cell>
          <cell r="B2512">
            <v>0</v>
          </cell>
          <cell r="C2512" t="str">
            <v>Y025</v>
          </cell>
          <cell r="D2512" t="str">
            <v>615-11-30</v>
          </cell>
          <cell r="E2512" t="str">
            <v>Poly 饰条</v>
          </cell>
          <cell r="F2512" t="str">
            <v>508*57*5</v>
          </cell>
          <cell r="G2512">
            <v>508</v>
          </cell>
          <cell r="H2512">
            <v>57</v>
          </cell>
          <cell r="I2512">
            <v>5</v>
          </cell>
          <cell r="J2512">
            <v>0</v>
          </cell>
          <cell r="K2512">
            <v>0</v>
          </cell>
          <cell r="L2512">
            <v>0.66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</row>
        <row r="2513">
          <cell r="A2513" t="str">
            <v>Y025-126</v>
          </cell>
          <cell r="B2513">
            <v>0</v>
          </cell>
          <cell r="C2513" t="str">
            <v>Y025</v>
          </cell>
          <cell r="D2513" t="str">
            <v>615-11-36</v>
          </cell>
          <cell r="E2513" t="str">
            <v>Poly 饰条</v>
          </cell>
          <cell r="F2513" t="str">
            <v>1088*57*5</v>
          </cell>
          <cell r="G2513">
            <v>1088</v>
          </cell>
          <cell r="H2513">
            <v>57</v>
          </cell>
          <cell r="I2513">
            <v>5</v>
          </cell>
          <cell r="J2513">
            <v>0</v>
          </cell>
          <cell r="K2513">
            <v>0</v>
          </cell>
          <cell r="L2513">
            <v>1.23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</row>
        <row r="2514">
          <cell r="A2514" t="str">
            <v>Y025-127</v>
          </cell>
          <cell r="B2514">
            <v>0</v>
          </cell>
          <cell r="C2514" t="str">
            <v>Y025</v>
          </cell>
          <cell r="D2514" t="str">
            <v>615-11-36</v>
          </cell>
          <cell r="E2514" t="str">
            <v>Poly 饰条</v>
          </cell>
          <cell r="F2514" t="str">
            <v>838*57*5</v>
          </cell>
          <cell r="G2514">
            <v>838</v>
          </cell>
          <cell r="H2514">
            <v>57</v>
          </cell>
          <cell r="I2514">
            <v>5</v>
          </cell>
          <cell r="J2514">
            <v>0</v>
          </cell>
          <cell r="K2514">
            <v>0</v>
          </cell>
          <cell r="L2514">
            <v>1.03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</row>
        <row r="2515">
          <cell r="A2515" t="str">
            <v>Y025-128</v>
          </cell>
          <cell r="B2515">
            <v>0</v>
          </cell>
          <cell r="C2515" t="str">
            <v>Y025</v>
          </cell>
          <cell r="D2515" t="str">
            <v>615-11-36</v>
          </cell>
          <cell r="E2515" t="str">
            <v>Poly 饰条</v>
          </cell>
          <cell r="F2515" t="str">
            <v>597*57*5</v>
          </cell>
          <cell r="G2515">
            <v>597</v>
          </cell>
          <cell r="H2515">
            <v>57</v>
          </cell>
          <cell r="I2515">
            <v>5</v>
          </cell>
          <cell r="J2515">
            <v>0</v>
          </cell>
          <cell r="K2515">
            <v>0</v>
          </cell>
          <cell r="L2515">
            <v>0.74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</row>
        <row r="2516">
          <cell r="A2516" t="str">
            <v>Y025-129</v>
          </cell>
          <cell r="B2516">
            <v>0</v>
          </cell>
          <cell r="C2516" t="str">
            <v>Y025</v>
          </cell>
          <cell r="D2516" t="str">
            <v>615-11-60/70</v>
          </cell>
          <cell r="E2516" t="str">
            <v>Poly 饰条1</v>
          </cell>
          <cell r="F2516" t="str">
            <v>354*64*5</v>
          </cell>
          <cell r="G2516">
            <v>354</v>
          </cell>
          <cell r="H2516">
            <v>64</v>
          </cell>
          <cell r="I2516">
            <v>5</v>
          </cell>
          <cell r="J2516">
            <v>0</v>
          </cell>
          <cell r="K2516">
            <v>0</v>
          </cell>
          <cell r="L2516">
            <v>0.49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</row>
        <row r="2517">
          <cell r="A2517" t="str">
            <v>Y025-130</v>
          </cell>
          <cell r="B2517">
            <v>0</v>
          </cell>
          <cell r="C2517" t="str">
            <v>Y025</v>
          </cell>
          <cell r="D2517" t="str">
            <v>615*-11-60/70</v>
          </cell>
          <cell r="E2517" t="str">
            <v>Poly 饰条2</v>
          </cell>
          <cell r="F2517" t="str">
            <v>402*64*5</v>
          </cell>
          <cell r="G2517">
            <v>402</v>
          </cell>
          <cell r="H2517">
            <v>64</v>
          </cell>
          <cell r="I2517">
            <v>5</v>
          </cell>
          <cell r="J2517">
            <v>0</v>
          </cell>
          <cell r="K2517">
            <v>0</v>
          </cell>
          <cell r="L2517">
            <v>0.57999999999999996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</row>
        <row r="2518">
          <cell r="A2518" t="str">
            <v>Y025-131</v>
          </cell>
          <cell r="B2518">
            <v>0</v>
          </cell>
          <cell r="C2518" t="str">
            <v>Y025</v>
          </cell>
          <cell r="D2518" t="str">
            <v>615*-11-60/70</v>
          </cell>
          <cell r="E2518" t="str">
            <v>Poly 饰条3</v>
          </cell>
          <cell r="F2518" t="str">
            <v>373*64*5</v>
          </cell>
          <cell r="G2518">
            <v>373</v>
          </cell>
          <cell r="H2518">
            <v>64</v>
          </cell>
          <cell r="I2518">
            <v>5</v>
          </cell>
          <cell r="J2518">
            <v>0</v>
          </cell>
          <cell r="K2518">
            <v>0</v>
          </cell>
          <cell r="L2518">
            <v>0.54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</row>
        <row r="2519">
          <cell r="A2519" t="str">
            <v>Y025-132</v>
          </cell>
          <cell r="B2519">
            <v>0</v>
          </cell>
          <cell r="C2519" t="str">
            <v>Y025</v>
          </cell>
          <cell r="D2519" t="str">
            <v>704-72/73</v>
          </cell>
          <cell r="E2519" t="str">
            <v>椅背条</v>
          </cell>
          <cell r="F2519" t="str">
            <v>255*223*19</v>
          </cell>
          <cell r="G2519">
            <v>255</v>
          </cell>
          <cell r="H2519">
            <v>223</v>
          </cell>
          <cell r="I2519">
            <v>19</v>
          </cell>
          <cell r="J2519">
            <v>368</v>
          </cell>
          <cell r="K2519">
            <v>0</v>
          </cell>
          <cell r="L2519">
            <v>1.3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</row>
        <row r="2520">
          <cell r="A2520" t="str">
            <v>Y025-133</v>
          </cell>
          <cell r="B2520">
            <v>0</v>
          </cell>
          <cell r="C2520" t="str">
            <v>Y025</v>
          </cell>
          <cell r="D2520" t="str">
            <v>704-74</v>
          </cell>
          <cell r="E2520" t="str">
            <v>椅背条</v>
          </cell>
          <cell r="F2520" t="str">
            <v>249*236*19</v>
          </cell>
          <cell r="G2520">
            <v>249</v>
          </cell>
          <cell r="H2520">
            <v>236</v>
          </cell>
          <cell r="I2520">
            <v>19</v>
          </cell>
          <cell r="J2520">
            <v>328</v>
          </cell>
          <cell r="K2520">
            <v>0</v>
          </cell>
          <cell r="L2520">
            <v>1.2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</row>
        <row r="2521">
          <cell r="A2521" t="str">
            <v>Y025-134</v>
          </cell>
          <cell r="B2521">
            <v>0</v>
          </cell>
          <cell r="C2521" t="str">
            <v>Y025</v>
          </cell>
          <cell r="D2521" t="str">
            <v>36016155016</v>
          </cell>
          <cell r="E2521" t="str">
            <v>饰条</v>
          </cell>
          <cell r="F2521" t="str">
            <v>1430*20*5</v>
          </cell>
          <cell r="G2521">
            <v>1430</v>
          </cell>
          <cell r="H2521">
            <v>20</v>
          </cell>
          <cell r="I2521">
            <v>5</v>
          </cell>
          <cell r="J2521">
            <v>248</v>
          </cell>
          <cell r="K2521" t="str">
            <v>未確認</v>
          </cell>
          <cell r="L2521">
            <v>0.66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</row>
        <row r="2522">
          <cell r="A2522" t="str">
            <v>Y025-135</v>
          </cell>
          <cell r="B2522">
            <v>0</v>
          </cell>
          <cell r="C2522" t="str">
            <v>Y025</v>
          </cell>
          <cell r="D2522" t="str">
            <v>36015275001D</v>
          </cell>
          <cell r="E2522" t="str">
            <v>饰条 2</v>
          </cell>
          <cell r="F2522" t="str">
            <v>915*8*6</v>
          </cell>
          <cell r="G2522">
            <v>915</v>
          </cell>
          <cell r="H2522">
            <v>8</v>
          </cell>
          <cell r="I2522">
            <v>6</v>
          </cell>
          <cell r="J2522">
            <v>0</v>
          </cell>
          <cell r="K2522">
            <v>0</v>
          </cell>
          <cell r="L2522">
            <v>0.23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</row>
        <row r="2523">
          <cell r="A2523" t="str">
            <v>Y025-136</v>
          </cell>
          <cell r="B2523">
            <v>0</v>
          </cell>
          <cell r="C2523" t="str">
            <v>Y025</v>
          </cell>
          <cell r="D2523" t="str">
            <v>360157990005A</v>
          </cell>
          <cell r="E2523" t="str">
            <v>POLY 5795-90005 镜框饰條</v>
          </cell>
          <cell r="F2523" t="str">
            <v>125*125*6</v>
          </cell>
          <cell r="G2523">
            <v>125</v>
          </cell>
          <cell r="H2523">
            <v>125</v>
          </cell>
          <cell r="I2523">
            <v>6</v>
          </cell>
          <cell r="J2523">
            <v>0</v>
          </cell>
          <cell r="K2523">
            <v>0</v>
          </cell>
          <cell r="L2523">
            <v>0.42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</row>
        <row r="2524">
          <cell r="A2524" t="str">
            <v>Y025-137</v>
          </cell>
          <cell r="B2524">
            <v>0</v>
          </cell>
          <cell r="C2524" t="str">
            <v>Y025</v>
          </cell>
          <cell r="D2524" t="str">
            <v>360157990005B</v>
          </cell>
          <cell r="E2524" t="str">
            <v>POLY 5795-90005 镜框饰條</v>
          </cell>
          <cell r="F2524" t="str">
            <v>100*660*6</v>
          </cell>
          <cell r="G2524">
            <v>100</v>
          </cell>
          <cell r="H2524">
            <v>660</v>
          </cell>
          <cell r="I2524">
            <v>6</v>
          </cell>
          <cell r="J2524">
            <v>0</v>
          </cell>
          <cell r="K2524">
            <v>0</v>
          </cell>
          <cell r="L2524">
            <v>1.85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</row>
        <row r="2525">
          <cell r="A2525" t="str">
            <v>Y025-138</v>
          </cell>
          <cell r="B2525">
            <v>0</v>
          </cell>
          <cell r="C2525" t="str">
            <v>Y025</v>
          </cell>
          <cell r="D2525" t="str">
            <v>360157990005C</v>
          </cell>
          <cell r="E2525" t="str">
            <v>POLY 5795-90005 镜框饰條</v>
          </cell>
          <cell r="F2525" t="str">
            <v>100*830*6</v>
          </cell>
          <cell r="G2525">
            <v>100</v>
          </cell>
          <cell r="H2525">
            <v>830</v>
          </cell>
          <cell r="I2525">
            <v>6</v>
          </cell>
          <cell r="J2525">
            <v>0</v>
          </cell>
          <cell r="K2525">
            <v>0</v>
          </cell>
          <cell r="L2525">
            <v>2.2000000000000002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</row>
        <row r="2526">
          <cell r="A2526" t="str">
            <v>Y025-139</v>
          </cell>
          <cell r="B2526">
            <v>0</v>
          </cell>
          <cell r="C2526" t="str">
            <v>Y025</v>
          </cell>
          <cell r="D2526" t="str">
            <v>360157990011</v>
          </cell>
          <cell r="E2526" t="str">
            <v>POLY 5795-90015 上抽面饰板</v>
          </cell>
          <cell r="F2526" t="str">
            <v>173*720*6</v>
          </cell>
          <cell r="G2526">
            <v>173</v>
          </cell>
          <cell r="H2526">
            <v>720</v>
          </cell>
          <cell r="I2526">
            <v>6</v>
          </cell>
          <cell r="J2526">
            <v>0</v>
          </cell>
          <cell r="K2526">
            <v>0</v>
          </cell>
          <cell r="L2526">
            <v>2.93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</row>
        <row r="2527">
          <cell r="A2527" t="str">
            <v>Y025-140</v>
          </cell>
          <cell r="B2527">
            <v>0</v>
          </cell>
          <cell r="C2527" t="str">
            <v>Y025</v>
          </cell>
          <cell r="D2527" t="str">
            <v>360157990015</v>
          </cell>
          <cell r="E2527" t="str">
            <v>POLY 5795-90015 上抽面饰板</v>
          </cell>
          <cell r="F2527" t="str">
            <v>151*670*6</v>
          </cell>
          <cell r="G2527">
            <v>151</v>
          </cell>
          <cell r="H2527">
            <v>670</v>
          </cell>
          <cell r="I2527">
            <v>6</v>
          </cell>
          <cell r="J2527">
            <v>0</v>
          </cell>
          <cell r="K2527">
            <v>0</v>
          </cell>
          <cell r="L2527">
            <v>2.9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</row>
        <row r="2528">
          <cell r="A2528" t="str">
            <v>Y025-141</v>
          </cell>
          <cell r="B2528">
            <v>0</v>
          </cell>
          <cell r="C2528" t="str">
            <v>Y025</v>
          </cell>
          <cell r="D2528" t="str">
            <v>360157990016</v>
          </cell>
          <cell r="E2528" t="str">
            <v>POLY 5795-90016上抽面饰板</v>
          </cell>
          <cell r="F2528" t="str">
            <v>665*410*6</v>
          </cell>
          <cell r="G2528">
            <v>665</v>
          </cell>
          <cell r="H2528">
            <v>410</v>
          </cell>
          <cell r="I2528">
            <v>6</v>
          </cell>
          <cell r="J2528">
            <v>0</v>
          </cell>
          <cell r="K2528">
            <v>0</v>
          </cell>
          <cell r="L2528">
            <v>6.15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</row>
        <row r="2529">
          <cell r="A2529" t="str">
            <v>Y025-142</v>
          </cell>
          <cell r="B2529">
            <v>0</v>
          </cell>
          <cell r="C2529" t="str">
            <v>Y025</v>
          </cell>
          <cell r="D2529" t="str">
            <v>360157975906</v>
          </cell>
          <cell r="E2529" t="str">
            <v>POLY 5795-75906 抽面饰板</v>
          </cell>
          <cell r="F2529" t="str">
            <v>110*675*6</v>
          </cell>
          <cell r="G2529">
            <v>110</v>
          </cell>
          <cell r="H2529">
            <v>675</v>
          </cell>
          <cell r="I2529">
            <v>6</v>
          </cell>
          <cell r="J2529">
            <v>0</v>
          </cell>
          <cell r="K2529">
            <v>0</v>
          </cell>
          <cell r="L2529">
            <v>2.2200000000000002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</row>
        <row r="2530">
          <cell r="A2530" t="str">
            <v>Y025-143</v>
          </cell>
          <cell r="B2530">
            <v>0</v>
          </cell>
          <cell r="C2530" t="str">
            <v>Y025</v>
          </cell>
          <cell r="D2530" t="str">
            <v>360157910458A</v>
          </cell>
          <cell r="E2530" t="str">
            <v>POLY 5795-10458抽面飾板</v>
          </cell>
          <cell r="F2530" t="str">
            <v>93*640*6</v>
          </cell>
          <cell r="G2530">
            <v>93</v>
          </cell>
          <cell r="H2530">
            <v>640</v>
          </cell>
          <cell r="I2530">
            <v>6</v>
          </cell>
          <cell r="J2530">
            <v>0</v>
          </cell>
          <cell r="K2530">
            <v>0</v>
          </cell>
          <cell r="L2530">
            <v>1.65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</row>
        <row r="2531">
          <cell r="A2531" t="str">
            <v>Y025-144</v>
          </cell>
          <cell r="B2531">
            <v>0</v>
          </cell>
          <cell r="C2531" t="str">
            <v>Y025</v>
          </cell>
          <cell r="D2531" t="str">
            <v>360157985001A</v>
          </cell>
          <cell r="E2531" t="str">
            <v>POLY 5795-85001 側抽面飾板</v>
          </cell>
          <cell r="F2531" t="str">
            <v>115*515*6</v>
          </cell>
          <cell r="G2531">
            <v>115</v>
          </cell>
          <cell r="H2531">
            <v>515</v>
          </cell>
          <cell r="I2531">
            <v>6</v>
          </cell>
          <cell r="J2531">
            <v>0</v>
          </cell>
          <cell r="K2531">
            <v>0</v>
          </cell>
          <cell r="L2531">
            <v>1.6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</row>
        <row r="2532">
          <cell r="A2532" t="str">
            <v>Y025-145</v>
          </cell>
          <cell r="B2532">
            <v>0</v>
          </cell>
          <cell r="C2532" t="str">
            <v>Y025</v>
          </cell>
          <cell r="D2532" t="str">
            <v>360157985001B</v>
          </cell>
          <cell r="E2532" t="str">
            <v>POLY 5795-85001 中抽面飾板</v>
          </cell>
          <cell r="F2532" t="str">
            <v>115*710*6</v>
          </cell>
          <cell r="G2532">
            <v>115</v>
          </cell>
          <cell r="H2532">
            <v>710</v>
          </cell>
          <cell r="I2532">
            <v>6</v>
          </cell>
          <cell r="J2532">
            <v>0</v>
          </cell>
          <cell r="K2532">
            <v>0</v>
          </cell>
          <cell r="L2532">
            <v>2.2000000000000002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</row>
        <row r="2533">
          <cell r="A2533" t="str">
            <v>Y025-2001</v>
          </cell>
          <cell r="B2533" t="str">
            <v>樣品收費</v>
          </cell>
          <cell r="C2533" t="str">
            <v>Y025</v>
          </cell>
          <cell r="D2533">
            <v>0</v>
          </cell>
          <cell r="E2533" t="str">
            <v>POLY飾條</v>
          </cell>
          <cell r="F2533">
            <v>0</v>
          </cell>
          <cell r="G2533">
            <v>1467</v>
          </cell>
          <cell r="H2533">
            <v>16</v>
          </cell>
          <cell r="I2533">
            <v>10</v>
          </cell>
          <cell r="J2533">
            <v>0</v>
          </cell>
          <cell r="K2533">
            <v>0</v>
          </cell>
          <cell r="L2533">
            <v>1.05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 t="str">
            <v>1010</v>
          </cell>
          <cell r="R2533" t="e">
            <v>#DIV/0!</v>
          </cell>
          <cell r="S2533">
            <v>0</v>
          </cell>
        </row>
        <row r="2534">
          <cell r="A2534" t="str">
            <v>Y026-001</v>
          </cell>
          <cell r="B2534" t="str">
            <v>LCT049-397</v>
          </cell>
          <cell r="C2534" t="str">
            <v>Y026</v>
          </cell>
          <cell r="D2534" t="str">
            <v>LLB 两门衣柜附一抽</v>
          </cell>
          <cell r="E2534" t="str">
            <v>顶饰花</v>
          </cell>
          <cell r="F2534" t="str">
            <v>260*90*25</v>
          </cell>
          <cell r="G2534">
            <v>260</v>
          </cell>
          <cell r="H2534">
            <v>90</v>
          </cell>
          <cell r="I2534">
            <v>25</v>
          </cell>
          <cell r="J2534">
            <v>210</v>
          </cell>
          <cell r="K2534">
            <v>0</v>
          </cell>
          <cell r="L2534">
            <v>0.73</v>
          </cell>
          <cell r="M2534">
            <v>0</v>
          </cell>
          <cell r="N2534">
            <v>0</v>
          </cell>
          <cell r="O2534">
            <v>0</v>
          </cell>
          <cell r="P2534" t="str">
            <v>1010</v>
          </cell>
          <cell r="Q2534">
            <v>1010</v>
          </cell>
          <cell r="R2534">
            <v>3.4761904761904763</v>
          </cell>
        </row>
        <row r="2535">
          <cell r="A2535" t="str">
            <v>Y026-002</v>
          </cell>
          <cell r="B2535" t="str">
            <v>LCT049-398</v>
          </cell>
          <cell r="C2535" t="str">
            <v>Y026</v>
          </cell>
          <cell r="D2535" t="str">
            <v>LLB 两门衣柜附一抽</v>
          </cell>
          <cell r="E2535" t="str">
            <v>测饰花左</v>
          </cell>
          <cell r="F2535" t="str">
            <v>120*35*6</v>
          </cell>
          <cell r="G2535">
            <v>120</v>
          </cell>
          <cell r="H2535">
            <v>35</v>
          </cell>
          <cell r="I2535">
            <v>6</v>
          </cell>
          <cell r="J2535">
            <v>20</v>
          </cell>
          <cell r="K2535">
            <v>0</v>
          </cell>
          <cell r="L2535">
            <v>0.06</v>
          </cell>
          <cell r="M2535">
            <v>0</v>
          </cell>
          <cell r="N2535">
            <v>0</v>
          </cell>
          <cell r="O2535" t="str">
            <v>T</v>
          </cell>
          <cell r="P2535" t="str">
            <v>1010</v>
          </cell>
          <cell r="Q2535">
            <v>1010</v>
          </cell>
          <cell r="R2535">
            <v>3</v>
          </cell>
        </row>
        <row r="2536">
          <cell r="A2536" t="str">
            <v>Y026-003</v>
          </cell>
          <cell r="B2536" t="str">
            <v>LCT049-399</v>
          </cell>
          <cell r="C2536" t="str">
            <v>Y026</v>
          </cell>
          <cell r="D2536" t="str">
            <v>LLB 两门衣柜附一抽</v>
          </cell>
          <cell r="E2536" t="str">
            <v>测饰花右</v>
          </cell>
          <cell r="F2536" t="str">
            <v>120*35*6</v>
          </cell>
          <cell r="G2536">
            <v>120</v>
          </cell>
          <cell r="H2536">
            <v>35</v>
          </cell>
          <cell r="I2536">
            <v>6</v>
          </cell>
          <cell r="J2536">
            <v>20</v>
          </cell>
          <cell r="K2536">
            <v>0</v>
          </cell>
          <cell r="L2536">
            <v>0.06</v>
          </cell>
          <cell r="M2536">
            <v>0</v>
          </cell>
          <cell r="N2536">
            <v>0</v>
          </cell>
          <cell r="O2536" t="str">
            <v>T</v>
          </cell>
          <cell r="P2536" t="str">
            <v>1010</v>
          </cell>
          <cell r="Q2536">
            <v>1010</v>
          </cell>
          <cell r="R2536">
            <v>3</v>
          </cell>
        </row>
        <row r="2537">
          <cell r="A2537" t="str">
            <v>Y026-004</v>
          </cell>
          <cell r="B2537" t="str">
            <v>LCT049-400</v>
          </cell>
          <cell r="C2537" t="str">
            <v>Y026</v>
          </cell>
          <cell r="D2537" t="str">
            <v>LLB 两门衣柜附一抽</v>
          </cell>
          <cell r="E2537" t="str">
            <v>下花右</v>
          </cell>
          <cell r="F2537" t="str">
            <v>238*47*6</v>
          </cell>
          <cell r="G2537">
            <v>238</v>
          </cell>
          <cell r="H2537">
            <v>47</v>
          </cell>
          <cell r="I2537">
            <v>6</v>
          </cell>
          <cell r="J2537">
            <v>0</v>
          </cell>
          <cell r="K2537">
            <v>0</v>
          </cell>
          <cell r="L2537">
            <v>0.14000000000000001</v>
          </cell>
          <cell r="M2537">
            <v>0</v>
          </cell>
          <cell r="N2537">
            <v>0</v>
          </cell>
          <cell r="O2537">
            <v>0</v>
          </cell>
          <cell r="P2537" t="str">
            <v>1010</v>
          </cell>
          <cell r="Q2537">
            <v>1010</v>
          </cell>
          <cell r="R2537" t="e">
            <v>#DIV/0!</v>
          </cell>
        </row>
        <row r="2538">
          <cell r="A2538" t="str">
            <v>Y026-005</v>
          </cell>
          <cell r="B2538" t="str">
            <v>LCT049-401</v>
          </cell>
          <cell r="C2538" t="str">
            <v>Y026</v>
          </cell>
          <cell r="D2538" t="str">
            <v>LLB  三门衣柜附鏡子</v>
          </cell>
          <cell r="E2538" t="str">
            <v>顶饰花</v>
          </cell>
          <cell r="F2538" t="str">
            <v>260*90*25</v>
          </cell>
          <cell r="G2538">
            <v>260</v>
          </cell>
          <cell r="H2538">
            <v>90</v>
          </cell>
          <cell r="I2538">
            <v>25</v>
          </cell>
          <cell r="J2538">
            <v>210</v>
          </cell>
          <cell r="K2538">
            <v>0</v>
          </cell>
          <cell r="L2538">
            <v>0.73</v>
          </cell>
          <cell r="M2538">
            <v>0</v>
          </cell>
          <cell r="N2538">
            <v>0</v>
          </cell>
          <cell r="O2538">
            <v>0</v>
          </cell>
          <cell r="P2538" t="str">
            <v>1010</v>
          </cell>
          <cell r="Q2538">
            <v>1010</v>
          </cell>
          <cell r="R2538">
            <v>3.4761904761904763</v>
          </cell>
          <cell r="S2538">
            <v>0</v>
          </cell>
        </row>
        <row r="2539">
          <cell r="A2539" t="str">
            <v>Y026-006</v>
          </cell>
          <cell r="B2539" t="str">
            <v>LCT049-402</v>
          </cell>
          <cell r="C2539" t="str">
            <v>Y026</v>
          </cell>
          <cell r="D2539" t="str">
            <v>LLB  三门衣柜附鏡子</v>
          </cell>
          <cell r="E2539" t="str">
            <v>测饰花左</v>
          </cell>
          <cell r="F2539" t="str">
            <v>120*35*6</v>
          </cell>
          <cell r="G2539">
            <v>120</v>
          </cell>
          <cell r="H2539">
            <v>35</v>
          </cell>
          <cell r="I2539">
            <v>6</v>
          </cell>
          <cell r="J2539">
            <v>20</v>
          </cell>
          <cell r="K2539">
            <v>0</v>
          </cell>
          <cell r="L2539">
            <v>0.06</v>
          </cell>
          <cell r="M2539">
            <v>0</v>
          </cell>
          <cell r="N2539">
            <v>0</v>
          </cell>
          <cell r="O2539" t="str">
            <v>T</v>
          </cell>
          <cell r="P2539" t="str">
            <v>1010</v>
          </cell>
          <cell r="Q2539">
            <v>1010</v>
          </cell>
          <cell r="R2539">
            <v>3</v>
          </cell>
          <cell r="S2539">
            <v>0</v>
          </cell>
        </row>
        <row r="2540">
          <cell r="A2540" t="str">
            <v>Y026-007</v>
          </cell>
          <cell r="B2540" t="str">
            <v>LCT049-403</v>
          </cell>
          <cell r="C2540" t="str">
            <v>Y026</v>
          </cell>
          <cell r="D2540" t="str">
            <v>LLB  三门衣柜附鏡子</v>
          </cell>
          <cell r="E2540" t="str">
            <v>测饰花右</v>
          </cell>
          <cell r="F2540" t="str">
            <v>120*35*6</v>
          </cell>
          <cell r="G2540">
            <v>120</v>
          </cell>
          <cell r="H2540">
            <v>35</v>
          </cell>
          <cell r="I2540">
            <v>6</v>
          </cell>
          <cell r="J2540">
            <v>20</v>
          </cell>
          <cell r="K2540">
            <v>0</v>
          </cell>
          <cell r="L2540">
            <v>0.06</v>
          </cell>
          <cell r="M2540">
            <v>0</v>
          </cell>
          <cell r="N2540">
            <v>0</v>
          </cell>
          <cell r="O2540" t="str">
            <v>T</v>
          </cell>
          <cell r="P2540" t="str">
            <v>1010</v>
          </cell>
          <cell r="Q2540">
            <v>1010</v>
          </cell>
          <cell r="R2540">
            <v>3</v>
          </cell>
          <cell r="S2540">
            <v>0</v>
          </cell>
        </row>
        <row r="2541">
          <cell r="A2541" t="str">
            <v>Y026-008</v>
          </cell>
          <cell r="B2541" t="str">
            <v>LCT049-404</v>
          </cell>
          <cell r="C2541" t="str">
            <v>Y026</v>
          </cell>
          <cell r="D2541" t="str">
            <v>LLB  三门衣柜附鏡子</v>
          </cell>
          <cell r="E2541" t="str">
            <v>下花右</v>
          </cell>
          <cell r="F2541" t="str">
            <v>238*47*6</v>
          </cell>
          <cell r="G2541">
            <v>238</v>
          </cell>
          <cell r="H2541">
            <v>47</v>
          </cell>
          <cell r="I2541">
            <v>6</v>
          </cell>
          <cell r="J2541">
            <v>0</v>
          </cell>
          <cell r="K2541">
            <v>0</v>
          </cell>
          <cell r="L2541">
            <v>0.14000000000000001</v>
          </cell>
          <cell r="M2541">
            <v>0</v>
          </cell>
          <cell r="N2541">
            <v>0</v>
          </cell>
          <cell r="O2541">
            <v>0</v>
          </cell>
          <cell r="P2541" t="str">
            <v>1010</v>
          </cell>
          <cell r="Q2541">
            <v>1010</v>
          </cell>
          <cell r="R2541" t="e">
            <v>#DIV/0!</v>
          </cell>
          <cell r="S2541">
            <v>0</v>
          </cell>
        </row>
        <row r="2542">
          <cell r="A2542" t="str">
            <v>Y026-009</v>
          </cell>
          <cell r="B2542" t="str">
            <v>LCT049-405</v>
          </cell>
          <cell r="C2542" t="str">
            <v>Y026</v>
          </cell>
          <cell r="D2542" t="str">
            <v>LLB 两抽床頭柜</v>
          </cell>
          <cell r="E2542" t="str">
            <v>测饰花左</v>
          </cell>
          <cell r="F2542" t="str">
            <v>120*35*6</v>
          </cell>
          <cell r="G2542">
            <v>120</v>
          </cell>
          <cell r="H2542">
            <v>35</v>
          </cell>
          <cell r="I2542">
            <v>6</v>
          </cell>
          <cell r="J2542">
            <v>20</v>
          </cell>
          <cell r="K2542">
            <v>0</v>
          </cell>
          <cell r="L2542">
            <v>0.06</v>
          </cell>
          <cell r="M2542">
            <v>0</v>
          </cell>
          <cell r="N2542">
            <v>0</v>
          </cell>
          <cell r="O2542" t="str">
            <v>T</v>
          </cell>
          <cell r="P2542" t="str">
            <v>1010</v>
          </cell>
          <cell r="Q2542">
            <v>1010</v>
          </cell>
          <cell r="R2542">
            <v>3</v>
          </cell>
          <cell r="S2542">
            <v>0</v>
          </cell>
        </row>
        <row r="2543">
          <cell r="A2543" t="str">
            <v>Y026-010</v>
          </cell>
          <cell r="B2543" t="str">
            <v>LCT049-406</v>
          </cell>
          <cell r="C2543" t="str">
            <v>Y026</v>
          </cell>
          <cell r="D2543" t="str">
            <v>LLB 两抽床頭柜</v>
          </cell>
          <cell r="E2543" t="str">
            <v>测饰花右</v>
          </cell>
          <cell r="F2543" t="str">
            <v>120*35*6</v>
          </cell>
          <cell r="G2543">
            <v>120</v>
          </cell>
          <cell r="H2543">
            <v>35</v>
          </cell>
          <cell r="I2543">
            <v>6</v>
          </cell>
          <cell r="J2543">
            <v>20</v>
          </cell>
          <cell r="K2543">
            <v>0</v>
          </cell>
          <cell r="L2543">
            <v>0.06</v>
          </cell>
          <cell r="M2543">
            <v>0</v>
          </cell>
          <cell r="N2543">
            <v>0</v>
          </cell>
          <cell r="O2543" t="str">
            <v>T</v>
          </cell>
          <cell r="P2543" t="str">
            <v>1010</v>
          </cell>
          <cell r="Q2543">
            <v>1010</v>
          </cell>
          <cell r="R2543">
            <v>3</v>
          </cell>
        </row>
        <row r="2544">
          <cell r="A2544" t="str">
            <v>Y026-011</v>
          </cell>
          <cell r="B2544" t="str">
            <v>LCT049-407</v>
          </cell>
          <cell r="C2544" t="str">
            <v>Y026</v>
          </cell>
          <cell r="D2544" t="str">
            <v>LLB 两抽床頭柜</v>
          </cell>
          <cell r="E2544" t="str">
            <v>下花右</v>
          </cell>
          <cell r="F2544" t="str">
            <v>238*47*6</v>
          </cell>
          <cell r="G2544">
            <v>238</v>
          </cell>
          <cell r="H2544">
            <v>47</v>
          </cell>
          <cell r="I2544">
            <v>6</v>
          </cell>
          <cell r="J2544">
            <v>0</v>
          </cell>
          <cell r="K2544">
            <v>0</v>
          </cell>
          <cell r="L2544">
            <v>0.14000000000000001</v>
          </cell>
          <cell r="M2544">
            <v>0</v>
          </cell>
          <cell r="N2544">
            <v>0</v>
          </cell>
          <cell r="O2544">
            <v>0</v>
          </cell>
          <cell r="P2544" t="str">
            <v>1010</v>
          </cell>
          <cell r="Q2544">
            <v>1010</v>
          </cell>
          <cell r="R2544" t="e">
            <v>#DIV/0!</v>
          </cell>
        </row>
        <row r="2545">
          <cell r="A2545" t="str">
            <v>Y026-012</v>
          </cell>
          <cell r="B2545" t="str">
            <v>LCT049-408</v>
          </cell>
          <cell r="C2545" t="str">
            <v>Y026</v>
          </cell>
          <cell r="D2545" t="str">
            <v>LLB 三抽柜</v>
          </cell>
          <cell r="E2545" t="str">
            <v>测饰花左</v>
          </cell>
          <cell r="F2545" t="str">
            <v>120*35*6</v>
          </cell>
          <cell r="G2545">
            <v>120</v>
          </cell>
          <cell r="H2545">
            <v>35</v>
          </cell>
          <cell r="I2545">
            <v>6</v>
          </cell>
          <cell r="J2545">
            <v>20</v>
          </cell>
          <cell r="K2545">
            <v>0</v>
          </cell>
          <cell r="L2545">
            <v>0.06</v>
          </cell>
          <cell r="M2545">
            <v>0</v>
          </cell>
          <cell r="N2545">
            <v>0</v>
          </cell>
          <cell r="O2545" t="str">
            <v>T</v>
          </cell>
          <cell r="P2545" t="str">
            <v>1010</v>
          </cell>
          <cell r="Q2545">
            <v>1010</v>
          </cell>
          <cell r="R2545">
            <v>3</v>
          </cell>
        </row>
        <row r="2546">
          <cell r="A2546" t="str">
            <v>Y026-013</v>
          </cell>
          <cell r="B2546" t="str">
            <v>LCT049-409</v>
          </cell>
          <cell r="C2546" t="str">
            <v>Y026</v>
          </cell>
          <cell r="D2546" t="str">
            <v>LLB 三抽柜</v>
          </cell>
          <cell r="E2546" t="str">
            <v>测饰花右</v>
          </cell>
          <cell r="F2546" t="str">
            <v>120*35*6</v>
          </cell>
          <cell r="G2546">
            <v>120</v>
          </cell>
          <cell r="H2546">
            <v>35</v>
          </cell>
          <cell r="I2546">
            <v>6</v>
          </cell>
          <cell r="J2546">
            <v>20</v>
          </cell>
          <cell r="K2546">
            <v>0</v>
          </cell>
          <cell r="L2546">
            <v>0.06</v>
          </cell>
          <cell r="M2546">
            <v>0</v>
          </cell>
          <cell r="N2546">
            <v>0</v>
          </cell>
          <cell r="O2546" t="str">
            <v>T</v>
          </cell>
          <cell r="P2546" t="str">
            <v>1010</v>
          </cell>
          <cell r="Q2546">
            <v>1010</v>
          </cell>
          <cell r="R2546">
            <v>3</v>
          </cell>
        </row>
        <row r="2547">
          <cell r="A2547" t="str">
            <v>Y026-014</v>
          </cell>
          <cell r="B2547" t="str">
            <v>LCT049-410</v>
          </cell>
          <cell r="C2547" t="str">
            <v>Y026</v>
          </cell>
          <cell r="D2547" t="str">
            <v>LLB 三抽柜</v>
          </cell>
          <cell r="E2547" t="str">
            <v>下花右</v>
          </cell>
          <cell r="F2547" t="str">
            <v>238*47*6</v>
          </cell>
          <cell r="G2547">
            <v>238</v>
          </cell>
          <cell r="H2547">
            <v>47</v>
          </cell>
          <cell r="I2547">
            <v>6</v>
          </cell>
          <cell r="J2547">
            <v>0</v>
          </cell>
          <cell r="K2547">
            <v>0</v>
          </cell>
          <cell r="L2547">
            <v>0.14000000000000001</v>
          </cell>
          <cell r="M2547">
            <v>0</v>
          </cell>
          <cell r="N2547">
            <v>0</v>
          </cell>
          <cell r="O2547">
            <v>0</v>
          </cell>
          <cell r="P2547" t="str">
            <v>1010</v>
          </cell>
          <cell r="Q2547">
            <v>1010</v>
          </cell>
          <cell r="R2547" t="e">
            <v>#DIV/0!</v>
          </cell>
        </row>
        <row r="2548">
          <cell r="A2548" t="str">
            <v>Y026-015</v>
          </cell>
          <cell r="B2548" t="str">
            <v>LCT049-411</v>
          </cell>
          <cell r="C2548" t="str">
            <v>Y026</v>
          </cell>
          <cell r="D2548" t="str">
            <v>LLB 化妝台</v>
          </cell>
          <cell r="E2548" t="str">
            <v>测饰花-L</v>
          </cell>
          <cell r="F2548" t="str">
            <v>120*35*6</v>
          </cell>
          <cell r="G2548">
            <v>120</v>
          </cell>
          <cell r="H2548">
            <v>35</v>
          </cell>
          <cell r="I2548">
            <v>6</v>
          </cell>
          <cell r="J2548">
            <v>20</v>
          </cell>
          <cell r="K2548">
            <v>0</v>
          </cell>
          <cell r="L2548">
            <v>0.06</v>
          </cell>
          <cell r="M2548">
            <v>0</v>
          </cell>
          <cell r="N2548">
            <v>0</v>
          </cell>
          <cell r="O2548" t="str">
            <v>T</v>
          </cell>
          <cell r="P2548" t="str">
            <v>1010</v>
          </cell>
          <cell r="Q2548">
            <v>1010</v>
          </cell>
          <cell r="R2548">
            <v>3</v>
          </cell>
        </row>
        <row r="2549">
          <cell r="A2549" t="str">
            <v>Y026-016</v>
          </cell>
          <cell r="B2549" t="str">
            <v>LCT049-412</v>
          </cell>
          <cell r="C2549" t="str">
            <v>Y026</v>
          </cell>
          <cell r="D2549" t="str">
            <v>LLB 化妝台</v>
          </cell>
          <cell r="E2549" t="str">
            <v>测饰花-R</v>
          </cell>
          <cell r="F2549" t="str">
            <v>120*35*6</v>
          </cell>
          <cell r="G2549">
            <v>120</v>
          </cell>
          <cell r="H2549">
            <v>35</v>
          </cell>
          <cell r="I2549">
            <v>6</v>
          </cell>
          <cell r="J2549">
            <v>20</v>
          </cell>
          <cell r="K2549">
            <v>0</v>
          </cell>
          <cell r="L2549">
            <v>0.06</v>
          </cell>
          <cell r="M2549">
            <v>0</v>
          </cell>
          <cell r="N2549">
            <v>0</v>
          </cell>
          <cell r="O2549" t="str">
            <v>T</v>
          </cell>
          <cell r="P2549" t="str">
            <v>1010</v>
          </cell>
          <cell r="Q2549">
            <v>1010</v>
          </cell>
          <cell r="R2549">
            <v>3</v>
          </cell>
        </row>
        <row r="2550">
          <cell r="A2550" t="str">
            <v>Y026-017</v>
          </cell>
          <cell r="B2550" t="str">
            <v>LCT049-413</v>
          </cell>
          <cell r="C2550" t="str">
            <v>Y026</v>
          </cell>
          <cell r="D2550" t="str">
            <v>LLB 化妝台</v>
          </cell>
          <cell r="E2550" t="str">
            <v>下花右</v>
          </cell>
          <cell r="F2550" t="str">
            <v>202*38*6</v>
          </cell>
          <cell r="G2550">
            <v>202</v>
          </cell>
          <cell r="H2550">
            <v>38</v>
          </cell>
          <cell r="I2550">
            <v>6</v>
          </cell>
          <cell r="J2550">
            <v>0</v>
          </cell>
          <cell r="K2550">
            <v>0</v>
          </cell>
          <cell r="L2550">
            <v>0.11</v>
          </cell>
          <cell r="M2550">
            <v>0</v>
          </cell>
          <cell r="N2550">
            <v>0</v>
          </cell>
          <cell r="O2550">
            <v>0</v>
          </cell>
          <cell r="P2550" t="str">
            <v>1010</v>
          </cell>
          <cell r="Q2550">
            <v>1010</v>
          </cell>
          <cell r="R2550" t="e">
            <v>#DIV/0!</v>
          </cell>
        </row>
        <row r="2551">
          <cell r="A2551" t="str">
            <v>Y026-018</v>
          </cell>
          <cell r="B2551" t="str">
            <v>LCT049-414</v>
          </cell>
          <cell r="C2551" t="str">
            <v>Y026</v>
          </cell>
          <cell r="D2551" t="str">
            <v>LLB 立鏡</v>
          </cell>
          <cell r="E2551" t="str">
            <v>上花右</v>
          </cell>
          <cell r="F2551" t="str">
            <v>260*90*17</v>
          </cell>
          <cell r="G2551">
            <v>260</v>
          </cell>
          <cell r="H2551">
            <v>90</v>
          </cell>
          <cell r="I2551">
            <v>17</v>
          </cell>
          <cell r="J2551">
            <v>240</v>
          </cell>
          <cell r="K2551">
            <v>0</v>
          </cell>
          <cell r="L2551">
            <v>0.51</v>
          </cell>
          <cell r="M2551">
            <v>0</v>
          </cell>
          <cell r="N2551">
            <v>0</v>
          </cell>
          <cell r="O2551">
            <v>0</v>
          </cell>
          <cell r="P2551" t="str">
            <v>1010</v>
          </cell>
          <cell r="Q2551">
            <v>1010</v>
          </cell>
          <cell r="R2551">
            <v>2.125</v>
          </cell>
        </row>
        <row r="2552">
          <cell r="A2552" t="str">
            <v>Y026-019</v>
          </cell>
          <cell r="B2552" t="str">
            <v>LCT049-415</v>
          </cell>
          <cell r="C2552" t="str">
            <v>Y026</v>
          </cell>
          <cell r="D2552" t="str">
            <v>LLB 單人床</v>
          </cell>
          <cell r="E2552" t="str">
            <v>上花右</v>
          </cell>
          <cell r="F2552" t="str">
            <v>238*47*6</v>
          </cell>
          <cell r="G2552">
            <v>238</v>
          </cell>
          <cell r="H2552">
            <v>47</v>
          </cell>
          <cell r="I2552">
            <v>6</v>
          </cell>
          <cell r="J2552">
            <v>40</v>
          </cell>
          <cell r="K2552">
            <v>0</v>
          </cell>
          <cell r="L2552">
            <v>0.14000000000000001</v>
          </cell>
          <cell r="M2552">
            <v>0</v>
          </cell>
          <cell r="N2552">
            <v>0</v>
          </cell>
          <cell r="O2552">
            <v>0</v>
          </cell>
          <cell r="P2552" t="str">
            <v>1010</v>
          </cell>
          <cell r="Q2552">
            <v>1010</v>
          </cell>
          <cell r="R2552">
            <v>3.5000000000000004</v>
          </cell>
          <cell r="S2552">
            <v>0</v>
          </cell>
        </row>
        <row r="2553">
          <cell r="A2553" t="str">
            <v>Y026-020</v>
          </cell>
          <cell r="B2553" t="str">
            <v>LCT049-416</v>
          </cell>
          <cell r="C2553" t="str">
            <v>Y026</v>
          </cell>
          <cell r="D2553" t="str">
            <v>LLB 單人床</v>
          </cell>
          <cell r="E2553" t="str">
            <v>测饰花左</v>
          </cell>
          <cell r="F2553" t="str">
            <v>120*35*6</v>
          </cell>
          <cell r="G2553">
            <v>120</v>
          </cell>
          <cell r="H2553">
            <v>35</v>
          </cell>
          <cell r="I2553">
            <v>6</v>
          </cell>
          <cell r="J2553">
            <v>20</v>
          </cell>
          <cell r="K2553">
            <v>0</v>
          </cell>
          <cell r="L2553">
            <v>0.06</v>
          </cell>
          <cell r="M2553">
            <v>0</v>
          </cell>
          <cell r="N2553">
            <v>0</v>
          </cell>
          <cell r="O2553" t="str">
            <v>T</v>
          </cell>
          <cell r="P2553" t="str">
            <v>1010</v>
          </cell>
          <cell r="Q2553">
            <v>1010</v>
          </cell>
          <cell r="R2553">
            <v>3</v>
          </cell>
          <cell r="S2553">
            <v>0</v>
          </cell>
        </row>
        <row r="2554">
          <cell r="A2554" t="str">
            <v>Y026-021</v>
          </cell>
          <cell r="B2554" t="str">
            <v>LCT049-417</v>
          </cell>
          <cell r="C2554" t="str">
            <v>Y026</v>
          </cell>
          <cell r="D2554" t="str">
            <v>LLB 單人床</v>
          </cell>
          <cell r="E2554" t="str">
            <v>测饰花右</v>
          </cell>
          <cell r="F2554" t="str">
            <v>120*35*6</v>
          </cell>
          <cell r="G2554">
            <v>120</v>
          </cell>
          <cell r="H2554">
            <v>35</v>
          </cell>
          <cell r="I2554">
            <v>6</v>
          </cell>
          <cell r="J2554">
            <v>20</v>
          </cell>
          <cell r="K2554">
            <v>0</v>
          </cell>
          <cell r="L2554">
            <v>0.06</v>
          </cell>
          <cell r="M2554">
            <v>0</v>
          </cell>
          <cell r="N2554">
            <v>0</v>
          </cell>
          <cell r="O2554" t="str">
            <v>T</v>
          </cell>
          <cell r="P2554" t="str">
            <v>1010</v>
          </cell>
          <cell r="Q2554">
            <v>1010</v>
          </cell>
          <cell r="R2554">
            <v>3</v>
          </cell>
          <cell r="S2554">
            <v>0</v>
          </cell>
        </row>
        <row r="2555">
          <cell r="A2555" t="str">
            <v>Y026-022</v>
          </cell>
          <cell r="B2555" t="str">
            <v>LCT049-418</v>
          </cell>
          <cell r="C2555" t="str">
            <v>Y026</v>
          </cell>
          <cell r="D2555" t="str">
            <v>LLB 两抽床頭柜</v>
          </cell>
          <cell r="E2555" t="str">
            <v>抽面饰条</v>
          </cell>
          <cell r="F2555" t="str">
            <v>355*17*18</v>
          </cell>
          <cell r="G2555">
            <v>355</v>
          </cell>
          <cell r="H2555">
            <v>18</v>
          </cell>
          <cell r="I2555">
            <v>8</v>
          </cell>
          <cell r="J2555">
            <v>80</v>
          </cell>
          <cell r="K2555">
            <v>0</v>
          </cell>
          <cell r="L2555">
            <v>0.21</v>
          </cell>
          <cell r="M2555">
            <v>0</v>
          </cell>
          <cell r="N2555">
            <v>0</v>
          </cell>
          <cell r="O2555" t="str">
            <v>40V</v>
          </cell>
          <cell r="P2555" t="str">
            <v>1010</v>
          </cell>
          <cell r="Q2555">
            <v>1010</v>
          </cell>
          <cell r="R2555">
            <v>2.625</v>
          </cell>
          <cell r="S2555">
            <v>0</v>
          </cell>
        </row>
        <row r="2556">
          <cell r="A2556" t="str">
            <v>Y026-023</v>
          </cell>
          <cell r="B2556" t="str">
            <v>LCT049-486</v>
          </cell>
          <cell r="C2556" t="str">
            <v>Y026</v>
          </cell>
          <cell r="D2556" t="str">
            <v>LW-LLB</v>
          </cell>
          <cell r="E2556" t="str">
            <v>化妆柜饰块</v>
          </cell>
          <cell r="F2556" t="str">
            <v>195*35*6</v>
          </cell>
          <cell r="G2556">
            <v>195</v>
          </cell>
          <cell r="H2556">
            <v>35</v>
          </cell>
          <cell r="I2556">
            <v>6</v>
          </cell>
          <cell r="J2556">
            <v>30</v>
          </cell>
          <cell r="K2556">
            <v>0</v>
          </cell>
          <cell r="L2556">
            <v>0.09</v>
          </cell>
          <cell r="M2556">
            <v>0</v>
          </cell>
          <cell r="N2556">
            <v>0</v>
          </cell>
          <cell r="O2556" t="str">
            <v>T</v>
          </cell>
          <cell r="P2556" t="str">
            <v>1010</v>
          </cell>
          <cell r="Q2556">
            <v>1010</v>
          </cell>
          <cell r="R2556">
            <v>3</v>
          </cell>
        </row>
        <row r="2557">
          <cell r="A2557" t="str">
            <v>Y026-024</v>
          </cell>
          <cell r="B2557" t="str">
            <v>LCT049-487</v>
          </cell>
          <cell r="C2557" t="str">
            <v>Y026</v>
          </cell>
          <cell r="D2557" t="str">
            <v>LW-LLB</v>
          </cell>
          <cell r="E2557" t="str">
            <v>床头饰条</v>
          </cell>
          <cell r="F2557" t="str">
            <v>1035*198*68</v>
          </cell>
          <cell r="G2557">
            <v>1035</v>
          </cell>
          <cell r="H2557">
            <v>198</v>
          </cell>
          <cell r="I2557">
            <v>68</v>
          </cell>
          <cell r="J2557">
            <v>0</v>
          </cell>
          <cell r="K2557">
            <v>0</v>
          </cell>
          <cell r="L2557">
            <v>2.5</v>
          </cell>
          <cell r="M2557">
            <v>0</v>
          </cell>
          <cell r="N2557">
            <v>0</v>
          </cell>
          <cell r="O2557">
            <v>0</v>
          </cell>
          <cell r="P2557" t="str">
            <v>1010</v>
          </cell>
          <cell r="Q2557">
            <v>1010</v>
          </cell>
          <cell r="R2557" t="e">
            <v>#DIV/0!</v>
          </cell>
        </row>
        <row r="2558">
          <cell r="A2558" t="str">
            <v>Y026-025</v>
          </cell>
          <cell r="B2558" t="str">
            <v>LCT049-488</v>
          </cell>
          <cell r="C2558" t="str">
            <v>Y026</v>
          </cell>
          <cell r="D2558" t="str">
            <v>LW-LLB</v>
          </cell>
          <cell r="E2558" t="str">
            <v>立水饰条</v>
          </cell>
          <cell r="F2558" t="str">
            <v>238*47*6</v>
          </cell>
          <cell r="G2558">
            <v>238</v>
          </cell>
          <cell r="H2558">
            <v>47</v>
          </cell>
          <cell r="I2558">
            <v>6</v>
          </cell>
          <cell r="J2558">
            <v>40</v>
          </cell>
          <cell r="K2558">
            <v>0</v>
          </cell>
          <cell r="L2558">
            <v>0.14000000000000001</v>
          </cell>
          <cell r="M2558">
            <v>0</v>
          </cell>
          <cell r="N2558">
            <v>0</v>
          </cell>
          <cell r="O2558" t="str">
            <v>T</v>
          </cell>
          <cell r="P2558" t="str">
            <v>1010</v>
          </cell>
          <cell r="Q2558">
            <v>1010</v>
          </cell>
          <cell r="R2558">
            <v>3.5000000000000004</v>
          </cell>
        </row>
        <row r="2559">
          <cell r="A2559" t="str">
            <v>Y026-026</v>
          </cell>
          <cell r="B2559" t="str">
            <v>LCT049-596</v>
          </cell>
          <cell r="C2559" t="str">
            <v>Y026</v>
          </cell>
          <cell r="D2559" t="str">
            <v>WM381</v>
          </cell>
          <cell r="E2559" t="str">
            <v>饰条</v>
          </cell>
          <cell r="F2559" t="str">
            <v>1950*18*8</v>
          </cell>
          <cell r="G2559">
            <v>1950</v>
          </cell>
          <cell r="H2559">
            <v>18</v>
          </cell>
          <cell r="I2559">
            <v>8</v>
          </cell>
          <cell r="J2559">
            <v>60</v>
          </cell>
          <cell r="K2559">
            <v>0</v>
          </cell>
          <cell r="L2559">
            <v>1.1000000000000001</v>
          </cell>
          <cell r="M2559">
            <v>0</v>
          </cell>
          <cell r="N2559">
            <v>0</v>
          </cell>
          <cell r="O2559">
            <v>0</v>
          </cell>
          <cell r="P2559" t="str">
            <v>1010</v>
          </cell>
          <cell r="Q2559">
            <v>1010</v>
          </cell>
          <cell r="R2559">
            <v>18.333333333333336</v>
          </cell>
        </row>
        <row r="2560">
          <cell r="A2560" t="str">
            <v>Y026-027</v>
          </cell>
          <cell r="B2560" t="str">
            <v>LCT049-597</v>
          </cell>
          <cell r="C2560" t="str">
            <v>Y026</v>
          </cell>
          <cell r="D2560" t="str">
            <v>WM381</v>
          </cell>
          <cell r="E2560" t="str">
            <v>饰条</v>
          </cell>
          <cell r="F2560" t="str">
            <v>990*18*8</v>
          </cell>
          <cell r="G2560">
            <v>990</v>
          </cell>
          <cell r="H2560">
            <v>18</v>
          </cell>
          <cell r="I2560">
            <v>8</v>
          </cell>
          <cell r="J2560">
            <v>940</v>
          </cell>
          <cell r="K2560">
            <v>0</v>
          </cell>
          <cell r="L2560">
            <v>0.56000000000000005</v>
          </cell>
          <cell r="M2560">
            <v>0</v>
          </cell>
          <cell r="N2560">
            <v>0</v>
          </cell>
          <cell r="O2560">
            <v>0</v>
          </cell>
          <cell r="P2560" t="str">
            <v>1010</v>
          </cell>
          <cell r="Q2560">
            <v>1010</v>
          </cell>
          <cell r="R2560">
            <v>0.59574468085106391</v>
          </cell>
        </row>
        <row r="2561">
          <cell r="A2561" t="str">
            <v>Y026-028</v>
          </cell>
          <cell r="B2561" t="str">
            <v>LCT049-600</v>
          </cell>
          <cell r="C2561" t="str">
            <v>Y026</v>
          </cell>
          <cell r="D2561" t="str">
            <v>SSC</v>
          </cell>
          <cell r="E2561">
            <v>0</v>
          </cell>
          <cell r="F2561" t="str">
            <v>608*104*5</v>
          </cell>
          <cell r="G2561">
            <v>608</v>
          </cell>
          <cell r="H2561">
            <v>104</v>
          </cell>
          <cell r="I2561">
            <v>5</v>
          </cell>
          <cell r="J2561">
            <v>470</v>
          </cell>
          <cell r="K2561">
            <v>0</v>
          </cell>
          <cell r="L2561">
            <v>0.88</v>
          </cell>
          <cell r="M2561">
            <v>0</v>
          </cell>
          <cell r="N2561">
            <v>0</v>
          </cell>
          <cell r="O2561">
            <v>0</v>
          </cell>
          <cell r="P2561" t="str">
            <v>1010</v>
          </cell>
          <cell r="Q2561">
            <v>1010</v>
          </cell>
          <cell r="R2561">
            <v>1.8723404255319149</v>
          </cell>
        </row>
        <row r="2562">
          <cell r="A2562" t="str">
            <v>Y026-029</v>
          </cell>
          <cell r="B2562" t="str">
            <v>LCT049-601</v>
          </cell>
          <cell r="C2562" t="str">
            <v>Y026</v>
          </cell>
          <cell r="D2562" t="str">
            <v>SSC</v>
          </cell>
          <cell r="E2562">
            <v>0</v>
          </cell>
          <cell r="F2562" t="str">
            <v>1064*104*5</v>
          </cell>
          <cell r="G2562">
            <v>1064</v>
          </cell>
          <cell r="H2562">
            <v>104</v>
          </cell>
          <cell r="I2562">
            <v>5</v>
          </cell>
          <cell r="J2562">
            <v>800</v>
          </cell>
          <cell r="K2562">
            <v>0</v>
          </cell>
          <cell r="L2562">
            <v>1.72</v>
          </cell>
          <cell r="M2562">
            <v>0</v>
          </cell>
          <cell r="N2562">
            <v>0</v>
          </cell>
          <cell r="O2562">
            <v>0</v>
          </cell>
          <cell r="P2562" t="str">
            <v>1010</v>
          </cell>
          <cell r="Q2562">
            <v>1010</v>
          </cell>
          <cell r="R2562">
            <v>2.15</v>
          </cell>
        </row>
        <row r="2563">
          <cell r="A2563" t="str">
            <v>Y026-030</v>
          </cell>
          <cell r="B2563" t="str">
            <v>LCT049-602</v>
          </cell>
          <cell r="C2563" t="str">
            <v>Y026</v>
          </cell>
          <cell r="D2563" t="str">
            <v>SSC</v>
          </cell>
          <cell r="E2563">
            <v>0</v>
          </cell>
          <cell r="F2563" t="str">
            <v>530*104*5</v>
          </cell>
          <cell r="G2563">
            <v>530</v>
          </cell>
          <cell r="H2563">
            <v>104</v>
          </cell>
          <cell r="I2563">
            <v>5</v>
          </cell>
          <cell r="J2563">
            <v>420</v>
          </cell>
          <cell r="K2563">
            <v>0</v>
          </cell>
          <cell r="L2563">
            <v>0.85</v>
          </cell>
          <cell r="M2563">
            <v>0</v>
          </cell>
          <cell r="N2563">
            <v>0</v>
          </cell>
          <cell r="O2563">
            <v>0</v>
          </cell>
          <cell r="P2563" t="str">
            <v>1010</v>
          </cell>
          <cell r="Q2563">
            <v>1010</v>
          </cell>
          <cell r="R2563">
            <v>2.0238095238095237</v>
          </cell>
        </row>
        <row r="2564">
          <cell r="A2564" t="str">
            <v>Y026-031</v>
          </cell>
          <cell r="B2564" t="str">
            <v>LCT049-603</v>
          </cell>
          <cell r="C2564" t="str">
            <v>Y026</v>
          </cell>
          <cell r="D2564" t="str">
            <v>SSC</v>
          </cell>
          <cell r="E2564">
            <v>0</v>
          </cell>
          <cell r="F2564" t="str">
            <v>428*104*5</v>
          </cell>
          <cell r="G2564">
            <v>428</v>
          </cell>
          <cell r="H2564">
            <v>104</v>
          </cell>
          <cell r="I2564">
            <v>5</v>
          </cell>
          <cell r="J2564">
            <v>320</v>
          </cell>
          <cell r="K2564">
            <v>0</v>
          </cell>
          <cell r="L2564">
            <v>0.71</v>
          </cell>
          <cell r="M2564">
            <v>0</v>
          </cell>
          <cell r="N2564">
            <v>0</v>
          </cell>
          <cell r="O2564">
            <v>0</v>
          </cell>
          <cell r="P2564" t="str">
            <v>1010</v>
          </cell>
          <cell r="Q2564">
            <v>1010</v>
          </cell>
          <cell r="R2564">
            <v>2.21875</v>
          </cell>
        </row>
        <row r="2565">
          <cell r="A2565" t="str">
            <v>Y026-032</v>
          </cell>
          <cell r="B2565" t="str">
            <v>LCT049-604</v>
          </cell>
          <cell r="C2565" t="str">
            <v>Y026</v>
          </cell>
          <cell r="D2565" t="str">
            <v>SSC</v>
          </cell>
          <cell r="E2565">
            <v>0</v>
          </cell>
          <cell r="F2565" t="str">
            <v>323*104*5</v>
          </cell>
          <cell r="G2565">
            <v>323</v>
          </cell>
          <cell r="H2565">
            <v>104</v>
          </cell>
          <cell r="I2565">
            <v>5</v>
          </cell>
          <cell r="J2565">
            <v>270</v>
          </cell>
          <cell r="K2565">
            <v>0</v>
          </cell>
          <cell r="L2565">
            <v>0.56000000000000005</v>
          </cell>
          <cell r="M2565">
            <v>0</v>
          </cell>
          <cell r="N2565">
            <v>0</v>
          </cell>
          <cell r="O2565">
            <v>0</v>
          </cell>
          <cell r="P2565" t="str">
            <v>1010</v>
          </cell>
          <cell r="Q2565">
            <v>1010</v>
          </cell>
          <cell r="R2565">
            <v>2.074074074074074</v>
          </cell>
        </row>
        <row r="2566">
          <cell r="A2566" t="str">
            <v>Y026-033</v>
          </cell>
          <cell r="B2566" t="str">
            <v>LCT049-605</v>
          </cell>
          <cell r="C2566" t="str">
            <v>Y026</v>
          </cell>
          <cell r="D2566" t="str">
            <v>SSC</v>
          </cell>
          <cell r="E2566">
            <v>0</v>
          </cell>
          <cell r="F2566" t="str">
            <v>323*84*5</v>
          </cell>
          <cell r="G2566">
            <v>323</v>
          </cell>
          <cell r="H2566">
            <v>84</v>
          </cell>
          <cell r="I2566">
            <v>5</v>
          </cell>
          <cell r="J2566">
            <v>240</v>
          </cell>
          <cell r="K2566">
            <v>0</v>
          </cell>
          <cell r="L2566">
            <v>0.53</v>
          </cell>
          <cell r="M2566">
            <v>0</v>
          </cell>
          <cell r="N2566">
            <v>0</v>
          </cell>
          <cell r="O2566">
            <v>0</v>
          </cell>
          <cell r="P2566" t="str">
            <v>1010</v>
          </cell>
          <cell r="Q2566">
            <v>1010</v>
          </cell>
          <cell r="R2566">
            <v>2.2083333333333335</v>
          </cell>
        </row>
        <row r="2567">
          <cell r="A2567" t="str">
            <v>Y026-034</v>
          </cell>
          <cell r="B2567" t="str">
            <v>LCT049-606</v>
          </cell>
          <cell r="C2567" t="str">
            <v>Y026</v>
          </cell>
          <cell r="D2567" t="str">
            <v>SSC</v>
          </cell>
          <cell r="E2567">
            <v>0</v>
          </cell>
          <cell r="F2567" t="str">
            <v>553*104*5</v>
          </cell>
          <cell r="G2567">
            <v>553</v>
          </cell>
          <cell r="H2567">
            <v>104</v>
          </cell>
          <cell r="I2567">
            <v>5</v>
          </cell>
          <cell r="J2567">
            <v>440</v>
          </cell>
          <cell r="K2567">
            <v>0</v>
          </cell>
          <cell r="L2567">
            <v>0.84</v>
          </cell>
          <cell r="M2567">
            <v>0</v>
          </cell>
          <cell r="N2567">
            <v>0</v>
          </cell>
          <cell r="O2567">
            <v>0</v>
          </cell>
          <cell r="P2567" t="str">
            <v>1010</v>
          </cell>
          <cell r="Q2567">
            <v>1010</v>
          </cell>
          <cell r="R2567">
            <v>1.9090909090909089</v>
          </cell>
        </row>
        <row r="2568">
          <cell r="A2568" t="str">
            <v>Y026-035</v>
          </cell>
          <cell r="B2568" t="str">
            <v>LCT049-456</v>
          </cell>
          <cell r="C2568" t="str">
            <v>Y026</v>
          </cell>
          <cell r="D2568" t="str">
            <v>C0185</v>
          </cell>
          <cell r="E2568" t="str">
            <v>床頭-脚柱上头</v>
          </cell>
          <cell r="F2568" t="str">
            <v>190*118*118</v>
          </cell>
          <cell r="G2568">
            <v>190</v>
          </cell>
          <cell r="H2568">
            <v>118</v>
          </cell>
          <cell r="I2568">
            <v>118</v>
          </cell>
          <cell r="J2568">
            <v>938</v>
          </cell>
          <cell r="K2568">
            <v>0</v>
          </cell>
          <cell r="L2568">
            <v>2.2000000000000002</v>
          </cell>
          <cell r="M2568">
            <v>0</v>
          </cell>
          <cell r="N2568">
            <v>128</v>
          </cell>
          <cell r="O2568">
            <v>0</v>
          </cell>
          <cell r="P2568" t="str">
            <v>1010</v>
          </cell>
          <cell r="Q2568">
            <v>1010</v>
          </cell>
          <cell r="R2568">
            <v>2.3454157782515996</v>
          </cell>
          <cell r="S2568">
            <v>42006</v>
          </cell>
        </row>
        <row r="2569">
          <cell r="A2569" t="str">
            <v>Y026-036</v>
          </cell>
          <cell r="B2569">
            <v>0</v>
          </cell>
          <cell r="C2569" t="str">
            <v>Y026</v>
          </cell>
          <cell r="D2569" t="str">
            <v>C0185 电视柜</v>
          </cell>
          <cell r="E2569" t="str">
            <v>Hoa học kéo 抽面饰花</v>
          </cell>
          <cell r="F2569" t="str">
            <v>717*75*6</v>
          </cell>
          <cell r="G2569">
            <v>717</v>
          </cell>
          <cell r="H2569">
            <v>75</v>
          </cell>
          <cell r="I2569">
            <v>6</v>
          </cell>
          <cell r="J2569">
            <v>151</v>
          </cell>
          <cell r="K2569">
            <v>0</v>
          </cell>
          <cell r="L2569">
            <v>0.38</v>
          </cell>
          <cell r="M2569">
            <v>0</v>
          </cell>
          <cell r="N2569">
            <v>0</v>
          </cell>
          <cell r="O2569">
            <v>0</v>
          </cell>
          <cell r="P2569" t="str">
            <v>1010</v>
          </cell>
          <cell r="Q2569">
            <v>1010</v>
          </cell>
          <cell r="R2569">
            <v>2.5165562913907285</v>
          </cell>
          <cell r="S2569">
            <v>42006</v>
          </cell>
        </row>
        <row r="2570">
          <cell r="A2570" t="str">
            <v>Y026-037</v>
          </cell>
          <cell r="B2570">
            <v>0</v>
          </cell>
          <cell r="C2570" t="str">
            <v>Y026</v>
          </cell>
          <cell r="D2570" t="str">
            <v>C0185 电视柜</v>
          </cell>
          <cell r="E2570" t="str">
            <v>Viền chỉ dưới下面 饰条</v>
          </cell>
          <cell r="F2570" t="str">
            <v>950*12*6</v>
          </cell>
          <cell r="G2570">
            <v>950</v>
          </cell>
          <cell r="H2570">
            <v>12</v>
          </cell>
          <cell r="I2570">
            <v>6</v>
          </cell>
          <cell r="J2570">
            <v>76</v>
          </cell>
          <cell r="K2570">
            <v>0</v>
          </cell>
          <cell r="L2570">
            <v>0.19</v>
          </cell>
          <cell r="M2570">
            <v>0</v>
          </cell>
          <cell r="N2570">
            <v>0</v>
          </cell>
          <cell r="O2570">
            <v>0</v>
          </cell>
          <cell r="P2570" t="str">
            <v>1010</v>
          </cell>
          <cell r="Q2570">
            <v>1010</v>
          </cell>
          <cell r="R2570">
            <v>2.5</v>
          </cell>
          <cell r="S2570">
            <v>42006</v>
          </cell>
        </row>
        <row r="2571">
          <cell r="A2571" t="str">
            <v>Y026-038</v>
          </cell>
          <cell r="B2571">
            <v>0</v>
          </cell>
          <cell r="C2571" t="str">
            <v>Y026</v>
          </cell>
          <cell r="D2571" t="str">
            <v>C0185 电视柜</v>
          </cell>
          <cell r="E2571" t="str">
            <v>Viền chỉ 2 bên 两边饰条</v>
          </cell>
          <cell r="F2571" t="str">
            <v>410*12*6</v>
          </cell>
          <cell r="G2571">
            <v>410</v>
          </cell>
          <cell r="H2571">
            <v>12</v>
          </cell>
          <cell r="I2571">
            <v>6</v>
          </cell>
          <cell r="J2571">
            <v>30</v>
          </cell>
          <cell r="K2571">
            <v>0</v>
          </cell>
          <cell r="L2571">
            <v>0.08</v>
          </cell>
          <cell r="M2571">
            <v>0</v>
          </cell>
          <cell r="N2571">
            <v>0</v>
          </cell>
          <cell r="O2571">
            <v>0</v>
          </cell>
          <cell r="P2571" t="str">
            <v>1010</v>
          </cell>
          <cell r="Q2571">
            <v>1010</v>
          </cell>
          <cell r="R2571">
            <v>2.666666666666667</v>
          </cell>
          <cell r="S2571">
            <v>42006</v>
          </cell>
        </row>
        <row r="2572">
          <cell r="A2572" t="str">
            <v>Y026-039</v>
          </cell>
          <cell r="B2572">
            <v>0</v>
          </cell>
          <cell r="C2572" t="str">
            <v>Y026</v>
          </cell>
          <cell r="D2572" t="str">
            <v>C0185 电视柜</v>
          </cell>
          <cell r="E2572" t="str">
            <v>Hoa ốp 2 bên 两边饰花</v>
          </cell>
          <cell r="F2572" t="str">
            <v>120*63*5</v>
          </cell>
          <cell r="G2572">
            <v>120</v>
          </cell>
          <cell r="H2572">
            <v>63</v>
          </cell>
          <cell r="I2572">
            <v>5</v>
          </cell>
          <cell r="J2572">
            <v>34</v>
          </cell>
          <cell r="K2572">
            <v>0</v>
          </cell>
          <cell r="L2572">
            <v>0.09</v>
          </cell>
          <cell r="M2572">
            <v>0</v>
          </cell>
          <cell r="N2572">
            <v>0</v>
          </cell>
          <cell r="O2572">
            <v>0</v>
          </cell>
          <cell r="P2572" t="str">
            <v>1010</v>
          </cell>
          <cell r="Q2572">
            <v>1010</v>
          </cell>
          <cell r="R2572">
            <v>2.6470588235294117</v>
          </cell>
          <cell r="S2572">
            <v>42006</v>
          </cell>
        </row>
        <row r="2573">
          <cell r="A2573" t="str">
            <v>Y026-040</v>
          </cell>
          <cell r="B2573">
            <v>0</v>
          </cell>
          <cell r="C2573" t="str">
            <v>Y026</v>
          </cell>
          <cell r="D2573" t="str">
            <v>C0185 床头柜</v>
          </cell>
          <cell r="E2573" t="str">
            <v>Hoa học kéo 抽屉饰花</v>
          </cell>
          <cell r="F2573" t="str">
            <v>440*75*6</v>
          </cell>
          <cell r="G2573">
            <v>440</v>
          </cell>
          <cell r="H2573">
            <v>75</v>
          </cell>
          <cell r="I2573">
            <v>6</v>
          </cell>
          <cell r="J2573">
            <v>135</v>
          </cell>
          <cell r="K2573">
            <v>0</v>
          </cell>
          <cell r="L2573">
            <v>0.34</v>
          </cell>
          <cell r="M2573">
            <v>0</v>
          </cell>
          <cell r="N2573">
            <v>0</v>
          </cell>
          <cell r="O2573">
            <v>0</v>
          </cell>
          <cell r="P2573" t="str">
            <v>1010</v>
          </cell>
          <cell r="Q2573">
            <v>1010</v>
          </cell>
          <cell r="R2573">
            <v>2.5185185185185186</v>
          </cell>
          <cell r="S2573">
            <v>42006</v>
          </cell>
        </row>
        <row r="2574">
          <cell r="A2574" t="str">
            <v>Y026-041</v>
          </cell>
          <cell r="B2574">
            <v>0</v>
          </cell>
          <cell r="C2574" t="str">
            <v>Y026</v>
          </cell>
          <cell r="D2574" t="str">
            <v>C0185 床头柜</v>
          </cell>
          <cell r="E2574" t="str">
            <v>Viền chỉ dưới 下面饰条</v>
          </cell>
          <cell r="F2574" t="str">
            <v>670*12*6</v>
          </cell>
          <cell r="G2574">
            <v>670</v>
          </cell>
          <cell r="H2574">
            <v>12</v>
          </cell>
          <cell r="I2574">
            <v>6</v>
          </cell>
          <cell r="J2574">
            <v>52</v>
          </cell>
          <cell r="K2574">
            <v>0</v>
          </cell>
          <cell r="L2574">
            <v>0.13</v>
          </cell>
          <cell r="M2574">
            <v>0</v>
          </cell>
          <cell r="N2574">
            <v>0</v>
          </cell>
          <cell r="O2574">
            <v>0</v>
          </cell>
          <cell r="P2574" t="str">
            <v>1010</v>
          </cell>
          <cell r="Q2574">
            <v>1010</v>
          </cell>
          <cell r="R2574">
            <v>2.5</v>
          </cell>
          <cell r="S2574">
            <v>42006</v>
          </cell>
        </row>
        <row r="2575">
          <cell r="A2575" t="str">
            <v>Y026-042</v>
          </cell>
          <cell r="B2575">
            <v>0</v>
          </cell>
          <cell r="C2575" t="str">
            <v>Y026</v>
          </cell>
          <cell r="D2575" t="str">
            <v>C0185 床头柜</v>
          </cell>
          <cell r="E2575" t="str">
            <v>Viền chỉ 2 bên 两边饰条</v>
          </cell>
          <cell r="F2575" t="str">
            <v>410*12*6</v>
          </cell>
          <cell r="G2575">
            <v>410</v>
          </cell>
          <cell r="H2575">
            <v>12</v>
          </cell>
          <cell r="I2575">
            <v>6</v>
          </cell>
          <cell r="J2575">
            <v>30</v>
          </cell>
          <cell r="K2575">
            <v>0</v>
          </cell>
          <cell r="L2575">
            <v>0.08</v>
          </cell>
          <cell r="M2575">
            <v>0</v>
          </cell>
          <cell r="N2575">
            <v>0</v>
          </cell>
          <cell r="O2575">
            <v>0</v>
          </cell>
          <cell r="P2575" t="str">
            <v>1010</v>
          </cell>
          <cell r="Q2575">
            <v>1010</v>
          </cell>
          <cell r="R2575">
            <v>2.666666666666667</v>
          </cell>
          <cell r="S2575">
            <v>42006</v>
          </cell>
        </row>
        <row r="2576">
          <cell r="A2576" t="str">
            <v>Y026-043</v>
          </cell>
          <cell r="B2576">
            <v>0</v>
          </cell>
          <cell r="C2576" t="str">
            <v>Y026</v>
          </cell>
          <cell r="D2576" t="str">
            <v>C0185 床头柜</v>
          </cell>
          <cell r="E2576" t="str">
            <v>Hoa ốp 2 bên 两边饰花</v>
          </cell>
          <cell r="F2576" t="str">
            <v>120*63*5</v>
          </cell>
          <cell r="G2576">
            <v>120</v>
          </cell>
          <cell r="H2576">
            <v>63</v>
          </cell>
          <cell r="I2576">
            <v>5</v>
          </cell>
          <cell r="J2576">
            <v>34</v>
          </cell>
          <cell r="K2576">
            <v>0</v>
          </cell>
          <cell r="L2576">
            <v>0.09</v>
          </cell>
          <cell r="M2576">
            <v>0</v>
          </cell>
          <cell r="N2576">
            <v>0</v>
          </cell>
          <cell r="O2576">
            <v>0</v>
          </cell>
          <cell r="P2576" t="str">
            <v>1010</v>
          </cell>
          <cell r="Q2576">
            <v>1010</v>
          </cell>
          <cell r="R2576">
            <v>2.6470588235294117</v>
          </cell>
          <cell r="S2576">
            <v>42006</v>
          </cell>
        </row>
        <row r="2577">
          <cell r="A2577" t="str">
            <v>Y026-044</v>
          </cell>
          <cell r="B2577">
            <v>0</v>
          </cell>
          <cell r="C2577" t="str">
            <v>Y026</v>
          </cell>
          <cell r="D2577" t="str">
            <v>C0185 五抽面柜</v>
          </cell>
          <cell r="E2577" t="str">
            <v>Hoa học kéo抽面 饰花</v>
          </cell>
          <cell r="F2577" t="str">
            <v>694*75*6</v>
          </cell>
          <cell r="G2577">
            <v>694</v>
          </cell>
          <cell r="H2577">
            <v>75</v>
          </cell>
          <cell r="I2577">
            <v>6</v>
          </cell>
          <cell r="J2577">
            <v>152</v>
          </cell>
          <cell r="K2577">
            <v>0</v>
          </cell>
          <cell r="L2577">
            <v>0.38</v>
          </cell>
          <cell r="M2577">
            <v>0</v>
          </cell>
          <cell r="N2577">
            <v>0</v>
          </cell>
          <cell r="O2577">
            <v>0</v>
          </cell>
          <cell r="P2577" t="str">
            <v>1010</v>
          </cell>
          <cell r="Q2577">
            <v>1010</v>
          </cell>
          <cell r="R2577">
            <v>2.5</v>
          </cell>
          <cell r="S2577">
            <v>42006</v>
          </cell>
        </row>
        <row r="2578">
          <cell r="A2578" t="str">
            <v>Y026-045</v>
          </cell>
          <cell r="B2578">
            <v>0</v>
          </cell>
          <cell r="C2578" t="str">
            <v>Y026</v>
          </cell>
          <cell r="D2578" t="str">
            <v>C0185 五抽面柜</v>
          </cell>
          <cell r="E2578" t="str">
            <v>Viền chỉ dưới 下面饰条</v>
          </cell>
          <cell r="F2578" t="str">
            <v>920*12*6</v>
          </cell>
          <cell r="G2578">
            <v>920</v>
          </cell>
          <cell r="H2578">
            <v>12</v>
          </cell>
          <cell r="I2578">
            <v>6</v>
          </cell>
          <cell r="J2578">
            <v>68</v>
          </cell>
          <cell r="K2578">
            <v>0</v>
          </cell>
          <cell r="L2578">
            <v>0.17</v>
          </cell>
          <cell r="M2578">
            <v>0</v>
          </cell>
          <cell r="N2578">
            <v>0</v>
          </cell>
          <cell r="O2578">
            <v>0</v>
          </cell>
          <cell r="P2578" t="str">
            <v>1010</v>
          </cell>
          <cell r="Q2578">
            <v>1010</v>
          </cell>
          <cell r="R2578">
            <v>2.5</v>
          </cell>
          <cell r="S2578">
            <v>42006</v>
          </cell>
        </row>
        <row r="2579">
          <cell r="A2579" t="str">
            <v>Y026-046</v>
          </cell>
          <cell r="B2579">
            <v>0</v>
          </cell>
          <cell r="C2579" t="str">
            <v>Y026</v>
          </cell>
          <cell r="D2579" t="str">
            <v>C0185 五抽面柜</v>
          </cell>
          <cell r="E2579" t="str">
            <v>Viền chỉ 2 bên 两边饰条</v>
          </cell>
          <cell r="F2579" t="str">
            <v>430*12*6</v>
          </cell>
          <cell r="G2579">
            <v>430</v>
          </cell>
          <cell r="H2579">
            <v>12</v>
          </cell>
          <cell r="I2579">
            <v>6</v>
          </cell>
          <cell r="J2579">
            <v>31</v>
          </cell>
          <cell r="K2579">
            <v>0</v>
          </cell>
          <cell r="L2579">
            <v>0.08</v>
          </cell>
          <cell r="M2579">
            <v>0</v>
          </cell>
          <cell r="N2579">
            <v>0</v>
          </cell>
          <cell r="O2579">
            <v>0</v>
          </cell>
          <cell r="P2579" t="str">
            <v>1010</v>
          </cell>
          <cell r="Q2579">
            <v>1010</v>
          </cell>
          <cell r="R2579">
            <v>2.5806451612903225</v>
          </cell>
          <cell r="S2579">
            <v>42006</v>
          </cell>
        </row>
        <row r="2580">
          <cell r="A2580" t="str">
            <v>Y026-047</v>
          </cell>
          <cell r="B2580">
            <v>0</v>
          </cell>
          <cell r="C2580" t="str">
            <v>Y026</v>
          </cell>
          <cell r="D2580" t="str">
            <v>C0185 五抽面柜</v>
          </cell>
          <cell r="E2580" t="str">
            <v>Hoa ốp 2 bên 两边饰花</v>
          </cell>
          <cell r="F2580" t="str">
            <v>120*63*5</v>
          </cell>
          <cell r="G2580">
            <v>120</v>
          </cell>
          <cell r="H2580">
            <v>63</v>
          </cell>
          <cell r="I2580">
            <v>5</v>
          </cell>
          <cell r="J2580">
            <v>34</v>
          </cell>
          <cell r="K2580">
            <v>0</v>
          </cell>
          <cell r="L2580">
            <v>0.09</v>
          </cell>
          <cell r="M2580">
            <v>0</v>
          </cell>
          <cell r="N2580">
            <v>0</v>
          </cell>
          <cell r="O2580">
            <v>0</v>
          </cell>
          <cell r="P2580" t="str">
            <v>1010</v>
          </cell>
          <cell r="Q2580">
            <v>1010</v>
          </cell>
          <cell r="R2580">
            <v>2.6470588235294117</v>
          </cell>
          <cell r="S2580">
            <v>42006</v>
          </cell>
        </row>
        <row r="2581">
          <cell r="A2581" t="str">
            <v>Y026-048</v>
          </cell>
          <cell r="B2581">
            <v>0</v>
          </cell>
          <cell r="C2581" t="str">
            <v>Y026</v>
          </cell>
          <cell r="D2581" t="str">
            <v>C0185 皇帝床尾</v>
          </cell>
          <cell r="E2581" t="str">
            <v>Ốp chân các loại tủ 柜子脚</v>
          </cell>
          <cell r="F2581" t="str">
            <v>225*105*20</v>
          </cell>
          <cell r="G2581">
            <v>225</v>
          </cell>
          <cell r="H2581">
            <v>105</v>
          </cell>
          <cell r="I2581">
            <v>20</v>
          </cell>
          <cell r="J2581">
            <v>305</v>
          </cell>
          <cell r="K2581">
            <v>0</v>
          </cell>
          <cell r="L2581">
            <v>0.72</v>
          </cell>
          <cell r="M2581">
            <v>0</v>
          </cell>
          <cell r="N2581">
            <v>76</v>
          </cell>
          <cell r="O2581">
            <v>0</v>
          </cell>
          <cell r="P2581" t="str">
            <v>1010</v>
          </cell>
          <cell r="Q2581">
            <v>1010</v>
          </cell>
          <cell r="R2581">
            <v>2.360655737704918</v>
          </cell>
          <cell r="S2581">
            <v>42006</v>
          </cell>
        </row>
        <row r="2582">
          <cell r="A2582" t="str">
            <v>Y026-049</v>
          </cell>
          <cell r="B2582">
            <v>0</v>
          </cell>
          <cell r="C2582" t="str">
            <v>Y026</v>
          </cell>
          <cell r="D2582" t="str">
            <v>C0185 皇帝床尾</v>
          </cell>
          <cell r="E2582" t="str">
            <v>Ốp chân các loại tủ 柜子脚</v>
          </cell>
          <cell r="F2582" t="str">
            <v>180*105*20</v>
          </cell>
          <cell r="G2582">
            <v>180</v>
          </cell>
          <cell r="H2582">
            <v>105</v>
          </cell>
          <cell r="I2582">
            <v>20</v>
          </cell>
          <cell r="J2582">
            <v>225</v>
          </cell>
          <cell r="K2582">
            <v>0</v>
          </cell>
          <cell r="L2582">
            <v>0.62</v>
          </cell>
          <cell r="M2582">
            <v>0</v>
          </cell>
          <cell r="N2582">
            <v>53</v>
          </cell>
          <cell r="O2582">
            <v>0</v>
          </cell>
          <cell r="P2582" t="str">
            <v>1010</v>
          </cell>
          <cell r="Q2582">
            <v>1010</v>
          </cell>
          <cell r="R2582">
            <v>2.7555555555555555</v>
          </cell>
          <cell r="S2582">
            <v>42006</v>
          </cell>
        </row>
        <row r="2583">
          <cell r="A2583" t="str">
            <v>Y026-050</v>
          </cell>
          <cell r="B2583">
            <v>0</v>
          </cell>
          <cell r="C2583" t="str">
            <v>Y026</v>
          </cell>
          <cell r="D2583" t="str">
            <v>C0185 皇帝床尾</v>
          </cell>
          <cell r="E2583" t="str">
            <v>Ốp chân các loại tủ 柜子脚</v>
          </cell>
          <cell r="F2583" t="str">
            <v>180*105*20</v>
          </cell>
          <cell r="G2583">
            <v>180</v>
          </cell>
          <cell r="H2583">
            <v>105</v>
          </cell>
          <cell r="I2583">
            <v>20</v>
          </cell>
          <cell r="J2583">
            <v>225</v>
          </cell>
          <cell r="K2583">
            <v>0</v>
          </cell>
          <cell r="L2583">
            <v>0.62</v>
          </cell>
          <cell r="M2583">
            <v>0</v>
          </cell>
          <cell r="N2583">
            <v>53</v>
          </cell>
          <cell r="O2583">
            <v>0</v>
          </cell>
          <cell r="P2583" t="str">
            <v>1010</v>
          </cell>
          <cell r="Q2583">
            <v>1010</v>
          </cell>
          <cell r="R2583">
            <v>2.7555555555555555</v>
          </cell>
          <cell r="S2583">
            <v>42006</v>
          </cell>
        </row>
        <row r="2584">
          <cell r="A2584" t="str">
            <v>Y026-051</v>
          </cell>
          <cell r="B2584">
            <v>0</v>
          </cell>
          <cell r="C2584" t="str">
            <v>Y026</v>
          </cell>
          <cell r="D2584" t="str">
            <v>C0185 皇帝床尾</v>
          </cell>
          <cell r="E2584" t="str">
            <v>Viền chỉ đuôi 床尾饰条</v>
          </cell>
          <cell r="F2584" t="str">
            <v>1015*69*18</v>
          </cell>
          <cell r="G2584">
            <v>1015</v>
          </cell>
          <cell r="H2584">
            <v>69</v>
          </cell>
          <cell r="I2584">
            <v>18</v>
          </cell>
          <cell r="J2584">
            <v>604</v>
          </cell>
          <cell r="K2584">
            <v>0</v>
          </cell>
          <cell r="L2584">
            <v>1.51</v>
          </cell>
          <cell r="M2584">
            <v>0</v>
          </cell>
          <cell r="N2584">
            <v>0</v>
          </cell>
          <cell r="O2584">
            <v>0</v>
          </cell>
          <cell r="P2584" t="str">
            <v>1010</v>
          </cell>
          <cell r="Q2584">
            <v>1010</v>
          </cell>
          <cell r="R2584">
            <v>2.5</v>
          </cell>
          <cell r="S2584">
            <v>42006</v>
          </cell>
        </row>
        <row r="2585">
          <cell r="A2585" t="str">
            <v>Y026-052</v>
          </cell>
          <cell r="B2585">
            <v>0</v>
          </cell>
          <cell r="C2585" t="str">
            <v>Y026</v>
          </cell>
          <cell r="D2585" t="str">
            <v>C0185 皇帝床尾</v>
          </cell>
          <cell r="E2585" t="str">
            <v>Viền chỉ đuôi 床尾饰条</v>
          </cell>
          <cell r="F2585" t="str">
            <v>2520*12*6</v>
          </cell>
          <cell r="G2585">
            <v>2520</v>
          </cell>
          <cell r="H2585">
            <v>12</v>
          </cell>
          <cell r="I2585">
            <v>6</v>
          </cell>
          <cell r="J2585">
            <v>174</v>
          </cell>
          <cell r="K2585">
            <v>0</v>
          </cell>
          <cell r="L2585">
            <v>0.44</v>
          </cell>
          <cell r="M2585">
            <v>0</v>
          </cell>
          <cell r="N2585">
            <v>0</v>
          </cell>
          <cell r="O2585">
            <v>0</v>
          </cell>
          <cell r="P2585" t="str">
            <v>1010</v>
          </cell>
          <cell r="Q2585">
            <v>1010</v>
          </cell>
          <cell r="R2585">
            <v>2.5287356321839081</v>
          </cell>
          <cell r="S2585">
            <v>42006</v>
          </cell>
        </row>
        <row r="2586">
          <cell r="A2586" t="str">
            <v>Y026-053</v>
          </cell>
          <cell r="B2586">
            <v>0</v>
          </cell>
          <cell r="C2586" t="str">
            <v>Y026</v>
          </cell>
          <cell r="D2586" t="str">
            <v>C0185 皇帝床尾</v>
          </cell>
          <cell r="E2586" t="str">
            <v>Hoa 2 bên两边 饰花</v>
          </cell>
          <cell r="F2586" t="str">
            <v>267*150*6</v>
          </cell>
          <cell r="G2586">
            <v>267</v>
          </cell>
          <cell r="H2586">
            <v>150</v>
          </cell>
          <cell r="I2586">
            <v>6</v>
          </cell>
          <cell r="J2586">
            <v>139</v>
          </cell>
          <cell r="K2586">
            <v>0</v>
          </cell>
          <cell r="L2586">
            <v>0.35</v>
          </cell>
          <cell r="M2586">
            <v>0</v>
          </cell>
          <cell r="N2586">
            <v>0</v>
          </cell>
          <cell r="O2586">
            <v>0</v>
          </cell>
          <cell r="P2586" t="str">
            <v>1010</v>
          </cell>
          <cell r="Q2586">
            <v>1010</v>
          </cell>
          <cell r="R2586">
            <v>2.5179856115107908</v>
          </cell>
          <cell r="S2586">
            <v>42006</v>
          </cell>
        </row>
        <row r="2587">
          <cell r="A2587" t="str">
            <v>Y026-054</v>
          </cell>
          <cell r="B2587">
            <v>0</v>
          </cell>
          <cell r="C2587" t="str">
            <v>Y026</v>
          </cell>
          <cell r="D2587" t="str">
            <v>C0185 皇帝床尾</v>
          </cell>
          <cell r="E2587" t="str">
            <v>Hoa 2 bên 两边饰花</v>
          </cell>
          <cell r="F2587" t="str">
            <v>267*150*6</v>
          </cell>
          <cell r="G2587">
            <v>267</v>
          </cell>
          <cell r="H2587">
            <v>150</v>
          </cell>
          <cell r="I2587">
            <v>6</v>
          </cell>
          <cell r="J2587">
            <v>139</v>
          </cell>
          <cell r="K2587">
            <v>0</v>
          </cell>
          <cell r="L2587">
            <v>0.35</v>
          </cell>
          <cell r="M2587">
            <v>0</v>
          </cell>
          <cell r="N2587">
            <v>0</v>
          </cell>
          <cell r="O2587">
            <v>0</v>
          </cell>
          <cell r="P2587" t="str">
            <v>1010</v>
          </cell>
          <cell r="Q2587">
            <v>1010</v>
          </cell>
          <cell r="R2587">
            <v>2.5179856115107908</v>
          </cell>
          <cell r="S2587">
            <v>42006</v>
          </cell>
        </row>
        <row r="2588">
          <cell r="A2588" t="str">
            <v>Y026-055</v>
          </cell>
          <cell r="B2588">
            <v>0</v>
          </cell>
          <cell r="C2588" t="str">
            <v>Y026</v>
          </cell>
          <cell r="D2588" t="str">
            <v>C0185 皇帝床尾</v>
          </cell>
          <cell r="E2588" t="str">
            <v>Hoa chân giường 床脚饰花</v>
          </cell>
          <cell r="F2588" t="str">
            <v>170*85*5</v>
          </cell>
          <cell r="G2588">
            <v>170</v>
          </cell>
          <cell r="H2588">
            <v>85</v>
          </cell>
          <cell r="I2588">
            <v>5</v>
          </cell>
          <cell r="J2588">
            <v>64</v>
          </cell>
          <cell r="K2588">
            <v>0</v>
          </cell>
          <cell r="L2588">
            <v>0.16</v>
          </cell>
          <cell r="M2588">
            <v>0</v>
          </cell>
          <cell r="N2588">
            <v>0</v>
          </cell>
          <cell r="O2588">
            <v>0</v>
          </cell>
          <cell r="P2588" t="str">
            <v>1010</v>
          </cell>
          <cell r="Q2588">
            <v>1010</v>
          </cell>
          <cell r="R2588">
            <v>2.5</v>
          </cell>
          <cell r="S2588">
            <v>42006</v>
          </cell>
        </row>
        <row r="2589">
          <cell r="A2589" t="str">
            <v>Y026-056</v>
          </cell>
          <cell r="B2589">
            <v>0</v>
          </cell>
          <cell r="C2589" t="str">
            <v>Y026</v>
          </cell>
          <cell r="D2589" t="str">
            <v>C0185 皇帝床尾</v>
          </cell>
          <cell r="E2589" t="str">
            <v>Hoa đế chân 饰花</v>
          </cell>
          <cell r="F2589" t="str">
            <v>117*75*5</v>
          </cell>
          <cell r="G2589">
            <v>117</v>
          </cell>
          <cell r="H2589">
            <v>75</v>
          </cell>
          <cell r="I2589">
            <v>5</v>
          </cell>
          <cell r="J2589">
            <v>16</v>
          </cell>
          <cell r="K2589">
            <v>0</v>
          </cell>
          <cell r="L2589">
            <v>0.04</v>
          </cell>
          <cell r="M2589">
            <v>0</v>
          </cell>
          <cell r="N2589">
            <v>0</v>
          </cell>
          <cell r="O2589">
            <v>0</v>
          </cell>
          <cell r="P2589" t="str">
            <v>1010</v>
          </cell>
          <cell r="Q2589">
            <v>1010</v>
          </cell>
          <cell r="R2589">
            <v>2.5</v>
          </cell>
          <cell r="S2589">
            <v>42006</v>
          </cell>
        </row>
        <row r="2590">
          <cell r="A2590" t="str">
            <v>Y026-057</v>
          </cell>
          <cell r="B2590">
            <v>0</v>
          </cell>
          <cell r="C2590" t="str">
            <v>Y026</v>
          </cell>
          <cell r="D2590" t="str">
            <v>C0185 皇帝床尾</v>
          </cell>
          <cell r="E2590" t="str">
            <v>Hoa đế chân 饰花</v>
          </cell>
          <cell r="F2590" t="str">
            <v>117*75*5</v>
          </cell>
          <cell r="G2590">
            <v>117</v>
          </cell>
          <cell r="H2590">
            <v>75</v>
          </cell>
          <cell r="I2590">
            <v>5</v>
          </cell>
          <cell r="J2590">
            <v>16</v>
          </cell>
          <cell r="K2590">
            <v>0</v>
          </cell>
          <cell r="L2590">
            <v>0.04</v>
          </cell>
          <cell r="M2590">
            <v>0</v>
          </cell>
          <cell r="N2590">
            <v>0</v>
          </cell>
          <cell r="O2590">
            <v>0</v>
          </cell>
          <cell r="P2590" t="str">
            <v>1010</v>
          </cell>
          <cell r="Q2590">
            <v>1010</v>
          </cell>
          <cell r="R2590">
            <v>2.5</v>
          </cell>
          <cell r="S2590">
            <v>42006</v>
          </cell>
        </row>
        <row r="2591">
          <cell r="A2591" t="str">
            <v>Y026-058</v>
          </cell>
          <cell r="B2591">
            <v>0</v>
          </cell>
          <cell r="C2591" t="str">
            <v>Y026</v>
          </cell>
          <cell r="D2591" t="str">
            <v>C0185 化妆柜</v>
          </cell>
          <cell r="E2591" t="str">
            <v>Hoa học kéo 抽面饰花</v>
          </cell>
          <cell r="F2591" t="str">
            <v>648*75*6</v>
          </cell>
          <cell r="G2591">
            <v>648</v>
          </cell>
          <cell r="H2591">
            <v>75</v>
          </cell>
          <cell r="I2591">
            <v>6</v>
          </cell>
          <cell r="J2591">
            <v>162</v>
          </cell>
          <cell r="K2591">
            <v>0</v>
          </cell>
          <cell r="L2591">
            <v>0.41</v>
          </cell>
          <cell r="M2591">
            <v>0</v>
          </cell>
          <cell r="N2591">
            <v>0</v>
          </cell>
          <cell r="O2591">
            <v>0</v>
          </cell>
          <cell r="P2591" t="str">
            <v>1010</v>
          </cell>
          <cell r="Q2591">
            <v>1010</v>
          </cell>
          <cell r="R2591">
            <v>2.5308641975308639</v>
          </cell>
          <cell r="S2591">
            <v>42006</v>
          </cell>
        </row>
        <row r="2592">
          <cell r="A2592" t="str">
            <v>Y026-059</v>
          </cell>
          <cell r="B2592">
            <v>0</v>
          </cell>
          <cell r="C2592" t="str">
            <v>Y026</v>
          </cell>
          <cell r="D2592" t="str">
            <v>C0185 化妆柜</v>
          </cell>
          <cell r="E2592" t="str">
            <v>Viền chỉ dưới  下面饰条</v>
          </cell>
          <cell r="F2592" t="str">
            <v>1620*12*6</v>
          </cell>
          <cell r="G2592">
            <v>1620</v>
          </cell>
          <cell r="H2592">
            <v>12</v>
          </cell>
          <cell r="I2592">
            <v>6</v>
          </cell>
          <cell r="J2592">
            <v>119</v>
          </cell>
          <cell r="K2592">
            <v>0</v>
          </cell>
          <cell r="L2592">
            <v>0.3</v>
          </cell>
          <cell r="M2592">
            <v>0</v>
          </cell>
          <cell r="N2592">
            <v>0</v>
          </cell>
          <cell r="O2592">
            <v>0</v>
          </cell>
          <cell r="P2592" t="str">
            <v>1010</v>
          </cell>
          <cell r="Q2592">
            <v>1010</v>
          </cell>
          <cell r="R2592">
            <v>2.5210084033613445</v>
          </cell>
          <cell r="S2592">
            <v>42006</v>
          </cell>
        </row>
        <row r="2593">
          <cell r="A2593" t="str">
            <v>Y026-060</v>
          </cell>
          <cell r="B2593">
            <v>0</v>
          </cell>
          <cell r="C2593" t="str">
            <v>Y026</v>
          </cell>
          <cell r="D2593" t="str">
            <v>C0185 化妆柜</v>
          </cell>
          <cell r="E2593" t="str">
            <v>Viền chỉ 2 bên 两边饰条</v>
          </cell>
          <cell r="F2593" t="str">
            <v>450*12*6</v>
          </cell>
          <cell r="G2593">
            <v>450</v>
          </cell>
          <cell r="H2593">
            <v>12</v>
          </cell>
          <cell r="I2593">
            <v>6</v>
          </cell>
          <cell r="J2593">
            <v>36</v>
          </cell>
          <cell r="K2593">
            <v>0</v>
          </cell>
          <cell r="L2593">
            <v>0.09</v>
          </cell>
          <cell r="M2593">
            <v>0</v>
          </cell>
          <cell r="N2593">
            <v>0</v>
          </cell>
          <cell r="O2593">
            <v>0</v>
          </cell>
          <cell r="P2593" t="str">
            <v>1010</v>
          </cell>
          <cell r="Q2593">
            <v>1010</v>
          </cell>
          <cell r="R2593">
            <v>2.5</v>
          </cell>
          <cell r="S2593">
            <v>42006</v>
          </cell>
        </row>
        <row r="2594">
          <cell r="A2594" t="str">
            <v>Y026-061</v>
          </cell>
          <cell r="B2594">
            <v>0</v>
          </cell>
          <cell r="C2594" t="str">
            <v>Y026</v>
          </cell>
          <cell r="D2594" t="str">
            <v>C0185 化妆柜</v>
          </cell>
          <cell r="E2594" t="str">
            <v>Hoa ốp 2 bên 脚饰花</v>
          </cell>
          <cell r="F2594" t="str">
            <v>120*63*5</v>
          </cell>
          <cell r="G2594">
            <v>120</v>
          </cell>
          <cell r="H2594">
            <v>63</v>
          </cell>
          <cell r="I2594">
            <v>5</v>
          </cell>
          <cell r="J2594">
            <v>34</v>
          </cell>
          <cell r="K2594">
            <v>0</v>
          </cell>
          <cell r="L2594">
            <v>0.09</v>
          </cell>
          <cell r="M2594">
            <v>0</v>
          </cell>
          <cell r="N2594">
            <v>0</v>
          </cell>
          <cell r="O2594">
            <v>0</v>
          </cell>
          <cell r="P2594" t="str">
            <v>1010</v>
          </cell>
          <cell r="Q2594">
            <v>1010</v>
          </cell>
          <cell r="R2594">
            <v>2.6470588235294117</v>
          </cell>
          <cell r="S2594">
            <v>42006</v>
          </cell>
        </row>
        <row r="2595">
          <cell r="A2595" t="str">
            <v>Y026-062</v>
          </cell>
          <cell r="B2595">
            <v>0</v>
          </cell>
          <cell r="C2595" t="str">
            <v>Y026</v>
          </cell>
          <cell r="D2595" t="str">
            <v>C0185 化妆柜</v>
          </cell>
          <cell r="E2595" t="str">
            <v>Viền trên gương 饰条</v>
          </cell>
          <cell r="F2595" t="str">
            <v>1060*18*11</v>
          </cell>
          <cell r="G2595">
            <v>1060</v>
          </cell>
          <cell r="H2595">
            <v>18</v>
          </cell>
          <cell r="I2595">
            <v>11</v>
          </cell>
          <cell r="J2595">
            <v>243</v>
          </cell>
          <cell r="K2595">
            <v>0</v>
          </cell>
          <cell r="L2595">
            <v>0.61</v>
          </cell>
          <cell r="M2595">
            <v>0</v>
          </cell>
          <cell r="N2595">
            <v>0</v>
          </cell>
          <cell r="O2595">
            <v>0</v>
          </cell>
          <cell r="P2595" t="str">
            <v>1010</v>
          </cell>
          <cell r="Q2595">
            <v>1010</v>
          </cell>
          <cell r="R2595">
            <v>2.5102880658436213</v>
          </cell>
          <cell r="S2595">
            <v>42006</v>
          </cell>
        </row>
        <row r="2596">
          <cell r="A2596" t="str">
            <v>Y026-063</v>
          </cell>
          <cell r="B2596">
            <v>0</v>
          </cell>
          <cell r="C2596" t="str">
            <v>Y026</v>
          </cell>
          <cell r="D2596" t="str">
            <v>C0185 化妆柜</v>
          </cell>
          <cell r="E2596" t="str">
            <v>Hoa ốp gương 饰花</v>
          </cell>
          <cell r="F2596" t="str">
            <v>137*104*7</v>
          </cell>
          <cell r="G2596">
            <v>137</v>
          </cell>
          <cell r="H2596">
            <v>104</v>
          </cell>
          <cell r="I2596">
            <v>7</v>
          </cell>
          <cell r="J2596">
            <v>50</v>
          </cell>
          <cell r="K2596">
            <v>0</v>
          </cell>
          <cell r="L2596">
            <v>0.13</v>
          </cell>
          <cell r="M2596">
            <v>0</v>
          </cell>
          <cell r="N2596">
            <v>0</v>
          </cell>
          <cell r="O2596">
            <v>0</v>
          </cell>
          <cell r="P2596" t="str">
            <v>1010</v>
          </cell>
          <cell r="Q2596">
            <v>1010</v>
          </cell>
          <cell r="R2596">
            <v>2.6</v>
          </cell>
          <cell r="S2596">
            <v>42006</v>
          </cell>
        </row>
        <row r="2597">
          <cell r="A2597" t="str">
            <v>Y026-064</v>
          </cell>
          <cell r="B2597">
            <v>0</v>
          </cell>
          <cell r="C2597" t="str">
            <v>Y026</v>
          </cell>
          <cell r="D2597" t="str">
            <v>C0185 女王床尾</v>
          </cell>
          <cell r="E2597" t="str">
            <v>Viền đuôi giường 床尾饰条</v>
          </cell>
          <cell r="F2597" t="str">
            <v>604*57*18</v>
          </cell>
          <cell r="G2597">
            <v>604</v>
          </cell>
          <cell r="H2597">
            <v>57</v>
          </cell>
          <cell r="I2597">
            <v>18</v>
          </cell>
          <cell r="J2597">
            <v>365</v>
          </cell>
          <cell r="K2597">
            <v>0</v>
          </cell>
          <cell r="L2597">
            <v>0.91</v>
          </cell>
          <cell r="M2597">
            <v>0</v>
          </cell>
          <cell r="N2597">
            <v>0</v>
          </cell>
          <cell r="O2597">
            <v>0</v>
          </cell>
          <cell r="P2597" t="str">
            <v>1010</v>
          </cell>
          <cell r="Q2597">
            <v>1010</v>
          </cell>
          <cell r="R2597">
            <v>2.493150684931507</v>
          </cell>
          <cell r="S2597">
            <v>42006</v>
          </cell>
        </row>
        <row r="2598">
          <cell r="A2598" t="str">
            <v>Y026-065</v>
          </cell>
          <cell r="B2598">
            <v>0</v>
          </cell>
          <cell r="C2598" t="str">
            <v>Y026</v>
          </cell>
          <cell r="D2598" t="str">
            <v>C0185 女王床尾</v>
          </cell>
          <cell r="E2598" t="str">
            <v>Viền chỉ dưới 下面饰条</v>
          </cell>
          <cell r="F2598" t="str">
            <v>2080*12*6</v>
          </cell>
          <cell r="G2598">
            <v>2080</v>
          </cell>
          <cell r="H2598">
            <v>12</v>
          </cell>
          <cell r="I2598">
            <v>6</v>
          </cell>
          <cell r="J2598">
            <v>150</v>
          </cell>
          <cell r="K2598">
            <v>0</v>
          </cell>
          <cell r="L2598">
            <v>0.38</v>
          </cell>
          <cell r="M2598">
            <v>0</v>
          </cell>
          <cell r="N2598">
            <v>0</v>
          </cell>
          <cell r="O2598">
            <v>0</v>
          </cell>
          <cell r="P2598" t="str">
            <v>1010</v>
          </cell>
          <cell r="Q2598">
            <v>1010</v>
          </cell>
          <cell r="R2598">
            <v>2.5333333333333337</v>
          </cell>
          <cell r="S2598">
            <v>42006</v>
          </cell>
        </row>
        <row r="2599">
          <cell r="A2599" t="str">
            <v>Y026-066</v>
          </cell>
          <cell r="B2599">
            <v>0</v>
          </cell>
          <cell r="C2599" t="str">
            <v>Y026</v>
          </cell>
          <cell r="D2599" t="str">
            <v>C0185 女王床尾</v>
          </cell>
          <cell r="E2599" t="str">
            <v>Hoa 2 bên đuôi giường 床尾两边饰花</v>
          </cell>
          <cell r="F2599" t="str">
            <v>267*150*6</v>
          </cell>
          <cell r="G2599">
            <v>267</v>
          </cell>
          <cell r="H2599">
            <v>150</v>
          </cell>
          <cell r="I2599">
            <v>6</v>
          </cell>
          <cell r="J2599">
            <v>139</v>
          </cell>
          <cell r="K2599">
            <v>0</v>
          </cell>
          <cell r="L2599">
            <v>0.35</v>
          </cell>
          <cell r="M2599">
            <v>0</v>
          </cell>
          <cell r="N2599">
            <v>0</v>
          </cell>
          <cell r="O2599">
            <v>0</v>
          </cell>
          <cell r="P2599" t="str">
            <v>1010</v>
          </cell>
          <cell r="Q2599">
            <v>1010</v>
          </cell>
          <cell r="R2599">
            <v>2.5179856115107908</v>
          </cell>
          <cell r="S2599">
            <v>42006</v>
          </cell>
        </row>
        <row r="2600">
          <cell r="A2600" t="str">
            <v>Y026-067</v>
          </cell>
          <cell r="B2600">
            <v>0</v>
          </cell>
          <cell r="C2600" t="str">
            <v>Y026</v>
          </cell>
          <cell r="D2600" t="str">
            <v>C0185 女王床尾</v>
          </cell>
          <cell r="E2600" t="str">
            <v>Hoa 2 bên đuôi giường床尾两边饰花</v>
          </cell>
          <cell r="F2600" t="str">
            <v>267*150*6</v>
          </cell>
          <cell r="G2600">
            <v>267</v>
          </cell>
          <cell r="H2600">
            <v>150</v>
          </cell>
          <cell r="I2600">
            <v>6</v>
          </cell>
          <cell r="J2600">
            <v>139</v>
          </cell>
          <cell r="K2600">
            <v>0</v>
          </cell>
          <cell r="L2600">
            <v>0.35</v>
          </cell>
          <cell r="M2600">
            <v>0</v>
          </cell>
          <cell r="N2600">
            <v>0</v>
          </cell>
          <cell r="O2600">
            <v>0</v>
          </cell>
          <cell r="P2600" t="str">
            <v>1010</v>
          </cell>
          <cell r="Q2600">
            <v>1010</v>
          </cell>
          <cell r="R2600">
            <v>2.5179856115107908</v>
          </cell>
          <cell r="S2600">
            <v>42006</v>
          </cell>
        </row>
        <row r="2601">
          <cell r="A2601" t="str">
            <v>Y026-068</v>
          </cell>
          <cell r="B2601">
            <v>0</v>
          </cell>
          <cell r="C2601" t="str">
            <v>Y026</v>
          </cell>
          <cell r="D2601" t="str">
            <v>C0185 女王床尾</v>
          </cell>
          <cell r="E2601" t="str">
            <v>Hoa chân giường 脚饰花</v>
          </cell>
          <cell r="F2601" t="str">
            <v>170*85*5</v>
          </cell>
          <cell r="G2601">
            <v>170</v>
          </cell>
          <cell r="H2601">
            <v>85</v>
          </cell>
          <cell r="I2601">
            <v>5</v>
          </cell>
          <cell r="J2601">
            <v>65</v>
          </cell>
          <cell r="K2601">
            <v>0</v>
          </cell>
          <cell r="L2601">
            <v>0.16</v>
          </cell>
          <cell r="M2601">
            <v>0</v>
          </cell>
          <cell r="N2601">
            <v>0</v>
          </cell>
          <cell r="O2601">
            <v>0</v>
          </cell>
          <cell r="P2601" t="str">
            <v>1010</v>
          </cell>
          <cell r="Q2601">
            <v>1010</v>
          </cell>
          <cell r="R2601">
            <v>2.4615384615384617</v>
          </cell>
          <cell r="S2601">
            <v>42006</v>
          </cell>
        </row>
        <row r="2602">
          <cell r="A2602" t="str">
            <v>Y026-069</v>
          </cell>
          <cell r="B2602">
            <v>0</v>
          </cell>
          <cell r="C2602" t="str">
            <v>Y026</v>
          </cell>
          <cell r="D2602" t="str">
            <v>C0185 女王床尾</v>
          </cell>
          <cell r="E2602" t="str">
            <v>Hoa đế chân 饰花</v>
          </cell>
          <cell r="F2602" t="str">
            <v>117*75*5</v>
          </cell>
          <cell r="G2602">
            <v>117</v>
          </cell>
          <cell r="H2602">
            <v>75</v>
          </cell>
          <cell r="I2602">
            <v>5</v>
          </cell>
          <cell r="J2602">
            <v>16</v>
          </cell>
          <cell r="K2602">
            <v>0</v>
          </cell>
          <cell r="L2602">
            <v>0.04</v>
          </cell>
          <cell r="M2602">
            <v>0</v>
          </cell>
          <cell r="N2602">
            <v>0</v>
          </cell>
          <cell r="O2602">
            <v>0</v>
          </cell>
          <cell r="P2602" t="str">
            <v>1010</v>
          </cell>
          <cell r="Q2602">
            <v>1010</v>
          </cell>
          <cell r="R2602">
            <v>2.5</v>
          </cell>
          <cell r="S2602">
            <v>42006</v>
          </cell>
        </row>
        <row r="2603">
          <cell r="A2603" t="str">
            <v>Y026-070</v>
          </cell>
          <cell r="B2603">
            <v>0</v>
          </cell>
          <cell r="C2603" t="str">
            <v>Y026</v>
          </cell>
          <cell r="D2603" t="str">
            <v>C0185 女王床尾</v>
          </cell>
          <cell r="E2603" t="str">
            <v>Hoa đế chân 饰花</v>
          </cell>
          <cell r="F2603" t="str">
            <v>117*75*5</v>
          </cell>
          <cell r="G2603">
            <v>117</v>
          </cell>
          <cell r="H2603">
            <v>75</v>
          </cell>
          <cell r="I2603">
            <v>5</v>
          </cell>
          <cell r="J2603">
            <v>16</v>
          </cell>
          <cell r="K2603">
            <v>0</v>
          </cell>
          <cell r="L2603">
            <v>0.04</v>
          </cell>
          <cell r="M2603">
            <v>0</v>
          </cell>
          <cell r="N2603">
            <v>0</v>
          </cell>
          <cell r="O2603">
            <v>0</v>
          </cell>
          <cell r="P2603" t="str">
            <v>1010</v>
          </cell>
          <cell r="Q2603">
            <v>1010</v>
          </cell>
          <cell r="R2603">
            <v>2.5</v>
          </cell>
          <cell r="S2603">
            <v>42006</v>
          </cell>
        </row>
        <row r="2604">
          <cell r="A2604" t="str">
            <v>Y026-071</v>
          </cell>
          <cell r="B2604">
            <v>0</v>
          </cell>
          <cell r="C2604" t="str">
            <v>Y026</v>
          </cell>
          <cell r="D2604" t="str">
            <v>C0185 皇帝床头</v>
          </cell>
          <cell r="E2604" t="str">
            <v>Hoa dưới đầu giường 床头下饰花</v>
          </cell>
          <cell r="F2604" t="str">
            <v>168*124*6</v>
          </cell>
          <cell r="G2604">
            <v>168</v>
          </cell>
          <cell r="H2604">
            <v>124</v>
          </cell>
          <cell r="I2604">
            <v>6</v>
          </cell>
          <cell r="J2604">
            <v>69</v>
          </cell>
          <cell r="K2604">
            <v>0</v>
          </cell>
          <cell r="L2604">
            <v>0.17</v>
          </cell>
          <cell r="M2604">
            <v>0</v>
          </cell>
          <cell r="N2604">
            <v>0</v>
          </cell>
          <cell r="O2604">
            <v>0</v>
          </cell>
          <cell r="P2604" t="str">
            <v>1010</v>
          </cell>
          <cell r="Q2604">
            <v>1010</v>
          </cell>
          <cell r="R2604">
            <v>2.4637681159420288</v>
          </cell>
          <cell r="S2604">
            <v>42006</v>
          </cell>
        </row>
        <row r="2605">
          <cell r="A2605" t="str">
            <v>Y026-072</v>
          </cell>
          <cell r="B2605">
            <v>0</v>
          </cell>
          <cell r="C2605" t="str">
            <v>Y026</v>
          </cell>
          <cell r="D2605" t="str">
            <v>C0185 皇帝床头</v>
          </cell>
          <cell r="E2605" t="str">
            <v>Viền đầu giường 床头饰条</v>
          </cell>
          <cell r="F2605" t="str">
            <v>1015*183*18</v>
          </cell>
          <cell r="G2605">
            <v>1015</v>
          </cell>
          <cell r="H2605">
            <v>183</v>
          </cell>
          <cell r="I2605">
            <v>18</v>
          </cell>
          <cell r="J2605">
            <v>689</v>
          </cell>
          <cell r="K2605">
            <v>0</v>
          </cell>
          <cell r="L2605">
            <v>1.72</v>
          </cell>
          <cell r="M2605">
            <v>0</v>
          </cell>
          <cell r="N2605">
            <v>0</v>
          </cell>
          <cell r="O2605">
            <v>0</v>
          </cell>
          <cell r="P2605" t="str">
            <v>1010</v>
          </cell>
          <cell r="Q2605">
            <v>1010</v>
          </cell>
          <cell r="R2605">
            <v>2.4963715529753268</v>
          </cell>
          <cell r="S2605">
            <v>42006</v>
          </cell>
        </row>
        <row r="2606">
          <cell r="A2606" t="str">
            <v>Y026-073</v>
          </cell>
          <cell r="B2606">
            <v>0</v>
          </cell>
          <cell r="C2606" t="str">
            <v>Y026</v>
          </cell>
          <cell r="D2606" t="str">
            <v>C0185 皇帝床头</v>
          </cell>
          <cell r="E2606" t="str">
            <v>Viền đầu giường床头饰条</v>
          </cell>
          <cell r="F2606" t="str">
            <v>243*98*18</v>
          </cell>
          <cell r="G2606">
            <v>243</v>
          </cell>
          <cell r="H2606">
            <v>98</v>
          </cell>
          <cell r="I2606">
            <v>18</v>
          </cell>
          <cell r="J2606">
            <v>163</v>
          </cell>
          <cell r="K2606">
            <v>0</v>
          </cell>
          <cell r="L2606">
            <v>0.41</v>
          </cell>
          <cell r="M2606">
            <v>0</v>
          </cell>
          <cell r="N2606">
            <v>0</v>
          </cell>
          <cell r="O2606">
            <v>0</v>
          </cell>
          <cell r="P2606" t="str">
            <v>1010</v>
          </cell>
          <cell r="Q2606">
            <v>1010</v>
          </cell>
          <cell r="R2606">
            <v>2.5153374233128831</v>
          </cell>
          <cell r="S2606">
            <v>42006</v>
          </cell>
        </row>
        <row r="2607">
          <cell r="A2607" t="str">
            <v>Y026-074</v>
          </cell>
          <cell r="B2607">
            <v>0</v>
          </cell>
          <cell r="C2607" t="str">
            <v>Y026</v>
          </cell>
          <cell r="D2607" t="str">
            <v>C0185 皇帝床头</v>
          </cell>
          <cell r="E2607" t="str">
            <v>Viền đầu giường床头饰条</v>
          </cell>
          <cell r="F2607" t="str">
            <v>243*98*18</v>
          </cell>
          <cell r="G2607">
            <v>243</v>
          </cell>
          <cell r="H2607">
            <v>98</v>
          </cell>
          <cell r="I2607">
            <v>18</v>
          </cell>
          <cell r="J2607">
            <v>163</v>
          </cell>
          <cell r="K2607">
            <v>0</v>
          </cell>
          <cell r="L2607">
            <v>0.41</v>
          </cell>
          <cell r="M2607">
            <v>0</v>
          </cell>
          <cell r="N2607">
            <v>0</v>
          </cell>
          <cell r="O2607">
            <v>0</v>
          </cell>
          <cell r="P2607" t="str">
            <v>1010</v>
          </cell>
          <cell r="Q2607">
            <v>1010</v>
          </cell>
          <cell r="R2607">
            <v>2.5153374233128831</v>
          </cell>
          <cell r="S2607">
            <v>42006</v>
          </cell>
        </row>
        <row r="2608">
          <cell r="A2608" t="str">
            <v>Y026-075</v>
          </cell>
          <cell r="B2608">
            <v>0</v>
          </cell>
          <cell r="C2608" t="str">
            <v>Y026</v>
          </cell>
          <cell r="D2608" t="str">
            <v>C0185 皇帝床头</v>
          </cell>
          <cell r="E2608" t="str">
            <v>Hoa chân giường 床脚饰花</v>
          </cell>
          <cell r="F2608" t="str">
            <v>170*85*5</v>
          </cell>
          <cell r="G2608">
            <v>170</v>
          </cell>
          <cell r="H2608">
            <v>85</v>
          </cell>
          <cell r="I2608">
            <v>5</v>
          </cell>
          <cell r="J2608">
            <v>65</v>
          </cell>
          <cell r="K2608">
            <v>0</v>
          </cell>
          <cell r="L2608">
            <v>0.16</v>
          </cell>
          <cell r="M2608">
            <v>0</v>
          </cell>
          <cell r="N2608">
            <v>0</v>
          </cell>
          <cell r="O2608">
            <v>0</v>
          </cell>
          <cell r="P2608" t="str">
            <v>1010</v>
          </cell>
          <cell r="Q2608">
            <v>1010</v>
          </cell>
          <cell r="R2608">
            <v>2.4615384615384617</v>
          </cell>
          <cell r="S2608">
            <v>42006</v>
          </cell>
        </row>
        <row r="2609">
          <cell r="A2609" t="str">
            <v>Y026-076</v>
          </cell>
          <cell r="B2609">
            <v>0</v>
          </cell>
          <cell r="C2609" t="str">
            <v>Y026</v>
          </cell>
          <cell r="D2609" t="str">
            <v>C0185 皇帝床头</v>
          </cell>
          <cell r="E2609" t="str">
            <v>Hoa 2 bên两边饰花</v>
          </cell>
          <cell r="F2609" t="str">
            <v>267*150*6</v>
          </cell>
          <cell r="G2609">
            <v>267</v>
          </cell>
          <cell r="H2609">
            <v>150</v>
          </cell>
          <cell r="I2609">
            <v>6</v>
          </cell>
          <cell r="J2609">
            <v>139</v>
          </cell>
          <cell r="K2609">
            <v>0</v>
          </cell>
          <cell r="L2609">
            <v>0.35</v>
          </cell>
          <cell r="M2609">
            <v>0</v>
          </cell>
          <cell r="N2609">
            <v>0</v>
          </cell>
          <cell r="O2609">
            <v>0</v>
          </cell>
          <cell r="P2609" t="str">
            <v>1010</v>
          </cell>
          <cell r="Q2609">
            <v>1010</v>
          </cell>
          <cell r="R2609">
            <v>2.5179856115107908</v>
          </cell>
          <cell r="S2609">
            <v>42006</v>
          </cell>
        </row>
        <row r="2610">
          <cell r="A2610" t="str">
            <v>Y026-077</v>
          </cell>
          <cell r="B2610">
            <v>0</v>
          </cell>
          <cell r="C2610" t="str">
            <v>Y026</v>
          </cell>
          <cell r="D2610" t="str">
            <v>C0185 皇帝床头</v>
          </cell>
          <cell r="E2610" t="str">
            <v>Hoa 2 bên两边饰花</v>
          </cell>
          <cell r="F2610" t="str">
            <v>267*150*6</v>
          </cell>
          <cell r="G2610">
            <v>267</v>
          </cell>
          <cell r="H2610">
            <v>150</v>
          </cell>
          <cell r="I2610">
            <v>6</v>
          </cell>
          <cell r="J2610">
            <v>139</v>
          </cell>
          <cell r="K2610">
            <v>0</v>
          </cell>
          <cell r="L2610">
            <v>0.35</v>
          </cell>
          <cell r="M2610">
            <v>0</v>
          </cell>
          <cell r="N2610">
            <v>0</v>
          </cell>
          <cell r="O2610">
            <v>0</v>
          </cell>
          <cell r="P2610" t="str">
            <v>1010</v>
          </cell>
          <cell r="Q2610">
            <v>1010</v>
          </cell>
          <cell r="R2610">
            <v>2.5179856115107908</v>
          </cell>
          <cell r="S2610">
            <v>42006</v>
          </cell>
        </row>
        <row r="2611">
          <cell r="A2611" t="str">
            <v>Y026-078</v>
          </cell>
          <cell r="B2611">
            <v>0</v>
          </cell>
          <cell r="C2611" t="str">
            <v>Y026</v>
          </cell>
          <cell r="D2611" t="str">
            <v>C0185 女王床头</v>
          </cell>
          <cell r="E2611" t="str">
            <v>Hoa dưới đầu giường 床头下饰花</v>
          </cell>
          <cell r="F2611" t="str">
            <v>137*104*6</v>
          </cell>
          <cell r="G2611">
            <v>137</v>
          </cell>
          <cell r="H2611">
            <v>104</v>
          </cell>
          <cell r="I2611">
            <v>6</v>
          </cell>
          <cell r="J2611">
            <v>50</v>
          </cell>
          <cell r="K2611">
            <v>0</v>
          </cell>
          <cell r="L2611">
            <v>0.13</v>
          </cell>
          <cell r="M2611">
            <v>0</v>
          </cell>
          <cell r="N2611">
            <v>0</v>
          </cell>
          <cell r="O2611">
            <v>0</v>
          </cell>
          <cell r="P2611" t="str">
            <v>1010</v>
          </cell>
          <cell r="Q2611">
            <v>1010</v>
          </cell>
          <cell r="R2611">
            <v>2.6</v>
          </cell>
          <cell r="S2611">
            <v>42006</v>
          </cell>
        </row>
        <row r="2612">
          <cell r="A2612" t="str">
            <v>Y026-079</v>
          </cell>
          <cell r="B2612">
            <v>0</v>
          </cell>
          <cell r="C2612" t="str">
            <v>Y026</v>
          </cell>
          <cell r="D2612" t="str">
            <v>C0185 女王床头</v>
          </cell>
          <cell r="E2612" t="str">
            <v>Viền đầu giường 床头饰条</v>
          </cell>
          <cell r="F2612" t="str">
            <v>620*146*18</v>
          </cell>
          <cell r="G2612">
            <v>620</v>
          </cell>
          <cell r="H2612">
            <v>146</v>
          </cell>
          <cell r="I2612">
            <v>18</v>
          </cell>
          <cell r="J2612">
            <v>396</v>
          </cell>
          <cell r="K2612">
            <v>0</v>
          </cell>
          <cell r="L2612">
            <v>0.99</v>
          </cell>
          <cell r="M2612">
            <v>0</v>
          </cell>
          <cell r="N2612">
            <v>0</v>
          </cell>
          <cell r="O2612">
            <v>0</v>
          </cell>
          <cell r="P2612" t="str">
            <v>1010</v>
          </cell>
          <cell r="Q2612">
            <v>1010</v>
          </cell>
          <cell r="R2612">
            <v>2.5</v>
          </cell>
          <cell r="S2612">
            <v>42006</v>
          </cell>
        </row>
        <row r="2613">
          <cell r="A2613" t="str">
            <v>Y026-080</v>
          </cell>
          <cell r="B2613">
            <v>0</v>
          </cell>
          <cell r="C2613" t="str">
            <v>Y026</v>
          </cell>
          <cell r="D2613" t="str">
            <v>C0185 女王床头</v>
          </cell>
          <cell r="E2613" t="str">
            <v>Viền đầu giường 床头饰条</v>
          </cell>
          <cell r="F2613" t="str">
            <v>243*145*18</v>
          </cell>
          <cell r="G2613">
            <v>243</v>
          </cell>
          <cell r="H2613">
            <v>145</v>
          </cell>
          <cell r="I2613">
            <v>18</v>
          </cell>
          <cell r="J2613">
            <v>163</v>
          </cell>
          <cell r="K2613">
            <v>0</v>
          </cell>
          <cell r="L2613">
            <v>0.41</v>
          </cell>
          <cell r="M2613">
            <v>0</v>
          </cell>
          <cell r="N2613">
            <v>0</v>
          </cell>
          <cell r="O2613">
            <v>0</v>
          </cell>
          <cell r="P2613" t="str">
            <v>1010</v>
          </cell>
          <cell r="Q2613">
            <v>1010</v>
          </cell>
          <cell r="R2613">
            <v>2.5153374233128831</v>
          </cell>
          <cell r="S2613">
            <v>42006</v>
          </cell>
        </row>
        <row r="2614">
          <cell r="A2614" t="str">
            <v>Y026-081</v>
          </cell>
          <cell r="B2614">
            <v>0</v>
          </cell>
          <cell r="C2614" t="str">
            <v>Y026</v>
          </cell>
          <cell r="D2614" t="str">
            <v>C0185 女王床头</v>
          </cell>
          <cell r="E2614" t="str">
            <v>Viền đầu giường 床头饰条</v>
          </cell>
          <cell r="F2614" t="str">
            <v>243*145*18</v>
          </cell>
          <cell r="G2614">
            <v>243</v>
          </cell>
          <cell r="H2614">
            <v>145</v>
          </cell>
          <cell r="I2614">
            <v>18</v>
          </cell>
          <cell r="J2614">
            <v>163</v>
          </cell>
          <cell r="K2614">
            <v>0</v>
          </cell>
          <cell r="L2614">
            <v>0.41</v>
          </cell>
          <cell r="M2614">
            <v>0</v>
          </cell>
          <cell r="N2614">
            <v>0</v>
          </cell>
          <cell r="O2614">
            <v>0</v>
          </cell>
          <cell r="P2614" t="str">
            <v>1010</v>
          </cell>
          <cell r="Q2614">
            <v>1010</v>
          </cell>
          <cell r="R2614">
            <v>2.5153374233128831</v>
          </cell>
          <cell r="S2614">
            <v>42006</v>
          </cell>
        </row>
        <row r="2615">
          <cell r="A2615" t="str">
            <v>Y026-082</v>
          </cell>
          <cell r="B2615">
            <v>0</v>
          </cell>
          <cell r="C2615" t="str">
            <v>Y026</v>
          </cell>
          <cell r="D2615" t="str">
            <v>C0185 女王床头</v>
          </cell>
          <cell r="E2615" t="str">
            <v>Hoa 2 bên đầu giường  床头两边饰花</v>
          </cell>
          <cell r="F2615" t="str">
            <v>267*150*6</v>
          </cell>
          <cell r="G2615">
            <v>267</v>
          </cell>
          <cell r="H2615">
            <v>150</v>
          </cell>
          <cell r="I2615">
            <v>6</v>
          </cell>
          <cell r="J2615">
            <v>139</v>
          </cell>
          <cell r="K2615">
            <v>0</v>
          </cell>
          <cell r="L2615">
            <v>0.35</v>
          </cell>
          <cell r="M2615">
            <v>0</v>
          </cell>
          <cell r="N2615">
            <v>0</v>
          </cell>
          <cell r="O2615">
            <v>0</v>
          </cell>
          <cell r="P2615" t="str">
            <v>1010</v>
          </cell>
          <cell r="Q2615">
            <v>1010</v>
          </cell>
          <cell r="R2615">
            <v>2.5179856115107908</v>
          </cell>
          <cell r="S2615">
            <v>42006</v>
          </cell>
        </row>
        <row r="2616">
          <cell r="A2616" t="str">
            <v>Y026-083</v>
          </cell>
          <cell r="B2616">
            <v>0</v>
          </cell>
          <cell r="C2616" t="str">
            <v>Y026</v>
          </cell>
          <cell r="D2616" t="str">
            <v>C0185 女王床头</v>
          </cell>
          <cell r="E2616" t="str">
            <v>Hoa 2 bên đầu giường  床头两边饰花</v>
          </cell>
          <cell r="F2616" t="str">
            <v>267*150*6</v>
          </cell>
          <cell r="G2616">
            <v>267</v>
          </cell>
          <cell r="H2616">
            <v>150</v>
          </cell>
          <cell r="I2616">
            <v>6</v>
          </cell>
          <cell r="J2616">
            <v>139</v>
          </cell>
          <cell r="K2616">
            <v>0</v>
          </cell>
          <cell r="L2616">
            <v>0.35</v>
          </cell>
          <cell r="M2616">
            <v>0</v>
          </cell>
          <cell r="N2616">
            <v>0</v>
          </cell>
          <cell r="O2616">
            <v>0</v>
          </cell>
          <cell r="P2616" t="str">
            <v>1010</v>
          </cell>
          <cell r="Q2616">
            <v>1010</v>
          </cell>
          <cell r="R2616">
            <v>2.5179856115107908</v>
          </cell>
          <cell r="S2616">
            <v>42006</v>
          </cell>
        </row>
        <row r="2617">
          <cell r="A2617" t="str">
            <v>Y026-084</v>
          </cell>
          <cell r="B2617">
            <v>0</v>
          </cell>
          <cell r="C2617" t="str">
            <v>Y026</v>
          </cell>
          <cell r="D2617" t="str">
            <v>C0185 女王床头</v>
          </cell>
          <cell r="E2617" t="str">
            <v>Hoa chân giường床脚饰花</v>
          </cell>
          <cell r="F2617" t="str">
            <v>170*85*5</v>
          </cell>
          <cell r="G2617">
            <v>170</v>
          </cell>
          <cell r="H2617">
            <v>85</v>
          </cell>
          <cell r="I2617">
            <v>5</v>
          </cell>
          <cell r="J2617">
            <v>65</v>
          </cell>
          <cell r="K2617">
            <v>0</v>
          </cell>
          <cell r="L2617">
            <v>0.16</v>
          </cell>
          <cell r="M2617">
            <v>0</v>
          </cell>
          <cell r="N2617">
            <v>0</v>
          </cell>
          <cell r="O2617">
            <v>0</v>
          </cell>
          <cell r="P2617" t="str">
            <v>1010</v>
          </cell>
          <cell r="Q2617">
            <v>1010</v>
          </cell>
          <cell r="R2617">
            <v>2.4615384615384617</v>
          </cell>
          <cell r="S2617">
            <v>42006</v>
          </cell>
        </row>
        <row r="2618">
          <cell r="A2618" t="str">
            <v>Y026-085</v>
          </cell>
          <cell r="B2618">
            <v>0</v>
          </cell>
          <cell r="C2618" t="str">
            <v>Y026</v>
          </cell>
          <cell r="D2618" t="str">
            <v>viền chỉ hk</v>
          </cell>
          <cell r="E2618" t="str">
            <v>饰条</v>
          </cell>
          <cell r="F2618" t="str">
            <v>610*18*8</v>
          </cell>
          <cell r="G2618">
            <v>610</v>
          </cell>
          <cell r="H2618">
            <v>18</v>
          </cell>
          <cell r="I2618">
            <v>8</v>
          </cell>
          <cell r="J2618">
            <v>134</v>
          </cell>
          <cell r="K2618">
            <v>0</v>
          </cell>
          <cell r="L2618">
            <v>0.34</v>
          </cell>
          <cell r="M2618">
            <v>0</v>
          </cell>
          <cell r="N2618">
            <v>0</v>
          </cell>
          <cell r="O2618">
            <v>0</v>
          </cell>
          <cell r="P2618" t="str">
            <v>1010</v>
          </cell>
          <cell r="Q2618">
            <v>1010</v>
          </cell>
          <cell r="R2618">
            <v>2.5373134328358211</v>
          </cell>
          <cell r="S2618">
            <v>0</v>
          </cell>
        </row>
        <row r="2619">
          <cell r="A2619" t="str">
            <v>Y026-086</v>
          </cell>
          <cell r="B2619">
            <v>0</v>
          </cell>
          <cell r="C2619" t="str">
            <v>Y026</v>
          </cell>
          <cell r="D2619" t="str">
            <v>POLY</v>
          </cell>
          <cell r="E2619">
            <v>0</v>
          </cell>
          <cell r="F2619" t="str">
            <v>1525*104*6</v>
          </cell>
          <cell r="G2619">
            <v>1525</v>
          </cell>
          <cell r="H2619">
            <v>104</v>
          </cell>
          <cell r="I2619">
            <v>6</v>
          </cell>
          <cell r="J2619">
            <v>719</v>
          </cell>
          <cell r="K2619">
            <v>0</v>
          </cell>
          <cell r="L2619">
            <v>1.8</v>
          </cell>
          <cell r="M2619">
            <v>0</v>
          </cell>
          <cell r="N2619">
            <v>90</v>
          </cell>
          <cell r="O2619">
            <v>0</v>
          </cell>
          <cell r="P2619">
            <v>0</v>
          </cell>
          <cell r="Q2619">
            <v>1010</v>
          </cell>
          <cell r="R2619">
            <v>2.5034770514603619</v>
          </cell>
          <cell r="S2619">
            <v>0</v>
          </cell>
        </row>
        <row r="2620">
          <cell r="A2620" t="str">
            <v>Y026-087</v>
          </cell>
          <cell r="B2620">
            <v>0</v>
          </cell>
          <cell r="C2620" t="str">
            <v>Y026</v>
          </cell>
          <cell r="D2620" t="str">
            <v>POLY</v>
          </cell>
          <cell r="E2620">
            <v>0</v>
          </cell>
          <cell r="F2620" t="str">
            <v>1220*104*6</v>
          </cell>
          <cell r="G2620">
            <v>1220</v>
          </cell>
          <cell r="H2620">
            <v>104</v>
          </cell>
          <cell r="I2620">
            <v>6</v>
          </cell>
          <cell r="J2620">
            <v>566</v>
          </cell>
          <cell r="K2620">
            <v>0</v>
          </cell>
          <cell r="L2620">
            <v>1.42</v>
          </cell>
          <cell r="M2620">
            <v>0</v>
          </cell>
          <cell r="N2620">
            <v>78</v>
          </cell>
          <cell r="O2620">
            <v>0</v>
          </cell>
          <cell r="P2620">
            <v>0</v>
          </cell>
          <cell r="Q2620">
            <v>1010</v>
          </cell>
          <cell r="R2620">
            <v>2.5088339222614842</v>
          </cell>
          <cell r="S2620">
            <v>0</v>
          </cell>
        </row>
        <row r="2621">
          <cell r="A2621" t="str">
            <v>Y026-088</v>
          </cell>
          <cell r="B2621">
            <v>0</v>
          </cell>
          <cell r="C2621" t="str">
            <v>Y026</v>
          </cell>
          <cell r="D2621" t="str">
            <v>POLY</v>
          </cell>
          <cell r="E2621" t="str">
            <v>Thanh giằng ốp</v>
          </cell>
          <cell r="F2621" t="str">
            <v>364*34*20</v>
          </cell>
          <cell r="G2621">
            <v>364</v>
          </cell>
          <cell r="H2621">
            <v>34</v>
          </cell>
          <cell r="I2621">
            <v>20</v>
          </cell>
          <cell r="J2621">
            <v>156</v>
          </cell>
          <cell r="K2621">
            <v>0</v>
          </cell>
          <cell r="L2621">
            <v>0.39</v>
          </cell>
          <cell r="M2621">
            <v>0</v>
          </cell>
          <cell r="N2621">
            <v>26</v>
          </cell>
          <cell r="O2621">
            <v>0</v>
          </cell>
          <cell r="P2621">
            <v>0</v>
          </cell>
          <cell r="Q2621">
            <v>1010</v>
          </cell>
          <cell r="R2621">
            <v>2.5</v>
          </cell>
          <cell r="S2621">
            <v>0</v>
          </cell>
        </row>
        <row r="2622">
          <cell r="A2622" t="str">
            <v>Y026-089</v>
          </cell>
          <cell r="B2622">
            <v>0</v>
          </cell>
          <cell r="C2622" t="str">
            <v>Y026</v>
          </cell>
          <cell r="D2622" t="str">
            <v>POLY</v>
          </cell>
          <cell r="E2622" t="str">
            <v>Thanh giằng ốp</v>
          </cell>
          <cell r="F2622" t="str">
            <v>1070*34*20</v>
          </cell>
          <cell r="G2622">
            <v>1070</v>
          </cell>
          <cell r="H2622">
            <v>34</v>
          </cell>
          <cell r="I2622">
            <v>20</v>
          </cell>
          <cell r="J2622">
            <v>422</v>
          </cell>
          <cell r="K2622">
            <v>0</v>
          </cell>
          <cell r="L2622">
            <v>1.06</v>
          </cell>
          <cell r="M2622">
            <v>0</v>
          </cell>
          <cell r="N2622">
            <v>86</v>
          </cell>
          <cell r="O2622">
            <v>0</v>
          </cell>
          <cell r="P2622">
            <v>0</v>
          </cell>
          <cell r="Q2622">
            <v>1010</v>
          </cell>
          <cell r="R2622">
            <v>2.5118483412322279</v>
          </cell>
          <cell r="S2622">
            <v>0</v>
          </cell>
        </row>
        <row r="2623">
          <cell r="A2623" t="str">
            <v>Y026-090</v>
          </cell>
          <cell r="B2623" t="str">
            <v>1705調價 0.25</v>
          </cell>
          <cell r="C2623" t="str">
            <v>Y026</v>
          </cell>
          <cell r="D2623" t="str">
            <v>POLY-有孔</v>
          </cell>
          <cell r="E2623" t="str">
            <v>Có lỗ 有孔</v>
          </cell>
          <cell r="F2623" t="str">
            <v>38*60*60</v>
          </cell>
          <cell r="G2623">
            <v>38</v>
          </cell>
          <cell r="H2623">
            <v>60</v>
          </cell>
          <cell r="I2623">
            <v>60</v>
          </cell>
          <cell r="J2623">
            <v>92</v>
          </cell>
          <cell r="K2623">
            <v>0.25</v>
          </cell>
          <cell r="L2623">
            <v>0.24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1010</v>
          </cell>
          <cell r="R2623">
            <v>2.6086956521739131</v>
          </cell>
          <cell r="S2623">
            <v>0</v>
          </cell>
          <cell r="T2623">
            <v>0.24</v>
          </cell>
        </row>
        <row r="2624">
          <cell r="A2624" t="str">
            <v>Y026-091</v>
          </cell>
          <cell r="B2624" t="str">
            <v>1705調價 0.30</v>
          </cell>
          <cell r="C2624" t="str">
            <v>Y026</v>
          </cell>
          <cell r="D2624" t="str">
            <v>POLY-沒孔</v>
          </cell>
          <cell r="E2624" t="str">
            <v>Không lỗ 没 孔</v>
          </cell>
          <cell r="F2624" t="str">
            <v>38*60*60</v>
          </cell>
          <cell r="G2624">
            <v>38</v>
          </cell>
          <cell r="H2624">
            <v>60</v>
          </cell>
          <cell r="I2624">
            <v>60</v>
          </cell>
          <cell r="J2624">
            <v>110</v>
          </cell>
          <cell r="K2624">
            <v>0.3</v>
          </cell>
          <cell r="L2624">
            <v>0.28999999999999998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1010</v>
          </cell>
          <cell r="R2624">
            <v>2.6363636363636362</v>
          </cell>
          <cell r="S2624">
            <v>0</v>
          </cell>
          <cell r="T2624">
            <v>0.28999999999999998</v>
          </cell>
        </row>
        <row r="2625">
          <cell r="A2625" t="str">
            <v>Y026-092</v>
          </cell>
          <cell r="B2625" t="str">
            <v>1705調價 0.06</v>
          </cell>
          <cell r="C2625" t="str">
            <v>Y026</v>
          </cell>
          <cell r="D2625" t="str">
            <v>POLY</v>
          </cell>
          <cell r="E2625" t="str">
            <v>trang trí</v>
          </cell>
          <cell r="F2625" t="str">
            <v>45*45*8</v>
          </cell>
          <cell r="G2625">
            <v>45</v>
          </cell>
          <cell r="H2625">
            <v>45</v>
          </cell>
          <cell r="I2625">
            <v>8</v>
          </cell>
          <cell r="J2625">
            <v>20</v>
          </cell>
          <cell r="K2625">
            <v>0.06</v>
          </cell>
          <cell r="L2625">
            <v>0.05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1010</v>
          </cell>
          <cell r="R2625">
            <v>2.5</v>
          </cell>
          <cell r="S2625">
            <v>0</v>
          </cell>
          <cell r="T2625">
            <v>0.05</v>
          </cell>
        </row>
        <row r="2626">
          <cell r="A2626" t="str">
            <v>Y026-093</v>
          </cell>
          <cell r="B2626" t="str">
            <v>1705調價 0.06</v>
          </cell>
          <cell r="C2626" t="str">
            <v>Y026</v>
          </cell>
          <cell r="D2626" t="str">
            <v>POLY</v>
          </cell>
          <cell r="E2626" t="str">
            <v>trang trí</v>
          </cell>
          <cell r="F2626" t="str">
            <v>5*48*68</v>
          </cell>
          <cell r="G2626">
            <v>5</v>
          </cell>
          <cell r="H2626">
            <v>48</v>
          </cell>
          <cell r="I2626">
            <v>68</v>
          </cell>
          <cell r="J2626">
            <v>10</v>
          </cell>
          <cell r="K2626">
            <v>0.06</v>
          </cell>
          <cell r="L2626">
            <v>0.06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1010</v>
          </cell>
          <cell r="R2626">
            <v>6</v>
          </cell>
          <cell r="S2626">
            <v>0</v>
          </cell>
          <cell r="T2626">
            <v>0.05</v>
          </cell>
        </row>
        <row r="2627">
          <cell r="A2627" t="str">
            <v>Y026-094</v>
          </cell>
          <cell r="B2627" t="str">
            <v>框</v>
          </cell>
          <cell r="C2627" t="str">
            <v>Y026</v>
          </cell>
          <cell r="D2627">
            <v>42022430</v>
          </cell>
          <cell r="E2627" t="str">
            <v>饰框</v>
          </cell>
          <cell r="F2627" t="str">
            <v>375*55*12</v>
          </cell>
          <cell r="G2627">
            <v>375</v>
          </cell>
          <cell r="H2627">
            <v>55</v>
          </cell>
          <cell r="I2627">
            <v>12</v>
          </cell>
          <cell r="J2627">
            <v>192</v>
          </cell>
          <cell r="K2627">
            <v>0</v>
          </cell>
          <cell r="L2627">
            <v>0.55000000000000004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1010</v>
          </cell>
          <cell r="R2627">
            <v>2.8645833333333335</v>
          </cell>
          <cell r="S2627">
            <v>0</v>
          </cell>
          <cell r="T2627">
            <v>0</v>
          </cell>
        </row>
        <row r="2628">
          <cell r="A2628" t="str">
            <v>Y026-095</v>
          </cell>
          <cell r="B2628" t="str">
            <v>"</v>
          </cell>
          <cell r="C2628" t="str">
            <v>Y026</v>
          </cell>
          <cell r="D2628">
            <v>42037430</v>
          </cell>
          <cell r="E2628" t="str">
            <v>饰框</v>
          </cell>
          <cell r="F2628" t="str">
            <v>600*55*12</v>
          </cell>
          <cell r="G2628">
            <v>600</v>
          </cell>
          <cell r="H2628">
            <v>55</v>
          </cell>
          <cell r="I2628">
            <v>12</v>
          </cell>
          <cell r="J2628">
            <v>292</v>
          </cell>
          <cell r="K2628">
            <v>0</v>
          </cell>
          <cell r="L2628">
            <v>0.83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1010</v>
          </cell>
          <cell r="R2628">
            <v>2.8424657534246576</v>
          </cell>
          <cell r="S2628">
            <v>0</v>
          </cell>
          <cell r="T2628">
            <v>0</v>
          </cell>
        </row>
        <row r="2629">
          <cell r="A2629" t="str">
            <v>Y026-096</v>
          </cell>
          <cell r="B2629" t="str">
            <v>"</v>
          </cell>
          <cell r="C2629" t="str">
            <v>Y026</v>
          </cell>
          <cell r="D2629">
            <v>42045430</v>
          </cell>
          <cell r="E2629" t="str">
            <v>饰框</v>
          </cell>
          <cell r="F2629" t="str">
            <v>1087*55*12</v>
          </cell>
          <cell r="G2629">
            <v>1087</v>
          </cell>
          <cell r="H2629">
            <v>55</v>
          </cell>
          <cell r="I2629">
            <v>12</v>
          </cell>
          <cell r="J2629">
            <v>606</v>
          </cell>
          <cell r="K2629">
            <v>0</v>
          </cell>
          <cell r="L2629">
            <v>1.72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1010</v>
          </cell>
          <cell r="R2629">
            <v>2.8382838283828384</v>
          </cell>
          <cell r="S2629">
            <v>0</v>
          </cell>
          <cell r="T2629">
            <v>0</v>
          </cell>
        </row>
        <row r="2630">
          <cell r="A2630" t="str">
            <v>Y026-097</v>
          </cell>
          <cell r="B2630" t="str">
            <v>"</v>
          </cell>
          <cell r="C2630" t="str">
            <v>Y026</v>
          </cell>
          <cell r="D2630">
            <v>41022540</v>
          </cell>
          <cell r="E2630" t="str">
            <v>饰框</v>
          </cell>
          <cell r="F2630" t="str">
            <v>380*55*12</v>
          </cell>
          <cell r="G2630">
            <v>380</v>
          </cell>
          <cell r="H2630">
            <v>55</v>
          </cell>
          <cell r="I2630">
            <v>12</v>
          </cell>
          <cell r="J2630">
            <v>194</v>
          </cell>
          <cell r="K2630">
            <v>0</v>
          </cell>
          <cell r="L2630">
            <v>0.55000000000000004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1010</v>
          </cell>
          <cell r="R2630">
            <v>2.8350515463917527</v>
          </cell>
          <cell r="S2630">
            <v>0</v>
          </cell>
          <cell r="T2630">
            <v>0</v>
          </cell>
        </row>
        <row r="2631">
          <cell r="A2631" t="str">
            <v>Y026-098</v>
          </cell>
          <cell r="B2631" t="str">
            <v>"</v>
          </cell>
          <cell r="C2631" t="str">
            <v>Y026</v>
          </cell>
          <cell r="D2631">
            <v>41037540</v>
          </cell>
          <cell r="E2631" t="str">
            <v>饰框</v>
          </cell>
          <cell r="F2631" t="str">
            <v>608*55*12</v>
          </cell>
          <cell r="G2631">
            <v>608</v>
          </cell>
          <cell r="H2631">
            <v>55</v>
          </cell>
          <cell r="I2631">
            <v>12</v>
          </cell>
          <cell r="J2631">
            <v>293</v>
          </cell>
          <cell r="K2631">
            <v>0</v>
          </cell>
          <cell r="L2631">
            <v>0.73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1010</v>
          </cell>
          <cell r="R2631">
            <v>2.4914675767918091</v>
          </cell>
          <cell r="S2631">
            <v>0</v>
          </cell>
          <cell r="T2631">
            <v>0</v>
          </cell>
        </row>
        <row r="2632">
          <cell r="A2632" t="str">
            <v>Y026-099</v>
          </cell>
          <cell r="B2632" t="str">
            <v>"</v>
          </cell>
          <cell r="C2632" t="str">
            <v>Y026</v>
          </cell>
          <cell r="D2632">
            <v>41045540</v>
          </cell>
          <cell r="E2632" t="str">
            <v>饰框</v>
          </cell>
          <cell r="F2632" t="str">
            <v>1100*55*12</v>
          </cell>
          <cell r="G2632">
            <v>1100</v>
          </cell>
          <cell r="H2632">
            <v>55</v>
          </cell>
          <cell r="I2632">
            <v>12</v>
          </cell>
          <cell r="J2632">
            <v>540</v>
          </cell>
          <cell r="K2632">
            <v>0</v>
          </cell>
          <cell r="L2632">
            <v>1.53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1010</v>
          </cell>
          <cell r="R2632">
            <v>2.833333333333333</v>
          </cell>
          <cell r="S2632">
            <v>0</v>
          </cell>
          <cell r="T2632">
            <v>0</v>
          </cell>
        </row>
        <row r="2633">
          <cell r="A2633" t="str">
            <v>Y026-100</v>
          </cell>
          <cell r="B2633" t="str">
            <v>"</v>
          </cell>
          <cell r="C2633" t="str">
            <v>Y026</v>
          </cell>
          <cell r="D2633" t="str">
            <v>POLY</v>
          </cell>
          <cell r="E2633" t="str">
            <v>饰框</v>
          </cell>
          <cell r="F2633" t="str">
            <v>688*55*12</v>
          </cell>
          <cell r="G2633">
            <v>688</v>
          </cell>
          <cell r="H2633">
            <v>55</v>
          </cell>
          <cell r="I2633">
            <v>12</v>
          </cell>
          <cell r="J2633">
            <v>0</v>
          </cell>
          <cell r="K2633">
            <v>0</v>
          </cell>
          <cell r="L2633">
            <v>0.96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</row>
        <row r="2634">
          <cell r="A2634" t="str">
            <v>Y026-101</v>
          </cell>
          <cell r="B2634" t="str">
            <v>"</v>
          </cell>
          <cell r="C2634" t="str">
            <v>Y026</v>
          </cell>
          <cell r="D2634" t="str">
            <v>POLY</v>
          </cell>
          <cell r="E2634" t="str">
            <v>饰框</v>
          </cell>
          <cell r="F2634" t="str">
            <v>597*55*12</v>
          </cell>
          <cell r="G2634">
            <v>597</v>
          </cell>
          <cell r="H2634">
            <v>55</v>
          </cell>
          <cell r="I2634">
            <v>12</v>
          </cell>
          <cell r="J2634">
            <v>0</v>
          </cell>
          <cell r="K2634">
            <v>0</v>
          </cell>
          <cell r="L2634">
            <v>0.93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</row>
        <row r="2635">
          <cell r="A2635" t="str">
            <v>Y026-102</v>
          </cell>
          <cell r="B2635">
            <v>0</v>
          </cell>
          <cell r="C2635" t="str">
            <v>Y026</v>
          </cell>
          <cell r="D2635" t="str">
            <v>POLY</v>
          </cell>
          <cell r="E2635" t="str">
            <v>饰框</v>
          </cell>
          <cell r="F2635" t="str">
            <v>1200*10*6</v>
          </cell>
          <cell r="G2635">
            <v>1200</v>
          </cell>
          <cell r="H2635">
            <v>10</v>
          </cell>
          <cell r="I2635">
            <v>6</v>
          </cell>
          <cell r="J2635">
            <v>0</v>
          </cell>
          <cell r="K2635">
            <v>0</v>
          </cell>
          <cell r="L2635">
            <v>0.31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</row>
        <row r="2636">
          <cell r="A2636" t="str">
            <v>Y027-001</v>
          </cell>
          <cell r="B2636" t="str">
            <v>LCT071-100</v>
          </cell>
          <cell r="C2636" t="str">
            <v>Y027</v>
          </cell>
          <cell r="D2636" t="str">
            <v>IDT-2852桌</v>
          </cell>
          <cell r="E2636" t="str">
            <v>镜框饰条左</v>
          </cell>
          <cell r="F2636" t="str">
            <v>445*203*9</v>
          </cell>
          <cell r="G2636">
            <v>445</v>
          </cell>
          <cell r="H2636">
            <v>203</v>
          </cell>
          <cell r="I2636">
            <v>9</v>
          </cell>
          <cell r="J2636">
            <v>150</v>
          </cell>
          <cell r="K2636">
            <v>0</v>
          </cell>
          <cell r="L2636">
            <v>0.56000000000000005</v>
          </cell>
          <cell r="M2636">
            <v>0</v>
          </cell>
          <cell r="N2636">
            <v>0</v>
          </cell>
          <cell r="O2636">
            <v>0</v>
          </cell>
          <cell r="P2636" t="str">
            <v>1010</v>
          </cell>
          <cell r="Q2636" t="str">
            <v>1010</v>
          </cell>
          <cell r="R2636">
            <v>3.7333333333333338</v>
          </cell>
        </row>
        <row r="2637">
          <cell r="A2637" t="str">
            <v>Y027-002</v>
          </cell>
          <cell r="B2637" t="str">
            <v>LCT071-101</v>
          </cell>
          <cell r="C2637" t="str">
            <v>Y027</v>
          </cell>
          <cell r="D2637" t="str">
            <v>IDT-2852桌</v>
          </cell>
          <cell r="E2637" t="str">
            <v>镜框饰条右</v>
          </cell>
          <cell r="F2637" t="str">
            <v>445*203*9</v>
          </cell>
          <cell r="G2637">
            <v>445</v>
          </cell>
          <cell r="H2637">
            <v>203</v>
          </cell>
          <cell r="I2637">
            <v>9</v>
          </cell>
          <cell r="J2637">
            <v>150</v>
          </cell>
          <cell r="K2637">
            <v>0</v>
          </cell>
          <cell r="L2637">
            <v>0.56000000000000005</v>
          </cell>
          <cell r="M2637">
            <v>0</v>
          </cell>
          <cell r="N2637">
            <v>0</v>
          </cell>
          <cell r="O2637">
            <v>0</v>
          </cell>
          <cell r="P2637" t="str">
            <v>1010</v>
          </cell>
          <cell r="Q2637" t="str">
            <v>1010</v>
          </cell>
          <cell r="R2637">
            <v>3.7333333333333338</v>
          </cell>
        </row>
        <row r="2638">
          <cell r="A2638" t="str">
            <v>Y027-003</v>
          </cell>
          <cell r="B2638" t="str">
            <v>LCT071-102</v>
          </cell>
          <cell r="C2638" t="str">
            <v>Y027</v>
          </cell>
          <cell r="D2638" t="str">
            <v>IDT-2852桌</v>
          </cell>
          <cell r="E2638" t="str">
            <v>镜框饰条中</v>
          </cell>
          <cell r="F2638" t="str">
            <v>534*300*9</v>
          </cell>
          <cell r="G2638">
            <v>534</v>
          </cell>
          <cell r="H2638">
            <v>300</v>
          </cell>
          <cell r="I2638">
            <v>9</v>
          </cell>
          <cell r="J2638">
            <v>195</v>
          </cell>
          <cell r="K2638">
            <v>0</v>
          </cell>
          <cell r="L2638">
            <v>0.74</v>
          </cell>
          <cell r="M2638">
            <v>0</v>
          </cell>
          <cell r="N2638">
            <v>0</v>
          </cell>
          <cell r="O2638">
            <v>0</v>
          </cell>
          <cell r="P2638" t="str">
            <v>1010</v>
          </cell>
          <cell r="Q2638" t="str">
            <v>1010</v>
          </cell>
          <cell r="R2638">
            <v>3.7948717948717947</v>
          </cell>
        </row>
        <row r="2639">
          <cell r="A2639" t="str">
            <v>Y027-004</v>
          </cell>
          <cell r="B2639" t="str">
            <v>LCT071-103</v>
          </cell>
          <cell r="C2639" t="str">
            <v>Y027</v>
          </cell>
          <cell r="D2639" t="str">
            <v>IDT-2852桌</v>
          </cell>
          <cell r="E2639" t="str">
            <v>抽面饰条</v>
          </cell>
          <cell r="F2639" t="str">
            <v>604*7*4</v>
          </cell>
          <cell r="G2639">
            <v>604</v>
          </cell>
          <cell r="H2639">
            <v>7</v>
          </cell>
          <cell r="I2639">
            <v>4</v>
          </cell>
          <cell r="J2639">
            <v>20</v>
          </cell>
          <cell r="K2639">
            <v>0</v>
          </cell>
          <cell r="L2639">
            <v>0.14000000000000001</v>
          </cell>
          <cell r="M2639">
            <v>0</v>
          </cell>
          <cell r="N2639">
            <v>0</v>
          </cell>
          <cell r="O2639">
            <v>0</v>
          </cell>
          <cell r="P2639" t="str">
            <v>1010</v>
          </cell>
          <cell r="Q2639" t="str">
            <v>1010</v>
          </cell>
          <cell r="R2639">
            <v>7.0000000000000009</v>
          </cell>
        </row>
        <row r="2640">
          <cell r="A2640" t="str">
            <v>Y027-005</v>
          </cell>
          <cell r="B2640" t="str">
            <v>LCT071-104</v>
          </cell>
          <cell r="C2640" t="str">
            <v>Y027</v>
          </cell>
          <cell r="D2640" t="str">
            <v>IDT-2852桌</v>
          </cell>
          <cell r="E2640" t="str">
            <v>抽面饰条</v>
          </cell>
          <cell r="F2640" t="str">
            <v>75*7*4</v>
          </cell>
          <cell r="G2640">
            <v>75</v>
          </cell>
          <cell r="H2640">
            <v>7</v>
          </cell>
          <cell r="I2640">
            <v>4</v>
          </cell>
          <cell r="J2640">
            <v>5</v>
          </cell>
          <cell r="K2640">
            <v>0</v>
          </cell>
          <cell r="L2640">
            <v>0.04</v>
          </cell>
          <cell r="M2640">
            <v>0</v>
          </cell>
          <cell r="N2640">
            <v>0</v>
          </cell>
          <cell r="O2640">
            <v>0</v>
          </cell>
          <cell r="P2640" t="str">
            <v>1010</v>
          </cell>
          <cell r="Q2640" t="str">
            <v>1010</v>
          </cell>
          <cell r="R2640">
            <v>8</v>
          </cell>
        </row>
        <row r="2641">
          <cell r="A2641" t="str">
            <v>Y027-006</v>
          </cell>
          <cell r="B2641" t="str">
            <v>LCT071-105</v>
          </cell>
          <cell r="C2641" t="str">
            <v>Y027</v>
          </cell>
          <cell r="D2641" t="str">
            <v>IDT-2852桌</v>
          </cell>
          <cell r="E2641" t="str">
            <v>侧饰花</v>
          </cell>
          <cell r="F2641" t="str">
            <v>74*43*5</v>
          </cell>
          <cell r="G2641">
            <v>74</v>
          </cell>
          <cell r="H2641">
            <v>43</v>
          </cell>
          <cell r="I2641">
            <v>5</v>
          </cell>
          <cell r="J2641">
            <v>20</v>
          </cell>
          <cell r="K2641">
            <v>0</v>
          </cell>
          <cell r="L2641">
            <v>7.0000000000000007E-2</v>
          </cell>
          <cell r="M2641">
            <v>0</v>
          </cell>
          <cell r="N2641">
            <v>0</v>
          </cell>
          <cell r="O2641">
            <v>0</v>
          </cell>
          <cell r="P2641" t="str">
            <v>1010</v>
          </cell>
          <cell r="Q2641" t="str">
            <v>1010</v>
          </cell>
          <cell r="R2641">
            <v>3.5000000000000004</v>
          </cell>
        </row>
        <row r="2642">
          <cell r="A2642" t="str">
            <v>Y027-007</v>
          </cell>
          <cell r="B2642" t="str">
            <v>LCT071-106</v>
          </cell>
          <cell r="C2642" t="str">
            <v>Y027</v>
          </cell>
          <cell r="D2642" t="str">
            <v>IDT-2852桌</v>
          </cell>
          <cell r="E2642" t="str">
            <v>园珠饰条</v>
          </cell>
          <cell r="F2642" t="str">
            <v>630*10*9</v>
          </cell>
          <cell r="G2642">
            <v>630</v>
          </cell>
          <cell r="H2642">
            <v>10</v>
          </cell>
          <cell r="I2642">
            <v>9</v>
          </cell>
          <cell r="J2642">
            <v>48</v>
          </cell>
          <cell r="K2642">
            <v>0</v>
          </cell>
          <cell r="L2642">
            <v>0.28000000000000003</v>
          </cell>
          <cell r="M2642">
            <v>0</v>
          </cell>
          <cell r="N2642">
            <v>0</v>
          </cell>
          <cell r="O2642">
            <v>0</v>
          </cell>
          <cell r="P2642" t="str">
            <v>1010</v>
          </cell>
          <cell r="Q2642" t="str">
            <v>1010</v>
          </cell>
          <cell r="R2642">
            <v>5.8333333333333339</v>
          </cell>
        </row>
        <row r="2643">
          <cell r="A2643" t="str">
            <v>Y027-008</v>
          </cell>
          <cell r="B2643" t="str">
            <v>LCT071-107</v>
          </cell>
          <cell r="C2643" t="str">
            <v>Y027</v>
          </cell>
          <cell r="D2643" t="str">
            <v>IDT-2852桌</v>
          </cell>
          <cell r="E2643" t="str">
            <v>园珠饰条</v>
          </cell>
          <cell r="F2643" t="str">
            <v>305*10*9</v>
          </cell>
          <cell r="G2643">
            <v>305</v>
          </cell>
          <cell r="H2643">
            <v>10</v>
          </cell>
          <cell r="I2643">
            <v>9</v>
          </cell>
          <cell r="J2643">
            <v>23</v>
          </cell>
          <cell r="K2643">
            <v>0</v>
          </cell>
          <cell r="L2643">
            <v>0.15</v>
          </cell>
          <cell r="M2643">
            <v>0</v>
          </cell>
          <cell r="N2643">
            <v>0</v>
          </cell>
          <cell r="O2643">
            <v>0</v>
          </cell>
          <cell r="P2643" t="str">
            <v>1010</v>
          </cell>
          <cell r="Q2643" t="str">
            <v>1010</v>
          </cell>
          <cell r="R2643">
            <v>6.5217391304347823</v>
          </cell>
        </row>
        <row r="2644">
          <cell r="A2644" t="str">
            <v>Y027-009</v>
          </cell>
          <cell r="B2644" t="str">
            <v>LCT071-108</v>
          </cell>
          <cell r="C2644" t="str">
            <v>Y027</v>
          </cell>
          <cell r="D2644" t="str">
            <v>IDT-2852椅</v>
          </cell>
          <cell r="E2644" t="str">
            <v>园珠饰条</v>
          </cell>
          <cell r="F2644" t="str">
            <v>292*10*9</v>
          </cell>
          <cell r="G2644">
            <v>292</v>
          </cell>
          <cell r="H2644">
            <v>10</v>
          </cell>
          <cell r="I2644">
            <v>9</v>
          </cell>
          <cell r="J2644">
            <v>22</v>
          </cell>
          <cell r="K2644">
            <v>0</v>
          </cell>
          <cell r="L2644">
            <v>0.15</v>
          </cell>
          <cell r="M2644">
            <v>0</v>
          </cell>
          <cell r="N2644">
            <v>0</v>
          </cell>
          <cell r="O2644">
            <v>0</v>
          </cell>
          <cell r="P2644" t="str">
            <v>1010</v>
          </cell>
          <cell r="Q2644" t="str">
            <v>1010</v>
          </cell>
          <cell r="R2644">
            <v>6.8181818181818183</v>
          </cell>
        </row>
        <row r="2645">
          <cell r="A2645" t="str">
            <v>Y027-010</v>
          </cell>
          <cell r="B2645" t="str">
            <v>LCT071-109</v>
          </cell>
          <cell r="C2645" t="str">
            <v>Y027</v>
          </cell>
          <cell r="D2645" t="str">
            <v>IDT-2852椅</v>
          </cell>
          <cell r="E2645" t="str">
            <v>侧饰花</v>
          </cell>
          <cell r="F2645" t="str">
            <v>67*38*5</v>
          </cell>
          <cell r="G2645">
            <v>67</v>
          </cell>
          <cell r="H2645">
            <v>38</v>
          </cell>
          <cell r="I2645">
            <v>5</v>
          </cell>
          <cell r="J2645">
            <v>15</v>
          </cell>
          <cell r="K2645">
            <v>0</v>
          </cell>
          <cell r="L2645">
            <v>7.0000000000000007E-2</v>
          </cell>
          <cell r="M2645">
            <v>0</v>
          </cell>
          <cell r="N2645">
            <v>0</v>
          </cell>
          <cell r="O2645">
            <v>0</v>
          </cell>
          <cell r="P2645" t="str">
            <v>1010</v>
          </cell>
          <cell r="Q2645" t="str">
            <v>1010</v>
          </cell>
          <cell r="R2645">
            <v>4.666666666666667</v>
          </cell>
        </row>
        <row r="2646">
          <cell r="A2646" t="str">
            <v>Y027-011</v>
          </cell>
          <cell r="B2646" t="str">
            <v>LCT071-134</v>
          </cell>
          <cell r="C2646" t="str">
            <v>Y027</v>
          </cell>
          <cell r="D2646" t="str">
            <v>IDT3788</v>
          </cell>
          <cell r="E2646" t="str">
            <v>抽面飾花-左</v>
          </cell>
          <cell r="F2646" t="str">
            <v>280*80*9</v>
          </cell>
          <cell r="G2646">
            <v>280</v>
          </cell>
          <cell r="H2646">
            <v>80</v>
          </cell>
          <cell r="I2646">
            <v>9</v>
          </cell>
          <cell r="J2646">
            <v>110</v>
          </cell>
          <cell r="K2646">
            <v>0</v>
          </cell>
          <cell r="L2646">
            <v>0.32</v>
          </cell>
          <cell r="M2646">
            <v>0</v>
          </cell>
          <cell r="N2646">
            <v>0</v>
          </cell>
          <cell r="O2646">
            <v>0</v>
          </cell>
          <cell r="P2646" t="str">
            <v>1010</v>
          </cell>
          <cell r="Q2646" t="str">
            <v>1010</v>
          </cell>
          <cell r="R2646">
            <v>2.9090909090909092</v>
          </cell>
        </row>
        <row r="2647">
          <cell r="A2647" t="str">
            <v>Y027-012</v>
          </cell>
          <cell r="B2647" t="str">
            <v>LCT071-135</v>
          </cell>
          <cell r="C2647" t="str">
            <v>Y027</v>
          </cell>
          <cell r="D2647" t="str">
            <v>IDT3788</v>
          </cell>
          <cell r="E2647" t="str">
            <v>抽面飾花-右</v>
          </cell>
          <cell r="F2647" t="str">
            <v>280*80*9</v>
          </cell>
          <cell r="G2647">
            <v>280</v>
          </cell>
          <cell r="H2647">
            <v>80</v>
          </cell>
          <cell r="I2647">
            <v>9</v>
          </cell>
          <cell r="J2647">
            <v>110</v>
          </cell>
          <cell r="K2647">
            <v>0</v>
          </cell>
          <cell r="L2647">
            <v>0.32</v>
          </cell>
          <cell r="M2647">
            <v>0</v>
          </cell>
          <cell r="N2647">
            <v>0</v>
          </cell>
          <cell r="O2647">
            <v>0</v>
          </cell>
          <cell r="P2647" t="str">
            <v>1010</v>
          </cell>
          <cell r="Q2647" t="str">
            <v>1010</v>
          </cell>
          <cell r="R2647">
            <v>2.9090909090909092</v>
          </cell>
        </row>
        <row r="2648">
          <cell r="A2648" t="str">
            <v>Y027-013</v>
          </cell>
          <cell r="B2648" t="str">
            <v>LCT071-136</v>
          </cell>
          <cell r="C2648" t="str">
            <v>Y027</v>
          </cell>
          <cell r="D2648" t="str">
            <v>IDT3788</v>
          </cell>
          <cell r="E2648" t="str">
            <v>麻花飾條</v>
          </cell>
          <cell r="F2648" t="str">
            <v>630*14*7</v>
          </cell>
          <cell r="G2648">
            <v>630</v>
          </cell>
          <cell r="H2648">
            <v>14</v>
          </cell>
          <cell r="I2648">
            <v>7</v>
          </cell>
          <cell r="J2648">
            <v>85</v>
          </cell>
          <cell r="K2648">
            <v>0</v>
          </cell>
          <cell r="L2648">
            <v>0.24</v>
          </cell>
          <cell r="M2648">
            <v>0</v>
          </cell>
          <cell r="N2648">
            <v>0</v>
          </cell>
          <cell r="O2648">
            <v>0</v>
          </cell>
          <cell r="P2648" t="str">
            <v>1010</v>
          </cell>
          <cell r="Q2648" t="str">
            <v>1010</v>
          </cell>
          <cell r="R2648">
            <v>2.8235294117647056</v>
          </cell>
        </row>
        <row r="2649">
          <cell r="A2649" t="str">
            <v>Y027-014</v>
          </cell>
          <cell r="B2649" t="str">
            <v>LCT071-137</v>
          </cell>
          <cell r="C2649" t="str">
            <v>Y027</v>
          </cell>
          <cell r="D2649" t="str">
            <v>IDT3788</v>
          </cell>
          <cell r="E2649" t="str">
            <v>麻花飾條</v>
          </cell>
          <cell r="F2649" t="str">
            <v>306*14*7</v>
          </cell>
          <cell r="G2649">
            <v>306</v>
          </cell>
          <cell r="H2649">
            <v>14</v>
          </cell>
          <cell r="I2649">
            <v>7</v>
          </cell>
          <cell r="J2649">
            <v>45</v>
          </cell>
          <cell r="K2649">
            <v>0</v>
          </cell>
          <cell r="L2649">
            <v>0.12</v>
          </cell>
          <cell r="M2649">
            <v>0</v>
          </cell>
          <cell r="N2649">
            <v>0</v>
          </cell>
          <cell r="O2649">
            <v>0</v>
          </cell>
          <cell r="P2649" t="str">
            <v>1010</v>
          </cell>
          <cell r="Q2649" t="str">
            <v>1010</v>
          </cell>
          <cell r="R2649">
            <v>2.6666666666666665</v>
          </cell>
        </row>
        <row r="2650">
          <cell r="A2650" t="str">
            <v>Y027-015</v>
          </cell>
          <cell r="B2650" t="str">
            <v>LCT071-138</v>
          </cell>
          <cell r="C2650" t="str">
            <v>Y027</v>
          </cell>
          <cell r="D2650" t="str">
            <v>IDT3788</v>
          </cell>
          <cell r="E2650" t="str">
            <v>鏡框上飾花</v>
          </cell>
          <cell r="F2650" t="str">
            <v>260*90*7</v>
          </cell>
          <cell r="G2650">
            <v>260</v>
          </cell>
          <cell r="H2650">
            <v>90</v>
          </cell>
          <cell r="I2650">
            <v>7</v>
          </cell>
          <cell r="J2650">
            <v>44</v>
          </cell>
          <cell r="K2650">
            <v>0</v>
          </cell>
          <cell r="L2650">
            <v>0.14000000000000001</v>
          </cell>
          <cell r="M2650">
            <v>0</v>
          </cell>
          <cell r="N2650">
            <v>0</v>
          </cell>
          <cell r="O2650">
            <v>0</v>
          </cell>
          <cell r="P2650" t="str">
            <v>1010</v>
          </cell>
          <cell r="Q2650" t="str">
            <v>1010</v>
          </cell>
          <cell r="R2650">
            <v>3.1818181818181821</v>
          </cell>
        </row>
        <row r="2651">
          <cell r="A2651" t="str">
            <v>Y027-016</v>
          </cell>
          <cell r="B2651" t="str">
            <v>LCT071-139</v>
          </cell>
          <cell r="C2651" t="str">
            <v>Y027</v>
          </cell>
          <cell r="D2651" t="str">
            <v>IDT3788</v>
          </cell>
          <cell r="E2651" t="str">
            <v>腳柱貼花-大</v>
          </cell>
          <cell r="F2651" t="str">
            <v>92*46*6</v>
          </cell>
          <cell r="G2651">
            <v>92</v>
          </cell>
          <cell r="H2651">
            <v>46</v>
          </cell>
          <cell r="I2651">
            <v>6</v>
          </cell>
          <cell r="J2651">
            <v>40</v>
          </cell>
          <cell r="K2651">
            <v>0</v>
          </cell>
          <cell r="L2651">
            <v>0.12</v>
          </cell>
          <cell r="M2651">
            <v>0</v>
          </cell>
          <cell r="N2651">
            <v>0</v>
          </cell>
          <cell r="O2651">
            <v>0</v>
          </cell>
          <cell r="P2651" t="str">
            <v>1010</v>
          </cell>
          <cell r="Q2651" t="str">
            <v>1010</v>
          </cell>
          <cell r="R2651">
            <v>3</v>
          </cell>
        </row>
        <row r="2652">
          <cell r="A2652" t="str">
            <v>Y027-017</v>
          </cell>
          <cell r="B2652" t="str">
            <v>LCT071-140</v>
          </cell>
          <cell r="C2652" t="str">
            <v>Y027</v>
          </cell>
          <cell r="D2652" t="str">
            <v>IDT3788</v>
          </cell>
          <cell r="E2652" t="str">
            <v>腳柱貼花-小</v>
          </cell>
          <cell r="F2652" t="str">
            <v>64*30*6</v>
          </cell>
          <cell r="G2652">
            <v>64</v>
          </cell>
          <cell r="H2652">
            <v>30</v>
          </cell>
          <cell r="I2652">
            <v>6</v>
          </cell>
          <cell r="J2652">
            <v>22</v>
          </cell>
          <cell r="K2652">
            <v>0</v>
          </cell>
          <cell r="L2652">
            <v>0.08</v>
          </cell>
          <cell r="M2652">
            <v>0</v>
          </cell>
          <cell r="N2652">
            <v>0</v>
          </cell>
          <cell r="O2652">
            <v>0</v>
          </cell>
          <cell r="P2652" t="str">
            <v>1010</v>
          </cell>
          <cell r="Q2652" t="str">
            <v>1010</v>
          </cell>
          <cell r="R2652">
            <v>3.6363636363636367</v>
          </cell>
        </row>
        <row r="2653">
          <cell r="A2653" t="str">
            <v>Y027-018</v>
          </cell>
          <cell r="B2653" t="str">
            <v>LCT071-141</v>
          </cell>
          <cell r="C2653" t="str">
            <v>Y027</v>
          </cell>
          <cell r="D2653" t="str">
            <v>IDT3788</v>
          </cell>
          <cell r="E2653" t="str">
            <v>麻花飾條</v>
          </cell>
          <cell r="F2653" t="str">
            <v>292*14*7</v>
          </cell>
          <cell r="G2653">
            <v>292</v>
          </cell>
          <cell r="H2653">
            <v>14</v>
          </cell>
          <cell r="I2653">
            <v>7</v>
          </cell>
          <cell r="J2653">
            <v>40</v>
          </cell>
          <cell r="K2653">
            <v>0</v>
          </cell>
          <cell r="L2653">
            <v>0.11</v>
          </cell>
          <cell r="M2653">
            <v>0</v>
          </cell>
          <cell r="N2653">
            <v>0</v>
          </cell>
          <cell r="O2653">
            <v>0</v>
          </cell>
          <cell r="P2653" t="str">
            <v>1010</v>
          </cell>
          <cell r="Q2653" t="str">
            <v>1010</v>
          </cell>
          <cell r="R2653">
            <v>2.75</v>
          </cell>
        </row>
        <row r="2654">
          <cell r="A2654" t="str">
            <v>Y027-019</v>
          </cell>
          <cell r="B2654" t="str">
            <v>LCT071-129</v>
          </cell>
          <cell r="C2654" t="str">
            <v>Y027</v>
          </cell>
          <cell r="D2654" t="str">
            <v>IDT3132</v>
          </cell>
          <cell r="E2654" t="str">
            <v>POLY</v>
          </cell>
          <cell r="F2654" t="str">
            <v>407*205*5</v>
          </cell>
          <cell r="G2654">
            <v>407</v>
          </cell>
          <cell r="H2654">
            <v>205</v>
          </cell>
          <cell r="I2654">
            <v>5</v>
          </cell>
          <cell r="J2654">
            <v>60</v>
          </cell>
          <cell r="K2654">
            <v>0.4</v>
          </cell>
          <cell r="L2654">
            <v>0.38</v>
          </cell>
          <cell r="M2654">
            <v>0</v>
          </cell>
          <cell r="N2654">
            <v>0</v>
          </cell>
          <cell r="O2654">
            <v>0</v>
          </cell>
          <cell r="P2654" t="str">
            <v>1010</v>
          </cell>
          <cell r="Q2654" t="str">
            <v>1010</v>
          </cell>
          <cell r="R2654">
            <v>6.3333333333333339</v>
          </cell>
        </row>
        <row r="2655">
          <cell r="A2655" t="str">
            <v>Y027-020</v>
          </cell>
          <cell r="B2655" t="str">
            <v>LCT071-130</v>
          </cell>
          <cell r="C2655" t="str">
            <v>Y027</v>
          </cell>
          <cell r="D2655" t="str">
            <v>IDT3132</v>
          </cell>
          <cell r="E2655" t="str">
            <v>POLY-左</v>
          </cell>
          <cell r="F2655" t="str">
            <v>325*135*5</v>
          </cell>
          <cell r="G2655">
            <v>325</v>
          </cell>
          <cell r="H2655">
            <v>135</v>
          </cell>
          <cell r="I2655">
            <v>5</v>
          </cell>
          <cell r="J2655">
            <v>45</v>
          </cell>
          <cell r="K2655">
            <v>0.21</v>
          </cell>
          <cell r="L2655">
            <v>0.2</v>
          </cell>
          <cell r="M2655">
            <v>0</v>
          </cell>
          <cell r="N2655">
            <v>0</v>
          </cell>
          <cell r="O2655">
            <v>0</v>
          </cell>
          <cell r="P2655" t="str">
            <v>1010</v>
          </cell>
          <cell r="Q2655" t="str">
            <v>1010</v>
          </cell>
          <cell r="R2655">
            <v>4.4444444444444446</v>
          </cell>
        </row>
        <row r="2656">
          <cell r="A2656" t="str">
            <v>Y027-021</v>
          </cell>
          <cell r="B2656" t="str">
            <v>LCT071-131</v>
          </cell>
          <cell r="C2656" t="str">
            <v>Y027</v>
          </cell>
          <cell r="D2656" t="str">
            <v>IDT3132</v>
          </cell>
          <cell r="E2656" t="str">
            <v>POLY-右</v>
          </cell>
          <cell r="F2656" t="str">
            <v>325*135*5</v>
          </cell>
          <cell r="G2656">
            <v>325</v>
          </cell>
          <cell r="H2656">
            <v>135</v>
          </cell>
          <cell r="I2656">
            <v>5</v>
          </cell>
          <cell r="J2656">
            <v>45</v>
          </cell>
          <cell r="K2656">
            <v>0.21</v>
          </cell>
          <cell r="L2656">
            <v>0.2</v>
          </cell>
          <cell r="M2656">
            <v>0</v>
          </cell>
          <cell r="N2656">
            <v>0</v>
          </cell>
          <cell r="O2656">
            <v>0</v>
          </cell>
          <cell r="P2656" t="str">
            <v>1010</v>
          </cell>
          <cell r="Q2656" t="str">
            <v>1010</v>
          </cell>
          <cell r="R2656">
            <v>4.4444444444444446</v>
          </cell>
        </row>
        <row r="2657">
          <cell r="A2657" t="str">
            <v>Y027-022</v>
          </cell>
          <cell r="B2657" t="str">
            <v>LCT071-132</v>
          </cell>
          <cell r="C2657" t="str">
            <v>Y027</v>
          </cell>
          <cell r="D2657" t="str">
            <v>IDT3132</v>
          </cell>
          <cell r="E2657" t="str">
            <v>POLY</v>
          </cell>
          <cell r="F2657" t="str">
            <v>480*8*5</v>
          </cell>
          <cell r="G2657">
            <v>480</v>
          </cell>
          <cell r="H2657">
            <v>8</v>
          </cell>
          <cell r="I2657">
            <v>5</v>
          </cell>
          <cell r="J2657">
            <v>25</v>
          </cell>
          <cell r="K2657">
            <v>0.16</v>
          </cell>
          <cell r="L2657">
            <v>0.15</v>
          </cell>
          <cell r="M2657">
            <v>0</v>
          </cell>
          <cell r="N2657">
            <v>0</v>
          </cell>
          <cell r="O2657">
            <v>0</v>
          </cell>
          <cell r="P2657" t="str">
            <v>1010</v>
          </cell>
          <cell r="Q2657" t="str">
            <v>1010</v>
          </cell>
          <cell r="R2657">
            <v>5.9999999999999991</v>
          </cell>
        </row>
        <row r="2658">
          <cell r="A2658" t="str">
            <v>Y027-023</v>
          </cell>
          <cell r="B2658" t="str">
            <v>LCT071-133</v>
          </cell>
          <cell r="C2658" t="str">
            <v>Y027</v>
          </cell>
          <cell r="D2658" t="str">
            <v>IDT3132</v>
          </cell>
          <cell r="E2658" t="str">
            <v>POLY</v>
          </cell>
          <cell r="F2658" t="str">
            <v>270*8*5</v>
          </cell>
          <cell r="G2658">
            <v>270</v>
          </cell>
          <cell r="H2658">
            <v>8</v>
          </cell>
          <cell r="I2658">
            <v>5</v>
          </cell>
          <cell r="J2658">
            <v>15</v>
          </cell>
          <cell r="K2658">
            <v>0.1</v>
          </cell>
          <cell r="L2658">
            <v>0.09</v>
          </cell>
          <cell r="M2658">
            <v>0</v>
          </cell>
          <cell r="N2658">
            <v>0</v>
          </cell>
          <cell r="O2658">
            <v>0</v>
          </cell>
          <cell r="P2658" t="str">
            <v>1010</v>
          </cell>
          <cell r="Q2658" t="str">
            <v>1010</v>
          </cell>
          <cell r="R2658">
            <v>6</v>
          </cell>
        </row>
        <row r="2659">
          <cell r="A2659" t="str">
            <v>Y027-024</v>
          </cell>
          <cell r="B2659">
            <v>0</v>
          </cell>
          <cell r="C2659" t="str">
            <v>Y027</v>
          </cell>
          <cell r="D2659" t="str">
            <v>IDT3157</v>
          </cell>
          <cell r="E2659" t="str">
            <v>POLY飾條</v>
          </cell>
          <cell r="F2659" t="str">
            <v>866*8*4</v>
          </cell>
          <cell r="G2659">
            <v>866</v>
          </cell>
          <cell r="H2659">
            <v>8</v>
          </cell>
          <cell r="I2659">
            <v>4</v>
          </cell>
          <cell r="J2659">
            <v>38</v>
          </cell>
          <cell r="K2659">
            <v>0</v>
          </cell>
          <cell r="L2659">
            <v>0.14000000000000001</v>
          </cell>
          <cell r="M2659">
            <v>0</v>
          </cell>
          <cell r="N2659">
            <v>0</v>
          </cell>
          <cell r="O2659">
            <v>0</v>
          </cell>
          <cell r="P2659" t="str">
            <v>1010</v>
          </cell>
          <cell r="Q2659" t="str">
            <v>1010</v>
          </cell>
          <cell r="R2659">
            <v>3.6842105263157898</v>
          </cell>
        </row>
        <row r="2660">
          <cell r="A2660" t="str">
            <v>Y027-025</v>
          </cell>
          <cell r="B2660">
            <v>0</v>
          </cell>
          <cell r="C2660" t="str">
            <v>Y027</v>
          </cell>
          <cell r="D2660" t="str">
            <v>IDT3157</v>
          </cell>
          <cell r="E2660" t="str">
            <v>POLY飾條</v>
          </cell>
          <cell r="F2660" t="str">
            <v>896*8*4</v>
          </cell>
          <cell r="G2660">
            <v>896</v>
          </cell>
          <cell r="H2660">
            <v>8</v>
          </cell>
          <cell r="I2660">
            <v>4</v>
          </cell>
          <cell r="J2660">
            <v>40</v>
          </cell>
          <cell r="K2660">
            <v>0</v>
          </cell>
          <cell r="L2660">
            <v>0.15</v>
          </cell>
          <cell r="M2660">
            <v>0</v>
          </cell>
          <cell r="N2660">
            <v>0</v>
          </cell>
          <cell r="O2660">
            <v>0</v>
          </cell>
          <cell r="P2660" t="str">
            <v>1010</v>
          </cell>
          <cell r="Q2660" t="str">
            <v>1010</v>
          </cell>
          <cell r="R2660">
            <v>3.75</v>
          </cell>
        </row>
        <row r="2661">
          <cell r="A2661" t="str">
            <v>Y027-026</v>
          </cell>
          <cell r="B2661">
            <v>0</v>
          </cell>
          <cell r="C2661" t="str">
            <v>Y027</v>
          </cell>
          <cell r="D2661" t="str">
            <v>IDT4166</v>
          </cell>
          <cell r="E2661">
            <v>0</v>
          </cell>
          <cell r="F2661" t="str">
            <v>362*15*5</v>
          </cell>
          <cell r="G2661">
            <v>362</v>
          </cell>
          <cell r="H2661">
            <v>15</v>
          </cell>
          <cell r="I2661">
            <v>5</v>
          </cell>
          <cell r="J2661">
            <v>75</v>
          </cell>
          <cell r="K2661">
            <v>0</v>
          </cell>
          <cell r="L2661">
            <v>0.28000000000000003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3.7333333333333338</v>
          </cell>
          <cell r="S2661">
            <v>0</v>
          </cell>
        </row>
        <row r="2662">
          <cell r="A2662" t="str">
            <v>Y027-027</v>
          </cell>
          <cell r="B2662">
            <v>0</v>
          </cell>
          <cell r="C2662" t="str">
            <v>Y027</v>
          </cell>
          <cell r="D2662" t="str">
            <v>IDT4166</v>
          </cell>
          <cell r="E2662">
            <v>0</v>
          </cell>
          <cell r="F2662" t="str">
            <v>120*15*5</v>
          </cell>
          <cell r="G2662">
            <v>120</v>
          </cell>
          <cell r="H2662">
            <v>15</v>
          </cell>
          <cell r="I2662">
            <v>5</v>
          </cell>
          <cell r="J2662">
            <v>25</v>
          </cell>
          <cell r="K2662">
            <v>0</v>
          </cell>
          <cell r="L2662">
            <v>0.11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4.3999999999999995</v>
          </cell>
          <cell r="S2662">
            <v>0</v>
          </cell>
        </row>
        <row r="2663">
          <cell r="A2663" t="str">
            <v>Y027-028</v>
          </cell>
          <cell r="B2663">
            <v>0</v>
          </cell>
          <cell r="C2663" t="str">
            <v>Y027</v>
          </cell>
          <cell r="D2663" t="str">
            <v>IDT4166</v>
          </cell>
          <cell r="E2663">
            <v>0</v>
          </cell>
          <cell r="F2663" t="str">
            <v>90*10*4</v>
          </cell>
          <cell r="G2663">
            <v>90</v>
          </cell>
          <cell r="H2663">
            <v>10</v>
          </cell>
          <cell r="I2663">
            <v>4</v>
          </cell>
          <cell r="J2663">
            <v>8</v>
          </cell>
          <cell r="K2663">
            <v>0</v>
          </cell>
          <cell r="L2663">
            <v>0.04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5</v>
          </cell>
          <cell r="S2663">
            <v>0</v>
          </cell>
        </row>
        <row r="2664">
          <cell r="A2664" t="str">
            <v>Y027-029</v>
          </cell>
          <cell r="B2664">
            <v>0</v>
          </cell>
          <cell r="C2664" t="str">
            <v>Y027</v>
          </cell>
          <cell r="D2664" t="str">
            <v>AIDT 4230</v>
          </cell>
          <cell r="E2664" t="str">
            <v>镜框（中）</v>
          </cell>
          <cell r="F2664" t="str">
            <v>536*307*7</v>
          </cell>
          <cell r="G2664">
            <v>536</v>
          </cell>
          <cell r="H2664">
            <v>307</v>
          </cell>
          <cell r="I2664">
            <v>7</v>
          </cell>
          <cell r="J2664">
            <v>190</v>
          </cell>
          <cell r="K2664">
            <v>0</v>
          </cell>
          <cell r="L2664">
            <v>0.5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2.6315789473684212</v>
          </cell>
          <cell r="S2664">
            <v>0</v>
          </cell>
        </row>
        <row r="2665">
          <cell r="A2665" t="str">
            <v>Y027-030</v>
          </cell>
          <cell r="B2665">
            <v>0</v>
          </cell>
          <cell r="C2665" t="str">
            <v>Y027</v>
          </cell>
          <cell r="D2665" t="str">
            <v>AIDT 4230</v>
          </cell>
          <cell r="E2665" t="str">
            <v>镜框（左）</v>
          </cell>
          <cell r="F2665" t="str">
            <v>465*205*7</v>
          </cell>
          <cell r="G2665">
            <v>465</v>
          </cell>
          <cell r="H2665">
            <v>205</v>
          </cell>
          <cell r="I2665">
            <v>7</v>
          </cell>
          <cell r="J2665">
            <v>160</v>
          </cell>
          <cell r="K2665">
            <v>0</v>
          </cell>
          <cell r="L2665">
            <v>0.41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2.5625</v>
          </cell>
          <cell r="S2665">
            <v>0</v>
          </cell>
        </row>
        <row r="2666">
          <cell r="A2666" t="str">
            <v>Y027-031</v>
          </cell>
          <cell r="B2666">
            <v>0</v>
          </cell>
          <cell r="C2666" t="str">
            <v>Y027</v>
          </cell>
          <cell r="D2666" t="str">
            <v>AIDT 4230</v>
          </cell>
          <cell r="E2666" t="str">
            <v>镜框（右）</v>
          </cell>
          <cell r="F2666" t="str">
            <v>465*205*7</v>
          </cell>
          <cell r="G2666">
            <v>465</v>
          </cell>
          <cell r="H2666">
            <v>205</v>
          </cell>
          <cell r="I2666">
            <v>7</v>
          </cell>
          <cell r="J2666">
            <v>160</v>
          </cell>
          <cell r="K2666">
            <v>0</v>
          </cell>
          <cell r="L2666">
            <v>0.41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2.5625</v>
          </cell>
          <cell r="S2666">
            <v>0</v>
          </cell>
        </row>
        <row r="2667">
          <cell r="A2667" t="str">
            <v>Y027-032</v>
          </cell>
          <cell r="B2667">
            <v>0</v>
          </cell>
          <cell r="C2667" t="str">
            <v>Y027</v>
          </cell>
          <cell r="D2667" t="str">
            <v>AIDT 4230</v>
          </cell>
          <cell r="E2667" t="str">
            <v>抽屉长饰条</v>
          </cell>
          <cell r="F2667" t="str">
            <v>625*10*10</v>
          </cell>
          <cell r="G2667">
            <v>625</v>
          </cell>
          <cell r="H2667">
            <v>10</v>
          </cell>
          <cell r="I2667">
            <v>10</v>
          </cell>
          <cell r="J2667">
            <v>100</v>
          </cell>
          <cell r="K2667">
            <v>0</v>
          </cell>
          <cell r="L2667">
            <v>0.24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2.4</v>
          </cell>
          <cell r="S2667">
            <v>0</v>
          </cell>
        </row>
        <row r="2668">
          <cell r="A2668" t="str">
            <v>Y027-033</v>
          </cell>
          <cell r="B2668">
            <v>0</v>
          </cell>
          <cell r="C2668" t="str">
            <v>Y027</v>
          </cell>
          <cell r="D2668" t="str">
            <v>AIDT 4230</v>
          </cell>
          <cell r="E2668" t="str">
            <v>抽屉短饰条</v>
          </cell>
          <cell r="F2668" t="str">
            <v>103*10*10</v>
          </cell>
          <cell r="G2668">
            <v>103</v>
          </cell>
          <cell r="H2668">
            <v>10</v>
          </cell>
          <cell r="I2668">
            <v>10</v>
          </cell>
          <cell r="J2668">
            <v>20</v>
          </cell>
          <cell r="K2668">
            <v>0</v>
          </cell>
          <cell r="L2668">
            <v>0.05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2.5</v>
          </cell>
          <cell r="S2668">
            <v>0</v>
          </cell>
        </row>
        <row r="2669">
          <cell r="A2669" t="str">
            <v>Y027-034</v>
          </cell>
          <cell r="B2669">
            <v>0</v>
          </cell>
          <cell r="C2669" t="str">
            <v>Y027</v>
          </cell>
          <cell r="D2669" t="str">
            <v>AIDT 4230</v>
          </cell>
          <cell r="E2669" t="str">
            <v>抽面左饰花</v>
          </cell>
          <cell r="F2669" t="str">
            <v>272*62*10</v>
          </cell>
          <cell r="G2669">
            <v>272</v>
          </cell>
          <cell r="H2669">
            <v>62</v>
          </cell>
          <cell r="I2669">
            <v>10</v>
          </cell>
          <cell r="J2669">
            <v>120</v>
          </cell>
          <cell r="K2669">
            <v>0</v>
          </cell>
          <cell r="L2669">
            <v>0.31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2.5833333333333335</v>
          </cell>
          <cell r="S2669">
            <v>0</v>
          </cell>
        </row>
        <row r="2670">
          <cell r="A2670" t="str">
            <v>Y027-035</v>
          </cell>
          <cell r="B2670">
            <v>0</v>
          </cell>
          <cell r="C2670" t="str">
            <v>Y027</v>
          </cell>
          <cell r="D2670" t="str">
            <v>AIDT 4230</v>
          </cell>
          <cell r="E2670" t="str">
            <v>抽面右饰花</v>
          </cell>
          <cell r="F2670" t="str">
            <v>272*62*10</v>
          </cell>
          <cell r="G2670">
            <v>272</v>
          </cell>
          <cell r="H2670">
            <v>62</v>
          </cell>
          <cell r="I2670">
            <v>10</v>
          </cell>
          <cell r="J2670">
            <v>120</v>
          </cell>
          <cell r="K2670">
            <v>0</v>
          </cell>
          <cell r="L2670">
            <v>0.31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2.5833333333333335</v>
          </cell>
          <cell r="S2670">
            <v>0</v>
          </cell>
        </row>
        <row r="2671">
          <cell r="A2671" t="str">
            <v>Y027-036</v>
          </cell>
          <cell r="B2671">
            <v>0</v>
          </cell>
          <cell r="C2671" t="str">
            <v>Y027</v>
          </cell>
          <cell r="D2671" t="str">
            <v>AIDT 4230</v>
          </cell>
          <cell r="E2671" t="str">
            <v>立水饰条</v>
          </cell>
          <cell r="F2671" t="str">
            <v>305*15*6</v>
          </cell>
          <cell r="G2671">
            <v>305</v>
          </cell>
          <cell r="H2671">
            <v>15</v>
          </cell>
          <cell r="I2671">
            <v>6</v>
          </cell>
          <cell r="J2671">
            <v>60</v>
          </cell>
          <cell r="K2671">
            <v>0</v>
          </cell>
          <cell r="L2671">
            <v>0.16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2.666666666666667</v>
          </cell>
          <cell r="S2671">
            <v>0</v>
          </cell>
        </row>
        <row r="2672">
          <cell r="A2672" t="str">
            <v>Y027-037</v>
          </cell>
          <cell r="B2672">
            <v>0</v>
          </cell>
          <cell r="C2672" t="str">
            <v>Y027</v>
          </cell>
          <cell r="D2672" t="str">
            <v>AIDT 4230</v>
          </cell>
          <cell r="E2672" t="str">
            <v>立水饰条</v>
          </cell>
          <cell r="F2672" t="str">
            <v>292*15*6</v>
          </cell>
          <cell r="G2672">
            <v>292</v>
          </cell>
          <cell r="H2672">
            <v>15</v>
          </cell>
          <cell r="I2672">
            <v>6</v>
          </cell>
          <cell r="J2672">
            <v>58</v>
          </cell>
          <cell r="K2672">
            <v>0</v>
          </cell>
          <cell r="L2672">
            <v>0.15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2.5862068965517238</v>
          </cell>
          <cell r="S2672">
            <v>0</v>
          </cell>
        </row>
        <row r="2673">
          <cell r="A2673" t="str">
            <v>Y027-038</v>
          </cell>
          <cell r="B2673">
            <v>0</v>
          </cell>
          <cell r="C2673" t="str">
            <v>Y027</v>
          </cell>
          <cell r="D2673" t="str">
            <v>AIDT 4230</v>
          </cell>
          <cell r="E2673" t="str">
            <v>立水饰条</v>
          </cell>
          <cell r="F2673" t="str">
            <v>244*15*6</v>
          </cell>
          <cell r="G2673">
            <v>244</v>
          </cell>
          <cell r="H2673">
            <v>15</v>
          </cell>
          <cell r="I2673">
            <v>6</v>
          </cell>
          <cell r="J2673">
            <v>55</v>
          </cell>
          <cell r="K2673">
            <v>0</v>
          </cell>
          <cell r="L2673">
            <v>0.13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2.3636363636363638</v>
          </cell>
          <cell r="S2673">
            <v>0</v>
          </cell>
        </row>
        <row r="2674">
          <cell r="A2674" t="str">
            <v>Y027-039</v>
          </cell>
          <cell r="B2674">
            <v>0</v>
          </cell>
          <cell r="C2674" t="str">
            <v>Y027</v>
          </cell>
          <cell r="D2674" t="str">
            <v>AIDT 4230</v>
          </cell>
          <cell r="E2674" t="str">
            <v>桌脚饰花</v>
          </cell>
          <cell r="F2674" t="str">
            <v>100*55*10</v>
          </cell>
          <cell r="G2674">
            <v>100</v>
          </cell>
          <cell r="H2674">
            <v>55</v>
          </cell>
          <cell r="I2674">
            <v>10</v>
          </cell>
          <cell r="J2674">
            <v>70</v>
          </cell>
          <cell r="K2674">
            <v>0</v>
          </cell>
          <cell r="L2674">
            <v>0.12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1.714285714285714</v>
          </cell>
          <cell r="S2674">
            <v>0</v>
          </cell>
        </row>
        <row r="2675">
          <cell r="A2675" t="str">
            <v>Y027-040</v>
          </cell>
          <cell r="B2675">
            <v>0</v>
          </cell>
          <cell r="C2675" t="str">
            <v>Y027</v>
          </cell>
          <cell r="D2675" t="str">
            <v>AIDT 4230</v>
          </cell>
          <cell r="E2675" t="str">
            <v>椅脚饰花</v>
          </cell>
          <cell r="F2675" t="str">
            <v>64*34*6</v>
          </cell>
          <cell r="G2675">
            <v>64</v>
          </cell>
          <cell r="H2675">
            <v>34</v>
          </cell>
          <cell r="I2675">
            <v>6</v>
          </cell>
          <cell r="J2675">
            <v>30</v>
          </cell>
          <cell r="K2675">
            <v>0</v>
          </cell>
          <cell r="L2675">
            <v>0.09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3</v>
          </cell>
          <cell r="S2675">
            <v>0</v>
          </cell>
        </row>
        <row r="2676">
          <cell r="A2676" t="str">
            <v>Y027-041</v>
          </cell>
          <cell r="B2676">
            <v>0</v>
          </cell>
          <cell r="C2676" t="str">
            <v>Y027</v>
          </cell>
          <cell r="D2676" t="str">
            <v>IDT 4542</v>
          </cell>
          <cell r="E2676" t="str">
            <v>鏡框中 khung kiến giữa</v>
          </cell>
          <cell r="F2676" t="str">
            <v>540*380*15*8</v>
          </cell>
          <cell r="G2676">
            <v>540</v>
          </cell>
          <cell r="H2676">
            <v>380</v>
          </cell>
          <cell r="I2676" t="str">
            <v>15*8</v>
          </cell>
          <cell r="J2676">
            <v>0</v>
          </cell>
          <cell r="K2676">
            <v>0</v>
          </cell>
          <cell r="L2676">
            <v>0.45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 t="e">
            <v>#DIV/0!</v>
          </cell>
          <cell r="S2676">
            <v>0</v>
          </cell>
        </row>
        <row r="2677">
          <cell r="A2677" t="str">
            <v>Y027-042</v>
          </cell>
          <cell r="B2677">
            <v>0</v>
          </cell>
          <cell r="C2677" t="str">
            <v>Y027</v>
          </cell>
          <cell r="D2677" t="str">
            <v>IDT 4542</v>
          </cell>
          <cell r="E2677" t="str">
            <v>鏡框中 khung kiến trái</v>
          </cell>
          <cell r="F2677" t="str">
            <v>470*207*15*8</v>
          </cell>
          <cell r="G2677">
            <v>470</v>
          </cell>
          <cell r="H2677">
            <v>207</v>
          </cell>
          <cell r="I2677" t="str">
            <v>15*8</v>
          </cell>
          <cell r="J2677">
            <v>0</v>
          </cell>
          <cell r="K2677">
            <v>0</v>
          </cell>
          <cell r="L2677">
            <v>0.38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 t="e">
            <v>#DIV/0!</v>
          </cell>
          <cell r="S2677">
            <v>0</v>
          </cell>
        </row>
        <row r="2678">
          <cell r="A2678" t="str">
            <v>Y027-043</v>
          </cell>
          <cell r="B2678">
            <v>0</v>
          </cell>
          <cell r="C2678" t="str">
            <v>Y027</v>
          </cell>
          <cell r="D2678" t="str">
            <v>IDT 4542</v>
          </cell>
          <cell r="E2678" t="str">
            <v>鏡框中 khung kiến phải</v>
          </cell>
          <cell r="F2678" t="str">
            <v>470*207*15*8</v>
          </cell>
          <cell r="G2678">
            <v>470</v>
          </cell>
          <cell r="H2678">
            <v>207</v>
          </cell>
          <cell r="I2678" t="str">
            <v>15*8</v>
          </cell>
          <cell r="J2678">
            <v>0</v>
          </cell>
          <cell r="K2678">
            <v>0</v>
          </cell>
          <cell r="L2678">
            <v>0.38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 t="e">
            <v>#DIV/0!</v>
          </cell>
          <cell r="S2678">
            <v>0</v>
          </cell>
        </row>
        <row r="2679">
          <cell r="A2679" t="str">
            <v>Y027-044</v>
          </cell>
          <cell r="B2679">
            <v>0</v>
          </cell>
          <cell r="C2679" t="str">
            <v>Y027</v>
          </cell>
          <cell r="D2679" t="str">
            <v>IDT 4542</v>
          </cell>
          <cell r="E2679" t="str">
            <v>抽面框飾 khung dây mặt học tủ</v>
          </cell>
          <cell r="F2679" t="str">
            <v>625*100*15*8</v>
          </cell>
          <cell r="G2679">
            <v>625</v>
          </cell>
          <cell r="H2679">
            <v>100</v>
          </cell>
          <cell r="I2679" t="str">
            <v>15*8</v>
          </cell>
          <cell r="J2679">
            <v>0</v>
          </cell>
          <cell r="K2679">
            <v>0</v>
          </cell>
          <cell r="L2679">
            <v>0.55000000000000004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 t="e">
            <v>#DIV/0!</v>
          </cell>
          <cell r="S2679">
            <v>0</v>
          </cell>
        </row>
        <row r="2680">
          <cell r="A2680" t="str">
            <v>Y027-045</v>
          </cell>
          <cell r="B2680">
            <v>0</v>
          </cell>
          <cell r="C2680" t="str">
            <v>Y027</v>
          </cell>
          <cell r="D2680" t="str">
            <v>IDT 4542</v>
          </cell>
          <cell r="E2680" t="str">
            <v>抽面花左 hoa mặt học tủ trái</v>
          </cell>
          <cell r="F2680" t="str">
            <v>268*55*8</v>
          </cell>
          <cell r="G2680">
            <v>268</v>
          </cell>
          <cell r="H2680">
            <v>55</v>
          </cell>
          <cell r="I2680">
            <v>8</v>
          </cell>
          <cell r="J2680">
            <v>0</v>
          </cell>
          <cell r="K2680">
            <v>0</v>
          </cell>
          <cell r="L2680">
            <v>0.25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 t="e">
            <v>#DIV/0!</v>
          </cell>
          <cell r="S2680">
            <v>0</v>
          </cell>
        </row>
        <row r="2681">
          <cell r="A2681" t="str">
            <v>Y027-046</v>
          </cell>
          <cell r="B2681">
            <v>0</v>
          </cell>
          <cell r="C2681" t="str">
            <v>Y027</v>
          </cell>
          <cell r="D2681" t="str">
            <v>IDT 4542</v>
          </cell>
          <cell r="E2681" t="str">
            <v>抽面花右 hoa mặt học tủ phải</v>
          </cell>
          <cell r="F2681" t="str">
            <v>268*55*8</v>
          </cell>
          <cell r="G2681">
            <v>268</v>
          </cell>
          <cell r="H2681">
            <v>55</v>
          </cell>
          <cell r="I2681">
            <v>8</v>
          </cell>
          <cell r="J2681">
            <v>0</v>
          </cell>
          <cell r="K2681">
            <v>0</v>
          </cell>
          <cell r="L2681">
            <v>0.25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 t="e">
            <v>#DIV/0!</v>
          </cell>
          <cell r="S2681">
            <v>0</v>
          </cell>
        </row>
        <row r="2682">
          <cell r="A2682" t="str">
            <v>Y027-047</v>
          </cell>
          <cell r="B2682">
            <v>0</v>
          </cell>
          <cell r="C2682" t="str">
            <v>Y027</v>
          </cell>
          <cell r="D2682" t="str">
            <v>IDT 4542</v>
          </cell>
          <cell r="E2682" t="str">
            <v>桌腳花hoa chân bàn</v>
          </cell>
          <cell r="F2682" t="str">
            <v>98*63*8</v>
          </cell>
          <cell r="G2682">
            <v>98</v>
          </cell>
          <cell r="H2682">
            <v>63</v>
          </cell>
          <cell r="I2682">
            <v>8</v>
          </cell>
          <cell r="J2682">
            <v>0</v>
          </cell>
          <cell r="K2682">
            <v>0</v>
          </cell>
          <cell r="L2682">
            <v>0.14000000000000001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 t="e">
            <v>#DIV/0!</v>
          </cell>
          <cell r="S2682">
            <v>0</v>
          </cell>
        </row>
        <row r="2683">
          <cell r="A2683" t="str">
            <v>Y027-048</v>
          </cell>
          <cell r="B2683">
            <v>0</v>
          </cell>
          <cell r="C2683" t="str">
            <v>Y027</v>
          </cell>
          <cell r="D2683" t="str">
            <v>IDT 4542</v>
          </cell>
          <cell r="E2683" t="str">
            <v>桌立水飾條</v>
          </cell>
          <cell r="F2683" t="str">
            <v>310*19*7</v>
          </cell>
          <cell r="G2683">
            <v>310</v>
          </cell>
          <cell r="H2683">
            <v>19</v>
          </cell>
          <cell r="I2683">
            <v>7</v>
          </cell>
          <cell r="J2683">
            <v>0</v>
          </cell>
          <cell r="K2683">
            <v>0</v>
          </cell>
          <cell r="L2683">
            <v>0.14000000000000001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 t="e">
            <v>#DIV/0!</v>
          </cell>
          <cell r="S2683">
            <v>0</v>
          </cell>
        </row>
        <row r="2684">
          <cell r="A2684" t="str">
            <v>Y027-049</v>
          </cell>
          <cell r="B2684">
            <v>0</v>
          </cell>
          <cell r="C2684" t="str">
            <v>Y027</v>
          </cell>
          <cell r="D2684" t="str">
            <v>IDT 4542</v>
          </cell>
          <cell r="E2684" t="str">
            <v>椅腳花 hoa chân bàn</v>
          </cell>
          <cell r="F2684" t="str">
            <v>60*40*5</v>
          </cell>
          <cell r="G2684">
            <v>60</v>
          </cell>
          <cell r="H2684">
            <v>40</v>
          </cell>
          <cell r="I2684">
            <v>5</v>
          </cell>
          <cell r="J2684">
            <v>0</v>
          </cell>
          <cell r="K2684">
            <v>0</v>
          </cell>
          <cell r="L2684">
            <v>0.09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 t="e">
            <v>#DIV/0!</v>
          </cell>
          <cell r="S2684">
            <v>0</v>
          </cell>
        </row>
        <row r="2685">
          <cell r="A2685" t="str">
            <v>Y027-050</v>
          </cell>
          <cell r="B2685">
            <v>0</v>
          </cell>
          <cell r="C2685" t="str">
            <v>Y027</v>
          </cell>
          <cell r="D2685" t="str">
            <v>IDT 4542</v>
          </cell>
          <cell r="E2685" t="str">
            <v>椅前後立水飾條</v>
          </cell>
          <cell r="F2685" t="str">
            <v>295*15*8</v>
          </cell>
          <cell r="G2685">
            <v>295</v>
          </cell>
          <cell r="H2685">
            <v>15</v>
          </cell>
          <cell r="I2685">
            <v>8</v>
          </cell>
          <cell r="J2685">
            <v>0</v>
          </cell>
          <cell r="K2685">
            <v>0</v>
          </cell>
          <cell r="L2685">
            <v>0.13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 t="e">
            <v>#DIV/0!</v>
          </cell>
          <cell r="S2685">
            <v>0</v>
          </cell>
        </row>
        <row r="2686">
          <cell r="A2686" t="str">
            <v>Y027-051</v>
          </cell>
          <cell r="B2686">
            <v>0</v>
          </cell>
          <cell r="C2686" t="str">
            <v>Y027</v>
          </cell>
          <cell r="D2686" t="str">
            <v>IDT 4542</v>
          </cell>
          <cell r="E2686" t="str">
            <v>椅左右立水飾條</v>
          </cell>
          <cell r="F2686" t="str">
            <v>250*15*8</v>
          </cell>
          <cell r="G2686">
            <v>250</v>
          </cell>
          <cell r="H2686">
            <v>15</v>
          </cell>
          <cell r="I2686">
            <v>8</v>
          </cell>
          <cell r="J2686">
            <v>0</v>
          </cell>
          <cell r="K2686">
            <v>0</v>
          </cell>
          <cell r="L2686">
            <v>0.13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 t="e">
            <v>#DIV/0!</v>
          </cell>
          <cell r="S2686">
            <v>0</v>
          </cell>
        </row>
        <row r="2687">
          <cell r="A2687" t="str">
            <v>Y027-052</v>
          </cell>
          <cell r="B2687">
            <v>0</v>
          </cell>
          <cell r="C2687" t="str">
            <v>Y027</v>
          </cell>
          <cell r="D2687" t="str">
            <v>IDT3157</v>
          </cell>
          <cell r="E2687" t="str">
            <v>半圆饰条</v>
          </cell>
          <cell r="F2687" t="str">
            <v>6*3*318</v>
          </cell>
          <cell r="G2687">
            <v>6</v>
          </cell>
          <cell r="H2687">
            <v>3</v>
          </cell>
          <cell r="I2687">
            <v>318</v>
          </cell>
          <cell r="J2687">
            <v>11</v>
          </cell>
          <cell r="K2687">
            <v>0</v>
          </cell>
          <cell r="L2687">
            <v>0.05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 t="str">
            <v>1010</v>
          </cell>
          <cell r="R2687">
            <v>4.5454545454545459</v>
          </cell>
          <cell r="S2687">
            <v>0</v>
          </cell>
        </row>
        <row r="2688">
          <cell r="A2688" t="str">
            <v>Y027-053</v>
          </cell>
          <cell r="B2688">
            <v>0</v>
          </cell>
          <cell r="C2688" t="str">
            <v>Y027</v>
          </cell>
          <cell r="D2688" t="str">
            <v>IDT3157</v>
          </cell>
          <cell r="E2688" t="str">
            <v>半圆饰条</v>
          </cell>
          <cell r="F2688" t="str">
            <v>6*3*125</v>
          </cell>
          <cell r="G2688">
            <v>6</v>
          </cell>
          <cell r="H2688">
            <v>3</v>
          </cell>
          <cell r="I2688">
            <v>125</v>
          </cell>
          <cell r="J2688">
            <v>5</v>
          </cell>
          <cell r="K2688">
            <v>0</v>
          </cell>
          <cell r="L2688">
            <v>4.4999999999999998E-2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 t="str">
            <v>1010</v>
          </cell>
          <cell r="R2688">
            <v>9</v>
          </cell>
          <cell r="S2688">
            <v>0</v>
          </cell>
        </row>
        <row r="2689">
          <cell r="A2689" t="str">
            <v>Y027-054</v>
          </cell>
          <cell r="B2689">
            <v>0</v>
          </cell>
          <cell r="C2689" t="str">
            <v>Y027</v>
          </cell>
          <cell r="D2689" t="str">
            <v>IDT3157</v>
          </cell>
          <cell r="E2689" t="str">
            <v>半圆饰条</v>
          </cell>
          <cell r="F2689" t="str">
            <v>6*3*360</v>
          </cell>
          <cell r="G2689">
            <v>6</v>
          </cell>
          <cell r="H2689">
            <v>3</v>
          </cell>
          <cell r="I2689">
            <v>360</v>
          </cell>
          <cell r="J2689">
            <v>12</v>
          </cell>
          <cell r="K2689">
            <v>0</v>
          </cell>
          <cell r="L2689">
            <v>0.06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 t="str">
            <v>1010</v>
          </cell>
          <cell r="R2689">
            <v>5</v>
          </cell>
          <cell r="S2689">
            <v>0</v>
          </cell>
        </row>
        <row r="2690">
          <cell r="A2690" t="str">
            <v>Y027-055</v>
          </cell>
          <cell r="B2690">
            <v>0</v>
          </cell>
          <cell r="C2690" t="str">
            <v>Y027</v>
          </cell>
          <cell r="D2690" t="str">
            <v>IDT3157</v>
          </cell>
          <cell r="E2690" t="str">
            <v>半圆饰条</v>
          </cell>
          <cell r="F2690" t="str">
            <v>6*3*74</v>
          </cell>
          <cell r="G2690">
            <v>6</v>
          </cell>
          <cell r="H2690">
            <v>3</v>
          </cell>
          <cell r="I2690">
            <v>74</v>
          </cell>
          <cell r="J2690">
            <v>3</v>
          </cell>
          <cell r="K2690">
            <v>0</v>
          </cell>
          <cell r="L2690">
            <v>0.04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 t="str">
            <v>1010</v>
          </cell>
          <cell r="R2690">
            <v>13.333333333333334</v>
          </cell>
          <cell r="S2690">
            <v>0</v>
          </cell>
        </row>
        <row r="2691">
          <cell r="A2691">
            <v>0</v>
          </cell>
          <cell r="B2691" t="str">
            <v>Y027-026</v>
          </cell>
          <cell r="C2691" t="str">
            <v>Y027</v>
          </cell>
          <cell r="D2691">
            <v>0</v>
          </cell>
          <cell r="E2691">
            <v>0</v>
          </cell>
          <cell r="F2691">
            <v>0</v>
          </cell>
          <cell r="G2691">
            <v>280</v>
          </cell>
          <cell r="H2691">
            <v>77</v>
          </cell>
          <cell r="I2691">
            <v>10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 t="e">
            <v>#DIV/0!</v>
          </cell>
        </row>
        <row r="2692">
          <cell r="A2692">
            <v>0</v>
          </cell>
          <cell r="B2692" t="str">
            <v>Y027-027</v>
          </cell>
          <cell r="C2692" t="str">
            <v>Y027</v>
          </cell>
          <cell r="D2692">
            <v>0</v>
          </cell>
          <cell r="E2692">
            <v>0</v>
          </cell>
          <cell r="F2692">
            <v>0</v>
          </cell>
          <cell r="G2692">
            <v>280</v>
          </cell>
          <cell r="H2692">
            <v>77</v>
          </cell>
          <cell r="I2692">
            <v>10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 t="e">
            <v>#DIV/0!</v>
          </cell>
        </row>
        <row r="2693">
          <cell r="A2693" t="str">
            <v>Y028-001</v>
          </cell>
          <cell r="B2693" t="str">
            <v>LCT088-014</v>
          </cell>
          <cell r="C2693" t="str">
            <v>Y028</v>
          </cell>
          <cell r="D2693" t="str">
            <v>179-S</v>
          </cell>
          <cell r="E2693" t="str">
            <v>POLY 饰花</v>
          </cell>
          <cell r="F2693" t="str">
            <v>213*45*10</v>
          </cell>
          <cell r="G2693">
            <v>213</v>
          </cell>
          <cell r="H2693">
            <v>45</v>
          </cell>
          <cell r="I2693">
            <v>10</v>
          </cell>
          <cell r="J2693">
            <v>45</v>
          </cell>
          <cell r="K2693">
            <v>0</v>
          </cell>
          <cell r="L2693">
            <v>0.18</v>
          </cell>
          <cell r="M2693">
            <v>0</v>
          </cell>
          <cell r="N2693">
            <v>0</v>
          </cell>
          <cell r="O2693">
            <v>0</v>
          </cell>
          <cell r="P2693" t="str">
            <v>1010</v>
          </cell>
          <cell r="Q2693" t="str">
            <v>1010</v>
          </cell>
          <cell r="R2693">
            <v>4</v>
          </cell>
        </row>
        <row r="2694">
          <cell r="A2694" t="str">
            <v>Y028-002</v>
          </cell>
          <cell r="B2694" t="str">
            <v>LCT088-011</v>
          </cell>
          <cell r="C2694" t="str">
            <v>Y028</v>
          </cell>
          <cell r="D2694">
            <v>0</v>
          </cell>
          <cell r="E2694" t="str">
            <v>Ώ形R5 poly条</v>
          </cell>
          <cell r="F2694" t="str">
            <v>830*28*17</v>
          </cell>
          <cell r="G2694" t="str">
            <v>L830</v>
          </cell>
          <cell r="H2694">
            <v>27</v>
          </cell>
          <cell r="I2694">
            <v>15</v>
          </cell>
          <cell r="J2694">
            <v>400</v>
          </cell>
          <cell r="K2694">
            <v>0</v>
          </cell>
          <cell r="L2694">
            <v>1.1499999999999999</v>
          </cell>
          <cell r="M2694">
            <v>0</v>
          </cell>
          <cell r="N2694">
            <v>0</v>
          </cell>
          <cell r="O2694">
            <v>0</v>
          </cell>
          <cell r="P2694" t="str">
            <v>1010</v>
          </cell>
          <cell r="Q2694" t="str">
            <v>1010</v>
          </cell>
          <cell r="R2694">
            <v>2.8749999999999996</v>
          </cell>
        </row>
        <row r="2695">
          <cell r="A2695" t="str">
            <v>Y028-003</v>
          </cell>
          <cell r="B2695" t="str">
            <v>LCT088-013</v>
          </cell>
          <cell r="C2695" t="str">
            <v>Y028</v>
          </cell>
          <cell r="D2695" t="str">
            <v>172-S</v>
          </cell>
          <cell r="E2695" t="str">
            <v>POLY 饰花</v>
          </cell>
          <cell r="F2695" t="str">
            <v>183*70*15</v>
          </cell>
          <cell r="G2695">
            <v>183</v>
          </cell>
          <cell r="H2695">
            <v>70</v>
          </cell>
          <cell r="I2695">
            <v>15</v>
          </cell>
          <cell r="J2695">
            <v>70</v>
          </cell>
          <cell r="K2695">
            <v>0</v>
          </cell>
          <cell r="L2695">
            <v>0.31</v>
          </cell>
          <cell r="M2695">
            <v>0</v>
          </cell>
          <cell r="N2695">
            <v>0</v>
          </cell>
          <cell r="O2695">
            <v>0</v>
          </cell>
          <cell r="P2695" t="str">
            <v>1010</v>
          </cell>
          <cell r="Q2695" t="str">
            <v>1010</v>
          </cell>
          <cell r="R2695">
            <v>4.4285714285714279</v>
          </cell>
        </row>
        <row r="2696">
          <cell r="A2696" t="str">
            <v>Y029-001</v>
          </cell>
          <cell r="B2696" t="str">
            <v>LCT118-001</v>
          </cell>
          <cell r="C2696" t="str">
            <v>Y029</v>
          </cell>
          <cell r="D2696">
            <v>0</v>
          </cell>
          <cell r="E2696" t="str">
            <v>poly饰块</v>
          </cell>
          <cell r="F2696" t="str">
            <v>20*57</v>
          </cell>
          <cell r="G2696">
            <v>20</v>
          </cell>
          <cell r="H2696">
            <v>0</v>
          </cell>
          <cell r="I2696">
            <v>57</v>
          </cell>
          <cell r="J2696">
            <v>20</v>
          </cell>
          <cell r="K2696">
            <v>0</v>
          </cell>
          <cell r="L2696">
            <v>0</v>
          </cell>
          <cell r="M2696">
            <v>800</v>
          </cell>
          <cell r="N2696">
            <v>0</v>
          </cell>
          <cell r="O2696" t="str">
            <v>40V</v>
          </cell>
          <cell r="P2696" t="str">
            <v>1010</v>
          </cell>
          <cell r="Q2696" t="str">
            <v>1010</v>
          </cell>
          <cell r="R2696">
            <v>0</v>
          </cell>
        </row>
        <row r="2697">
          <cell r="A2697" t="str">
            <v>Y029-002</v>
          </cell>
          <cell r="B2697" t="str">
            <v>LCT118-002</v>
          </cell>
          <cell r="C2697" t="str">
            <v>Y029</v>
          </cell>
          <cell r="D2697">
            <v>0</v>
          </cell>
          <cell r="E2697" t="str">
            <v>poly饰条</v>
          </cell>
          <cell r="F2697" t="str">
            <v>5*10*820</v>
          </cell>
          <cell r="G2697">
            <v>5</v>
          </cell>
          <cell r="H2697">
            <v>10</v>
          </cell>
          <cell r="I2697">
            <v>820</v>
          </cell>
          <cell r="J2697">
            <v>60</v>
          </cell>
          <cell r="K2697">
            <v>0</v>
          </cell>
          <cell r="L2697">
            <v>0.32</v>
          </cell>
          <cell r="M2697">
            <v>0</v>
          </cell>
          <cell r="N2697">
            <v>0</v>
          </cell>
          <cell r="O2697" t="str">
            <v>40V</v>
          </cell>
          <cell r="P2697" t="str">
            <v>1010</v>
          </cell>
          <cell r="Q2697" t="str">
            <v>1010</v>
          </cell>
          <cell r="R2697">
            <v>5.3333333333333339</v>
          </cell>
        </row>
        <row r="2698">
          <cell r="A2698" t="str">
            <v>Y029-003</v>
          </cell>
          <cell r="B2698" t="str">
            <v>LCT118-003</v>
          </cell>
          <cell r="C2698" t="str">
            <v>Y029</v>
          </cell>
          <cell r="D2698">
            <v>0</v>
          </cell>
          <cell r="E2698" t="str">
            <v>poly饰条</v>
          </cell>
          <cell r="F2698" t="str">
            <v>5*10*920</v>
          </cell>
          <cell r="G2698">
            <v>5</v>
          </cell>
          <cell r="H2698">
            <v>10</v>
          </cell>
          <cell r="I2698">
            <v>920</v>
          </cell>
          <cell r="J2698">
            <v>80</v>
          </cell>
          <cell r="K2698">
            <v>0</v>
          </cell>
          <cell r="L2698">
            <v>0.34</v>
          </cell>
          <cell r="M2698">
            <v>0</v>
          </cell>
          <cell r="N2698">
            <v>0</v>
          </cell>
          <cell r="O2698" t="str">
            <v>40V</v>
          </cell>
          <cell r="P2698" t="str">
            <v>1010</v>
          </cell>
          <cell r="Q2698" t="str">
            <v>1010</v>
          </cell>
          <cell r="R2698">
            <v>4.25</v>
          </cell>
        </row>
        <row r="2699">
          <cell r="A2699" t="str">
            <v>Y029-004</v>
          </cell>
          <cell r="B2699" t="str">
            <v>LCT118-004</v>
          </cell>
          <cell r="C2699" t="str">
            <v>Y029</v>
          </cell>
          <cell r="D2699">
            <v>0</v>
          </cell>
          <cell r="E2699" t="str">
            <v>半圓饰条</v>
          </cell>
          <cell r="F2699" t="str">
            <v>5*10*1200</v>
          </cell>
          <cell r="G2699">
            <v>5</v>
          </cell>
          <cell r="H2699">
            <v>10</v>
          </cell>
          <cell r="I2699">
            <v>1200</v>
          </cell>
          <cell r="J2699">
            <v>0</v>
          </cell>
          <cell r="K2699">
            <v>0</v>
          </cell>
          <cell r="L2699">
            <v>0.44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 t="e">
            <v>#DIV/0!</v>
          </cell>
        </row>
        <row r="2700">
          <cell r="A2700" t="str">
            <v>Y029-005</v>
          </cell>
          <cell r="B2700" t="str">
            <v>LCT118-005</v>
          </cell>
          <cell r="C2700" t="str">
            <v>Y029</v>
          </cell>
          <cell r="D2700">
            <v>0</v>
          </cell>
          <cell r="E2700" t="str">
            <v>半圓饰条</v>
          </cell>
          <cell r="F2700" t="str">
            <v>5*10*730</v>
          </cell>
          <cell r="G2700">
            <v>5</v>
          </cell>
          <cell r="H2700">
            <v>10</v>
          </cell>
          <cell r="I2700">
            <v>730</v>
          </cell>
          <cell r="J2700">
            <v>0</v>
          </cell>
          <cell r="K2700">
            <v>0</v>
          </cell>
          <cell r="L2700">
            <v>0.27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 t="e">
            <v>#DIV/0!</v>
          </cell>
        </row>
        <row r="2701">
          <cell r="A2701" t="str">
            <v>Y029-006</v>
          </cell>
          <cell r="B2701" t="str">
            <v>LCT118-006</v>
          </cell>
          <cell r="C2701" t="str">
            <v>Y029</v>
          </cell>
          <cell r="D2701">
            <v>0</v>
          </cell>
          <cell r="E2701" t="str">
            <v>半圓饰条</v>
          </cell>
          <cell r="F2701" t="str">
            <v>5*10*1350</v>
          </cell>
          <cell r="G2701">
            <v>5</v>
          </cell>
          <cell r="H2701">
            <v>10</v>
          </cell>
          <cell r="I2701">
            <v>1350</v>
          </cell>
          <cell r="J2701">
            <v>0</v>
          </cell>
          <cell r="K2701">
            <v>0</v>
          </cell>
          <cell r="L2701">
            <v>0.5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 t="e">
            <v>#DIV/0!</v>
          </cell>
        </row>
        <row r="2702">
          <cell r="A2702" t="str">
            <v>Y029-007</v>
          </cell>
          <cell r="B2702" t="str">
            <v>LCT118-007</v>
          </cell>
          <cell r="C2702" t="str">
            <v>Y029</v>
          </cell>
          <cell r="D2702">
            <v>0</v>
          </cell>
          <cell r="E2702" t="str">
            <v>半圓饰条</v>
          </cell>
          <cell r="F2702" t="str">
            <v>5*10*1270</v>
          </cell>
          <cell r="G2702">
            <v>5</v>
          </cell>
          <cell r="H2702">
            <v>10</v>
          </cell>
          <cell r="I2702">
            <v>1270</v>
          </cell>
          <cell r="J2702">
            <v>0</v>
          </cell>
          <cell r="K2702">
            <v>0</v>
          </cell>
          <cell r="L2702">
            <v>0.47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 t="e">
            <v>#DIV/0!</v>
          </cell>
        </row>
        <row r="2703">
          <cell r="A2703" t="str">
            <v>Y029-008</v>
          </cell>
          <cell r="B2703" t="str">
            <v>LCT118-008</v>
          </cell>
          <cell r="C2703" t="str">
            <v>Y029</v>
          </cell>
          <cell r="D2703">
            <v>0</v>
          </cell>
          <cell r="E2703" t="str">
            <v>半圓饰条</v>
          </cell>
          <cell r="F2703" t="str">
            <v>5*10*1120</v>
          </cell>
          <cell r="G2703">
            <v>5</v>
          </cell>
          <cell r="H2703">
            <v>10</v>
          </cell>
          <cell r="I2703">
            <v>1120</v>
          </cell>
          <cell r="J2703">
            <v>0</v>
          </cell>
          <cell r="K2703">
            <v>0</v>
          </cell>
          <cell r="L2703">
            <v>0.42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 t="e">
            <v>#DIV/0!</v>
          </cell>
        </row>
        <row r="2704">
          <cell r="A2704" t="str">
            <v>Y029-009</v>
          </cell>
          <cell r="B2704" t="str">
            <v>LCT118-009</v>
          </cell>
          <cell r="C2704" t="str">
            <v>Y029</v>
          </cell>
          <cell r="D2704">
            <v>0</v>
          </cell>
          <cell r="E2704" t="str">
            <v>半圓饰条</v>
          </cell>
          <cell r="F2704" t="str">
            <v>5*10*1370</v>
          </cell>
          <cell r="G2704">
            <v>5</v>
          </cell>
          <cell r="H2704">
            <v>10</v>
          </cell>
          <cell r="I2704">
            <v>1370</v>
          </cell>
          <cell r="J2704">
            <v>0</v>
          </cell>
          <cell r="K2704">
            <v>0</v>
          </cell>
          <cell r="L2704">
            <v>0.51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 t="e">
            <v>#DIV/0!</v>
          </cell>
        </row>
        <row r="2705">
          <cell r="A2705" t="str">
            <v>Y029-010</v>
          </cell>
          <cell r="B2705" t="str">
            <v>LCT118-010</v>
          </cell>
          <cell r="C2705" t="str">
            <v>Y029</v>
          </cell>
          <cell r="D2705">
            <v>0</v>
          </cell>
          <cell r="E2705" t="str">
            <v>半圓饰条</v>
          </cell>
          <cell r="F2705" t="str">
            <v>20 * 45</v>
          </cell>
          <cell r="G2705">
            <v>20</v>
          </cell>
          <cell r="H2705">
            <v>0</v>
          </cell>
          <cell r="I2705">
            <v>45</v>
          </cell>
          <cell r="J2705">
            <v>6</v>
          </cell>
          <cell r="K2705">
            <v>0</v>
          </cell>
          <cell r="L2705">
            <v>7.0000000000000007E-2</v>
          </cell>
          <cell r="M2705">
            <v>0</v>
          </cell>
          <cell r="N2705">
            <v>0</v>
          </cell>
          <cell r="O2705">
            <v>0</v>
          </cell>
          <cell r="P2705" t="str">
            <v>1010</v>
          </cell>
          <cell r="Q2705" t="str">
            <v>1010</v>
          </cell>
          <cell r="R2705">
            <v>11.666666666666668</v>
          </cell>
        </row>
        <row r="2706">
          <cell r="A2706" t="str">
            <v>Y029-011</v>
          </cell>
          <cell r="B2706" t="str">
            <v>LCT118-011</v>
          </cell>
          <cell r="C2706" t="str">
            <v>Y029</v>
          </cell>
          <cell r="D2706">
            <v>0</v>
          </cell>
          <cell r="E2706" t="str">
            <v>半圓饰条</v>
          </cell>
          <cell r="F2706" t="str">
            <v>20*100</v>
          </cell>
          <cell r="G2706">
            <v>20</v>
          </cell>
          <cell r="H2706">
            <v>0</v>
          </cell>
          <cell r="I2706">
            <v>100</v>
          </cell>
          <cell r="J2706">
            <v>0</v>
          </cell>
          <cell r="K2706">
            <v>0</v>
          </cell>
          <cell r="L2706">
            <v>0.14000000000000001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 t="e">
            <v>#DIV/0!</v>
          </cell>
        </row>
        <row r="2707">
          <cell r="A2707" t="str">
            <v>Y029-012</v>
          </cell>
          <cell r="B2707">
            <v>0</v>
          </cell>
          <cell r="C2707" t="str">
            <v>Y029</v>
          </cell>
          <cell r="D2707" t="str">
            <v>TP-IFM-256</v>
          </cell>
          <cell r="E2707" t="str">
            <v>小饰片</v>
          </cell>
          <cell r="F2707" t="str">
            <v>20*20*3</v>
          </cell>
          <cell r="G2707">
            <v>20</v>
          </cell>
          <cell r="H2707">
            <v>20</v>
          </cell>
          <cell r="I2707">
            <v>3</v>
          </cell>
          <cell r="J2707">
            <v>0</v>
          </cell>
          <cell r="K2707">
            <v>0</v>
          </cell>
          <cell r="L2707">
            <v>0.03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 t="e">
            <v>#DIV/0!</v>
          </cell>
          <cell r="S2707">
            <v>0</v>
          </cell>
        </row>
        <row r="2708">
          <cell r="A2708" t="str">
            <v>Y029-013</v>
          </cell>
          <cell r="B2708">
            <v>0</v>
          </cell>
          <cell r="C2708" t="str">
            <v>Y029</v>
          </cell>
          <cell r="D2708" t="str">
            <v>TP-IFM-256</v>
          </cell>
          <cell r="E2708" t="str">
            <v>小饰片</v>
          </cell>
          <cell r="F2708" t="str">
            <v>13*13*3</v>
          </cell>
          <cell r="G2708">
            <v>13</v>
          </cell>
          <cell r="H2708">
            <v>13</v>
          </cell>
          <cell r="I2708">
            <v>3</v>
          </cell>
          <cell r="J2708">
            <v>0</v>
          </cell>
          <cell r="K2708">
            <v>0</v>
          </cell>
          <cell r="L2708">
            <v>0.02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 t="e">
            <v>#DIV/0!</v>
          </cell>
          <cell r="S2708">
            <v>0</v>
          </cell>
        </row>
        <row r="2709">
          <cell r="A2709" t="str">
            <v>Y029-014</v>
          </cell>
          <cell r="B2709">
            <v>0</v>
          </cell>
          <cell r="C2709" t="str">
            <v>Y029</v>
          </cell>
          <cell r="D2709" t="str">
            <v>TP-S-192</v>
          </cell>
          <cell r="E2709" t="str">
            <v>dây poly 饰条</v>
          </cell>
          <cell r="F2709" t="str">
            <v>5*10*1040</v>
          </cell>
          <cell r="G2709">
            <v>5</v>
          </cell>
          <cell r="H2709">
            <v>10</v>
          </cell>
          <cell r="I2709">
            <v>1040</v>
          </cell>
          <cell r="J2709">
            <v>84</v>
          </cell>
          <cell r="K2709">
            <v>0</v>
          </cell>
          <cell r="L2709">
            <v>0.27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3.2142857142857144</v>
          </cell>
          <cell r="S2709">
            <v>0</v>
          </cell>
          <cell r="T2709">
            <v>0</v>
          </cell>
        </row>
        <row r="2710">
          <cell r="A2710" t="str">
            <v>Y029-015</v>
          </cell>
          <cell r="B2710">
            <v>0</v>
          </cell>
          <cell r="C2710" t="str">
            <v>Y029</v>
          </cell>
          <cell r="D2710" t="str">
            <v>TP-S-192</v>
          </cell>
          <cell r="E2710" t="str">
            <v>dây poly 饰条</v>
          </cell>
          <cell r="F2710" t="str">
            <v>5*10*385</v>
          </cell>
          <cell r="G2710">
            <v>5</v>
          </cell>
          <cell r="H2710">
            <v>10</v>
          </cell>
          <cell r="I2710">
            <v>385</v>
          </cell>
          <cell r="J2710">
            <v>35</v>
          </cell>
          <cell r="K2710">
            <v>0</v>
          </cell>
          <cell r="L2710">
            <v>0.1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2.8571428571428572</v>
          </cell>
          <cell r="S2710">
            <v>0</v>
          </cell>
          <cell r="T2710">
            <v>0</v>
          </cell>
        </row>
        <row r="2711">
          <cell r="A2711" t="str">
            <v>Y029-016</v>
          </cell>
          <cell r="B2711">
            <v>0</v>
          </cell>
          <cell r="C2711" t="str">
            <v>Y029</v>
          </cell>
          <cell r="D2711" t="str">
            <v>TP-S-192</v>
          </cell>
          <cell r="E2711" t="str">
            <v>dây poly 饰条</v>
          </cell>
          <cell r="F2711" t="str">
            <v>5*10*405</v>
          </cell>
          <cell r="G2711">
            <v>5</v>
          </cell>
          <cell r="H2711">
            <v>10</v>
          </cell>
          <cell r="I2711">
            <v>405</v>
          </cell>
          <cell r="J2711">
            <v>38</v>
          </cell>
          <cell r="K2711">
            <v>0</v>
          </cell>
          <cell r="L2711">
            <v>0.11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2.8947368421052633</v>
          </cell>
          <cell r="S2711">
            <v>0</v>
          </cell>
          <cell r="T2711">
            <v>0</v>
          </cell>
        </row>
        <row r="2712">
          <cell r="A2712" t="str">
            <v>Y029-017</v>
          </cell>
          <cell r="B2712">
            <v>0</v>
          </cell>
          <cell r="C2712" t="str">
            <v>Y029</v>
          </cell>
          <cell r="D2712" t="str">
            <v>TP-S-192</v>
          </cell>
          <cell r="E2712" t="str">
            <v>dây poly 饰条</v>
          </cell>
          <cell r="F2712" t="str">
            <v>5*10*200</v>
          </cell>
          <cell r="G2712">
            <v>5</v>
          </cell>
          <cell r="H2712">
            <v>10</v>
          </cell>
          <cell r="I2712">
            <v>200</v>
          </cell>
          <cell r="J2712">
            <v>20</v>
          </cell>
          <cell r="K2712">
            <v>0</v>
          </cell>
          <cell r="L2712">
            <v>0.06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3</v>
          </cell>
          <cell r="S2712">
            <v>0</v>
          </cell>
          <cell r="T2712">
            <v>0</v>
          </cell>
        </row>
        <row r="2713">
          <cell r="A2713" t="str">
            <v>Y029-018</v>
          </cell>
          <cell r="B2713">
            <v>0</v>
          </cell>
          <cell r="C2713" t="str">
            <v>Y029</v>
          </cell>
          <cell r="D2713" t="str">
            <v>TP-S-192</v>
          </cell>
          <cell r="E2713" t="str">
            <v>dây poly 饰条</v>
          </cell>
          <cell r="F2713" t="str">
            <v>5*10*395</v>
          </cell>
          <cell r="G2713">
            <v>5</v>
          </cell>
          <cell r="H2713">
            <v>10</v>
          </cell>
          <cell r="I2713">
            <v>395</v>
          </cell>
          <cell r="J2713">
            <v>38</v>
          </cell>
          <cell r="K2713">
            <v>0</v>
          </cell>
          <cell r="L2713">
            <v>0.11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2.8947368421052633</v>
          </cell>
          <cell r="S2713">
            <v>0</v>
          </cell>
          <cell r="T2713">
            <v>0</v>
          </cell>
        </row>
        <row r="2714">
          <cell r="A2714" t="str">
            <v>Y029-019</v>
          </cell>
          <cell r="B2714">
            <v>0</v>
          </cell>
          <cell r="C2714" t="str">
            <v>Y029</v>
          </cell>
          <cell r="D2714" t="str">
            <v>TP-S-192</v>
          </cell>
          <cell r="E2714" t="str">
            <v>dây poly 饰条</v>
          </cell>
          <cell r="F2714" t="str">
            <v>5*10*495</v>
          </cell>
          <cell r="G2714">
            <v>5</v>
          </cell>
          <cell r="H2714">
            <v>10</v>
          </cell>
          <cell r="I2714">
            <v>495</v>
          </cell>
          <cell r="J2714">
            <v>20</v>
          </cell>
          <cell r="K2714">
            <v>0</v>
          </cell>
          <cell r="L2714">
            <v>0.12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6</v>
          </cell>
          <cell r="S2714">
            <v>0</v>
          </cell>
          <cell r="T2714">
            <v>0</v>
          </cell>
        </row>
        <row r="2715">
          <cell r="A2715" t="str">
            <v>Y029-020</v>
          </cell>
          <cell r="B2715">
            <v>0</v>
          </cell>
          <cell r="C2715" t="str">
            <v>Y029</v>
          </cell>
          <cell r="D2715" t="str">
            <v>GHẾ #HM-31</v>
          </cell>
          <cell r="E2715" t="str">
            <v>dây poly 饰条</v>
          </cell>
          <cell r="F2715" t="str">
            <v>5*10*505</v>
          </cell>
          <cell r="G2715">
            <v>5</v>
          </cell>
          <cell r="H2715">
            <v>10</v>
          </cell>
          <cell r="I2715">
            <v>505</v>
          </cell>
          <cell r="J2715">
            <v>0</v>
          </cell>
          <cell r="K2715">
            <v>0</v>
          </cell>
          <cell r="L2715">
            <v>0.15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 t="str">
            <v>1010</v>
          </cell>
          <cell r="R2715">
            <v>0</v>
          </cell>
          <cell r="S2715">
            <v>0</v>
          </cell>
          <cell r="T2715">
            <v>0</v>
          </cell>
        </row>
        <row r="2716">
          <cell r="A2716" t="str">
            <v>Y029-021</v>
          </cell>
          <cell r="B2716">
            <v>0</v>
          </cell>
          <cell r="C2716" t="str">
            <v>Y029</v>
          </cell>
          <cell r="D2716" t="str">
            <v>GHẾ #HM-31</v>
          </cell>
          <cell r="E2716" t="str">
            <v>dây poly 饰条</v>
          </cell>
          <cell r="F2716" t="str">
            <v>5*10*107</v>
          </cell>
          <cell r="G2716">
            <v>5</v>
          </cell>
          <cell r="H2716">
            <v>10</v>
          </cell>
          <cell r="I2716">
            <v>107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 t="str">
            <v>1010</v>
          </cell>
          <cell r="R2716">
            <v>0</v>
          </cell>
          <cell r="S2716">
            <v>0</v>
          </cell>
          <cell r="T2716">
            <v>0</v>
          </cell>
        </row>
        <row r="2717">
          <cell r="A2717" t="str">
            <v>Y029-022</v>
          </cell>
          <cell r="B2717">
            <v>0</v>
          </cell>
          <cell r="C2717" t="str">
            <v>Y029</v>
          </cell>
          <cell r="D2717" t="str">
            <v>GHẾ #HM-31</v>
          </cell>
          <cell r="E2717" t="str">
            <v>dây poly 饰条</v>
          </cell>
          <cell r="F2717" t="str">
            <v>5*10*170</v>
          </cell>
          <cell r="G2717">
            <v>5</v>
          </cell>
          <cell r="H2717">
            <v>10</v>
          </cell>
          <cell r="I2717">
            <v>170</v>
          </cell>
          <cell r="J2717">
            <v>0</v>
          </cell>
          <cell r="K2717">
            <v>0</v>
          </cell>
          <cell r="L2717">
            <v>0.06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 t="str">
            <v>1010</v>
          </cell>
          <cell r="R2717">
            <v>0</v>
          </cell>
          <cell r="S2717">
            <v>0</v>
          </cell>
          <cell r="T2717">
            <v>0</v>
          </cell>
        </row>
        <row r="2718">
          <cell r="A2718" t="str">
            <v>Y030-001</v>
          </cell>
          <cell r="B2718" t="str">
            <v>LCT055-015</v>
          </cell>
          <cell r="C2718" t="str">
            <v>Y030</v>
          </cell>
          <cell r="D2718">
            <v>0</v>
          </cell>
          <cell r="E2718" t="str">
            <v>poly飾花</v>
          </cell>
          <cell r="F2718" t="str">
            <v>1279*164*8</v>
          </cell>
          <cell r="G2718">
            <v>1279</v>
          </cell>
          <cell r="H2718">
            <v>164</v>
          </cell>
          <cell r="I2718">
            <v>8</v>
          </cell>
          <cell r="J2718">
            <v>181</v>
          </cell>
          <cell r="K2718">
            <v>0</v>
          </cell>
          <cell r="L2718">
            <v>1.46</v>
          </cell>
          <cell r="M2718">
            <v>0</v>
          </cell>
          <cell r="N2718">
            <v>0</v>
          </cell>
          <cell r="O2718" t="str">
            <v>T</v>
          </cell>
          <cell r="P2718" t="str">
            <v>1010</v>
          </cell>
          <cell r="Q2718">
            <v>1010</v>
          </cell>
          <cell r="R2718">
            <v>8.0662983425414367</v>
          </cell>
        </row>
        <row r="2719">
          <cell r="A2719" t="str">
            <v>Y030-002</v>
          </cell>
          <cell r="B2719" t="str">
            <v>LCT055-016</v>
          </cell>
          <cell r="C2719" t="str">
            <v>Y030</v>
          </cell>
          <cell r="D2719">
            <v>0</v>
          </cell>
          <cell r="E2719" t="str">
            <v>poly飾花</v>
          </cell>
          <cell r="F2719" t="str">
            <v>1288*19*12</v>
          </cell>
          <cell r="G2719">
            <v>1288</v>
          </cell>
          <cell r="H2719">
            <v>19</v>
          </cell>
          <cell r="I2719">
            <v>12</v>
          </cell>
          <cell r="J2719">
            <v>320</v>
          </cell>
          <cell r="K2719">
            <v>0</v>
          </cell>
          <cell r="L2719">
            <v>1.52</v>
          </cell>
          <cell r="M2719">
            <v>0</v>
          </cell>
          <cell r="N2719">
            <v>0</v>
          </cell>
          <cell r="O2719" t="str">
            <v>T</v>
          </cell>
          <cell r="P2719" t="str">
            <v>1010</v>
          </cell>
          <cell r="Q2719">
            <v>1010</v>
          </cell>
          <cell r="R2719">
            <v>4.75</v>
          </cell>
        </row>
        <row r="2720">
          <cell r="A2720" t="str">
            <v>Y030-003</v>
          </cell>
          <cell r="B2720" t="str">
            <v>LCT055-017</v>
          </cell>
          <cell r="C2720" t="str">
            <v>Y030</v>
          </cell>
          <cell r="D2720">
            <v>0</v>
          </cell>
          <cell r="E2720" t="str">
            <v>poly飾花</v>
          </cell>
          <cell r="F2720" t="str">
            <v>790*74.5*8</v>
          </cell>
          <cell r="G2720">
            <v>790</v>
          </cell>
          <cell r="H2720">
            <v>74.5</v>
          </cell>
          <cell r="I2720">
            <v>8</v>
          </cell>
          <cell r="J2720">
            <v>82</v>
          </cell>
          <cell r="K2720">
            <v>0</v>
          </cell>
          <cell r="L2720">
            <v>0.84</v>
          </cell>
          <cell r="M2720">
            <v>0</v>
          </cell>
          <cell r="N2720">
            <v>0</v>
          </cell>
          <cell r="O2720" t="str">
            <v>T</v>
          </cell>
          <cell r="P2720" t="str">
            <v>1010</v>
          </cell>
          <cell r="Q2720">
            <v>1010</v>
          </cell>
          <cell r="R2720">
            <v>10.243902439024389</v>
          </cell>
        </row>
        <row r="2721">
          <cell r="A2721" t="str">
            <v>Y030-004</v>
          </cell>
          <cell r="B2721" t="str">
            <v>LCT055-018</v>
          </cell>
          <cell r="C2721" t="str">
            <v>Y030</v>
          </cell>
          <cell r="D2721">
            <v>0</v>
          </cell>
          <cell r="E2721" t="str">
            <v>poly饰框</v>
          </cell>
          <cell r="F2721" t="str">
            <v>346*53*8</v>
          </cell>
          <cell r="G2721">
            <v>346</v>
          </cell>
          <cell r="H2721">
            <v>53</v>
          </cell>
          <cell r="I2721">
            <v>8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 t="str">
            <v>1010</v>
          </cell>
          <cell r="Q2721">
            <v>1010</v>
          </cell>
          <cell r="R2721" t="e">
            <v>#DIV/0!</v>
          </cell>
        </row>
        <row r="2722">
          <cell r="A2722" t="str">
            <v>Y030-005</v>
          </cell>
          <cell r="B2722" t="str">
            <v>LCT055-019</v>
          </cell>
          <cell r="C2722" t="str">
            <v>Y030</v>
          </cell>
          <cell r="D2722">
            <v>0</v>
          </cell>
          <cell r="E2722" t="str">
            <v>poly饰条</v>
          </cell>
          <cell r="F2722" t="str">
            <v>570*47*8</v>
          </cell>
          <cell r="G2722">
            <v>570</v>
          </cell>
          <cell r="H2722">
            <v>47</v>
          </cell>
          <cell r="I2722">
            <v>8</v>
          </cell>
          <cell r="J2722">
            <v>80</v>
          </cell>
          <cell r="K2722">
            <v>0</v>
          </cell>
          <cell r="L2722">
            <v>0.39</v>
          </cell>
          <cell r="M2722">
            <v>0</v>
          </cell>
          <cell r="N2722">
            <v>0</v>
          </cell>
          <cell r="O2722" t="str">
            <v>T</v>
          </cell>
          <cell r="P2722" t="str">
            <v>1010</v>
          </cell>
          <cell r="Q2722">
            <v>1010</v>
          </cell>
          <cell r="R2722">
            <v>4.875</v>
          </cell>
        </row>
        <row r="2723">
          <cell r="A2723" t="str">
            <v>Y030-006</v>
          </cell>
          <cell r="B2723" t="str">
            <v>LCT055-020</v>
          </cell>
          <cell r="C2723" t="str">
            <v>Y030</v>
          </cell>
          <cell r="D2723">
            <v>0</v>
          </cell>
          <cell r="E2723" t="str">
            <v>Tủ 6 hộc</v>
          </cell>
          <cell r="F2723" t="str">
            <v>580*167*9</v>
          </cell>
          <cell r="G2723">
            <v>580</v>
          </cell>
          <cell r="H2723">
            <v>167</v>
          </cell>
          <cell r="I2723">
            <v>9</v>
          </cell>
          <cell r="J2723">
            <v>0</v>
          </cell>
          <cell r="K2723">
            <v>0</v>
          </cell>
          <cell r="L2723">
            <v>0.81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 t="e">
            <v>#DIV/0!</v>
          </cell>
        </row>
        <row r="2724">
          <cell r="A2724" t="str">
            <v>Y030-007</v>
          </cell>
          <cell r="B2724" t="str">
            <v>LCT055-021</v>
          </cell>
          <cell r="C2724" t="str">
            <v>Y030</v>
          </cell>
          <cell r="D2724">
            <v>0</v>
          </cell>
          <cell r="E2724" t="str">
            <v>Tủ 6 hộc</v>
          </cell>
          <cell r="F2724" t="str">
            <v>580*235*9</v>
          </cell>
          <cell r="G2724">
            <v>580</v>
          </cell>
          <cell r="H2724">
            <v>235</v>
          </cell>
          <cell r="I2724">
            <v>9</v>
          </cell>
          <cell r="J2724">
            <v>0</v>
          </cell>
          <cell r="K2724">
            <v>0</v>
          </cell>
          <cell r="L2724">
            <v>0.9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 t="e">
            <v>#DIV/0!</v>
          </cell>
        </row>
        <row r="2725">
          <cell r="A2725" t="str">
            <v>Y030-008</v>
          </cell>
          <cell r="B2725" t="str">
            <v>LCT055-022</v>
          </cell>
          <cell r="C2725" t="str">
            <v>Y030</v>
          </cell>
          <cell r="D2725">
            <v>0</v>
          </cell>
          <cell r="E2725" t="str">
            <v>Tủ 5 hộc</v>
          </cell>
          <cell r="F2725" t="str">
            <v>677*116*9</v>
          </cell>
          <cell r="G2725">
            <v>677</v>
          </cell>
          <cell r="H2725">
            <v>116</v>
          </cell>
          <cell r="I2725">
            <v>9</v>
          </cell>
          <cell r="J2725">
            <v>0</v>
          </cell>
          <cell r="K2725">
            <v>0</v>
          </cell>
          <cell r="L2725">
            <v>0.9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 t="e">
            <v>#DIV/0!</v>
          </cell>
        </row>
        <row r="2726">
          <cell r="A2726" t="str">
            <v>Y030-009</v>
          </cell>
          <cell r="B2726" t="str">
            <v>LCT055-023</v>
          </cell>
          <cell r="C2726" t="str">
            <v>Y030</v>
          </cell>
          <cell r="D2726">
            <v>0</v>
          </cell>
          <cell r="E2726" t="str">
            <v>Tủ 5 hộc</v>
          </cell>
          <cell r="F2726" t="str">
            <v>677*191*9</v>
          </cell>
          <cell r="G2726">
            <v>677</v>
          </cell>
          <cell r="H2726">
            <v>191</v>
          </cell>
          <cell r="I2726">
            <v>9</v>
          </cell>
          <cell r="J2726">
            <v>0</v>
          </cell>
          <cell r="K2726">
            <v>0</v>
          </cell>
          <cell r="L2726">
            <v>0.95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 t="e">
            <v>#DIV/0!</v>
          </cell>
        </row>
        <row r="2727">
          <cell r="A2727" t="str">
            <v>Y030-010</v>
          </cell>
          <cell r="B2727" t="str">
            <v>LCT055-024</v>
          </cell>
          <cell r="C2727" t="str">
            <v>Y030</v>
          </cell>
          <cell r="D2727">
            <v>0</v>
          </cell>
          <cell r="E2727" t="str">
            <v>Vòng trang trí</v>
          </cell>
          <cell r="F2727" t="str">
            <v>200*140*20</v>
          </cell>
          <cell r="G2727">
            <v>200</v>
          </cell>
          <cell r="H2727">
            <v>140</v>
          </cell>
          <cell r="I2727">
            <v>20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 t="e">
            <v>#DIV/0!</v>
          </cell>
        </row>
        <row r="2728">
          <cell r="A2728" t="str">
            <v>Y030-011</v>
          </cell>
          <cell r="B2728" t="str">
            <v>LCT055-025</v>
          </cell>
          <cell r="C2728" t="str">
            <v>Y030</v>
          </cell>
          <cell r="D2728">
            <v>0</v>
          </cell>
          <cell r="E2728" t="str">
            <v>Con gấu</v>
          </cell>
          <cell r="F2728" t="str">
            <v>70*60*7</v>
          </cell>
          <cell r="G2728">
            <v>70</v>
          </cell>
          <cell r="H2728">
            <v>60</v>
          </cell>
          <cell r="I2728">
            <v>7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 t="e">
            <v>#DIV/0!</v>
          </cell>
        </row>
        <row r="2729">
          <cell r="A2729" t="str">
            <v>Y030-012</v>
          </cell>
          <cell r="B2729" t="str">
            <v>LCT055-010</v>
          </cell>
          <cell r="C2729" t="str">
            <v>Y030</v>
          </cell>
          <cell r="D2729">
            <v>0</v>
          </cell>
          <cell r="E2729" t="str">
            <v>poly飾花</v>
          </cell>
          <cell r="F2729" t="str">
            <v>277*113*8</v>
          </cell>
          <cell r="G2729">
            <v>277</v>
          </cell>
          <cell r="H2729">
            <v>113</v>
          </cell>
          <cell r="I2729">
            <v>8</v>
          </cell>
          <cell r="J2729">
            <v>180</v>
          </cell>
          <cell r="K2729">
            <v>0</v>
          </cell>
          <cell r="L2729">
            <v>0.7</v>
          </cell>
          <cell r="M2729">
            <v>0</v>
          </cell>
          <cell r="N2729">
            <v>0</v>
          </cell>
          <cell r="O2729" t="str">
            <v>T</v>
          </cell>
          <cell r="P2729" t="str">
            <v>1010</v>
          </cell>
          <cell r="Q2729">
            <v>1010</v>
          </cell>
          <cell r="R2729">
            <v>3.8888888888888888</v>
          </cell>
        </row>
        <row r="2730">
          <cell r="A2730" t="str">
            <v>Y030-013</v>
          </cell>
          <cell r="B2730" t="str">
            <v>LCT055-011</v>
          </cell>
          <cell r="C2730" t="str">
            <v>Y030</v>
          </cell>
          <cell r="D2730">
            <v>0</v>
          </cell>
          <cell r="E2730" t="str">
            <v>poly飾花</v>
          </cell>
          <cell r="F2730" t="str">
            <v>93*80*8</v>
          </cell>
          <cell r="G2730">
            <v>93</v>
          </cell>
          <cell r="H2730">
            <v>80</v>
          </cell>
          <cell r="I2730">
            <v>8</v>
          </cell>
          <cell r="J2730">
            <v>21</v>
          </cell>
          <cell r="K2730">
            <v>0</v>
          </cell>
          <cell r="L2730">
            <v>0.25</v>
          </cell>
          <cell r="M2730">
            <v>0</v>
          </cell>
          <cell r="N2730">
            <v>0</v>
          </cell>
          <cell r="O2730" t="str">
            <v>T</v>
          </cell>
          <cell r="P2730" t="str">
            <v>1010</v>
          </cell>
          <cell r="Q2730">
            <v>1010</v>
          </cell>
          <cell r="R2730">
            <v>11.904761904761903</v>
          </cell>
        </row>
        <row r="2731">
          <cell r="A2731" t="str">
            <v>Y030-014</v>
          </cell>
          <cell r="B2731" t="str">
            <v>LCT055-012</v>
          </cell>
          <cell r="C2731" t="str">
            <v>Y030</v>
          </cell>
          <cell r="D2731">
            <v>0</v>
          </cell>
          <cell r="E2731" t="str">
            <v>poly飾花</v>
          </cell>
          <cell r="F2731" t="str">
            <v>570*47*8</v>
          </cell>
          <cell r="G2731">
            <v>570</v>
          </cell>
          <cell r="H2731">
            <v>47</v>
          </cell>
          <cell r="I2731">
            <v>8</v>
          </cell>
          <cell r="J2731">
            <v>80</v>
          </cell>
          <cell r="K2731">
            <v>0</v>
          </cell>
          <cell r="L2731">
            <v>0.39</v>
          </cell>
          <cell r="M2731">
            <v>0</v>
          </cell>
          <cell r="N2731">
            <v>0</v>
          </cell>
          <cell r="O2731" t="str">
            <v>T</v>
          </cell>
          <cell r="P2731" t="str">
            <v>1010</v>
          </cell>
          <cell r="Q2731">
            <v>1010</v>
          </cell>
          <cell r="R2731">
            <v>4.875</v>
          </cell>
        </row>
        <row r="2732">
          <cell r="A2732" t="str">
            <v>Y030-015</v>
          </cell>
          <cell r="B2732" t="str">
            <v>LCT055-013</v>
          </cell>
          <cell r="C2732" t="str">
            <v>Y030</v>
          </cell>
          <cell r="D2732">
            <v>0</v>
          </cell>
          <cell r="E2732" t="str">
            <v>poly飾花</v>
          </cell>
          <cell r="F2732" t="str">
            <v>480*47*8</v>
          </cell>
          <cell r="G2732">
            <v>480</v>
          </cell>
          <cell r="H2732">
            <v>47</v>
          </cell>
          <cell r="I2732">
            <v>8</v>
          </cell>
          <cell r="J2732">
            <v>61</v>
          </cell>
          <cell r="K2732">
            <v>0</v>
          </cell>
          <cell r="L2732">
            <v>0.34</v>
          </cell>
          <cell r="M2732">
            <v>0</v>
          </cell>
          <cell r="N2732">
            <v>0</v>
          </cell>
          <cell r="O2732" t="str">
            <v>T</v>
          </cell>
          <cell r="P2732" t="str">
            <v>1010</v>
          </cell>
          <cell r="Q2732">
            <v>1010</v>
          </cell>
          <cell r="R2732">
            <v>5.5737704918032795</v>
          </cell>
        </row>
        <row r="2733">
          <cell r="A2733" t="str">
            <v>Y030-016</v>
          </cell>
          <cell r="B2733" t="str">
            <v>LCT055-005</v>
          </cell>
          <cell r="C2733" t="str">
            <v>Y030</v>
          </cell>
          <cell r="D2733">
            <v>0</v>
          </cell>
          <cell r="E2733" t="str">
            <v>poly饰条</v>
          </cell>
          <cell r="F2733" t="str">
            <v>490*25*8</v>
          </cell>
          <cell r="G2733">
            <v>490</v>
          </cell>
          <cell r="H2733">
            <v>25</v>
          </cell>
          <cell r="I2733">
            <v>8</v>
          </cell>
          <cell r="J2733">
            <v>130</v>
          </cell>
          <cell r="K2733">
            <v>0</v>
          </cell>
          <cell r="L2733">
            <v>0.4</v>
          </cell>
          <cell r="M2733">
            <v>0</v>
          </cell>
          <cell r="N2733">
            <v>0</v>
          </cell>
          <cell r="O2733" t="str">
            <v>T</v>
          </cell>
          <cell r="P2733" t="str">
            <v>1010</v>
          </cell>
          <cell r="Q2733">
            <v>1010</v>
          </cell>
          <cell r="R2733">
            <v>3.0769230769230771</v>
          </cell>
        </row>
        <row r="2734">
          <cell r="A2734" t="str">
            <v>Y030-017</v>
          </cell>
          <cell r="B2734" t="str">
            <v>LCT055-006</v>
          </cell>
          <cell r="C2734" t="str">
            <v>Y030</v>
          </cell>
          <cell r="D2734">
            <v>0</v>
          </cell>
          <cell r="E2734" t="str">
            <v>poly饰条</v>
          </cell>
          <cell r="F2734" t="str">
            <v>504*240*13</v>
          </cell>
          <cell r="G2734">
            <v>504</v>
          </cell>
          <cell r="H2734">
            <v>240</v>
          </cell>
          <cell r="I2734">
            <v>13</v>
          </cell>
          <cell r="J2734">
            <v>415</v>
          </cell>
          <cell r="K2734">
            <v>0</v>
          </cell>
          <cell r="L2734">
            <v>1.1499999999999999</v>
          </cell>
          <cell r="M2734">
            <v>0</v>
          </cell>
          <cell r="N2734">
            <v>0</v>
          </cell>
          <cell r="O2734" t="str">
            <v>T</v>
          </cell>
          <cell r="P2734" t="str">
            <v>1010</v>
          </cell>
          <cell r="Q2734">
            <v>1010</v>
          </cell>
          <cell r="R2734">
            <v>2.7710843373493974</v>
          </cell>
        </row>
        <row r="2735">
          <cell r="A2735" t="str">
            <v>Y030-018</v>
          </cell>
          <cell r="B2735">
            <v>0</v>
          </cell>
          <cell r="C2735" t="str">
            <v>Y030</v>
          </cell>
          <cell r="D2735">
            <v>0</v>
          </cell>
          <cell r="E2735" t="str">
            <v>POLY圓飾片</v>
          </cell>
          <cell r="F2735" t="str">
            <v>Ø50*14</v>
          </cell>
          <cell r="G2735" t="str">
            <v>Ø</v>
          </cell>
          <cell r="H2735">
            <v>50</v>
          </cell>
          <cell r="I2735">
            <v>14</v>
          </cell>
          <cell r="J2735">
            <v>60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 t="str">
            <v>T</v>
          </cell>
          <cell r="P2735" t="str">
            <v>1010</v>
          </cell>
          <cell r="Q2735">
            <v>1010</v>
          </cell>
          <cell r="R2735">
            <v>0</v>
          </cell>
          <cell r="S2735">
            <v>42020</v>
          </cell>
        </row>
        <row r="2736">
          <cell r="A2736" t="str">
            <v>Y030-019</v>
          </cell>
          <cell r="B2736">
            <v>0</v>
          </cell>
          <cell r="C2736" t="str">
            <v>Y030</v>
          </cell>
          <cell r="D2736">
            <v>0</v>
          </cell>
          <cell r="E2736" t="str">
            <v>POLY圓飾片</v>
          </cell>
          <cell r="F2736" t="str">
            <v>Ø40*9</v>
          </cell>
          <cell r="G2736" t="str">
            <v>Ø</v>
          </cell>
          <cell r="H2736">
            <v>40</v>
          </cell>
          <cell r="I2736">
            <v>9</v>
          </cell>
          <cell r="J2736">
            <v>30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 t="str">
            <v>T</v>
          </cell>
          <cell r="P2736" t="str">
            <v>1010</v>
          </cell>
          <cell r="Q2736">
            <v>1010</v>
          </cell>
          <cell r="R2736">
            <v>0</v>
          </cell>
          <cell r="S2736">
            <v>42020</v>
          </cell>
        </row>
        <row r="2737">
          <cell r="A2737" t="str">
            <v>Y030-020</v>
          </cell>
          <cell r="B2737">
            <v>0</v>
          </cell>
          <cell r="C2737" t="str">
            <v>Y030</v>
          </cell>
          <cell r="D2737" t="str">
            <v>POLY 7152-</v>
          </cell>
          <cell r="E2737" t="str">
            <v>圓珠飾條-圓</v>
          </cell>
          <cell r="F2737" t="str">
            <v>60*60*10</v>
          </cell>
          <cell r="G2737">
            <v>60</v>
          </cell>
          <cell r="H2737">
            <v>60</v>
          </cell>
          <cell r="I2737">
            <v>10</v>
          </cell>
          <cell r="J2737">
            <v>40</v>
          </cell>
          <cell r="K2737">
            <v>0</v>
          </cell>
          <cell r="L2737">
            <v>0.14000000000000001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3.5000000000000004</v>
          </cell>
          <cell r="S2737">
            <v>0</v>
          </cell>
        </row>
        <row r="2738">
          <cell r="A2738" t="str">
            <v>Y030-021</v>
          </cell>
          <cell r="B2738">
            <v>0</v>
          </cell>
          <cell r="C2738" t="str">
            <v>Y030</v>
          </cell>
          <cell r="D2738" t="str">
            <v>POLY 7152</v>
          </cell>
          <cell r="E2738" t="str">
            <v>嬰兒床-下側貼塊</v>
          </cell>
          <cell r="F2738" t="str">
            <v>148*72*56</v>
          </cell>
          <cell r="G2738">
            <v>148</v>
          </cell>
          <cell r="H2738">
            <v>72</v>
          </cell>
          <cell r="I2738">
            <v>56</v>
          </cell>
          <cell r="J2738">
            <v>340</v>
          </cell>
          <cell r="K2738">
            <v>0</v>
          </cell>
          <cell r="L2738">
            <v>0.98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2.8823529411764701</v>
          </cell>
          <cell r="S2738">
            <v>0</v>
          </cell>
        </row>
        <row r="2739">
          <cell r="A2739" t="str">
            <v>Y030-022</v>
          </cell>
          <cell r="B2739">
            <v>0</v>
          </cell>
          <cell r="C2739" t="str">
            <v>Y030</v>
          </cell>
          <cell r="D2739" t="str">
            <v>POLY 7152</v>
          </cell>
          <cell r="E2739" t="str">
            <v>嬰兒床-下後貼塊</v>
          </cell>
          <cell r="F2739" t="str">
            <v>148*34*18</v>
          </cell>
          <cell r="G2739">
            <v>148</v>
          </cell>
          <cell r="H2739">
            <v>34</v>
          </cell>
          <cell r="I2739">
            <v>18</v>
          </cell>
          <cell r="J2739">
            <v>110</v>
          </cell>
          <cell r="K2739">
            <v>0</v>
          </cell>
          <cell r="L2739">
            <v>0.31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2.8181818181818183</v>
          </cell>
          <cell r="S2739">
            <v>0</v>
          </cell>
        </row>
        <row r="2740">
          <cell r="A2740" t="str">
            <v>Y030-023</v>
          </cell>
          <cell r="B2740">
            <v>0</v>
          </cell>
          <cell r="C2740" t="str">
            <v>Y030</v>
          </cell>
          <cell r="D2740" t="str">
            <v>POLY 7152</v>
          </cell>
          <cell r="E2740" t="str">
            <v>嬰兒床-圓珠飾條</v>
          </cell>
          <cell r="F2740" t="str">
            <v>1300*10*8</v>
          </cell>
          <cell r="G2740">
            <v>1300</v>
          </cell>
          <cell r="H2740">
            <v>10</v>
          </cell>
          <cell r="I2740">
            <v>8</v>
          </cell>
          <cell r="J2740">
            <v>240</v>
          </cell>
          <cell r="K2740">
            <v>0.52</v>
          </cell>
          <cell r="L2740">
            <v>0.52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2.166666666666667</v>
          </cell>
          <cell r="S2740">
            <v>0</v>
          </cell>
        </row>
        <row r="2741">
          <cell r="A2741" t="str">
            <v>Y030-024</v>
          </cell>
          <cell r="B2741">
            <v>0</v>
          </cell>
          <cell r="C2741" t="str">
            <v>Y030</v>
          </cell>
          <cell r="D2741" t="str">
            <v>POLY 7152</v>
          </cell>
          <cell r="E2741" t="str">
            <v>嬰兒床-圓珠飾條</v>
          </cell>
          <cell r="F2741" t="str">
            <v>720*10*8</v>
          </cell>
          <cell r="G2741">
            <v>720</v>
          </cell>
          <cell r="H2741">
            <v>10</v>
          </cell>
          <cell r="I2741">
            <v>8</v>
          </cell>
          <cell r="J2741">
            <v>130</v>
          </cell>
          <cell r="K2741">
            <v>0.28999999999999998</v>
          </cell>
          <cell r="L2741">
            <v>0.28999999999999998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2.2307692307692304</v>
          </cell>
          <cell r="S2741">
            <v>0</v>
          </cell>
        </row>
        <row r="2742">
          <cell r="A2742" t="str">
            <v>Y030-025</v>
          </cell>
          <cell r="B2742">
            <v>0</v>
          </cell>
          <cell r="C2742" t="str">
            <v>Y030</v>
          </cell>
          <cell r="D2742" t="str">
            <v>POLY 7152</v>
          </cell>
          <cell r="E2742" t="str">
            <v>嬰兒床-大愛心</v>
          </cell>
          <cell r="F2742" t="str">
            <v>35*30*10</v>
          </cell>
          <cell r="G2742">
            <v>35</v>
          </cell>
          <cell r="H2742">
            <v>30</v>
          </cell>
          <cell r="I2742">
            <v>10</v>
          </cell>
          <cell r="J2742">
            <v>30</v>
          </cell>
          <cell r="K2742">
            <v>0</v>
          </cell>
          <cell r="L2742">
            <v>0.09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3</v>
          </cell>
          <cell r="S2742">
            <v>0</v>
          </cell>
        </row>
        <row r="2743">
          <cell r="A2743" t="str">
            <v>Y030-026</v>
          </cell>
          <cell r="B2743">
            <v>0</v>
          </cell>
          <cell r="C2743" t="str">
            <v>Y030</v>
          </cell>
          <cell r="D2743">
            <v>0</v>
          </cell>
          <cell r="E2743" t="str">
            <v>POLY飾條</v>
          </cell>
          <cell r="F2743" t="str">
            <v>2250*10*5</v>
          </cell>
          <cell r="G2743">
            <v>2250</v>
          </cell>
          <cell r="H2743">
            <v>10</v>
          </cell>
          <cell r="I2743">
            <v>5</v>
          </cell>
          <cell r="J2743">
            <v>200</v>
          </cell>
          <cell r="K2743">
            <v>0.5</v>
          </cell>
          <cell r="L2743">
            <v>0.5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2.5</v>
          </cell>
          <cell r="S2743" t="str">
            <v>未確認</v>
          </cell>
        </row>
        <row r="2744">
          <cell r="A2744" t="str">
            <v>Y030-027</v>
          </cell>
          <cell r="B2744">
            <v>0</v>
          </cell>
          <cell r="C2744" t="str">
            <v>Y030</v>
          </cell>
          <cell r="D2744">
            <v>0</v>
          </cell>
          <cell r="E2744" t="str">
            <v>POLY</v>
          </cell>
          <cell r="F2744" t="str">
            <v>656*69*3</v>
          </cell>
          <cell r="G2744">
            <v>656</v>
          </cell>
          <cell r="H2744">
            <v>69</v>
          </cell>
          <cell r="I2744">
            <v>3</v>
          </cell>
          <cell r="J2744">
            <v>0</v>
          </cell>
          <cell r="K2744">
            <v>0</v>
          </cell>
          <cell r="L2744">
            <v>0.27500000000000002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</row>
        <row r="2745">
          <cell r="A2745" t="str">
            <v>Y030-028</v>
          </cell>
          <cell r="B2745">
            <v>0</v>
          </cell>
          <cell r="C2745" t="str">
            <v>Y030</v>
          </cell>
          <cell r="D2745">
            <v>0</v>
          </cell>
          <cell r="E2745" t="str">
            <v>POLY</v>
          </cell>
          <cell r="F2745" t="str">
            <v>896*69*3</v>
          </cell>
          <cell r="G2745">
            <v>896</v>
          </cell>
          <cell r="H2745">
            <v>69</v>
          </cell>
          <cell r="I2745">
            <v>3</v>
          </cell>
          <cell r="J2745">
            <v>0</v>
          </cell>
          <cell r="K2745">
            <v>0</v>
          </cell>
          <cell r="L2745">
            <v>0.38500000000000001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</row>
        <row r="2746">
          <cell r="A2746" t="str">
            <v>Y030-029</v>
          </cell>
          <cell r="B2746">
            <v>0</v>
          </cell>
          <cell r="C2746" t="str">
            <v>Y030</v>
          </cell>
          <cell r="D2746" t="str">
            <v>Poly 饰品</v>
          </cell>
          <cell r="E2746">
            <v>0</v>
          </cell>
          <cell r="F2746" t="str">
            <v>55*52*7</v>
          </cell>
          <cell r="G2746">
            <v>55</v>
          </cell>
          <cell r="H2746">
            <v>52</v>
          </cell>
          <cell r="I2746">
            <v>7</v>
          </cell>
          <cell r="J2746">
            <v>0</v>
          </cell>
          <cell r="K2746">
            <v>0</v>
          </cell>
          <cell r="L2746">
            <v>0.09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</row>
        <row r="2747">
          <cell r="A2747" t="str">
            <v>Y030-030</v>
          </cell>
          <cell r="B2747">
            <v>0</v>
          </cell>
          <cell r="C2747" t="str">
            <v>Y030</v>
          </cell>
          <cell r="D2747" t="str">
            <v>Poly 柜</v>
          </cell>
          <cell r="E2747">
            <v>0</v>
          </cell>
          <cell r="F2747" t="str">
            <v>180*126*16</v>
          </cell>
          <cell r="G2747">
            <v>180</v>
          </cell>
          <cell r="H2747">
            <v>126</v>
          </cell>
          <cell r="I2747">
            <v>16</v>
          </cell>
          <cell r="J2747">
            <v>0</v>
          </cell>
          <cell r="K2747">
            <v>0</v>
          </cell>
          <cell r="L2747">
            <v>0.33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 t="e">
            <v>#DIV/0!</v>
          </cell>
          <cell r="S2747">
            <v>0</v>
          </cell>
        </row>
        <row r="2748">
          <cell r="A2748" t="str">
            <v>Y030-031</v>
          </cell>
          <cell r="B2748">
            <v>0</v>
          </cell>
          <cell r="C2748" t="str">
            <v>Y030</v>
          </cell>
          <cell r="D2748" t="str">
            <v>Nút poly</v>
          </cell>
          <cell r="E2748">
            <v>0</v>
          </cell>
          <cell r="F2748" t="str">
            <v>17.5*9*9</v>
          </cell>
          <cell r="G2748">
            <v>17.5</v>
          </cell>
          <cell r="H2748">
            <v>9</v>
          </cell>
          <cell r="I2748">
            <v>9</v>
          </cell>
          <cell r="J2748">
            <v>2</v>
          </cell>
          <cell r="K2748">
            <v>0</v>
          </cell>
          <cell r="L2748">
            <v>0.02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10</v>
          </cell>
          <cell r="S2748">
            <v>0</v>
          </cell>
          <cell r="T2748">
            <v>0</v>
          </cell>
        </row>
        <row r="2749">
          <cell r="A2749" t="str">
            <v>Y030-032</v>
          </cell>
          <cell r="B2749">
            <v>0</v>
          </cell>
          <cell r="C2749" t="str">
            <v>Y030</v>
          </cell>
          <cell r="D2749" t="str">
            <v>538280-108</v>
          </cell>
          <cell r="E2749" t="str">
            <v>POLY饰条</v>
          </cell>
          <cell r="F2749" t="str">
            <v>1330*10*7</v>
          </cell>
          <cell r="G2749">
            <v>1330</v>
          </cell>
          <cell r="H2749">
            <v>10</v>
          </cell>
          <cell r="I2749">
            <v>7</v>
          </cell>
          <cell r="J2749">
            <v>0</v>
          </cell>
          <cell r="K2749">
            <v>0</v>
          </cell>
          <cell r="L2749">
            <v>0.53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 t="e">
            <v>#DIV/0!</v>
          </cell>
          <cell r="S2749">
            <v>0</v>
          </cell>
          <cell r="T2749">
            <v>0</v>
          </cell>
        </row>
        <row r="2750">
          <cell r="A2750" t="str">
            <v>Y030-033</v>
          </cell>
          <cell r="B2750">
            <v>0</v>
          </cell>
          <cell r="C2750" t="str">
            <v>Y030</v>
          </cell>
          <cell r="D2750" t="str">
            <v>538060-108</v>
          </cell>
          <cell r="E2750" t="str">
            <v>POLY饰条</v>
          </cell>
          <cell r="F2750" t="str">
            <v>1100*10*7</v>
          </cell>
          <cell r="G2750">
            <v>1100</v>
          </cell>
          <cell r="H2750">
            <v>10</v>
          </cell>
          <cell r="I2750">
            <v>7</v>
          </cell>
          <cell r="J2750">
            <v>0</v>
          </cell>
          <cell r="K2750">
            <v>0</v>
          </cell>
          <cell r="L2750">
            <v>0.44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 t="e">
            <v>#DIV/0!</v>
          </cell>
          <cell r="S2750">
            <v>0</v>
          </cell>
          <cell r="T2750">
            <v>0</v>
          </cell>
        </row>
        <row r="2751">
          <cell r="A2751" t="str">
            <v>Y030-034</v>
          </cell>
          <cell r="B2751">
            <v>0</v>
          </cell>
          <cell r="C2751" t="str">
            <v>Y030</v>
          </cell>
          <cell r="D2751" t="str">
            <v>538020-538450</v>
          </cell>
          <cell r="E2751" t="str">
            <v>POLY框</v>
          </cell>
          <cell r="F2751" t="str">
            <v>470*191*6</v>
          </cell>
          <cell r="G2751">
            <v>470</v>
          </cell>
          <cell r="H2751">
            <v>191</v>
          </cell>
          <cell r="I2751">
            <v>6</v>
          </cell>
          <cell r="J2751">
            <v>320</v>
          </cell>
          <cell r="K2751" t="str">
            <v>未確認</v>
          </cell>
          <cell r="L2751">
            <v>0.91</v>
          </cell>
          <cell r="M2751">
            <v>0</v>
          </cell>
          <cell r="N2751">
            <v>0</v>
          </cell>
          <cell r="O2751" t="str">
            <v>T</v>
          </cell>
          <cell r="P2751" t="str">
            <v>1010</v>
          </cell>
          <cell r="Q2751" t="str">
            <v>1010</v>
          </cell>
          <cell r="R2751">
            <v>2.84375</v>
          </cell>
          <cell r="S2751">
            <v>0</v>
          </cell>
        </row>
        <row r="2752">
          <cell r="A2752" t="str">
            <v>Y030-035</v>
          </cell>
          <cell r="B2752">
            <v>0</v>
          </cell>
          <cell r="C2752" t="str">
            <v>Y030</v>
          </cell>
          <cell r="D2752" t="str">
            <v>538020-538450</v>
          </cell>
          <cell r="E2752" t="str">
            <v>POLY饰条</v>
          </cell>
          <cell r="F2752" t="str">
            <v>476*10*7</v>
          </cell>
          <cell r="G2752">
            <v>476</v>
          </cell>
          <cell r="H2752">
            <v>10</v>
          </cell>
          <cell r="I2752">
            <v>7</v>
          </cell>
          <cell r="J2752">
            <v>60</v>
          </cell>
          <cell r="K2752">
            <v>0</v>
          </cell>
          <cell r="L2752">
            <v>0.2</v>
          </cell>
          <cell r="M2752">
            <v>0</v>
          </cell>
          <cell r="N2752">
            <v>0</v>
          </cell>
          <cell r="O2752" t="str">
            <v>T</v>
          </cell>
          <cell r="P2752" t="str">
            <v>1010</v>
          </cell>
          <cell r="Q2752" t="str">
            <v>1010</v>
          </cell>
          <cell r="R2752">
            <v>3.3333333333333335</v>
          </cell>
          <cell r="S2752">
            <v>0</v>
          </cell>
        </row>
        <row r="2753">
          <cell r="A2753" t="str">
            <v>Y030-036</v>
          </cell>
          <cell r="B2753">
            <v>0</v>
          </cell>
          <cell r="C2753" t="str">
            <v>Y030</v>
          </cell>
          <cell r="D2753" t="str">
            <v>538020-538450</v>
          </cell>
          <cell r="E2753" t="str">
            <v>POLY饰条</v>
          </cell>
          <cell r="F2753" t="str">
            <v>1096*10*7</v>
          </cell>
          <cell r="G2753">
            <v>1096</v>
          </cell>
          <cell r="H2753">
            <v>10</v>
          </cell>
          <cell r="I2753">
            <v>7</v>
          </cell>
          <cell r="J2753">
            <v>75</v>
          </cell>
          <cell r="K2753">
            <v>0</v>
          </cell>
          <cell r="L2753">
            <v>0.44</v>
          </cell>
          <cell r="M2753">
            <v>0</v>
          </cell>
          <cell r="N2753">
            <v>0</v>
          </cell>
          <cell r="O2753" t="str">
            <v>T</v>
          </cell>
          <cell r="P2753" t="str">
            <v>1010</v>
          </cell>
          <cell r="Q2753" t="str">
            <v>1010</v>
          </cell>
          <cell r="R2753">
            <v>5.8666666666666671</v>
          </cell>
          <cell r="S2753">
            <v>0</v>
          </cell>
          <cell r="T2753">
            <v>0</v>
          </cell>
        </row>
        <row r="2754">
          <cell r="A2754" t="str">
            <v>Y030-037</v>
          </cell>
          <cell r="B2754">
            <v>0</v>
          </cell>
          <cell r="C2754" t="str">
            <v>Y030</v>
          </cell>
          <cell r="D2754" t="str">
            <v>POLY 7152-</v>
          </cell>
          <cell r="E2754" t="str">
            <v>圓珠飾條-圓</v>
          </cell>
          <cell r="F2754" t="str">
            <v>60*60*12</v>
          </cell>
          <cell r="G2754">
            <v>60</v>
          </cell>
          <cell r="H2754">
            <v>60</v>
          </cell>
          <cell r="I2754">
            <v>12</v>
          </cell>
          <cell r="J2754">
            <v>0</v>
          </cell>
          <cell r="K2754">
            <v>0</v>
          </cell>
          <cell r="L2754">
            <v>0.14000000000000001</v>
          </cell>
          <cell r="M2754">
            <v>0</v>
          </cell>
          <cell r="N2754">
            <v>0</v>
          </cell>
          <cell r="O2754">
            <v>0</v>
          </cell>
          <cell r="P2754" t="str">
            <v>1010</v>
          </cell>
          <cell r="Q2754" t="str">
            <v>1010</v>
          </cell>
          <cell r="R2754" t="e">
            <v>#DIV/0!</v>
          </cell>
          <cell r="S2754">
            <v>0</v>
          </cell>
          <cell r="T2754">
            <v>0</v>
          </cell>
        </row>
        <row r="2755">
          <cell r="A2755" t="str">
            <v>Y030-038</v>
          </cell>
          <cell r="B2755">
            <v>0</v>
          </cell>
          <cell r="C2755" t="str">
            <v>Y030</v>
          </cell>
          <cell r="D2755" t="str">
            <v xml:space="preserve">POLY </v>
          </cell>
          <cell r="E2755" t="str">
            <v>POLY饰条</v>
          </cell>
          <cell r="F2755" t="str">
            <v>1510*25*8</v>
          </cell>
          <cell r="G2755">
            <v>1510</v>
          </cell>
          <cell r="H2755">
            <v>25</v>
          </cell>
          <cell r="I2755">
            <v>8</v>
          </cell>
          <cell r="J2755">
            <v>0</v>
          </cell>
          <cell r="K2755">
            <v>0</v>
          </cell>
          <cell r="L2755">
            <v>1.3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</row>
        <row r="2756">
          <cell r="A2756" t="str">
            <v>Y030-039</v>
          </cell>
          <cell r="B2756">
            <v>0</v>
          </cell>
          <cell r="C2756" t="str">
            <v>Y030</v>
          </cell>
          <cell r="D2756" t="str">
            <v>W100270-130</v>
          </cell>
          <cell r="E2756" t="str">
            <v>POLY饰条</v>
          </cell>
          <cell r="F2756" t="str">
            <v>1055*15*4</v>
          </cell>
          <cell r="G2756">
            <v>1055</v>
          </cell>
          <cell r="H2756">
            <v>15</v>
          </cell>
          <cell r="I2756">
            <v>4</v>
          </cell>
          <cell r="J2756">
            <v>0</v>
          </cell>
          <cell r="K2756">
            <v>0</v>
          </cell>
          <cell r="L2756">
            <v>0.34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</row>
        <row r="2757">
          <cell r="A2757" t="str">
            <v>Y030-2001</v>
          </cell>
          <cell r="B2757">
            <v>0</v>
          </cell>
          <cell r="C2757" t="str">
            <v>Y030</v>
          </cell>
          <cell r="D2757" t="str">
            <v xml:space="preserve">POLY </v>
          </cell>
          <cell r="E2757" t="str">
            <v>POLY饰条</v>
          </cell>
          <cell r="F2757" t="str">
            <v>1510*25*8</v>
          </cell>
          <cell r="G2757">
            <v>1510</v>
          </cell>
          <cell r="H2757">
            <v>25</v>
          </cell>
          <cell r="I2757">
            <v>6.5</v>
          </cell>
          <cell r="J2757">
            <v>0</v>
          </cell>
          <cell r="K2757">
            <v>0</v>
          </cell>
          <cell r="L2757">
            <v>1.27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</row>
        <row r="2758">
          <cell r="A2758" t="str">
            <v>Y031-001</v>
          </cell>
          <cell r="B2758" t="str">
            <v>LCT115-027</v>
          </cell>
          <cell r="C2758" t="str">
            <v>Y031</v>
          </cell>
          <cell r="D2758" t="str">
            <v>93-773</v>
          </cell>
          <cell r="E2758" t="str">
            <v>POLY飾條</v>
          </cell>
          <cell r="F2758" t="str">
            <v>743*19*13</v>
          </cell>
          <cell r="G2758">
            <v>743</v>
          </cell>
          <cell r="H2758">
            <v>19</v>
          </cell>
          <cell r="I2758">
            <v>13</v>
          </cell>
          <cell r="J2758">
            <v>270</v>
          </cell>
          <cell r="K2758">
            <v>0</v>
          </cell>
          <cell r="L2758">
            <v>0.68</v>
          </cell>
          <cell r="M2758">
            <v>0</v>
          </cell>
          <cell r="N2758">
            <v>0</v>
          </cell>
          <cell r="O2758" t="str">
            <v>40V</v>
          </cell>
          <cell r="P2758" t="str">
            <v>1010</v>
          </cell>
          <cell r="Q2758" t="str">
            <v>1010</v>
          </cell>
          <cell r="R2758">
            <v>2.5185185185185186</v>
          </cell>
        </row>
        <row r="2759">
          <cell r="A2759" t="str">
            <v>Y031-002</v>
          </cell>
          <cell r="B2759" t="str">
            <v>LCT115-028</v>
          </cell>
          <cell r="C2759" t="str">
            <v>Y031</v>
          </cell>
          <cell r="D2759" t="str">
            <v>93-773</v>
          </cell>
          <cell r="E2759" t="str">
            <v>POLY飾條-L</v>
          </cell>
          <cell r="F2759" t="str">
            <v>353-25-13</v>
          </cell>
          <cell r="G2759">
            <v>353</v>
          </cell>
          <cell r="H2759">
            <v>25</v>
          </cell>
          <cell r="I2759">
            <v>13</v>
          </cell>
          <cell r="J2759">
            <v>140</v>
          </cell>
          <cell r="K2759">
            <v>0</v>
          </cell>
          <cell r="L2759">
            <v>0.31</v>
          </cell>
          <cell r="M2759">
            <v>0</v>
          </cell>
          <cell r="N2759">
            <v>0</v>
          </cell>
          <cell r="O2759" t="str">
            <v>40V</v>
          </cell>
          <cell r="P2759" t="str">
            <v>1010</v>
          </cell>
          <cell r="Q2759" t="str">
            <v>1010</v>
          </cell>
          <cell r="R2759">
            <v>2.214285714285714</v>
          </cell>
        </row>
        <row r="2760">
          <cell r="A2760" t="str">
            <v>Y031-003</v>
          </cell>
          <cell r="B2760" t="str">
            <v>LCT115-029</v>
          </cell>
          <cell r="C2760" t="str">
            <v>Y031</v>
          </cell>
          <cell r="D2760" t="str">
            <v>93-773</v>
          </cell>
          <cell r="E2760" t="str">
            <v>POLY飾條-R</v>
          </cell>
          <cell r="F2760" t="str">
            <v>353*25*13</v>
          </cell>
          <cell r="G2760">
            <v>353</v>
          </cell>
          <cell r="H2760">
            <v>25</v>
          </cell>
          <cell r="I2760">
            <v>13</v>
          </cell>
          <cell r="J2760">
            <v>140</v>
          </cell>
          <cell r="K2760">
            <v>0</v>
          </cell>
          <cell r="L2760">
            <v>0.31</v>
          </cell>
          <cell r="M2760">
            <v>0</v>
          </cell>
          <cell r="N2760">
            <v>0</v>
          </cell>
          <cell r="O2760" t="str">
            <v>40V</v>
          </cell>
          <cell r="P2760" t="str">
            <v>1010</v>
          </cell>
          <cell r="Q2760" t="str">
            <v>1010</v>
          </cell>
          <cell r="R2760">
            <v>2.214285714285714</v>
          </cell>
        </row>
        <row r="2761">
          <cell r="A2761" t="str">
            <v>Y031-004</v>
          </cell>
          <cell r="B2761" t="str">
            <v>LCT115-030</v>
          </cell>
          <cell r="C2761" t="str">
            <v>Y031</v>
          </cell>
          <cell r="D2761" t="str">
            <v>93-773</v>
          </cell>
          <cell r="E2761" t="str">
            <v>POLY飾條-L</v>
          </cell>
          <cell r="F2761" t="str">
            <v>728*19*13</v>
          </cell>
          <cell r="G2761">
            <v>728</v>
          </cell>
          <cell r="H2761">
            <v>19</v>
          </cell>
          <cell r="I2761">
            <v>13</v>
          </cell>
          <cell r="J2761">
            <v>270</v>
          </cell>
          <cell r="K2761">
            <v>0</v>
          </cell>
          <cell r="L2761">
            <v>0.68</v>
          </cell>
          <cell r="M2761">
            <v>0</v>
          </cell>
          <cell r="N2761">
            <v>0</v>
          </cell>
          <cell r="O2761" t="str">
            <v>40V</v>
          </cell>
          <cell r="P2761" t="str">
            <v>1010</v>
          </cell>
          <cell r="Q2761" t="str">
            <v>1010</v>
          </cell>
          <cell r="R2761">
            <v>2.5185185185185186</v>
          </cell>
        </row>
        <row r="2762">
          <cell r="A2762" t="str">
            <v>Y031-005</v>
          </cell>
          <cell r="B2762" t="str">
            <v>LCT115-031</v>
          </cell>
          <cell r="C2762" t="str">
            <v>Y031</v>
          </cell>
          <cell r="D2762" t="str">
            <v>93-773</v>
          </cell>
          <cell r="E2762" t="str">
            <v>POLY飾條-R</v>
          </cell>
          <cell r="F2762" t="str">
            <v>728*19*13</v>
          </cell>
          <cell r="G2762">
            <v>728</v>
          </cell>
          <cell r="H2762">
            <v>19</v>
          </cell>
          <cell r="I2762">
            <v>13</v>
          </cell>
          <cell r="J2762">
            <v>270</v>
          </cell>
          <cell r="K2762">
            <v>0</v>
          </cell>
          <cell r="L2762">
            <v>0.68</v>
          </cell>
          <cell r="M2762">
            <v>0</v>
          </cell>
          <cell r="N2762">
            <v>0</v>
          </cell>
          <cell r="O2762" t="str">
            <v>40V</v>
          </cell>
          <cell r="P2762" t="str">
            <v>1010</v>
          </cell>
          <cell r="Q2762" t="str">
            <v>1010</v>
          </cell>
          <cell r="R2762">
            <v>2.5185185185185186</v>
          </cell>
        </row>
        <row r="2763">
          <cell r="A2763" t="str">
            <v>Y031-006</v>
          </cell>
          <cell r="B2763" t="str">
            <v>LCT115-032</v>
          </cell>
          <cell r="C2763" t="str">
            <v>Y031</v>
          </cell>
          <cell r="D2763" t="str">
            <v>93-783</v>
          </cell>
          <cell r="E2763" t="str">
            <v>POLY飾條</v>
          </cell>
          <cell r="F2763" t="str">
            <v>638*19*13</v>
          </cell>
          <cell r="G2763">
            <v>638</v>
          </cell>
          <cell r="H2763">
            <v>19</v>
          </cell>
          <cell r="I2763">
            <v>13</v>
          </cell>
          <cell r="J2763">
            <v>240</v>
          </cell>
          <cell r="K2763">
            <v>0</v>
          </cell>
          <cell r="L2763">
            <v>0.6</v>
          </cell>
          <cell r="M2763">
            <v>0</v>
          </cell>
          <cell r="N2763">
            <v>0</v>
          </cell>
          <cell r="O2763" t="str">
            <v>40V</v>
          </cell>
          <cell r="P2763" t="str">
            <v>1010</v>
          </cell>
          <cell r="Q2763" t="str">
            <v>1010</v>
          </cell>
          <cell r="R2763">
            <v>2.5</v>
          </cell>
        </row>
        <row r="2764">
          <cell r="A2764" t="str">
            <v>Y031-007</v>
          </cell>
          <cell r="B2764" t="str">
            <v>LCT115-033</v>
          </cell>
          <cell r="C2764" t="str">
            <v>Y031</v>
          </cell>
          <cell r="D2764" t="str">
            <v>93-783</v>
          </cell>
          <cell r="E2764" t="str">
            <v>POLY飾條-L</v>
          </cell>
          <cell r="F2764" t="str">
            <v>296*25*13</v>
          </cell>
          <cell r="G2764">
            <v>296</v>
          </cell>
          <cell r="H2764">
            <v>25</v>
          </cell>
          <cell r="I2764">
            <v>13</v>
          </cell>
          <cell r="J2764">
            <v>110</v>
          </cell>
          <cell r="K2764">
            <v>0</v>
          </cell>
          <cell r="L2764">
            <v>0.27</v>
          </cell>
          <cell r="M2764">
            <v>0</v>
          </cell>
          <cell r="N2764">
            <v>0</v>
          </cell>
          <cell r="O2764" t="str">
            <v>40V</v>
          </cell>
          <cell r="P2764" t="str">
            <v>1010</v>
          </cell>
          <cell r="Q2764" t="str">
            <v>1010</v>
          </cell>
          <cell r="R2764">
            <v>2.4545454545454546</v>
          </cell>
        </row>
        <row r="2765">
          <cell r="A2765" t="str">
            <v>Y031-008</v>
          </cell>
          <cell r="B2765" t="str">
            <v>LCT115-034</v>
          </cell>
          <cell r="C2765" t="str">
            <v>Y031</v>
          </cell>
          <cell r="D2765" t="str">
            <v>93-783</v>
          </cell>
          <cell r="E2765" t="str">
            <v>POLY飾條-R</v>
          </cell>
          <cell r="F2765" t="str">
            <v>296*25*13</v>
          </cell>
          <cell r="G2765">
            <v>296</v>
          </cell>
          <cell r="H2765">
            <v>25</v>
          </cell>
          <cell r="I2765">
            <v>13</v>
          </cell>
          <cell r="J2765">
            <v>110</v>
          </cell>
          <cell r="K2765">
            <v>0</v>
          </cell>
          <cell r="L2765">
            <v>0.27</v>
          </cell>
          <cell r="M2765">
            <v>0</v>
          </cell>
          <cell r="N2765">
            <v>0</v>
          </cell>
          <cell r="O2765" t="str">
            <v>40V</v>
          </cell>
          <cell r="P2765" t="str">
            <v>1010</v>
          </cell>
          <cell r="Q2765" t="str">
            <v>1010</v>
          </cell>
          <cell r="R2765">
            <v>2.4545454545454546</v>
          </cell>
        </row>
        <row r="2766">
          <cell r="A2766" t="str">
            <v>Y031-009</v>
          </cell>
          <cell r="B2766" t="str">
            <v>LCT115-035</v>
          </cell>
          <cell r="C2766" t="str">
            <v>Y031</v>
          </cell>
          <cell r="D2766" t="str">
            <v>93-783</v>
          </cell>
          <cell r="E2766" t="str">
            <v>POLY飾條-L</v>
          </cell>
          <cell r="F2766" t="str">
            <v>728*19*13</v>
          </cell>
          <cell r="G2766">
            <v>728</v>
          </cell>
          <cell r="H2766">
            <v>19</v>
          </cell>
          <cell r="I2766">
            <v>13</v>
          </cell>
          <cell r="J2766">
            <v>270</v>
          </cell>
          <cell r="K2766">
            <v>0</v>
          </cell>
          <cell r="L2766">
            <v>0.68</v>
          </cell>
          <cell r="M2766">
            <v>0</v>
          </cell>
          <cell r="N2766">
            <v>0</v>
          </cell>
          <cell r="O2766" t="str">
            <v>40V</v>
          </cell>
          <cell r="P2766" t="str">
            <v>1010</v>
          </cell>
          <cell r="Q2766" t="str">
            <v>1010</v>
          </cell>
          <cell r="R2766">
            <v>2.5185185185185186</v>
          </cell>
        </row>
        <row r="2767">
          <cell r="A2767" t="str">
            <v>Y031-010</v>
          </cell>
          <cell r="B2767" t="str">
            <v>LCT115-036</v>
          </cell>
          <cell r="C2767" t="str">
            <v>Y031</v>
          </cell>
          <cell r="D2767" t="str">
            <v>93-783</v>
          </cell>
          <cell r="E2767" t="str">
            <v>POLY飾條-R</v>
          </cell>
          <cell r="F2767" t="str">
            <v>728*19*13</v>
          </cell>
          <cell r="G2767">
            <v>728</v>
          </cell>
          <cell r="H2767">
            <v>19</v>
          </cell>
          <cell r="I2767">
            <v>13</v>
          </cell>
          <cell r="J2767">
            <v>270</v>
          </cell>
          <cell r="K2767">
            <v>0</v>
          </cell>
          <cell r="L2767">
            <v>0.68</v>
          </cell>
          <cell r="M2767">
            <v>0</v>
          </cell>
          <cell r="N2767">
            <v>0</v>
          </cell>
          <cell r="O2767" t="str">
            <v>40V</v>
          </cell>
          <cell r="P2767" t="str">
            <v>1010</v>
          </cell>
          <cell r="Q2767" t="str">
            <v>1010</v>
          </cell>
          <cell r="R2767">
            <v>2.5185185185185186</v>
          </cell>
        </row>
        <row r="2768">
          <cell r="A2768" t="str">
            <v>Y031-011</v>
          </cell>
          <cell r="B2768" t="str">
            <v>LCT115-037</v>
          </cell>
          <cell r="C2768" t="str">
            <v>Y031</v>
          </cell>
          <cell r="D2768" t="str">
            <v>93-713</v>
          </cell>
          <cell r="E2768" t="str">
            <v>POLY飾條</v>
          </cell>
          <cell r="F2768" t="str">
            <v>1295*25*13</v>
          </cell>
          <cell r="G2768">
            <v>1295</v>
          </cell>
          <cell r="H2768">
            <v>25</v>
          </cell>
          <cell r="I2768">
            <v>13</v>
          </cell>
          <cell r="J2768">
            <v>720</v>
          </cell>
          <cell r="K2768">
            <v>0</v>
          </cell>
          <cell r="L2768">
            <v>1.8</v>
          </cell>
          <cell r="M2768">
            <v>0</v>
          </cell>
          <cell r="N2768">
            <v>0</v>
          </cell>
          <cell r="O2768" t="str">
            <v>40V</v>
          </cell>
          <cell r="P2768" t="str">
            <v>1010</v>
          </cell>
          <cell r="Q2768" t="str">
            <v>1010</v>
          </cell>
          <cell r="R2768">
            <v>2.5</v>
          </cell>
        </row>
        <row r="2769">
          <cell r="A2769" t="str">
            <v>Y031-012</v>
          </cell>
          <cell r="B2769" t="str">
            <v>LCT115-038</v>
          </cell>
          <cell r="C2769" t="str">
            <v>Y031</v>
          </cell>
          <cell r="D2769" t="str">
            <v>93-713</v>
          </cell>
          <cell r="E2769" t="str">
            <v>POLY飾條-L</v>
          </cell>
          <cell r="F2769" t="str">
            <v>524*25*13</v>
          </cell>
          <cell r="G2769">
            <v>524</v>
          </cell>
          <cell r="H2769">
            <v>25</v>
          </cell>
          <cell r="I2769">
            <v>13</v>
          </cell>
          <cell r="J2769">
            <v>300</v>
          </cell>
          <cell r="K2769">
            <v>0</v>
          </cell>
          <cell r="L2769">
            <v>0.75</v>
          </cell>
          <cell r="M2769">
            <v>0</v>
          </cell>
          <cell r="O2769" t="str">
            <v>40V</v>
          </cell>
          <cell r="P2769" t="str">
            <v>1010</v>
          </cell>
          <cell r="Q2769" t="str">
            <v>1010</v>
          </cell>
          <cell r="R2769">
            <v>2.5</v>
          </cell>
        </row>
        <row r="2770">
          <cell r="A2770" t="str">
            <v>Y031-013</v>
          </cell>
          <cell r="B2770" t="str">
            <v>LCT115-039</v>
          </cell>
          <cell r="C2770" t="str">
            <v>Y031</v>
          </cell>
          <cell r="D2770" t="str">
            <v>93-713</v>
          </cell>
          <cell r="E2770" t="str">
            <v>POLY飾條-R</v>
          </cell>
          <cell r="F2770" t="str">
            <v>524*25*13</v>
          </cell>
          <cell r="G2770">
            <v>524</v>
          </cell>
          <cell r="H2770">
            <v>25</v>
          </cell>
          <cell r="I2770">
            <v>13</v>
          </cell>
          <cell r="J2770">
            <v>300</v>
          </cell>
          <cell r="K2770">
            <v>0</v>
          </cell>
          <cell r="L2770">
            <v>0.75</v>
          </cell>
          <cell r="M2770">
            <v>0</v>
          </cell>
          <cell r="N2770">
            <v>0</v>
          </cell>
          <cell r="O2770" t="str">
            <v>40V</v>
          </cell>
          <cell r="P2770" t="str">
            <v>1010</v>
          </cell>
          <cell r="Q2770" t="str">
            <v>1010</v>
          </cell>
          <cell r="R2770">
            <v>2.5</v>
          </cell>
        </row>
        <row r="2771">
          <cell r="A2771" t="str">
            <v>Y031-014</v>
          </cell>
          <cell r="B2771" t="str">
            <v>LCT115-040</v>
          </cell>
          <cell r="C2771" t="str">
            <v>Y031</v>
          </cell>
          <cell r="D2771" t="str">
            <v>7577大床</v>
          </cell>
          <cell r="E2771" t="str">
            <v>大床POLY飾花-L</v>
          </cell>
          <cell r="F2771" t="str">
            <v>675*25*14</v>
          </cell>
          <cell r="G2771">
            <v>675</v>
          </cell>
          <cell r="H2771">
            <v>25</v>
          </cell>
          <cell r="I2771">
            <v>14</v>
          </cell>
          <cell r="J2771">
            <v>310</v>
          </cell>
          <cell r="K2771">
            <v>0</v>
          </cell>
          <cell r="L2771">
            <v>0.87</v>
          </cell>
          <cell r="M2771">
            <v>0</v>
          </cell>
          <cell r="N2771">
            <v>0</v>
          </cell>
          <cell r="O2771" t="str">
            <v>40V</v>
          </cell>
          <cell r="P2771" t="str">
            <v>1010</v>
          </cell>
          <cell r="Q2771" t="str">
            <v>1010</v>
          </cell>
          <cell r="R2771">
            <v>2.806451612903226</v>
          </cell>
        </row>
        <row r="2772">
          <cell r="A2772" t="str">
            <v>Y031-015</v>
          </cell>
          <cell r="B2772" t="str">
            <v>LCT115-041</v>
          </cell>
          <cell r="C2772" t="str">
            <v>Y031</v>
          </cell>
          <cell r="D2772" t="str">
            <v>7577大床</v>
          </cell>
          <cell r="E2772" t="str">
            <v>大床POLY飾花-R</v>
          </cell>
          <cell r="F2772" t="str">
            <v>675*25*14</v>
          </cell>
          <cell r="G2772">
            <v>675</v>
          </cell>
          <cell r="H2772">
            <v>25</v>
          </cell>
          <cell r="I2772">
            <v>14</v>
          </cell>
          <cell r="J2772">
            <v>310</v>
          </cell>
          <cell r="K2772">
            <v>0</v>
          </cell>
          <cell r="L2772">
            <v>0.87</v>
          </cell>
          <cell r="M2772">
            <v>0</v>
          </cell>
          <cell r="N2772">
            <v>0</v>
          </cell>
          <cell r="O2772" t="str">
            <v>40V</v>
          </cell>
          <cell r="P2772" t="str">
            <v>1010</v>
          </cell>
          <cell r="Q2772" t="str">
            <v>1010</v>
          </cell>
          <cell r="R2772">
            <v>2.806451612903226</v>
          </cell>
        </row>
        <row r="2773">
          <cell r="A2773" t="str">
            <v>Y031-016</v>
          </cell>
          <cell r="B2773" t="str">
            <v>LCT115-042</v>
          </cell>
          <cell r="C2773" t="str">
            <v>Y031</v>
          </cell>
          <cell r="D2773" t="str">
            <v>7577大床</v>
          </cell>
          <cell r="E2773" t="str">
            <v>大床POLY飾條-L</v>
          </cell>
          <cell r="F2773" t="str">
            <v>286*25*14</v>
          </cell>
          <cell r="G2773">
            <v>286</v>
          </cell>
          <cell r="H2773">
            <v>25</v>
          </cell>
          <cell r="I2773">
            <v>14</v>
          </cell>
          <cell r="J2773">
            <v>160</v>
          </cell>
          <cell r="K2773">
            <v>0</v>
          </cell>
          <cell r="L2773">
            <v>0.45</v>
          </cell>
          <cell r="M2773">
            <v>0</v>
          </cell>
          <cell r="N2773">
            <v>0</v>
          </cell>
          <cell r="O2773" t="str">
            <v>40V</v>
          </cell>
          <cell r="P2773" t="str">
            <v>1010</v>
          </cell>
          <cell r="Q2773" t="str">
            <v>1010</v>
          </cell>
          <cell r="R2773">
            <v>2.8125</v>
          </cell>
        </row>
        <row r="2774">
          <cell r="A2774" t="str">
            <v>Y031-017</v>
          </cell>
          <cell r="B2774" t="str">
            <v>LCT115-043</v>
          </cell>
          <cell r="C2774" t="str">
            <v>Y031</v>
          </cell>
          <cell r="D2774" t="str">
            <v>7577大床</v>
          </cell>
          <cell r="E2774" t="str">
            <v>大床POLY飾條-R</v>
          </cell>
          <cell r="F2774" t="str">
            <v>286*25*14</v>
          </cell>
          <cell r="G2774">
            <v>286</v>
          </cell>
          <cell r="H2774">
            <v>25</v>
          </cell>
          <cell r="I2774">
            <v>14</v>
          </cell>
          <cell r="J2774">
            <v>160</v>
          </cell>
          <cell r="K2774">
            <v>0</v>
          </cell>
          <cell r="L2774">
            <v>0.45</v>
          </cell>
          <cell r="M2774">
            <v>0</v>
          </cell>
          <cell r="N2774">
            <v>0</v>
          </cell>
          <cell r="O2774" t="str">
            <v>40V</v>
          </cell>
          <cell r="P2774" t="str">
            <v>1010</v>
          </cell>
          <cell r="Q2774" t="str">
            <v>1010</v>
          </cell>
          <cell r="R2774">
            <v>2.8125</v>
          </cell>
        </row>
        <row r="2775">
          <cell r="A2775" t="str">
            <v>Y031-018</v>
          </cell>
          <cell r="B2775" t="str">
            <v>LCT115-044</v>
          </cell>
          <cell r="C2775" t="str">
            <v>Y031</v>
          </cell>
          <cell r="D2775" t="str">
            <v>7577小床</v>
          </cell>
          <cell r="E2775" t="str">
            <v>小床POLY飾花-L</v>
          </cell>
          <cell r="F2775" t="str">
            <v>482*25*14</v>
          </cell>
          <cell r="G2775">
            <v>482</v>
          </cell>
          <cell r="H2775">
            <v>25</v>
          </cell>
          <cell r="I2775">
            <v>14</v>
          </cell>
          <cell r="J2775">
            <v>220</v>
          </cell>
          <cell r="K2775">
            <v>0</v>
          </cell>
          <cell r="L2775">
            <v>0.62</v>
          </cell>
          <cell r="M2775">
            <v>0</v>
          </cell>
          <cell r="N2775">
            <v>0</v>
          </cell>
          <cell r="O2775" t="str">
            <v>40V</v>
          </cell>
          <cell r="P2775" t="str">
            <v>1010</v>
          </cell>
          <cell r="Q2775" t="str">
            <v>1010</v>
          </cell>
          <cell r="R2775">
            <v>2.8181818181818183</v>
          </cell>
        </row>
        <row r="2776">
          <cell r="A2776" t="str">
            <v>Y031-019</v>
          </cell>
          <cell r="B2776" t="str">
            <v>LCT115-045</v>
          </cell>
          <cell r="C2776" t="str">
            <v>Y031</v>
          </cell>
          <cell r="D2776" t="str">
            <v>7577小床</v>
          </cell>
          <cell r="E2776" t="str">
            <v>小床POLY飾花-R</v>
          </cell>
          <cell r="F2776" t="str">
            <v>482*25*14</v>
          </cell>
          <cell r="G2776">
            <v>482</v>
          </cell>
          <cell r="H2776">
            <v>25</v>
          </cell>
          <cell r="I2776">
            <v>14</v>
          </cell>
          <cell r="J2776">
            <v>220</v>
          </cell>
          <cell r="K2776">
            <v>0</v>
          </cell>
          <cell r="L2776">
            <v>0.62</v>
          </cell>
          <cell r="M2776">
            <v>0</v>
          </cell>
          <cell r="N2776">
            <v>0</v>
          </cell>
          <cell r="O2776" t="str">
            <v>40V</v>
          </cell>
          <cell r="P2776" t="str">
            <v>1010</v>
          </cell>
          <cell r="Q2776" t="str">
            <v>1010</v>
          </cell>
          <cell r="R2776">
            <v>2.8181818181818183</v>
          </cell>
        </row>
        <row r="2777">
          <cell r="A2777" t="str">
            <v>Y031-020</v>
          </cell>
          <cell r="B2777" t="str">
            <v>LCT115-046</v>
          </cell>
          <cell r="C2777" t="str">
            <v>Y031</v>
          </cell>
          <cell r="D2777" t="str">
            <v>7577小床</v>
          </cell>
          <cell r="E2777" t="str">
            <v>小床POLY飾條-L</v>
          </cell>
          <cell r="F2777" t="str">
            <v>234*25*14</v>
          </cell>
          <cell r="G2777">
            <v>234</v>
          </cell>
          <cell r="H2777">
            <v>25</v>
          </cell>
          <cell r="I2777">
            <v>14</v>
          </cell>
          <cell r="J2777">
            <v>130</v>
          </cell>
          <cell r="K2777">
            <v>0</v>
          </cell>
          <cell r="L2777">
            <v>0.37</v>
          </cell>
          <cell r="M2777">
            <v>0</v>
          </cell>
          <cell r="N2777">
            <v>0</v>
          </cell>
          <cell r="O2777" t="str">
            <v>40V</v>
          </cell>
          <cell r="P2777" t="str">
            <v>1010</v>
          </cell>
          <cell r="Q2777" t="str">
            <v>1010</v>
          </cell>
          <cell r="R2777">
            <v>2.8461538461538458</v>
          </cell>
        </row>
        <row r="2778">
          <cell r="A2778" t="str">
            <v>Y031-021</v>
          </cell>
          <cell r="B2778" t="str">
            <v>LCT115-047</v>
          </cell>
          <cell r="C2778" t="str">
            <v>Y031</v>
          </cell>
          <cell r="D2778" t="str">
            <v>7577小床</v>
          </cell>
          <cell r="E2778" t="str">
            <v>小床POLY飾條-R</v>
          </cell>
          <cell r="F2778" t="str">
            <v>234*25*14</v>
          </cell>
          <cell r="G2778">
            <v>234</v>
          </cell>
          <cell r="H2778">
            <v>25</v>
          </cell>
          <cell r="I2778">
            <v>14</v>
          </cell>
          <cell r="J2778">
            <v>130</v>
          </cell>
          <cell r="K2778">
            <v>0</v>
          </cell>
          <cell r="L2778">
            <v>0.37</v>
          </cell>
          <cell r="M2778">
            <v>0</v>
          </cell>
          <cell r="N2778">
            <v>0</v>
          </cell>
          <cell r="O2778" t="str">
            <v>40V</v>
          </cell>
          <cell r="P2778" t="str">
            <v>1010</v>
          </cell>
          <cell r="Q2778" t="str">
            <v>1010</v>
          </cell>
          <cell r="R2778">
            <v>2.8461538461538458</v>
          </cell>
        </row>
        <row r="2779">
          <cell r="A2779" t="str">
            <v>Y031-022</v>
          </cell>
          <cell r="B2779" t="str">
            <v>LCT115-048</v>
          </cell>
          <cell r="C2779" t="str">
            <v>Y031</v>
          </cell>
          <cell r="D2779">
            <v>7577</v>
          </cell>
          <cell r="E2779" t="str">
            <v>POLY飾條</v>
          </cell>
          <cell r="F2779" t="str">
            <v>116*16*10</v>
          </cell>
          <cell r="G2779">
            <v>116</v>
          </cell>
          <cell r="H2779">
            <v>16</v>
          </cell>
          <cell r="I2779">
            <v>10</v>
          </cell>
          <cell r="J2779">
            <v>50</v>
          </cell>
          <cell r="K2779">
            <v>0</v>
          </cell>
          <cell r="L2779">
            <v>0.18</v>
          </cell>
          <cell r="M2779">
            <v>0</v>
          </cell>
          <cell r="N2779">
            <v>0</v>
          </cell>
          <cell r="O2779" t="str">
            <v>40V</v>
          </cell>
          <cell r="P2779" t="str">
            <v>1010</v>
          </cell>
          <cell r="Q2779" t="str">
            <v>1010</v>
          </cell>
          <cell r="R2779">
            <v>3.5999999999999996</v>
          </cell>
        </row>
        <row r="2780">
          <cell r="A2780" t="str">
            <v>Y031-023</v>
          </cell>
          <cell r="B2780" t="str">
            <v>LCT115-049</v>
          </cell>
          <cell r="C2780" t="str">
            <v>Y031</v>
          </cell>
          <cell r="D2780" t="str">
            <v>KO-001NS</v>
          </cell>
          <cell r="E2780" t="str">
            <v>床頭柜-飾花</v>
          </cell>
          <cell r="F2780" t="str">
            <v>217*50*16</v>
          </cell>
          <cell r="G2780">
            <v>217</v>
          </cell>
          <cell r="H2780">
            <v>50</v>
          </cell>
          <cell r="I2780">
            <v>6</v>
          </cell>
          <cell r="J2780">
            <v>120</v>
          </cell>
          <cell r="K2780">
            <v>0</v>
          </cell>
          <cell r="L2780">
            <v>0.34</v>
          </cell>
          <cell r="M2780">
            <v>0</v>
          </cell>
          <cell r="N2780">
            <v>0</v>
          </cell>
          <cell r="O2780" t="str">
            <v>40V</v>
          </cell>
          <cell r="P2780" t="str">
            <v>1010</v>
          </cell>
          <cell r="Q2780" t="str">
            <v>1010</v>
          </cell>
          <cell r="R2780">
            <v>2.8333333333333335</v>
          </cell>
        </row>
        <row r="2781">
          <cell r="A2781" t="str">
            <v>Y031-024</v>
          </cell>
          <cell r="B2781" t="str">
            <v>LCT115-050</v>
          </cell>
          <cell r="C2781" t="str">
            <v>Y031</v>
          </cell>
          <cell r="D2781" t="str">
            <v>KO-001NS</v>
          </cell>
          <cell r="E2781" t="str">
            <v>床頭柜-飾條</v>
          </cell>
          <cell r="F2781" t="str">
            <v>482*20*6</v>
          </cell>
          <cell r="G2781">
            <v>482</v>
          </cell>
          <cell r="H2781">
            <v>20</v>
          </cell>
          <cell r="I2781">
            <v>6</v>
          </cell>
          <cell r="J2781">
            <v>140</v>
          </cell>
          <cell r="K2781">
            <v>0</v>
          </cell>
          <cell r="L2781">
            <v>0.33</v>
          </cell>
          <cell r="M2781">
            <v>0</v>
          </cell>
          <cell r="N2781">
            <v>0</v>
          </cell>
          <cell r="O2781" t="str">
            <v>40V</v>
          </cell>
          <cell r="P2781" t="str">
            <v>1010</v>
          </cell>
          <cell r="Q2781" t="str">
            <v>1010</v>
          </cell>
          <cell r="R2781">
            <v>2.3571428571428572</v>
          </cell>
        </row>
        <row r="2782">
          <cell r="A2782" t="str">
            <v>Y031-025</v>
          </cell>
          <cell r="B2782" t="str">
            <v>LCT115-051</v>
          </cell>
          <cell r="C2782" t="str">
            <v>Y031</v>
          </cell>
          <cell r="D2782" t="str">
            <v>KO-001DR</v>
          </cell>
          <cell r="E2782" t="str">
            <v>梳妝枱-飾花</v>
          </cell>
          <cell r="F2782" t="str">
            <v>217*50*16</v>
          </cell>
          <cell r="G2782">
            <v>217</v>
          </cell>
          <cell r="H2782">
            <v>50</v>
          </cell>
          <cell r="I2782">
            <v>16</v>
          </cell>
          <cell r="J2782">
            <v>120</v>
          </cell>
          <cell r="K2782">
            <v>0</v>
          </cell>
          <cell r="L2782">
            <v>0.34</v>
          </cell>
          <cell r="M2782">
            <v>0</v>
          </cell>
          <cell r="N2782">
            <v>0</v>
          </cell>
          <cell r="O2782" t="str">
            <v>40V</v>
          </cell>
          <cell r="P2782" t="str">
            <v>1010</v>
          </cell>
          <cell r="Q2782" t="str">
            <v>1010</v>
          </cell>
          <cell r="R2782">
            <v>2.8333333333333335</v>
          </cell>
        </row>
        <row r="2783">
          <cell r="A2783" t="str">
            <v>Y031-026</v>
          </cell>
          <cell r="B2783" t="str">
            <v>LCT115-052</v>
          </cell>
          <cell r="C2783" t="str">
            <v>Y031</v>
          </cell>
          <cell r="D2783" t="str">
            <v>KO-001DR</v>
          </cell>
          <cell r="E2783" t="str">
            <v>梳妝枱-抽屜飾條</v>
          </cell>
          <cell r="F2783" t="str">
            <v>760*37*9</v>
          </cell>
          <cell r="G2783">
            <v>760</v>
          </cell>
          <cell r="H2783">
            <v>37</v>
          </cell>
          <cell r="I2783">
            <v>9</v>
          </cell>
          <cell r="J2783">
            <v>460</v>
          </cell>
          <cell r="K2783">
            <v>0</v>
          </cell>
          <cell r="L2783">
            <v>1.26</v>
          </cell>
          <cell r="M2783">
            <v>0</v>
          </cell>
          <cell r="N2783">
            <v>0</v>
          </cell>
          <cell r="O2783" t="str">
            <v>40V</v>
          </cell>
          <cell r="P2783" t="str">
            <v>1010</v>
          </cell>
          <cell r="Q2783" t="str">
            <v>1010</v>
          </cell>
          <cell r="R2783">
            <v>2.7391304347826084</v>
          </cell>
        </row>
        <row r="2784">
          <cell r="A2784" t="str">
            <v>Y031-027</v>
          </cell>
          <cell r="B2784" t="str">
            <v>LCT115-053</v>
          </cell>
          <cell r="C2784" t="str">
            <v>Y031</v>
          </cell>
          <cell r="D2784" t="str">
            <v>KO-001DR</v>
          </cell>
          <cell r="E2784" t="str">
            <v>梳妝枱-飾條</v>
          </cell>
          <cell r="F2784" t="str">
            <v>753*20*6</v>
          </cell>
          <cell r="G2784">
            <v>753</v>
          </cell>
          <cell r="H2784">
            <v>20</v>
          </cell>
          <cell r="I2784">
            <v>6</v>
          </cell>
          <cell r="J2784">
            <v>200</v>
          </cell>
          <cell r="K2784">
            <v>0</v>
          </cell>
          <cell r="L2784">
            <v>0.51</v>
          </cell>
          <cell r="M2784">
            <v>0</v>
          </cell>
          <cell r="N2784">
            <v>0</v>
          </cell>
          <cell r="O2784" t="str">
            <v>40V</v>
          </cell>
          <cell r="P2784" t="str">
            <v>1010</v>
          </cell>
          <cell r="Q2784" t="str">
            <v>1010</v>
          </cell>
          <cell r="R2784">
            <v>2.5499999999999998</v>
          </cell>
        </row>
        <row r="2785">
          <cell r="A2785" t="str">
            <v>Y031-028</v>
          </cell>
          <cell r="B2785" t="str">
            <v>LCT115-054</v>
          </cell>
          <cell r="C2785" t="str">
            <v>Y031</v>
          </cell>
          <cell r="D2785" t="str">
            <v>KO-001DR</v>
          </cell>
          <cell r="E2785" t="str">
            <v>梳妝枱-飾條</v>
          </cell>
          <cell r="F2785" t="str">
            <v>368*20*6</v>
          </cell>
          <cell r="G2785">
            <v>368</v>
          </cell>
          <cell r="H2785">
            <v>20</v>
          </cell>
          <cell r="I2785">
            <v>6</v>
          </cell>
          <cell r="J2785">
            <v>100</v>
          </cell>
          <cell r="K2785">
            <v>0</v>
          </cell>
          <cell r="L2785">
            <v>0.25</v>
          </cell>
          <cell r="M2785">
            <v>0</v>
          </cell>
          <cell r="N2785">
            <v>0</v>
          </cell>
          <cell r="O2785" t="str">
            <v>40V</v>
          </cell>
          <cell r="P2785" t="str">
            <v>1010</v>
          </cell>
          <cell r="Q2785" t="str">
            <v>1010</v>
          </cell>
          <cell r="R2785">
            <v>2.5</v>
          </cell>
        </row>
        <row r="2786">
          <cell r="A2786" t="str">
            <v>Y031-029</v>
          </cell>
          <cell r="B2786" t="str">
            <v>LCT115-055</v>
          </cell>
          <cell r="C2786" t="str">
            <v>Y031</v>
          </cell>
          <cell r="D2786" t="str">
            <v>KO-001MR</v>
          </cell>
          <cell r="E2786" t="str">
            <v>鏡子-芯板飾花</v>
          </cell>
          <cell r="F2786" t="str">
            <v>215*100*16</v>
          </cell>
          <cell r="G2786">
            <v>215</v>
          </cell>
          <cell r="H2786">
            <v>100</v>
          </cell>
          <cell r="I2786">
            <v>16</v>
          </cell>
          <cell r="J2786">
            <v>210</v>
          </cell>
          <cell r="K2786">
            <v>0</v>
          </cell>
          <cell r="L2786">
            <v>0.59</v>
          </cell>
          <cell r="M2786">
            <v>0</v>
          </cell>
          <cell r="N2786">
            <v>0</v>
          </cell>
          <cell r="O2786" t="str">
            <v>40V</v>
          </cell>
          <cell r="P2786" t="str">
            <v>1010</v>
          </cell>
          <cell r="Q2786" t="str">
            <v>1010</v>
          </cell>
          <cell r="R2786">
            <v>2.8095238095238093</v>
          </cell>
        </row>
        <row r="2787">
          <cell r="A2787" t="str">
            <v>Y031-030</v>
          </cell>
          <cell r="B2787" t="str">
            <v>LCT115-056</v>
          </cell>
          <cell r="C2787" t="str">
            <v>Y031</v>
          </cell>
          <cell r="D2787" t="str">
            <v>KO-001AR</v>
          </cell>
          <cell r="E2787" t="str">
            <v>電視柜-飾花</v>
          </cell>
          <cell r="F2787" t="str">
            <v>215*400*16</v>
          </cell>
          <cell r="G2787">
            <v>215</v>
          </cell>
          <cell r="H2787">
            <v>100</v>
          </cell>
          <cell r="I2787">
            <v>16</v>
          </cell>
          <cell r="J2787">
            <v>210</v>
          </cell>
          <cell r="K2787">
            <v>0</v>
          </cell>
          <cell r="L2787">
            <v>0.59</v>
          </cell>
          <cell r="M2787">
            <v>0</v>
          </cell>
          <cell r="N2787">
            <v>0</v>
          </cell>
          <cell r="O2787" t="str">
            <v>40V</v>
          </cell>
          <cell r="P2787" t="str">
            <v>1010</v>
          </cell>
          <cell r="Q2787" t="str">
            <v>1010</v>
          </cell>
          <cell r="R2787">
            <v>2.8095238095238093</v>
          </cell>
        </row>
        <row r="2788">
          <cell r="A2788" t="str">
            <v>Y031-031</v>
          </cell>
          <cell r="B2788" t="str">
            <v>LCT115-057</v>
          </cell>
          <cell r="C2788" t="str">
            <v>Y031</v>
          </cell>
          <cell r="D2788" t="str">
            <v>KO-001AR</v>
          </cell>
          <cell r="E2788" t="str">
            <v>電視柜-飾花</v>
          </cell>
          <cell r="F2788" t="str">
            <v>217*50*16</v>
          </cell>
          <cell r="G2788">
            <v>217</v>
          </cell>
          <cell r="H2788">
            <v>50</v>
          </cell>
          <cell r="I2788">
            <v>16</v>
          </cell>
          <cell r="J2788">
            <v>120</v>
          </cell>
          <cell r="K2788">
            <v>0</v>
          </cell>
          <cell r="L2788">
            <v>0.34</v>
          </cell>
          <cell r="M2788">
            <v>0</v>
          </cell>
          <cell r="N2788">
            <v>0</v>
          </cell>
          <cell r="O2788" t="str">
            <v>40V</v>
          </cell>
          <cell r="P2788" t="str">
            <v>1010</v>
          </cell>
          <cell r="Q2788" t="str">
            <v>1010</v>
          </cell>
          <cell r="R2788">
            <v>2.8333333333333335</v>
          </cell>
        </row>
        <row r="2789">
          <cell r="A2789" t="str">
            <v>Y031-032</v>
          </cell>
          <cell r="B2789" t="str">
            <v>LCT115-058</v>
          </cell>
          <cell r="C2789" t="str">
            <v>Y031</v>
          </cell>
          <cell r="D2789" t="str">
            <v>KO-001AR</v>
          </cell>
          <cell r="E2789" t="str">
            <v>電視柜-飾條</v>
          </cell>
          <cell r="F2789" t="str">
            <v>900*20*6</v>
          </cell>
          <cell r="G2789">
            <v>900</v>
          </cell>
          <cell r="H2789">
            <v>20</v>
          </cell>
          <cell r="I2789">
            <v>6</v>
          </cell>
          <cell r="J2789">
            <v>240</v>
          </cell>
          <cell r="K2789">
            <v>0</v>
          </cell>
          <cell r="L2789">
            <v>0.76</v>
          </cell>
          <cell r="M2789">
            <v>0</v>
          </cell>
          <cell r="N2789">
            <v>0</v>
          </cell>
          <cell r="O2789" t="str">
            <v>40V</v>
          </cell>
          <cell r="P2789" t="str">
            <v>1010</v>
          </cell>
          <cell r="Q2789" t="str">
            <v>1010</v>
          </cell>
          <cell r="R2789">
            <v>3.166666666666667</v>
          </cell>
        </row>
        <row r="2790">
          <cell r="A2790" t="str">
            <v>Y031-033</v>
          </cell>
          <cell r="B2790" t="str">
            <v>LCT115-059</v>
          </cell>
          <cell r="C2790" t="str">
            <v>Y031</v>
          </cell>
          <cell r="D2790" t="str">
            <v>KO-001Q</v>
          </cell>
          <cell r="E2790" t="str">
            <v>女王床-床頭芯板飾花</v>
          </cell>
          <cell r="F2790" t="str">
            <v>215*100*16</v>
          </cell>
          <cell r="G2790">
            <v>215</v>
          </cell>
          <cell r="H2790">
            <v>100</v>
          </cell>
          <cell r="I2790">
            <v>16</v>
          </cell>
          <cell r="J2790">
            <v>210</v>
          </cell>
          <cell r="K2790">
            <v>0</v>
          </cell>
          <cell r="L2790">
            <v>0.59</v>
          </cell>
          <cell r="M2790">
            <v>0</v>
          </cell>
          <cell r="N2790">
            <v>0</v>
          </cell>
          <cell r="O2790" t="str">
            <v>40V</v>
          </cell>
          <cell r="P2790" t="str">
            <v>1010</v>
          </cell>
          <cell r="Q2790" t="str">
            <v>1010</v>
          </cell>
          <cell r="R2790">
            <v>2.8095238095238093</v>
          </cell>
        </row>
        <row r="2791">
          <cell r="A2791" t="str">
            <v>Y031-034</v>
          </cell>
          <cell r="B2791" t="str">
            <v>LCT115-060</v>
          </cell>
          <cell r="C2791" t="str">
            <v>Y031</v>
          </cell>
          <cell r="D2791" t="str">
            <v>KO-001Q</v>
          </cell>
          <cell r="E2791" t="str">
            <v>女王床-床尾芯板飾花</v>
          </cell>
          <cell r="F2791" t="str">
            <v>215*100*16</v>
          </cell>
          <cell r="G2791">
            <v>215</v>
          </cell>
          <cell r="H2791">
            <v>100</v>
          </cell>
          <cell r="I2791">
            <v>16</v>
          </cell>
          <cell r="J2791">
            <v>210</v>
          </cell>
          <cell r="K2791">
            <v>0</v>
          </cell>
          <cell r="L2791">
            <v>0.59</v>
          </cell>
          <cell r="M2791">
            <v>0</v>
          </cell>
          <cell r="N2791">
            <v>0</v>
          </cell>
          <cell r="O2791" t="str">
            <v>40V</v>
          </cell>
          <cell r="P2791" t="str">
            <v>1010</v>
          </cell>
          <cell r="Q2791" t="str">
            <v>1010</v>
          </cell>
          <cell r="R2791">
            <v>2.8095238095238093</v>
          </cell>
        </row>
        <row r="2792">
          <cell r="A2792" t="str">
            <v>Y031-035</v>
          </cell>
          <cell r="B2792" t="str">
            <v>LCT115-061</v>
          </cell>
          <cell r="C2792" t="str">
            <v>Y031</v>
          </cell>
          <cell r="D2792" t="str">
            <v>KO-001Q</v>
          </cell>
          <cell r="E2792" t="str">
            <v>女王床-床尾芯板飾花</v>
          </cell>
          <cell r="F2792" t="str">
            <v>260*28*10</v>
          </cell>
          <cell r="G2792">
            <v>260</v>
          </cell>
          <cell r="H2792">
            <v>28</v>
          </cell>
          <cell r="I2792">
            <v>10</v>
          </cell>
          <cell r="J2792">
            <v>100</v>
          </cell>
          <cell r="K2792">
            <v>0</v>
          </cell>
          <cell r="L2792">
            <v>0.28000000000000003</v>
          </cell>
          <cell r="M2792">
            <v>0</v>
          </cell>
          <cell r="N2792">
            <v>0</v>
          </cell>
          <cell r="O2792" t="str">
            <v>40V</v>
          </cell>
          <cell r="P2792" t="str">
            <v>1010</v>
          </cell>
          <cell r="Q2792" t="str">
            <v>1010</v>
          </cell>
          <cell r="R2792">
            <v>2.8000000000000003</v>
          </cell>
        </row>
        <row r="2793">
          <cell r="A2793" t="str">
            <v>Y031-036</v>
          </cell>
          <cell r="B2793" t="str">
            <v>LCT115-062</v>
          </cell>
          <cell r="C2793" t="str">
            <v>Y031</v>
          </cell>
          <cell r="D2793" t="str">
            <v>KO-001K</v>
          </cell>
          <cell r="E2793" t="str">
            <v>國王床-床頭芯板飾花</v>
          </cell>
          <cell r="F2793" t="str">
            <v>215*100*16</v>
          </cell>
          <cell r="G2793">
            <v>215</v>
          </cell>
          <cell r="H2793">
            <v>100</v>
          </cell>
          <cell r="I2793">
            <v>16</v>
          </cell>
          <cell r="J2793">
            <v>210</v>
          </cell>
          <cell r="K2793">
            <v>0</v>
          </cell>
          <cell r="L2793">
            <v>0.59</v>
          </cell>
          <cell r="M2793">
            <v>0</v>
          </cell>
          <cell r="N2793">
            <v>0</v>
          </cell>
          <cell r="O2793" t="str">
            <v>40V</v>
          </cell>
          <cell r="P2793" t="str">
            <v>1010</v>
          </cell>
          <cell r="Q2793" t="str">
            <v>1010</v>
          </cell>
          <cell r="R2793">
            <v>2.8095238095238093</v>
          </cell>
        </row>
        <row r="2794">
          <cell r="A2794" t="str">
            <v>Y031-037</v>
          </cell>
          <cell r="B2794" t="str">
            <v>LCT115-063</v>
          </cell>
          <cell r="C2794" t="str">
            <v>Y031</v>
          </cell>
          <cell r="D2794" t="str">
            <v>KO-001K</v>
          </cell>
          <cell r="E2794" t="str">
            <v>國王床-床尾芯板飾花</v>
          </cell>
          <cell r="F2794" t="str">
            <v>215*100*16</v>
          </cell>
          <cell r="G2794">
            <v>215</v>
          </cell>
          <cell r="H2794">
            <v>100</v>
          </cell>
          <cell r="I2794">
            <v>16</v>
          </cell>
          <cell r="J2794">
            <v>210</v>
          </cell>
          <cell r="K2794">
            <v>0</v>
          </cell>
          <cell r="L2794">
            <v>0.59</v>
          </cell>
          <cell r="M2794">
            <v>0</v>
          </cell>
          <cell r="N2794">
            <v>0</v>
          </cell>
          <cell r="O2794" t="str">
            <v>40V</v>
          </cell>
          <cell r="P2794" t="str">
            <v>1010</v>
          </cell>
          <cell r="Q2794" t="str">
            <v>1010</v>
          </cell>
          <cell r="R2794">
            <v>2.8095238095238093</v>
          </cell>
        </row>
        <row r="2795">
          <cell r="A2795" t="str">
            <v>Y031-038</v>
          </cell>
          <cell r="B2795" t="str">
            <v>LCT115-064</v>
          </cell>
          <cell r="C2795" t="str">
            <v>Y031</v>
          </cell>
          <cell r="D2795" t="str">
            <v>KO-001K</v>
          </cell>
          <cell r="E2795" t="str">
            <v>國王床-床尾芯板飾花</v>
          </cell>
          <cell r="F2795" t="str">
            <v>260*28*10</v>
          </cell>
          <cell r="G2795">
            <v>260</v>
          </cell>
          <cell r="H2795">
            <v>28</v>
          </cell>
          <cell r="I2795">
            <v>10</v>
          </cell>
          <cell r="J2795">
            <v>100</v>
          </cell>
          <cell r="K2795">
            <v>0</v>
          </cell>
          <cell r="L2795">
            <v>0.28000000000000003</v>
          </cell>
          <cell r="M2795">
            <v>0</v>
          </cell>
          <cell r="N2795">
            <v>0</v>
          </cell>
          <cell r="O2795" t="str">
            <v>40V</v>
          </cell>
          <cell r="P2795" t="str">
            <v>1010</v>
          </cell>
          <cell r="Q2795" t="str">
            <v>1010</v>
          </cell>
          <cell r="R2795">
            <v>2.8000000000000003</v>
          </cell>
        </row>
        <row r="2796">
          <cell r="A2796" t="str">
            <v>Y031-039</v>
          </cell>
          <cell r="B2796" t="str">
            <v>LCT115-065</v>
          </cell>
          <cell r="C2796" t="str">
            <v>Y031</v>
          </cell>
          <cell r="D2796" t="str">
            <v>KO-002AR</v>
          </cell>
          <cell r="E2796" t="str">
            <v>電視柜-飾條</v>
          </cell>
          <cell r="F2796" t="str">
            <v>600*7*4</v>
          </cell>
          <cell r="G2796">
            <v>600</v>
          </cell>
          <cell r="H2796">
            <v>7</v>
          </cell>
          <cell r="I2796">
            <v>4</v>
          </cell>
          <cell r="J2796">
            <v>30</v>
          </cell>
          <cell r="K2796">
            <v>0</v>
          </cell>
          <cell r="L2796">
            <v>0.15</v>
          </cell>
          <cell r="M2796">
            <v>0</v>
          </cell>
          <cell r="N2796">
            <v>0</v>
          </cell>
          <cell r="O2796" t="str">
            <v>40V</v>
          </cell>
          <cell r="P2796" t="str">
            <v>1010</v>
          </cell>
          <cell r="Q2796" t="str">
            <v>1010</v>
          </cell>
          <cell r="R2796">
            <v>5</v>
          </cell>
        </row>
        <row r="2797">
          <cell r="A2797" t="str">
            <v>Y031-040</v>
          </cell>
          <cell r="B2797" t="str">
            <v>LCT115-066</v>
          </cell>
          <cell r="C2797" t="str">
            <v>Y031</v>
          </cell>
          <cell r="D2797" t="str">
            <v>51-702</v>
          </cell>
          <cell r="E2797" t="str">
            <v>床頭柜-前立柱上飾花</v>
          </cell>
          <cell r="F2797" t="str">
            <v>101*54*10</v>
          </cell>
          <cell r="G2797">
            <v>101</v>
          </cell>
          <cell r="H2797">
            <v>54</v>
          </cell>
          <cell r="I2797">
            <v>10</v>
          </cell>
          <cell r="J2797">
            <v>70</v>
          </cell>
          <cell r="K2797">
            <v>0</v>
          </cell>
          <cell r="L2797">
            <v>0.25</v>
          </cell>
          <cell r="M2797">
            <v>0</v>
          </cell>
          <cell r="N2797">
            <v>0</v>
          </cell>
          <cell r="O2797" t="str">
            <v>40V</v>
          </cell>
          <cell r="P2797" t="str">
            <v>1010</v>
          </cell>
          <cell r="Q2797" t="str">
            <v>1010</v>
          </cell>
          <cell r="R2797">
            <v>3.5714285714285712</v>
          </cell>
        </row>
        <row r="2798">
          <cell r="A2798" t="str">
            <v>Y031-041</v>
          </cell>
          <cell r="B2798" t="str">
            <v>LCT115-067</v>
          </cell>
          <cell r="C2798" t="str">
            <v>Y031</v>
          </cell>
          <cell r="D2798" t="str">
            <v>51-702</v>
          </cell>
          <cell r="E2798" t="str">
            <v>床頭柜-前立柱下飾線</v>
          </cell>
          <cell r="F2798" t="str">
            <v>64*6*3</v>
          </cell>
          <cell r="G2798">
            <v>64</v>
          </cell>
          <cell r="H2798">
            <v>6</v>
          </cell>
          <cell r="I2798">
            <v>3</v>
          </cell>
          <cell r="J2798">
            <v>10</v>
          </cell>
          <cell r="K2798">
            <v>0</v>
          </cell>
          <cell r="L2798">
            <v>0.04</v>
          </cell>
          <cell r="M2798">
            <v>0</v>
          </cell>
          <cell r="N2798">
            <v>0</v>
          </cell>
          <cell r="O2798" t="str">
            <v>40V</v>
          </cell>
          <cell r="P2798" t="str">
            <v>1010</v>
          </cell>
          <cell r="Q2798" t="str">
            <v>1010</v>
          </cell>
          <cell r="R2798">
            <v>4</v>
          </cell>
        </row>
        <row r="2799">
          <cell r="A2799" t="str">
            <v>Y031-042</v>
          </cell>
          <cell r="B2799" t="str">
            <v>LCT115-068</v>
          </cell>
          <cell r="C2799" t="str">
            <v>Y031</v>
          </cell>
          <cell r="D2799" t="str">
            <v>51-702</v>
          </cell>
          <cell r="E2799" t="str">
            <v>床頭柜-底框飾條前</v>
          </cell>
          <cell r="F2799" t="str">
            <v>691*25*21</v>
          </cell>
          <cell r="G2799">
            <v>691</v>
          </cell>
          <cell r="H2799">
            <v>25</v>
          </cell>
          <cell r="I2799">
            <v>21</v>
          </cell>
          <cell r="J2799">
            <v>480</v>
          </cell>
          <cell r="K2799">
            <v>0</v>
          </cell>
          <cell r="L2799">
            <v>1.35</v>
          </cell>
          <cell r="M2799">
            <v>0</v>
          </cell>
          <cell r="N2799">
            <v>0</v>
          </cell>
          <cell r="O2799" t="str">
            <v>40V</v>
          </cell>
          <cell r="P2799" t="str">
            <v>1010</v>
          </cell>
          <cell r="Q2799" t="str">
            <v>1010</v>
          </cell>
          <cell r="R2799">
            <v>2.8125000000000004</v>
          </cell>
        </row>
        <row r="2800">
          <cell r="A2800" t="str">
            <v>Y031-043</v>
          </cell>
          <cell r="B2800" t="str">
            <v>LCT115-069</v>
          </cell>
          <cell r="C2800" t="str">
            <v>Y031</v>
          </cell>
          <cell r="D2800" t="str">
            <v>51-702</v>
          </cell>
          <cell r="E2800" t="str">
            <v>床頭柜-底框飾條側</v>
          </cell>
          <cell r="F2800" t="str">
            <v>485*25*21</v>
          </cell>
          <cell r="G2800">
            <v>485</v>
          </cell>
          <cell r="H2800">
            <v>25</v>
          </cell>
          <cell r="I2800">
            <v>21</v>
          </cell>
          <cell r="J2800">
            <v>370</v>
          </cell>
          <cell r="K2800">
            <v>0</v>
          </cell>
          <cell r="L2800">
            <v>1.04</v>
          </cell>
          <cell r="M2800">
            <v>0</v>
          </cell>
          <cell r="N2800">
            <v>0</v>
          </cell>
          <cell r="O2800" t="str">
            <v>40V</v>
          </cell>
          <cell r="P2800" t="str">
            <v>1010</v>
          </cell>
          <cell r="Q2800" t="str">
            <v>1010</v>
          </cell>
          <cell r="R2800">
            <v>2.810810810810811</v>
          </cell>
        </row>
        <row r="2801">
          <cell r="A2801" t="str">
            <v>Y031-044</v>
          </cell>
          <cell r="B2801" t="str">
            <v>LCT115-070</v>
          </cell>
          <cell r="C2801" t="str">
            <v>Y031</v>
          </cell>
          <cell r="D2801" t="str">
            <v>51-711</v>
          </cell>
          <cell r="E2801" t="str">
            <v>高柜-前立柱上飾花</v>
          </cell>
          <cell r="F2801" t="str">
            <v>126*54*10</v>
          </cell>
          <cell r="G2801">
            <v>126</v>
          </cell>
          <cell r="H2801">
            <v>54</v>
          </cell>
          <cell r="I2801">
            <v>10</v>
          </cell>
          <cell r="J2801">
            <v>80</v>
          </cell>
          <cell r="K2801">
            <v>0</v>
          </cell>
          <cell r="L2801">
            <v>0.28000000000000003</v>
          </cell>
          <cell r="M2801">
            <v>0</v>
          </cell>
          <cell r="N2801">
            <v>0</v>
          </cell>
          <cell r="O2801" t="str">
            <v>40V</v>
          </cell>
          <cell r="P2801" t="str">
            <v>1010</v>
          </cell>
          <cell r="Q2801" t="str">
            <v>1010</v>
          </cell>
          <cell r="R2801">
            <v>3.5000000000000004</v>
          </cell>
        </row>
        <row r="2802">
          <cell r="A2802" t="str">
            <v>Y031-045</v>
          </cell>
          <cell r="B2802" t="str">
            <v>LCT115-071</v>
          </cell>
          <cell r="C2802" t="str">
            <v>Y031</v>
          </cell>
          <cell r="D2802" t="str">
            <v>51-711</v>
          </cell>
          <cell r="E2802" t="str">
            <v>高柜-前立柱下飾線</v>
          </cell>
          <cell r="F2802" t="str">
            <v>64*6*3</v>
          </cell>
          <cell r="G2802">
            <v>64</v>
          </cell>
          <cell r="H2802">
            <v>6</v>
          </cell>
          <cell r="I2802">
            <v>3</v>
          </cell>
          <cell r="J2802">
            <v>10</v>
          </cell>
          <cell r="K2802">
            <v>0</v>
          </cell>
          <cell r="L2802">
            <v>0.04</v>
          </cell>
          <cell r="M2802">
            <v>0</v>
          </cell>
          <cell r="N2802">
            <v>0</v>
          </cell>
          <cell r="O2802" t="str">
            <v>40V</v>
          </cell>
          <cell r="P2802" t="str">
            <v>1010</v>
          </cell>
          <cell r="Q2802" t="str">
            <v>1010</v>
          </cell>
          <cell r="R2802">
            <v>4</v>
          </cell>
        </row>
        <row r="2803">
          <cell r="A2803" t="str">
            <v>Y031-046</v>
          </cell>
          <cell r="B2803" t="str">
            <v>LCT115-072</v>
          </cell>
          <cell r="C2803" t="str">
            <v>Y031</v>
          </cell>
          <cell r="D2803" t="str">
            <v>51-711</v>
          </cell>
          <cell r="E2803" t="str">
            <v>高柜-底框飾條前</v>
          </cell>
          <cell r="F2803" t="str">
            <v>909*25*21</v>
          </cell>
          <cell r="G2803">
            <v>909</v>
          </cell>
          <cell r="H2803">
            <v>25</v>
          </cell>
          <cell r="I2803">
            <v>21</v>
          </cell>
          <cell r="J2803">
            <v>600</v>
          </cell>
          <cell r="K2803">
            <v>0</v>
          </cell>
          <cell r="L2803">
            <v>1.68</v>
          </cell>
          <cell r="M2803">
            <v>0</v>
          </cell>
          <cell r="N2803">
            <v>0</v>
          </cell>
          <cell r="O2803" t="str">
            <v>40V</v>
          </cell>
          <cell r="P2803" t="str">
            <v>1010</v>
          </cell>
          <cell r="Q2803" t="str">
            <v>1010</v>
          </cell>
          <cell r="R2803">
            <v>2.8</v>
          </cell>
        </row>
        <row r="2804">
          <cell r="A2804" t="str">
            <v>Y031-047</v>
          </cell>
          <cell r="B2804" t="str">
            <v>LCT115-073</v>
          </cell>
          <cell r="C2804" t="str">
            <v>Y031</v>
          </cell>
          <cell r="D2804" t="str">
            <v>51-711</v>
          </cell>
          <cell r="E2804" t="str">
            <v>高柜-底框飾條側</v>
          </cell>
          <cell r="F2804" t="str">
            <v>485*25*21</v>
          </cell>
          <cell r="G2804">
            <v>485</v>
          </cell>
          <cell r="H2804">
            <v>25</v>
          </cell>
          <cell r="I2804">
            <v>21</v>
          </cell>
          <cell r="J2804">
            <v>370</v>
          </cell>
          <cell r="K2804">
            <v>0</v>
          </cell>
          <cell r="L2804">
            <v>1.04</v>
          </cell>
          <cell r="M2804">
            <v>0</v>
          </cell>
          <cell r="N2804">
            <v>0</v>
          </cell>
          <cell r="O2804" t="str">
            <v>40V</v>
          </cell>
          <cell r="P2804" t="str">
            <v>1010</v>
          </cell>
          <cell r="Q2804" t="str">
            <v>1010</v>
          </cell>
          <cell r="R2804">
            <v>2.810810810810811</v>
          </cell>
        </row>
        <row r="2805">
          <cell r="A2805" t="str">
            <v>Y031-048</v>
          </cell>
          <cell r="B2805" t="str">
            <v>LCT115-074</v>
          </cell>
          <cell r="C2805" t="str">
            <v>Y031</v>
          </cell>
          <cell r="D2805" t="str">
            <v>51-700</v>
          </cell>
          <cell r="E2805" t="str">
            <v>電視柜-前立柱上飾花</v>
          </cell>
          <cell r="F2805" t="str">
            <v>101*54*10</v>
          </cell>
          <cell r="G2805">
            <v>101</v>
          </cell>
          <cell r="H2805">
            <v>54</v>
          </cell>
          <cell r="I2805">
            <v>10</v>
          </cell>
          <cell r="J2805">
            <v>70</v>
          </cell>
          <cell r="K2805">
            <v>0</v>
          </cell>
          <cell r="L2805">
            <v>0.25</v>
          </cell>
          <cell r="M2805">
            <v>0</v>
          </cell>
          <cell r="N2805">
            <v>0</v>
          </cell>
          <cell r="O2805" t="str">
            <v>40V</v>
          </cell>
          <cell r="P2805" t="str">
            <v>1010</v>
          </cell>
          <cell r="Q2805" t="str">
            <v>1010</v>
          </cell>
          <cell r="R2805">
            <v>3.5714285714285712</v>
          </cell>
        </row>
        <row r="2806">
          <cell r="A2806" t="str">
            <v>Y031-049</v>
          </cell>
          <cell r="B2806" t="str">
            <v>LCT115-075</v>
          </cell>
          <cell r="C2806" t="str">
            <v>Y031</v>
          </cell>
          <cell r="D2806" t="str">
            <v>51-700</v>
          </cell>
          <cell r="E2806" t="str">
            <v>電視柜-前立柱下飾線</v>
          </cell>
          <cell r="F2806" t="str">
            <v>64*6*3</v>
          </cell>
          <cell r="G2806">
            <v>64</v>
          </cell>
          <cell r="H2806">
            <v>6</v>
          </cell>
          <cell r="I2806">
            <v>3</v>
          </cell>
          <cell r="J2806">
            <v>10</v>
          </cell>
          <cell r="K2806">
            <v>0</v>
          </cell>
          <cell r="L2806">
            <v>0.04</v>
          </cell>
          <cell r="M2806">
            <v>0</v>
          </cell>
          <cell r="N2806">
            <v>0</v>
          </cell>
          <cell r="O2806" t="str">
            <v>40V</v>
          </cell>
          <cell r="P2806" t="str">
            <v>1010</v>
          </cell>
          <cell r="Q2806" t="str">
            <v>1010</v>
          </cell>
          <cell r="R2806">
            <v>4</v>
          </cell>
        </row>
        <row r="2807">
          <cell r="A2807" t="str">
            <v>Y031-050</v>
          </cell>
          <cell r="B2807" t="str">
            <v>LCT115-076</v>
          </cell>
          <cell r="C2807" t="str">
            <v>Y031</v>
          </cell>
          <cell r="D2807" t="str">
            <v>51-700</v>
          </cell>
          <cell r="E2807" t="str">
            <v>電視柜-底框飾條前</v>
          </cell>
          <cell r="F2807" t="str">
            <v>1589*25*21</v>
          </cell>
          <cell r="G2807">
            <v>1589</v>
          </cell>
          <cell r="H2807">
            <v>25</v>
          </cell>
          <cell r="I2807">
            <v>21</v>
          </cell>
          <cell r="J2807">
            <v>1030</v>
          </cell>
          <cell r="K2807">
            <v>0</v>
          </cell>
          <cell r="L2807">
            <v>2.9</v>
          </cell>
          <cell r="M2807">
            <v>0</v>
          </cell>
          <cell r="N2807">
            <v>0</v>
          </cell>
          <cell r="O2807" t="str">
            <v>40V</v>
          </cell>
          <cell r="P2807" t="str">
            <v>1010</v>
          </cell>
          <cell r="Q2807" t="str">
            <v>1010</v>
          </cell>
          <cell r="R2807">
            <v>2.8155339805825239</v>
          </cell>
        </row>
        <row r="2808">
          <cell r="A2808" t="str">
            <v>Y031-051</v>
          </cell>
          <cell r="B2808" t="str">
            <v>LCT115-077</v>
          </cell>
          <cell r="C2808" t="str">
            <v>Y031</v>
          </cell>
          <cell r="D2808" t="str">
            <v>51-700</v>
          </cell>
          <cell r="E2808" t="str">
            <v>電視柜-底框飾條側</v>
          </cell>
          <cell r="F2808" t="str">
            <v>485*25*21</v>
          </cell>
          <cell r="G2808">
            <v>485</v>
          </cell>
          <cell r="H2808">
            <v>25</v>
          </cell>
          <cell r="I2808">
            <v>21</v>
          </cell>
          <cell r="J2808">
            <v>370</v>
          </cell>
          <cell r="K2808">
            <v>0</v>
          </cell>
          <cell r="L2808">
            <v>1.04</v>
          </cell>
          <cell r="M2808">
            <v>0</v>
          </cell>
          <cell r="N2808">
            <v>0</v>
          </cell>
          <cell r="O2808" t="str">
            <v>40V</v>
          </cell>
          <cell r="P2808" t="str">
            <v>1010</v>
          </cell>
          <cell r="Q2808" t="str">
            <v>1010</v>
          </cell>
          <cell r="R2808">
            <v>2.810810810810811</v>
          </cell>
        </row>
        <row r="2809">
          <cell r="A2809" t="str">
            <v>Y031-052</v>
          </cell>
          <cell r="B2809" t="str">
            <v>LCT115-078</v>
          </cell>
          <cell r="C2809" t="str">
            <v>Y031</v>
          </cell>
          <cell r="D2809" t="str">
            <v>51-703</v>
          </cell>
          <cell r="E2809" t="str">
            <v>國王床-芯板橫飾條</v>
          </cell>
          <cell r="F2809" t="str">
            <v>2072*25*14</v>
          </cell>
          <cell r="G2809">
            <v>2072</v>
          </cell>
          <cell r="H2809">
            <v>25</v>
          </cell>
          <cell r="I2809">
            <v>14</v>
          </cell>
          <cell r="J2809">
            <v>950</v>
          </cell>
          <cell r="K2809">
            <v>0</v>
          </cell>
          <cell r="L2809">
            <v>2.7</v>
          </cell>
          <cell r="M2809">
            <v>0</v>
          </cell>
          <cell r="N2809">
            <v>0</v>
          </cell>
          <cell r="O2809" t="str">
            <v>40V</v>
          </cell>
          <cell r="P2809" t="str">
            <v>1010</v>
          </cell>
          <cell r="Q2809" t="str">
            <v>1010</v>
          </cell>
          <cell r="R2809">
            <v>2.8421052631578951</v>
          </cell>
        </row>
        <row r="2810">
          <cell r="A2810" t="str">
            <v>Y031-053</v>
          </cell>
          <cell r="B2810" t="str">
            <v>LCT115-079</v>
          </cell>
          <cell r="C2810" t="str">
            <v>Y031</v>
          </cell>
          <cell r="D2810" t="str">
            <v>51-703</v>
          </cell>
          <cell r="E2810" t="str">
            <v>國王床-立柱飾花</v>
          </cell>
          <cell r="F2810" t="str">
            <v>84*74*10</v>
          </cell>
          <cell r="G2810">
            <v>84</v>
          </cell>
          <cell r="H2810">
            <v>74</v>
          </cell>
          <cell r="I2810">
            <v>10</v>
          </cell>
          <cell r="J2810">
            <v>70</v>
          </cell>
          <cell r="K2810">
            <v>0</v>
          </cell>
          <cell r="L2810">
            <v>0.25</v>
          </cell>
          <cell r="M2810">
            <v>0</v>
          </cell>
          <cell r="N2810">
            <v>0</v>
          </cell>
          <cell r="O2810" t="str">
            <v>40V</v>
          </cell>
          <cell r="P2810" t="str">
            <v>1010</v>
          </cell>
          <cell r="Q2810" t="str">
            <v>1010</v>
          </cell>
          <cell r="R2810">
            <v>3.5714285714285712</v>
          </cell>
        </row>
        <row r="2811">
          <cell r="A2811" t="str">
            <v>Y031-054</v>
          </cell>
          <cell r="B2811" t="str">
            <v>LCT115-080</v>
          </cell>
          <cell r="C2811" t="str">
            <v>Y031</v>
          </cell>
          <cell r="D2811" t="str">
            <v>51-703</v>
          </cell>
          <cell r="E2811" t="str">
            <v>國王床-飾框貼線</v>
          </cell>
          <cell r="F2811" t="str">
            <v>94*12*8</v>
          </cell>
          <cell r="G2811">
            <v>94</v>
          </cell>
          <cell r="H2811">
            <v>12</v>
          </cell>
          <cell r="I2811">
            <v>8</v>
          </cell>
          <cell r="J2811">
            <v>30</v>
          </cell>
          <cell r="K2811">
            <v>0</v>
          </cell>
          <cell r="L2811">
            <v>0.08</v>
          </cell>
          <cell r="M2811">
            <v>0</v>
          </cell>
          <cell r="N2811">
            <v>0</v>
          </cell>
          <cell r="O2811" t="str">
            <v>40V</v>
          </cell>
          <cell r="P2811" t="str">
            <v>1010</v>
          </cell>
          <cell r="Q2811" t="str">
            <v>1010</v>
          </cell>
          <cell r="R2811">
            <v>2.666666666666667</v>
          </cell>
        </row>
        <row r="2812">
          <cell r="A2812" t="str">
            <v>Y031-055</v>
          </cell>
          <cell r="B2812" t="str">
            <v>LCT115-081</v>
          </cell>
          <cell r="C2812" t="str">
            <v>Y031</v>
          </cell>
          <cell r="D2812" t="str">
            <v>51-703</v>
          </cell>
          <cell r="E2812" t="str">
            <v>國王床-下飾線</v>
          </cell>
          <cell r="F2812" t="str">
            <v>1800*25*21</v>
          </cell>
          <cell r="G2812">
            <v>1800</v>
          </cell>
          <cell r="H2812">
            <v>25</v>
          </cell>
          <cell r="I2812">
            <v>21</v>
          </cell>
          <cell r="J2812">
            <v>1130</v>
          </cell>
          <cell r="K2812">
            <v>0</v>
          </cell>
          <cell r="L2812">
            <v>3.16</v>
          </cell>
          <cell r="M2812">
            <v>0</v>
          </cell>
          <cell r="N2812">
            <v>0</v>
          </cell>
          <cell r="O2812" t="str">
            <v>40V</v>
          </cell>
          <cell r="P2812" t="str">
            <v>1010</v>
          </cell>
          <cell r="Q2812" t="str">
            <v>1010</v>
          </cell>
          <cell r="R2812">
            <v>2.7964601769911508</v>
          </cell>
        </row>
        <row r="2813">
          <cell r="A2813" t="str">
            <v>Y031-056</v>
          </cell>
          <cell r="B2813" t="str">
            <v>LCT115-082</v>
          </cell>
          <cell r="C2813" t="str">
            <v>Y031</v>
          </cell>
          <cell r="D2813" t="str">
            <v>51-713</v>
          </cell>
          <cell r="E2813" t="str">
            <v>女王床-芯板橫飾條</v>
          </cell>
          <cell r="F2813" t="str">
            <v>1712*25*14</v>
          </cell>
          <cell r="G2813">
            <v>1712</v>
          </cell>
          <cell r="H2813">
            <v>25</v>
          </cell>
          <cell r="I2813">
            <v>14</v>
          </cell>
          <cell r="J2813">
            <v>810</v>
          </cell>
          <cell r="K2813">
            <v>0</v>
          </cell>
          <cell r="L2813">
            <v>2.27</v>
          </cell>
          <cell r="M2813">
            <v>0</v>
          </cell>
          <cell r="N2813">
            <v>0</v>
          </cell>
          <cell r="O2813" t="str">
            <v>40V</v>
          </cell>
          <cell r="P2813" t="str">
            <v>1010</v>
          </cell>
          <cell r="Q2813" t="str">
            <v>1010</v>
          </cell>
          <cell r="R2813">
            <v>2.8024691358024691</v>
          </cell>
        </row>
        <row r="2814">
          <cell r="A2814" t="str">
            <v>Y031-057</v>
          </cell>
          <cell r="B2814" t="str">
            <v>LCT115-083</v>
          </cell>
          <cell r="C2814" t="str">
            <v>Y031</v>
          </cell>
          <cell r="D2814" t="str">
            <v>51-713</v>
          </cell>
          <cell r="E2814" t="str">
            <v>女王床-立柱飾花</v>
          </cell>
          <cell r="F2814" t="str">
            <v>84*74*10</v>
          </cell>
          <cell r="G2814">
            <v>84</v>
          </cell>
          <cell r="H2814">
            <v>74</v>
          </cell>
          <cell r="I2814">
            <v>10</v>
          </cell>
          <cell r="J2814">
            <v>70</v>
          </cell>
          <cell r="K2814">
            <v>0</v>
          </cell>
          <cell r="L2814">
            <v>0.25</v>
          </cell>
          <cell r="M2814">
            <v>0</v>
          </cell>
          <cell r="N2814">
            <v>0</v>
          </cell>
          <cell r="O2814" t="str">
            <v>40V</v>
          </cell>
          <cell r="P2814" t="str">
            <v>1010</v>
          </cell>
          <cell r="Q2814" t="str">
            <v>1010</v>
          </cell>
          <cell r="R2814">
            <v>3.5714285714285712</v>
          </cell>
        </row>
        <row r="2815">
          <cell r="A2815" t="str">
            <v>Y031-058</v>
          </cell>
          <cell r="B2815" t="str">
            <v>LCT115-084</v>
          </cell>
          <cell r="C2815" t="str">
            <v>Y031</v>
          </cell>
          <cell r="D2815" t="str">
            <v>51-713</v>
          </cell>
          <cell r="E2815" t="str">
            <v>女王床-飾框貼線</v>
          </cell>
          <cell r="F2815" t="str">
            <v>94*12*8</v>
          </cell>
          <cell r="G2815">
            <v>94</v>
          </cell>
          <cell r="H2815">
            <v>12</v>
          </cell>
          <cell r="I2815">
            <v>8</v>
          </cell>
          <cell r="J2815">
            <v>30</v>
          </cell>
          <cell r="K2815">
            <v>0</v>
          </cell>
          <cell r="L2815">
            <v>0.08</v>
          </cell>
          <cell r="M2815">
            <v>0</v>
          </cell>
          <cell r="N2815">
            <v>0</v>
          </cell>
          <cell r="O2815" t="str">
            <v>40V</v>
          </cell>
          <cell r="P2815" t="str">
            <v>1010</v>
          </cell>
          <cell r="Q2815" t="str">
            <v>1010</v>
          </cell>
          <cell r="R2815">
            <v>2.666666666666667</v>
          </cell>
        </row>
        <row r="2816">
          <cell r="A2816" t="str">
            <v>Y031-059</v>
          </cell>
          <cell r="B2816" t="str">
            <v>LCT115-085</v>
          </cell>
          <cell r="C2816" t="str">
            <v>Y031</v>
          </cell>
          <cell r="D2816" t="str">
            <v>51-713</v>
          </cell>
          <cell r="E2816" t="str">
            <v>女王床-下飾線</v>
          </cell>
          <cell r="F2816" t="str">
            <v>1500*25*21</v>
          </cell>
          <cell r="G2816">
            <v>1500</v>
          </cell>
          <cell r="H2816">
            <v>25</v>
          </cell>
          <cell r="I2816">
            <v>21</v>
          </cell>
          <cell r="J2816">
            <v>950</v>
          </cell>
          <cell r="K2816">
            <v>0</v>
          </cell>
          <cell r="L2816">
            <v>2.66</v>
          </cell>
          <cell r="M2816">
            <v>0</v>
          </cell>
          <cell r="N2816">
            <v>0</v>
          </cell>
          <cell r="O2816" t="str">
            <v>40V</v>
          </cell>
          <cell r="P2816" t="str">
            <v>1010</v>
          </cell>
          <cell r="Q2816" t="str">
            <v>1010</v>
          </cell>
          <cell r="R2816">
            <v>2.8000000000000003</v>
          </cell>
        </row>
        <row r="2817">
          <cell r="A2817" t="str">
            <v>Y031-060</v>
          </cell>
          <cell r="B2817" t="str">
            <v>LCT115-086</v>
          </cell>
          <cell r="C2817" t="str">
            <v>Y031</v>
          </cell>
          <cell r="D2817" t="str">
            <v>H2588-31</v>
          </cell>
          <cell r="E2817" t="str">
            <v>電腦桌上座POLY</v>
          </cell>
          <cell r="F2817" t="str">
            <v>250*7*4</v>
          </cell>
          <cell r="G2817">
            <v>250</v>
          </cell>
          <cell r="H2817">
            <v>7</v>
          </cell>
          <cell r="I2817">
            <v>4</v>
          </cell>
          <cell r="J2817">
            <v>14</v>
          </cell>
          <cell r="K2817">
            <v>0</v>
          </cell>
          <cell r="L2817">
            <v>0.08</v>
          </cell>
          <cell r="M2817">
            <v>0</v>
          </cell>
          <cell r="N2817">
            <v>0</v>
          </cell>
          <cell r="O2817" t="str">
            <v>40V</v>
          </cell>
          <cell r="P2817" t="str">
            <v>1010</v>
          </cell>
          <cell r="Q2817" t="str">
            <v>1010</v>
          </cell>
          <cell r="R2817">
            <v>5.7142857142857144</v>
          </cell>
        </row>
        <row r="2818">
          <cell r="A2818" t="str">
            <v>Y031-061</v>
          </cell>
          <cell r="B2818">
            <v>0</v>
          </cell>
          <cell r="C2818" t="str">
            <v>Y031</v>
          </cell>
          <cell r="D2818" t="str">
            <v>ITALI-003</v>
          </cell>
          <cell r="E2818" t="str">
            <v>吧台-POLY飾條</v>
          </cell>
          <cell r="F2818" t="str">
            <v>509*209*6</v>
          </cell>
          <cell r="G2818">
            <v>509</v>
          </cell>
          <cell r="H2818">
            <v>209</v>
          </cell>
          <cell r="I2818">
            <v>6</v>
          </cell>
          <cell r="J2818">
            <v>160</v>
          </cell>
          <cell r="K2818">
            <v>0</v>
          </cell>
          <cell r="L2818">
            <v>0.375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2.34375</v>
          </cell>
          <cell r="S2818">
            <v>42006</v>
          </cell>
        </row>
        <row r="2819">
          <cell r="A2819" t="str">
            <v>Y031-062</v>
          </cell>
          <cell r="B2819">
            <v>0</v>
          </cell>
          <cell r="C2819" t="str">
            <v>Y031</v>
          </cell>
          <cell r="D2819" t="str">
            <v>BANKBC</v>
          </cell>
          <cell r="E2819">
            <v>0</v>
          </cell>
          <cell r="F2819" t="str">
            <v>1700*30*23.5</v>
          </cell>
          <cell r="G2819">
            <v>1700</v>
          </cell>
          <cell r="H2819">
            <v>30</v>
          </cell>
          <cell r="I2819">
            <v>23.5</v>
          </cell>
          <cell r="J2819">
            <v>1040</v>
          </cell>
          <cell r="K2819">
            <v>0</v>
          </cell>
          <cell r="L2819">
            <v>2.94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2.8269230769230766</v>
          </cell>
          <cell r="S2819">
            <v>0</v>
          </cell>
        </row>
        <row r="2820">
          <cell r="A2820" t="str">
            <v>Y031-063</v>
          </cell>
          <cell r="B2820">
            <v>0</v>
          </cell>
          <cell r="C2820" t="str">
            <v>Y031</v>
          </cell>
          <cell r="D2820" t="str">
            <v>BANKBC</v>
          </cell>
          <cell r="E2820">
            <v>0</v>
          </cell>
          <cell r="F2820" t="str">
            <v>1700*36*9</v>
          </cell>
          <cell r="G2820">
            <v>1700</v>
          </cell>
          <cell r="H2820">
            <v>36</v>
          </cell>
          <cell r="I2820">
            <v>9</v>
          </cell>
          <cell r="J2820">
            <v>1175</v>
          </cell>
          <cell r="K2820">
            <v>0</v>
          </cell>
          <cell r="L2820">
            <v>2.6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2.2127659574468086</v>
          </cell>
          <cell r="S2820">
            <v>0</v>
          </cell>
        </row>
        <row r="2821">
          <cell r="A2821" t="str">
            <v>Y031-064</v>
          </cell>
          <cell r="B2821">
            <v>0</v>
          </cell>
          <cell r="C2821" t="str">
            <v>Y031</v>
          </cell>
          <cell r="D2821" t="str">
            <v>BANKBC</v>
          </cell>
          <cell r="E2821">
            <v>0</v>
          </cell>
          <cell r="F2821" t="str">
            <v>1500*20*9</v>
          </cell>
          <cell r="G2821">
            <v>1500</v>
          </cell>
          <cell r="H2821">
            <v>20</v>
          </cell>
          <cell r="I2821">
            <v>9</v>
          </cell>
          <cell r="J2821">
            <v>321</v>
          </cell>
          <cell r="K2821">
            <v>0</v>
          </cell>
          <cell r="L2821">
            <v>0.87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2.7102803738317758</v>
          </cell>
          <cell r="S2821">
            <v>0</v>
          </cell>
        </row>
        <row r="2822">
          <cell r="A2822" t="str">
            <v>Y031-065</v>
          </cell>
          <cell r="B2822">
            <v>0</v>
          </cell>
          <cell r="C2822" t="str">
            <v>Y031</v>
          </cell>
          <cell r="D2822" t="str">
            <v>ITALI-012 NS</v>
          </cell>
          <cell r="E2822" t="str">
            <v>床頭柜-抽面饰条1</v>
          </cell>
          <cell r="F2822" t="str">
            <v>672*36*9</v>
          </cell>
          <cell r="G2822">
            <v>672</v>
          </cell>
          <cell r="H2822">
            <v>36</v>
          </cell>
          <cell r="I2822">
            <v>9</v>
          </cell>
          <cell r="J2822">
            <v>0</v>
          </cell>
          <cell r="K2822">
            <v>0</v>
          </cell>
          <cell r="L2822">
            <v>1.03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 t="e">
            <v>#DIV/0!</v>
          </cell>
          <cell r="S2822">
            <v>0</v>
          </cell>
        </row>
        <row r="2823">
          <cell r="A2823" t="str">
            <v>Y031-066</v>
          </cell>
          <cell r="B2823">
            <v>0</v>
          </cell>
          <cell r="C2823" t="str">
            <v>Y031</v>
          </cell>
          <cell r="D2823" t="str">
            <v>ITALI-012 NS</v>
          </cell>
          <cell r="E2823" t="str">
            <v>床頭柜-抽面饰条2</v>
          </cell>
          <cell r="F2823" t="str">
            <v>170*36*9</v>
          </cell>
          <cell r="G2823">
            <v>170</v>
          </cell>
          <cell r="H2823">
            <v>36</v>
          </cell>
          <cell r="I2823">
            <v>9</v>
          </cell>
          <cell r="J2823">
            <v>0</v>
          </cell>
          <cell r="K2823">
            <v>0</v>
          </cell>
          <cell r="L2823">
            <v>0.26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 t="e">
            <v>#DIV/0!</v>
          </cell>
          <cell r="S2823">
            <v>0</v>
          </cell>
        </row>
        <row r="2824">
          <cell r="A2824" t="str">
            <v>Y031-067</v>
          </cell>
          <cell r="B2824">
            <v>0</v>
          </cell>
          <cell r="C2824" t="str">
            <v>Y031</v>
          </cell>
          <cell r="D2824" t="str">
            <v>ITALI-012 NS</v>
          </cell>
          <cell r="E2824" t="str">
            <v>床頭柜-上前饰条</v>
          </cell>
          <cell r="F2824" t="str">
            <v>815*30*23</v>
          </cell>
          <cell r="G2824">
            <v>815</v>
          </cell>
          <cell r="H2824">
            <v>30</v>
          </cell>
          <cell r="I2824">
            <v>23</v>
          </cell>
          <cell r="J2824">
            <v>589</v>
          </cell>
          <cell r="K2824">
            <v>0</v>
          </cell>
          <cell r="L2824">
            <v>1.55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2.6315789473684212</v>
          </cell>
          <cell r="S2824">
            <v>0</v>
          </cell>
        </row>
        <row r="2825">
          <cell r="A2825" t="str">
            <v>Y031-068</v>
          </cell>
          <cell r="B2825">
            <v>0</v>
          </cell>
          <cell r="C2825" t="str">
            <v>Y031</v>
          </cell>
          <cell r="D2825" t="str">
            <v>ITALI-012NS</v>
          </cell>
          <cell r="E2825" t="str">
            <v xml:space="preserve">床頭柜-上侧饰条 </v>
          </cell>
          <cell r="F2825" t="str">
            <v>453*30*23</v>
          </cell>
          <cell r="G2825">
            <v>453</v>
          </cell>
          <cell r="H2825">
            <v>30</v>
          </cell>
          <cell r="I2825">
            <v>23</v>
          </cell>
          <cell r="J2825">
            <v>0</v>
          </cell>
          <cell r="K2825">
            <v>0</v>
          </cell>
          <cell r="L2825">
            <v>0.77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 t="e">
            <v>#DIV/0!</v>
          </cell>
          <cell r="S2825">
            <v>0</v>
          </cell>
        </row>
        <row r="2826">
          <cell r="A2826" t="str">
            <v>Y031-069</v>
          </cell>
          <cell r="B2826">
            <v>0</v>
          </cell>
          <cell r="C2826" t="str">
            <v>Y031</v>
          </cell>
          <cell r="D2826" t="str">
            <v>ITALI-012 CH</v>
          </cell>
          <cell r="E2826" t="str">
            <v>高柜-抽面饰条1</v>
          </cell>
          <cell r="F2826" t="str">
            <v>827*36*9</v>
          </cell>
          <cell r="G2826">
            <v>827</v>
          </cell>
          <cell r="H2826">
            <v>36</v>
          </cell>
          <cell r="I2826">
            <v>9</v>
          </cell>
          <cell r="J2826">
            <v>512</v>
          </cell>
          <cell r="K2826">
            <v>0</v>
          </cell>
          <cell r="L2826">
            <v>1.26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2.4609375</v>
          </cell>
          <cell r="S2826">
            <v>0</v>
          </cell>
        </row>
        <row r="2827">
          <cell r="A2827" t="str">
            <v>Y031-070</v>
          </cell>
          <cell r="B2827">
            <v>0</v>
          </cell>
          <cell r="C2827" t="str">
            <v>Y031</v>
          </cell>
          <cell r="D2827" t="str">
            <v>ITALI-012 CH</v>
          </cell>
          <cell r="E2827" t="str">
            <v>高柜-抽面饰条2</v>
          </cell>
          <cell r="F2827" t="str">
            <v>211*36*9</v>
          </cell>
          <cell r="G2827">
            <v>211</v>
          </cell>
          <cell r="H2827">
            <v>36</v>
          </cell>
          <cell r="I2827">
            <v>9</v>
          </cell>
          <cell r="J2827">
            <v>0</v>
          </cell>
          <cell r="K2827">
            <v>0</v>
          </cell>
          <cell r="L2827">
            <v>0.32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 t="e">
            <v>#DIV/0!</v>
          </cell>
          <cell r="S2827">
            <v>0</v>
          </cell>
        </row>
        <row r="2828">
          <cell r="A2828" t="str">
            <v>Y031-071</v>
          </cell>
          <cell r="B2828">
            <v>0</v>
          </cell>
          <cell r="C2828" t="str">
            <v>Y031</v>
          </cell>
          <cell r="D2828" t="str">
            <v>ITALI-012 CH</v>
          </cell>
          <cell r="E2828" t="str">
            <v>高柜-上前饰条</v>
          </cell>
          <cell r="F2828" t="str">
            <v>970*30*23</v>
          </cell>
          <cell r="G2828">
            <v>970</v>
          </cell>
          <cell r="H2828">
            <v>30</v>
          </cell>
          <cell r="I2828">
            <v>23</v>
          </cell>
          <cell r="J2828">
            <v>683</v>
          </cell>
          <cell r="K2828">
            <v>0</v>
          </cell>
          <cell r="L2828">
            <v>1.79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2.6207906295754024</v>
          </cell>
          <cell r="S2828">
            <v>0</v>
          </cell>
        </row>
        <row r="2829">
          <cell r="A2829" t="str">
            <v>Y031-072</v>
          </cell>
          <cell r="B2829">
            <v>0</v>
          </cell>
          <cell r="C2829" t="str">
            <v>Y031</v>
          </cell>
          <cell r="D2829" t="str">
            <v>ITALI-012 CH</v>
          </cell>
          <cell r="E2829" t="str">
            <v xml:space="preserve">高柜-上侧饰条 </v>
          </cell>
          <cell r="F2829" t="str">
            <v>453*30*23</v>
          </cell>
          <cell r="G2829">
            <v>453</v>
          </cell>
          <cell r="H2829">
            <v>30</v>
          </cell>
          <cell r="I2829">
            <v>23</v>
          </cell>
          <cell r="J2829">
            <v>0</v>
          </cell>
          <cell r="K2829">
            <v>0</v>
          </cell>
          <cell r="L2829">
            <v>0.77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 t="e">
            <v>#DIV/0!</v>
          </cell>
          <cell r="S2829">
            <v>0</v>
          </cell>
        </row>
        <row r="2830">
          <cell r="A2830" t="str">
            <v>Y031-073</v>
          </cell>
          <cell r="B2830">
            <v>0</v>
          </cell>
          <cell r="C2830" t="str">
            <v>Y031</v>
          </cell>
          <cell r="D2830" t="str">
            <v>ITALI-012 DR</v>
          </cell>
          <cell r="E2830" t="str">
            <v>梳妝台-抽面饰条1</v>
          </cell>
          <cell r="F2830" t="str">
            <v>760*36*9</v>
          </cell>
          <cell r="G2830">
            <v>760</v>
          </cell>
          <cell r="H2830">
            <v>36</v>
          </cell>
          <cell r="I2830">
            <v>9</v>
          </cell>
          <cell r="J2830">
            <v>0</v>
          </cell>
          <cell r="K2830">
            <v>0</v>
          </cell>
          <cell r="L2830">
            <v>1.23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 t="e">
            <v>#DIV/0!</v>
          </cell>
          <cell r="S2830">
            <v>0</v>
          </cell>
        </row>
        <row r="2831">
          <cell r="A2831" t="str">
            <v>Y031-074</v>
          </cell>
          <cell r="B2831">
            <v>0</v>
          </cell>
          <cell r="C2831" t="str">
            <v>Y031</v>
          </cell>
          <cell r="D2831" t="str">
            <v>ITALI-012 DR</v>
          </cell>
          <cell r="E2831" t="str">
            <v>梳妝台-抽面饰条2</v>
          </cell>
          <cell r="F2831" t="str">
            <v>215*36*9</v>
          </cell>
          <cell r="G2831">
            <v>215</v>
          </cell>
          <cell r="H2831">
            <v>36</v>
          </cell>
          <cell r="I2831">
            <v>9</v>
          </cell>
          <cell r="J2831">
            <v>122</v>
          </cell>
          <cell r="K2831">
            <v>0</v>
          </cell>
          <cell r="L2831">
            <v>0.33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2.7049180327868854</v>
          </cell>
          <cell r="S2831">
            <v>0</v>
          </cell>
        </row>
        <row r="2832">
          <cell r="A2832" t="str">
            <v>Y031-075</v>
          </cell>
          <cell r="B2832">
            <v>0</v>
          </cell>
          <cell r="C2832" t="str">
            <v>Y031</v>
          </cell>
          <cell r="D2832" t="str">
            <v>ITALI-012 DR</v>
          </cell>
          <cell r="E2832" t="str">
            <v>梳妝台-上前饰条</v>
          </cell>
          <cell r="F2832" t="str">
            <v>1692*30*23</v>
          </cell>
          <cell r="G2832">
            <v>1692</v>
          </cell>
          <cell r="H2832">
            <v>30</v>
          </cell>
          <cell r="I2832">
            <v>23</v>
          </cell>
          <cell r="J2832">
            <v>1102</v>
          </cell>
          <cell r="K2832">
            <v>0</v>
          </cell>
          <cell r="L2832">
            <v>2.98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2.7041742286751358</v>
          </cell>
          <cell r="S2832">
            <v>0</v>
          </cell>
        </row>
        <row r="2833">
          <cell r="A2833" t="str">
            <v>Y031-076</v>
          </cell>
          <cell r="B2833">
            <v>0</v>
          </cell>
          <cell r="C2833" t="str">
            <v>Y031</v>
          </cell>
          <cell r="D2833" t="str">
            <v>ITALI-012 DR</v>
          </cell>
          <cell r="E2833" t="str">
            <v xml:space="preserve">梳妝台-上侧饰条 </v>
          </cell>
          <cell r="F2833" t="str">
            <v>453*30*23</v>
          </cell>
          <cell r="G2833">
            <v>453</v>
          </cell>
          <cell r="H2833">
            <v>30</v>
          </cell>
          <cell r="I2833">
            <v>23</v>
          </cell>
          <cell r="J2833">
            <v>0</v>
          </cell>
          <cell r="K2833">
            <v>0</v>
          </cell>
          <cell r="L2833">
            <v>0.77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 t="e">
            <v>#DIV/0!</v>
          </cell>
          <cell r="S2833">
            <v>0</v>
          </cell>
        </row>
        <row r="2834">
          <cell r="A2834" t="str">
            <v>Y031-077</v>
          </cell>
          <cell r="B2834">
            <v>0</v>
          </cell>
          <cell r="C2834" t="str">
            <v>Y031</v>
          </cell>
          <cell r="D2834" t="str">
            <v>ITALI-012 Q</v>
          </cell>
          <cell r="E2834" t="str">
            <v>女王床-床头柜饰条</v>
          </cell>
          <cell r="F2834" t="str">
            <v>1575*15*8</v>
          </cell>
          <cell r="G2834">
            <v>1575</v>
          </cell>
          <cell r="H2834">
            <v>15</v>
          </cell>
          <cell r="I2834">
            <v>8</v>
          </cell>
          <cell r="J2834">
            <v>262</v>
          </cell>
          <cell r="K2834">
            <v>0</v>
          </cell>
          <cell r="L2834">
            <v>0.68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2.5954198473282442</v>
          </cell>
          <cell r="S2834">
            <v>0</v>
          </cell>
        </row>
        <row r="2835">
          <cell r="A2835" t="str">
            <v>Y031-078</v>
          </cell>
          <cell r="B2835">
            <v>0</v>
          </cell>
          <cell r="C2835" t="str">
            <v>Y031</v>
          </cell>
          <cell r="D2835" t="str">
            <v>ITALI-012 Q</v>
          </cell>
          <cell r="E2835" t="str">
            <v xml:space="preserve">女王床-床尾柜饰条 </v>
          </cell>
          <cell r="F2835" t="str">
            <v>1492*19*10</v>
          </cell>
          <cell r="G2835">
            <v>1492</v>
          </cell>
          <cell r="H2835">
            <v>19</v>
          </cell>
          <cell r="I2835">
            <v>10</v>
          </cell>
          <cell r="J2835">
            <v>417</v>
          </cell>
          <cell r="K2835">
            <v>0</v>
          </cell>
          <cell r="L2835">
            <v>1.1000000000000001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2.637889688249401</v>
          </cell>
          <cell r="S2835">
            <v>0</v>
          </cell>
        </row>
        <row r="2836">
          <cell r="A2836" t="str">
            <v>Y031-079</v>
          </cell>
          <cell r="B2836">
            <v>0</v>
          </cell>
          <cell r="C2836" t="str">
            <v>Y031</v>
          </cell>
          <cell r="D2836" t="str">
            <v>ITALI-012 K CAL</v>
          </cell>
          <cell r="E2836" t="str">
            <v>加州床-床头柜饰条</v>
          </cell>
          <cell r="F2836" t="str">
            <v>1886*15*8</v>
          </cell>
          <cell r="G2836">
            <v>1886</v>
          </cell>
          <cell r="H2836">
            <v>15</v>
          </cell>
          <cell r="I2836">
            <v>8</v>
          </cell>
          <cell r="J2836">
            <v>304</v>
          </cell>
          <cell r="K2836">
            <v>0</v>
          </cell>
          <cell r="L2836">
            <v>0.8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2.6315789473684212</v>
          </cell>
          <cell r="S2836">
            <v>0</v>
          </cell>
        </row>
        <row r="2837">
          <cell r="A2837" t="str">
            <v>Y031-080</v>
          </cell>
          <cell r="B2837">
            <v>0</v>
          </cell>
          <cell r="C2837" t="str">
            <v>Y031</v>
          </cell>
          <cell r="D2837" t="str">
            <v>ITALI-012 K CAL</v>
          </cell>
          <cell r="E2837" t="str">
            <v>加州床-床尾柜饰条</v>
          </cell>
          <cell r="F2837" t="str">
            <v>1803*19*10</v>
          </cell>
          <cell r="G2837">
            <v>1803</v>
          </cell>
          <cell r="H2837">
            <v>19</v>
          </cell>
          <cell r="I2837">
            <v>10</v>
          </cell>
          <cell r="J2837">
            <v>497</v>
          </cell>
          <cell r="K2837">
            <v>0</v>
          </cell>
          <cell r="L2837">
            <v>1.31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2.6358148893360163</v>
          </cell>
          <cell r="S2837">
            <v>0</v>
          </cell>
        </row>
        <row r="2838">
          <cell r="A2838" t="str">
            <v>Y031-081</v>
          </cell>
          <cell r="B2838">
            <v>0</v>
          </cell>
          <cell r="C2838" t="str">
            <v>Y031</v>
          </cell>
          <cell r="D2838" t="str">
            <v xml:space="preserve">ITALI-012 K </v>
          </cell>
          <cell r="E2838" t="str">
            <v>國王床-床头柜饰条</v>
          </cell>
          <cell r="F2838" t="str">
            <v>2006*15*8</v>
          </cell>
          <cell r="G2838">
            <v>2006</v>
          </cell>
          <cell r="H2838">
            <v>15</v>
          </cell>
          <cell r="I2838">
            <v>8</v>
          </cell>
          <cell r="J2838">
            <v>322</v>
          </cell>
          <cell r="K2838">
            <v>0</v>
          </cell>
          <cell r="L2838">
            <v>0.85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2.639751552795031</v>
          </cell>
          <cell r="S2838">
            <v>0</v>
          </cell>
        </row>
        <row r="2839">
          <cell r="A2839" t="str">
            <v>Y031-082</v>
          </cell>
          <cell r="B2839">
            <v>0</v>
          </cell>
          <cell r="C2839" t="str">
            <v>Y031</v>
          </cell>
          <cell r="D2839" t="str">
            <v xml:space="preserve">ITALI-012 K </v>
          </cell>
          <cell r="E2839" t="str">
            <v>國王床-床尾柜饰条</v>
          </cell>
          <cell r="F2839" t="str">
            <v>1922*19*10</v>
          </cell>
          <cell r="G2839">
            <v>1922</v>
          </cell>
          <cell r="H2839">
            <v>19</v>
          </cell>
          <cell r="I2839">
            <v>10</v>
          </cell>
          <cell r="J2839">
            <v>530</v>
          </cell>
          <cell r="K2839">
            <v>0</v>
          </cell>
          <cell r="L2839">
            <v>1.4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2.641509433962264</v>
          </cell>
          <cell r="S2839">
            <v>0</v>
          </cell>
        </row>
        <row r="2840">
          <cell r="A2840" t="str">
            <v>Y031-083</v>
          </cell>
          <cell r="B2840">
            <v>0</v>
          </cell>
          <cell r="C2840" t="str">
            <v>Y031</v>
          </cell>
          <cell r="D2840" t="str">
            <v>711-QB</v>
          </cell>
          <cell r="E2840" t="str">
            <v>女王雪橇床-床企柱</v>
          </cell>
          <cell r="F2840" t="str">
            <v>51*51*9</v>
          </cell>
          <cell r="G2840">
            <v>51</v>
          </cell>
          <cell r="H2840">
            <v>51</v>
          </cell>
          <cell r="I2840">
            <v>9</v>
          </cell>
          <cell r="J2840">
            <v>30</v>
          </cell>
          <cell r="K2840">
            <v>0</v>
          </cell>
          <cell r="L2840">
            <v>0.09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3</v>
          </cell>
          <cell r="S2840">
            <v>0</v>
          </cell>
        </row>
        <row r="2841">
          <cell r="A2841" t="str">
            <v>Y031-084</v>
          </cell>
          <cell r="B2841">
            <v>0</v>
          </cell>
          <cell r="C2841" t="str">
            <v>Y031</v>
          </cell>
          <cell r="D2841" t="str">
            <v>711-KB</v>
          </cell>
          <cell r="E2841" t="str">
            <v>女王雪橇床-床企柱</v>
          </cell>
          <cell r="F2841" t="str">
            <v>51*51*9</v>
          </cell>
          <cell r="G2841">
            <v>51</v>
          </cell>
          <cell r="H2841">
            <v>51</v>
          </cell>
          <cell r="I2841">
            <v>9</v>
          </cell>
          <cell r="J2841">
            <v>30</v>
          </cell>
          <cell r="K2841">
            <v>0</v>
          </cell>
          <cell r="L2841">
            <v>0.09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3</v>
          </cell>
          <cell r="S2841">
            <v>0</v>
          </cell>
        </row>
        <row r="2842">
          <cell r="A2842" t="str">
            <v>Y031-085</v>
          </cell>
          <cell r="B2842">
            <v>0</v>
          </cell>
          <cell r="C2842" t="str">
            <v>Y031</v>
          </cell>
          <cell r="D2842" t="str">
            <v xml:space="preserve">1435-4NS </v>
          </cell>
          <cell r="E2842" t="str">
            <v>床頭柜-1抽面板饰条1</v>
          </cell>
          <cell r="F2842" t="str">
            <v>563*28*15</v>
          </cell>
          <cell r="G2842">
            <v>563</v>
          </cell>
          <cell r="H2842">
            <v>28</v>
          </cell>
          <cell r="I2842">
            <v>15</v>
          </cell>
          <cell r="J2842">
            <v>400</v>
          </cell>
          <cell r="K2842">
            <v>0</v>
          </cell>
          <cell r="L2842">
            <v>0.95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2.3749999999999996</v>
          </cell>
          <cell r="S2842">
            <v>0</v>
          </cell>
        </row>
        <row r="2843">
          <cell r="A2843" t="str">
            <v>Y031-086</v>
          </cell>
          <cell r="B2843">
            <v>0</v>
          </cell>
          <cell r="C2843" t="str">
            <v>Y031</v>
          </cell>
          <cell r="D2843" t="str">
            <v xml:space="preserve">1435-4NS </v>
          </cell>
          <cell r="E2843" t="str">
            <v>床頭柜-1抽面板饰条2</v>
          </cell>
          <cell r="F2843" t="str">
            <v>142*32*15</v>
          </cell>
          <cell r="G2843">
            <v>142</v>
          </cell>
          <cell r="H2843">
            <v>32</v>
          </cell>
          <cell r="I2843">
            <v>15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 t="e">
            <v>#DIV/0!</v>
          </cell>
          <cell r="S2843">
            <v>0</v>
          </cell>
        </row>
        <row r="2844">
          <cell r="A2844" t="str">
            <v>Y031-087</v>
          </cell>
          <cell r="B2844">
            <v>0</v>
          </cell>
          <cell r="C2844" t="str">
            <v>Y031</v>
          </cell>
          <cell r="D2844" t="str">
            <v xml:space="preserve">1435-4NS </v>
          </cell>
          <cell r="E2844" t="str">
            <v xml:space="preserve">床頭柜-2抽面板饰条1 </v>
          </cell>
          <cell r="F2844" t="str">
            <v>563*28*15</v>
          </cell>
          <cell r="G2844">
            <v>563</v>
          </cell>
          <cell r="H2844">
            <v>28</v>
          </cell>
          <cell r="I2844">
            <v>15</v>
          </cell>
          <cell r="J2844">
            <v>400</v>
          </cell>
          <cell r="K2844">
            <v>0</v>
          </cell>
          <cell r="L2844">
            <v>0.98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2.4499999999999997</v>
          </cell>
          <cell r="S2844">
            <v>0</v>
          </cell>
        </row>
        <row r="2845">
          <cell r="A2845" t="str">
            <v>Y031-088</v>
          </cell>
          <cell r="B2845">
            <v>0</v>
          </cell>
          <cell r="C2845" t="str">
            <v>Y031</v>
          </cell>
          <cell r="D2845" t="str">
            <v xml:space="preserve">1435-4NS </v>
          </cell>
          <cell r="E2845" t="str">
            <v>床頭柜-2抽面板饰条2</v>
          </cell>
          <cell r="F2845" t="str">
            <v>179*32*15</v>
          </cell>
          <cell r="G2845">
            <v>179</v>
          </cell>
          <cell r="H2845">
            <v>32</v>
          </cell>
          <cell r="I2845">
            <v>15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 t="e">
            <v>#DIV/0!</v>
          </cell>
          <cell r="S2845">
            <v>0</v>
          </cell>
        </row>
        <row r="2846">
          <cell r="A2846" t="str">
            <v>Y031-089</v>
          </cell>
          <cell r="B2846">
            <v>0</v>
          </cell>
          <cell r="C2846" t="str">
            <v>Y031</v>
          </cell>
          <cell r="D2846" t="str">
            <v xml:space="preserve">1435-4NS </v>
          </cell>
          <cell r="E2846" t="str">
            <v>床頭柜-中前饰条</v>
          </cell>
          <cell r="F2846" t="str">
            <v>580*28*17</v>
          </cell>
          <cell r="G2846">
            <v>580</v>
          </cell>
          <cell r="H2846">
            <v>28</v>
          </cell>
          <cell r="I2846">
            <v>17</v>
          </cell>
          <cell r="J2846">
            <v>348</v>
          </cell>
          <cell r="K2846">
            <v>0</v>
          </cell>
          <cell r="L2846">
            <v>0.85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2.4425287356321839</v>
          </cell>
          <cell r="S2846">
            <v>0</v>
          </cell>
        </row>
        <row r="2847">
          <cell r="A2847" t="str">
            <v>Y031-090</v>
          </cell>
          <cell r="B2847">
            <v>0</v>
          </cell>
          <cell r="C2847" t="str">
            <v>Y031</v>
          </cell>
          <cell r="D2847" t="str">
            <v>1435-slk1/2/3 K</v>
          </cell>
          <cell r="E2847" t="str">
            <v>國王床-床头柜</v>
          </cell>
          <cell r="F2847" t="str">
            <v>1964*230*18</v>
          </cell>
          <cell r="G2847">
            <v>1964</v>
          </cell>
          <cell r="H2847">
            <v>230</v>
          </cell>
          <cell r="I2847">
            <v>18</v>
          </cell>
          <cell r="J2847">
            <v>2415</v>
          </cell>
          <cell r="K2847">
            <v>0</v>
          </cell>
          <cell r="L2847">
            <v>6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2.4844720496894408</v>
          </cell>
          <cell r="S2847">
            <v>0</v>
          </cell>
        </row>
        <row r="2848">
          <cell r="A2848" t="str">
            <v>Y031-091</v>
          </cell>
          <cell r="B2848">
            <v>0</v>
          </cell>
          <cell r="C2848" t="str">
            <v>Y031</v>
          </cell>
          <cell r="D2848" t="str">
            <v>1435-slk1/2/3 K</v>
          </cell>
          <cell r="E2848" t="str">
            <v>國王床-床头上饰条</v>
          </cell>
          <cell r="F2848" t="str">
            <v>1964*20*12</v>
          </cell>
          <cell r="G2848">
            <v>1964</v>
          </cell>
          <cell r="H2848">
            <v>20</v>
          </cell>
          <cell r="I2848">
            <v>12</v>
          </cell>
          <cell r="J2848">
            <v>589</v>
          </cell>
          <cell r="K2848">
            <v>0</v>
          </cell>
          <cell r="L2848">
            <v>1.43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2.4278438030560272</v>
          </cell>
          <cell r="S2848">
            <v>0</v>
          </cell>
        </row>
        <row r="2849">
          <cell r="A2849" t="str">
            <v>Y031-092</v>
          </cell>
          <cell r="B2849">
            <v>0</v>
          </cell>
          <cell r="C2849" t="str">
            <v>Y031</v>
          </cell>
          <cell r="D2849" t="str">
            <v>1435-slk1/2/3 K</v>
          </cell>
          <cell r="E2849" t="str">
            <v>國王床-床头下饰条1</v>
          </cell>
          <cell r="F2849" t="str">
            <v>870*24*14</v>
          </cell>
          <cell r="G2849">
            <v>870</v>
          </cell>
          <cell r="H2849">
            <v>24</v>
          </cell>
          <cell r="I2849">
            <v>14</v>
          </cell>
          <cell r="J2849">
            <v>398</v>
          </cell>
          <cell r="K2849">
            <v>0</v>
          </cell>
          <cell r="L2849">
            <v>0.94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2.3618090452261304</v>
          </cell>
          <cell r="S2849">
            <v>0</v>
          </cell>
        </row>
        <row r="2850">
          <cell r="A2850" t="str">
            <v>Y031-093</v>
          </cell>
          <cell r="B2850">
            <v>0</v>
          </cell>
          <cell r="C2850" t="str">
            <v>Y031</v>
          </cell>
          <cell r="D2850" t="str">
            <v>1435-slk1/2/3 K</v>
          </cell>
          <cell r="E2850" t="str">
            <v>國王床-床头下饰条2</v>
          </cell>
          <cell r="F2850" t="str">
            <v>580*24*14</v>
          </cell>
          <cell r="G2850">
            <v>580</v>
          </cell>
          <cell r="H2850">
            <v>24</v>
          </cell>
          <cell r="I2850">
            <v>14</v>
          </cell>
          <cell r="J2850">
            <v>280</v>
          </cell>
          <cell r="K2850">
            <v>0</v>
          </cell>
          <cell r="L2850">
            <v>0.63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2.25</v>
          </cell>
          <cell r="S2850">
            <v>0</v>
          </cell>
        </row>
        <row r="2851">
          <cell r="A2851" t="str">
            <v>Y031-094</v>
          </cell>
          <cell r="B2851">
            <v>0</v>
          </cell>
          <cell r="C2851" t="str">
            <v>Y031</v>
          </cell>
          <cell r="D2851" t="str">
            <v>1435-slk1/2/3 K</v>
          </cell>
          <cell r="E2851" t="str">
            <v>國王床-床头下饰条3</v>
          </cell>
          <cell r="F2851" t="str">
            <v>440*24*14</v>
          </cell>
          <cell r="G2851">
            <v>440</v>
          </cell>
          <cell r="H2851">
            <v>24</v>
          </cell>
          <cell r="I2851">
            <v>14</v>
          </cell>
          <cell r="J2851">
            <v>208</v>
          </cell>
          <cell r="K2851">
            <v>0</v>
          </cell>
          <cell r="L2851">
            <v>0.47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2.2596153846153846</v>
          </cell>
          <cell r="S2851">
            <v>0</v>
          </cell>
        </row>
        <row r="2852">
          <cell r="A2852" t="str">
            <v>Y031-095</v>
          </cell>
          <cell r="B2852">
            <v>0</v>
          </cell>
          <cell r="C2852" t="str">
            <v>Y031</v>
          </cell>
          <cell r="D2852" t="str">
            <v>1435-slk1/2/3 K</v>
          </cell>
          <cell r="E2852" t="str">
            <v>國王床-床尾饰条1</v>
          </cell>
          <cell r="F2852" t="str">
            <v>850*24*14</v>
          </cell>
          <cell r="G2852">
            <v>850</v>
          </cell>
          <cell r="H2852">
            <v>24</v>
          </cell>
          <cell r="I2852">
            <v>14</v>
          </cell>
          <cell r="J2852">
            <v>382</v>
          </cell>
          <cell r="K2852">
            <v>0</v>
          </cell>
          <cell r="L2852">
            <v>0.92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2.4083769633507854</v>
          </cell>
          <cell r="S2852">
            <v>0</v>
          </cell>
        </row>
        <row r="2853">
          <cell r="A2853" t="str">
            <v>Y031-096</v>
          </cell>
          <cell r="B2853">
            <v>0</v>
          </cell>
          <cell r="C2853" t="str">
            <v>Y031</v>
          </cell>
          <cell r="D2853" t="str">
            <v>1435-slk1/2/3 K</v>
          </cell>
          <cell r="E2853" t="str">
            <v>國王床-床尾饰条2</v>
          </cell>
          <cell r="F2853" t="str">
            <v>340*24*14</v>
          </cell>
          <cell r="G2853">
            <v>340</v>
          </cell>
          <cell r="H2853">
            <v>24</v>
          </cell>
          <cell r="I2853">
            <v>14</v>
          </cell>
          <cell r="J2853">
            <v>170</v>
          </cell>
          <cell r="K2853">
            <v>0</v>
          </cell>
          <cell r="L2853">
            <v>0.37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2.1764705882352939</v>
          </cell>
          <cell r="S2853">
            <v>0</v>
          </cell>
        </row>
        <row r="2854">
          <cell r="A2854" t="str">
            <v>Y031-097</v>
          </cell>
          <cell r="B2854">
            <v>0</v>
          </cell>
          <cell r="C2854" t="str">
            <v>Y031</v>
          </cell>
          <cell r="D2854" t="str">
            <v>1435-slk1/2/3 K</v>
          </cell>
          <cell r="E2854" t="str">
            <v>國王床-床尾饰条3</v>
          </cell>
          <cell r="F2854" t="str">
            <v>320*24*14</v>
          </cell>
          <cell r="G2854">
            <v>320</v>
          </cell>
          <cell r="H2854">
            <v>24</v>
          </cell>
          <cell r="I2854">
            <v>14</v>
          </cell>
          <cell r="J2854">
            <v>155</v>
          </cell>
          <cell r="K2854">
            <v>0</v>
          </cell>
          <cell r="L2854">
            <v>0.35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2.258064516129032</v>
          </cell>
          <cell r="S2854">
            <v>0</v>
          </cell>
        </row>
        <row r="2855">
          <cell r="A2855" t="str">
            <v>Y031-098</v>
          </cell>
          <cell r="B2855">
            <v>0</v>
          </cell>
          <cell r="C2855" t="str">
            <v>Y031</v>
          </cell>
          <cell r="D2855" t="str">
            <v>1435-slk1/2/3 Q</v>
          </cell>
          <cell r="E2855" t="str">
            <v>女王床-床头花</v>
          </cell>
          <cell r="F2855" t="str">
            <v>1534*230*18</v>
          </cell>
          <cell r="G2855">
            <v>1534</v>
          </cell>
          <cell r="H2855">
            <v>230</v>
          </cell>
          <cell r="I2855">
            <v>18</v>
          </cell>
          <cell r="J2855">
            <v>1700</v>
          </cell>
          <cell r="K2855">
            <v>0</v>
          </cell>
          <cell r="L2855">
            <v>4.2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2.4705882352941178</v>
          </cell>
          <cell r="S2855">
            <v>0</v>
          </cell>
        </row>
        <row r="2856">
          <cell r="A2856" t="str">
            <v>Y031-099</v>
          </cell>
          <cell r="B2856">
            <v>0</v>
          </cell>
          <cell r="C2856" t="str">
            <v>Y031</v>
          </cell>
          <cell r="D2856" t="str">
            <v>1435-slk1/2/3 Q</v>
          </cell>
          <cell r="E2856" t="str">
            <v>女王床-床头上饰条</v>
          </cell>
          <cell r="F2856" t="str">
            <v>1565*20*12</v>
          </cell>
          <cell r="G2856">
            <v>1565</v>
          </cell>
          <cell r="H2856">
            <v>20</v>
          </cell>
          <cell r="I2856">
            <v>12</v>
          </cell>
          <cell r="J2856">
            <v>517</v>
          </cell>
          <cell r="K2856">
            <v>0</v>
          </cell>
          <cell r="L2856">
            <v>1.1599999999999999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2.2437137330754351</v>
          </cell>
          <cell r="S2856">
            <v>0</v>
          </cell>
        </row>
        <row r="2857">
          <cell r="A2857" t="str">
            <v>Y031-100</v>
          </cell>
          <cell r="B2857">
            <v>0</v>
          </cell>
          <cell r="C2857" t="str">
            <v>Y031</v>
          </cell>
          <cell r="D2857" t="str">
            <v>1435-slk1/2/3 Q</v>
          </cell>
          <cell r="E2857" t="str">
            <v>女王床-床头下饰条1</v>
          </cell>
          <cell r="F2857" t="str">
            <v>655*24*14</v>
          </cell>
          <cell r="G2857">
            <v>655</v>
          </cell>
          <cell r="H2857">
            <v>24</v>
          </cell>
          <cell r="I2857">
            <v>14</v>
          </cell>
          <cell r="J2857">
            <v>305</v>
          </cell>
          <cell r="K2857">
            <v>0</v>
          </cell>
          <cell r="L2857">
            <v>0.71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2.3278688524590163</v>
          </cell>
          <cell r="S2857">
            <v>0</v>
          </cell>
        </row>
        <row r="2858">
          <cell r="A2858" t="str">
            <v>Y031-101</v>
          </cell>
          <cell r="B2858">
            <v>0</v>
          </cell>
          <cell r="C2858" t="str">
            <v>Y031</v>
          </cell>
          <cell r="D2858" t="str">
            <v>1435-slk1/2/3 Q</v>
          </cell>
          <cell r="E2858" t="str">
            <v>女王床-床头下饰条2</v>
          </cell>
          <cell r="F2858" t="str">
            <v>580*24*14</v>
          </cell>
          <cell r="G2858">
            <v>580</v>
          </cell>
          <cell r="H2858">
            <v>24</v>
          </cell>
          <cell r="I2858">
            <v>14</v>
          </cell>
          <cell r="J2858">
            <v>280</v>
          </cell>
          <cell r="K2858">
            <v>0</v>
          </cell>
          <cell r="L2858">
            <v>0.63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2.25</v>
          </cell>
          <cell r="S2858">
            <v>0</v>
          </cell>
        </row>
        <row r="2859">
          <cell r="A2859" t="str">
            <v>Y031-102</v>
          </cell>
          <cell r="B2859">
            <v>0</v>
          </cell>
          <cell r="C2859" t="str">
            <v>Y031</v>
          </cell>
          <cell r="D2859" t="str">
            <v>1435-slk1/2/3 Q</v>
          </cell>
          <cell r="E2859" t="str">
            <v>女王床-床头下饰条3</v>
          </cell>
          <cell r="F2859" t="str">
            <v>440*24*14</v>
          </cell>
          <cell r="G2859">
            <v>440</v>
          </cell>
          <cell r="H2859">
            <v>24</v>
          </cell>
          <cell r="I2859">
            <v>14</v>
          </cell>
          <cell r="J2859">
            <v>208</v>
          </cell>
          <cell r="K2859">
            <v>0</v>
          </cell>
          <cell r="L2859">
            <v>0.48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2.3076923076923079</v>
          </cell>
          <cell r="S2859">
            <v>0</v>
          </cell>
        </row>
        <row r="2860">
          <cell r="A2860" t="str">
            <v>Y031-103</v>
          </cell>
          <cell r="B2860">
            <v>0</v>
          </cell>
          <cell r="C2860" t="str">
            <v>Y031</v>
          </cell>
          <cell r="D2860" t="str">
            <v>1435-slk1/2/3 Q</v>
          </cell>
          <cell r="E2860" t="str">
            <v>女王床-床尾饰条1</v>
          </cell>
          <cell r="F2860" t="str">
            <v>650*24*14</v>
          </cell>
          <cell r="G2860">
            <v>650</v>
          </cell>
          <cell r="H2860">
            <v>24</v>
          </cell>
          <cell r="I2860">
            <v>14</v>
          </cell>
          <cell r="J2860">
            <v>289</v>
          </cell>
          <cell r="K2860">
            <v>0</v>
          </cell>
          <cell r="L2860">
            <v>0.7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2.422145328719723</v>
          </cell>
          <cell r="S2860">
            <v>0</v>
          </cell>
        </row>
        <row r="2861">
          <cell r="A2861" t="str">
            <v>Y031-104</v>
          </cell>
          <cell r="B2861">
            <v>0</v>
          </cell>
          <cell r="C2861" t="str">
            <v>Y031</v>
          </cell>
          <cell r="D2861" t="str">
            <v>1435-slk1/2/3 Q</v>
          </cell>
          <cell r="E2861" t="str">
            <v>女王床-床尾饰条2</v>
          </cell>
          <cell r="F2861" t="str">
            <v>340*24*14</v>
          </cell>
          <cell r="G2861">
            <v>340</v>
          </cell>
          <cell r="H2861">
            <v>24</v>
          </cell>
          <cell r="I2861">
            <v>14</v>
          </cell>
          <cell r="J2861">
            <v>170</v>
          </cell>
          <cell r="K2861">
            <v>0</v>
          </cell>
          <cell r="L2861">
            <v>0.37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2.1764705882352939</v>
          </cell>
          <cell r="S2861">
            <v>0</v>
          </cell>
        </row>
        <row r="2862">
          <cell r="A2862" t="str">
            <v>Y031-105</v>
          </cell>
          <cell r="B2862">
            <v>0</v>
          </cell>
          <cell r="C2862" t="str">
            <v>Y031</v>
          </cell>
          <cell r="D2862" t="str">
            <v>1435-slk1/2/3 Q</v>
          </cell>
          <cell r="E2862" t="str">
            <v>女王床-床尾饰条3</v>
          </cell>
          <cell r="F2862" t="str">
            <v>320*24*14</v>
          </cell>
          <cell r="G2862">
            <v>320</v>
          </cell>
          <cell r="H2862">
            <v>24</v>
          </cell>
          <cell r="I2862">
            <v>14</v>
          </cell>
          <cell r="J2862">
            <v>155</v>
          </cell>
          <cell r="K2862">
            <v>0</v>
          </cell>
          <cell r="L2862">
            <v>0.35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2.258064516129032</v>
          </cell>
          <cell r="S2862">
            <v>0</v>
          </cell>
        </row>
        <row r="2863">
          <cell r="A2863" t="str">
            <v>Y031-106</v>
          </cell>
          <cell r="B2863">
            <v>0</v>
          </cell>
          <cell r="C2863" t="str">
            <v>Y031</v>
          </cell>
          <cell r="D2863" t="str">
            <v>KO-006 镜子</v>
          </cell>
          <cell r="E2863" t="str">
            <v>镜框内上饰条</v>
          </cell>
          <cell r="F2863" t="str">
            <v>1148*13*8</v>
          </cell>
          <cell r="G2863">
            <v>1148</v>
          </cell>
          <cell r="H2863">
            <v>13</v>
          </cell>
          <cell r="I2863">
            <v>8</v>
          </cell>
          <cell r="J2863">
            <v>0</v>
          </cell>
          <cell r="K2863">
            <v>0</v>
          </cell>
          <cell r="L2863">
            <v>0.47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 t="e">
            <v>#DIV/0!</v>
          </cell>
          <cell r="S2863">
            <v>0</v>
          </cell>
        </row>
        <row r="2864">
          <cell r="A2864" t="str">
            <v>Y031-107</v>
          </cell>
          <cell r="B2864">
            <v>0</v>
          </cell>
          <cell r="C2864" t="str">
            <v>Y031</v>
          </cell>
          <cell r="D2864" t="str">
            <v>KO-006 镜子</v>
          </cell>
          <cell r="E2864" t="str">
            <v>镜框poly花</v>
          </cell>
          <cell r="F2864" t="str">
            <v>475*164*17</v>
          </cell>
          <cell r="G2864">
            <v>475</v>
          </cell>
          <cell r="H2864">
            <v>164</v>
          </cell>
          <cell r="I2864">
            <v>17</v>
          </cell>
          <cell r="J2864">
            <v>0</v>
          </cell>
          <cell r="K2864">
            <v>0</v>
          </cell>
          <cell r="L2864">
            <v>1.9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 t="e">
            <v>#DIV/0!</v>
          </cell>
          <cell r="S2864">
            <v>0</v>
          </cell>
        </row>
        <row r="2865">
          <cell r="A2865" t="str">
            <v>Y031-108</v>
          </cell>
          <cell r="B2865">
            <v>0</v>
          </cell>
          <cell r="C2865" t="str">
            <v>Y031</v>
          </cell>
          <cell r="D2865" t="str">
            <v>KO-006女王床</v>
          </cell>
          <cell r="E2865" t="str">
            <v>床头poly花</v>
          </cell>
          <cell r="F2865" t="str">
            <v>643*279*17</v>
          </cell>
          <cell r="G2865">
            <v>643</v>
          </cell>
          <cell r="H2865">
            <v>279</v>
          </cell>
          <cell r="I2865">
            <v>17</v>
          </cell>
          <cell r="J2865">
            <v>0</v>
          </cell>
          <cell r="K2865">
            <v>0</v>
          </cell>
          <cell r="L2865">
            <v>4.0999999999999996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 t="e">
            <v>#DIV/0!</v>
          </cell>
          <cell r="S2865">
            <v>0</v>
          </cell>
        </row>
        <row r="2866">
          <cell r="A2866" t="str">
            <v>Y031-109</v>
          </cell>
          <cell r="B2866">
            <v>0</v>
          </cell>
          <cell r="C2866" t="str">
            <v>Y031</v>
          </cell>
          <cell r="D2866" t="str">
            <v>KO-006女王床</v>
          </cell>
          <cell r="E2866" t="str">
            <v>床头板饰条1</v>
          </cell>
          <cell r="F2866" t="str">
            <v>1095*13*8</v>
          </cell>
          <cell r="G2866">
            <v>1095</v>
          </cell>
          <cell r="H2866">
            <v>13</v>
          </cell>
          <cell r="I2866">
            <v>8</v>
          </cell>
          <cell r="J2866">
            <v>0</v>
          </cell>
          <cell r="K2866">
            <v>0</v>
          </cell>
          <cell r="L2866">
            <v>0.44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 t="e">
            <v>#DIV/0!</v>
          </cell>
          <cell r="S2866">
            <v>0</v>
          </cell>
        </row>
        <row r="2867">
          <cell r="A2867" t="str">
            <v>Y031-110</v>
          </cell>
          <cell r="B2867">
            <v>0</v>
          </cell>
          <cell r="C2867" t="str">
            <v>Y031</v>
          </cell>
          <cell r="D2867" t="str">
            <v>KO-006女王床</v>
          </cell>
          <cell r="E2867" t="str">
            <v>床头板饰条2</v>
          </cell>
          <cell r="F2867" t="str">
            <v>415*13*8</v>
          </cell>
          <cell r="G2867">
            <v>415</v>
          </cell>
          <cell r="H2867">
            <v>13</v>
          </cell>
          <cell r="I2867">
            <v>8</v>
          </cell>
          <cell r="J2867">
            <v>0</v>
          </cell>
          <cell r="K2867">
            <v>0</v>
          </cell>
          <cell r="L2867">
            <v>0.16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 t="e">
            <v>#DIV/0!</v>
          </cell>
          <cell r="S2867">
            <v>0</v>
          </cell>
        </row>
        <row r="2868">
          <cell r="A2868" t="str">
            <v>Y031-111</v>
          </cell>
          <cell r="B2868">
            <v>0</v>
          </cell>
          <cell r="C2868" t="str">
            <v>Y031</v>
          </cell>
          <cell r="D2868" t="str">
            <v>KO-006女王床</v>
          </cell>
          <cell r="E2868" t="str">
            <v>床头板饰条6 左</v>
          </cell>
          <cell r="F2868" t="str">
            <v>335*32*13</v>
          </cell>
          <cell r="G2868">
            <v>335</v>
          </cell>
          <cell r="H2868">
            <v>32</v>
          </cell>
          <cell r="I2868">
            <v>13</v>
          </cell>
          <cell r="J2868">
            <v>0</v>
          </cell>
          <cell r="K2868">
            <v>0</v>
          </cell>
          <cell r="L2868">
            <v>0.5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 t="e">
            <v>#DIV/0!</v>
          </cell>
          <cell r="S2868">
            <v>0</v>
          </cell>
        </row>
        <row r="2869">
          <cell r="A2869" t="str">
            <v>Y031-112</v>
          </cell>
          <cell r="B2869">
            <v>0</v>
          </cell>
          <cell r="C2869" t="str">
            <v>Y031</v>
          </cell>
          <cell r="D2869" t="str">
            <v>KO-006女王床</v>
          </cell>
          <cell r="E2869" t="str">
            <v>床头板饰条6 右</v>
          </cell>
          <cell r="F2869" t="str">
            <v>335*32*13</v>
          </cell>
          <cell r="G2869">
            <v>335</v>
          </cell>
          <cell r="H2869">
            <v>32</v>
          </cell>
          <cell r="I2869">
            <v>13</v>
          </cell>
          <cell r="J2869">
            <v>0</v>
          </cell>
          <cell r="K2869">
            <v>0</v>
          </cell>
          <cell r="L2869">
            <v>0.5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 t="e">
            <v>#DIV/0!</v>
          </cell>
          <cell r="S2869">
            <v>0</v>
          </cell>
        </row>
        <row r="2870">
          <cell r="A2870" t="str">
            <v>Y031-113</v>
          </cell>
          <cell r="B2870">
            <v>0</v>
          </cell>
          <cell r="C2870" t="str">
            <v>Y031</v>
          </cell>
          <cell r="D2870" t="str">
            <v>KO-006女王床</v>
          </cell>
          <cell r="E2870" t="str">
            <v>床头板饰条7 左</v>
          </cell>
          <cell r="F2870" t="str">
            <v>570*32*13</v>
          </cell>
          <cell r="G2870">
            <v>570</v>
          </cell>
          <cell r="H2870">
            <v>32</v>
          </cell>
          <cell r="I2870">
            <v>13</v>
          </cell>
          <cell r="J2870">
            <v>0</v>
          </cell>
          <cell r="K2870">
            <v>0</v>
          </cell>
          <cell r="L2870">
            <v>0.53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 t="e">
            <v>#DIV/0!</v>
          </cell>
          <cell r="S2870">
            <v>0</v>
          </cell>
        </row>
        <row r="2871">
          <cell r="A2871" t="str">
            <v>Y031-114</v>
          </cell>
          <cell r="B2871">
            <v>0</v>
          </cell>
          <cell r="C2871" t="str">
            <v>Y031</v>
          </cell>
          <cell r="D2871" t="str">
            <v>KO-006女王床</v>
          </cell>
          <cell r="E2871" t="str">
            <v>床头板饰条7 右</v>
          </cell>
          <cell r="F2871" t="str">
            <v>570*32*13</v>
          </cell>
          <cell r="G2871">
            <v>570</v>
          </cell>
          <cell r="H2871">
            <v>32</v>
          </cell>
          <cell r="I2871">
            <v>13</v>
          </cell>
          <cell r="J2871">
            <v>0</v>
          </cell>
          <cell r="K2871">
            <v>0</v>
          </cell>
          <cell r="L2871">
            <v>0.53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 t="e">
            <v>#DIV/0!</v>
          </cell>
          <cell r="S2871">
            <v>0</v>
          </cell>
        </row>
        <row r="2872">
          <cell r="A2872" t="str">
            <v>Y031-115</v>
          </cell>
          <cell r="B2872">
            <v>0</v>
          </cell>
          <cell r="C2872" t="str">
            <v>Y031</v>
          </cell>
          <cell r="D2872" t="str">
            <v>KO-006女王床</v>
          </cell>
          <cell r="E2872" t="str">
            <v>床尾板饰条1</v>
          </cell>
          <cell r="F2872" t="str">
            <v>1368*32*13</v>
          </cell>
          <cell r="G2872">
            <v>1368</v>
          </cell>
          <cell r="H2872">
            <v>32</v>
          </cell>
          <cell r="I2872">
            <v>13</v>
          </cell>
          <cell r="J2872">
            <v>0</v>
          </cell>
          <cell r="K2872">
            <v>0</v>
          </cell>
          <cell r="L2872">
            <v>1.8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 t="e">
            <v>#DIV/0!</v>
          </cell>
          <cell r="S2872">
            <v>0</v>
          </cell>
        </row>
        <row r="2873">
          <cell r="A2873" t="str">
            <v>Y031-116</v>
          </cell>
          <cell r="B2873">
            <v>0</v>
          </cell>
          <cell r="C2873" t="str">
            <v>Y031</v>
          </cell>
          <cell r="D2873" t="str">
            <v>KO-006国王床</v>
          </cell>
          <cell r="E2873" t="str">
            <v>床头poly花</v>
          </cell>
          <cell r="F2873" t="str">
            <v>705*300*17</v>
          </cell>
          <cell r="G2873">
            <v>705</v>
          </cell>
          <cell r="H2873">
            <v>300</v>
          </cell>
          <cell r="I2873">
            <v>17</v>
          </cell>
          <cell r="J2873">
            <v>0</v>
          </cell>
          <cell r="K2873">
            <v>0</v>
          </cell>
          <cell r="L2873">
            <v>4.54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 t="e">
            <v>#DIV/0!</v>
          </cell>
          <cell r="S2873">
            <v>0</v>
          </cell>
        </row>
        <row r="2874">
          <cell r="A2874" t="str">
            <v>Y031-117</v>
          </cell>
          <cell r="B2874">
            <v>0</v>
          </cell>
          <cell r="C2874" t="str">
            <v>Y031</v>
          </cell>
          <cell r="D2874" t="str">
            <v>KO-006国王床</v>
          </cell>
          <cell r="E2874" t="str">
            <v>床头板饰条1</v>
          </cell>
          <cell r="F2874" t="str">
            <v>1372*13*8</v>
          </cell>
          <cell r="G2874">
            <v>1372</v>
          </cell>
          <cell r="H2874">
            <v>13</v>
          </cell>
          <cell r="I2874">
            <v>8</v>
          </cell>
          <cell r="J2874">
            <v>0</v>
          </cell>
          <cell r="K2874">
            <v>0</v>
          </cell>
          <cell r="L2874">
            <v>0.5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 t="e">
            <v>#DIV/0!</v>
          </cell>
          <cell r="S2874">
            <v>0</v>
          </cell>
        </row>
        <row r="2875">
          <cell r="A2875" t="str">
            <v>Y031-118</v>
          </cell>
          <cell r="B2875">
            <v>0</v>
          </cell>
          <cell r="C2875" t="str">
            <v>Y031</v>
          </cell>
          <cell r="D2875" t="str">
            <v>KO-006国王床</v>
          </cell>
          <cell r="E2875" t="str">
            <v>床头板饰条2</v>
          </cell>
          <cell r="F2875" t="str">
            <v>445*13*8</v>
          </cell>
          <cell r="G2875">
            <v>445</v>
          </cell>
          <cell r="H2875">
            <v>13</v>
          </cell>
          <cell r="I2875">
            <v>8</v>
          </cell>
          <cell r="J2875">
            <v>0</v>
          </cell>
          <cell r="K2875">
            <v>0</v>
          </cell>
          <cell r="L2875">
            <v>0.19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 t="e">
            <v>#DIV/0!</v>
          </cell>
          <cell r="S2875">
            <v>0</v>
          </cell>
        </row>
        <row r="2876">
          <cell r="A2876" t="str">
            <v>Y031-119</v>
          </cell>
          <cell r="B2876">
            <v>0</v>
          </cell>
          <cell r="C2876" t="str">
            <v>Y031</v>
          </cell>
          <cell r="D2876" t="str">
            <v>KO-006国王床 左</v>
          </cell>
          <cell r="E2876" t="str">
            <v>床头板饰条6</v>
          </cell>
          <cell r="F2876" t="str">
            <v>410*32*13</v>
          </cell>
          <cell r="G2876">
            <v>410</v>
          </cell>
          <cell r="H2876">
            <v>32</v>
          </cell>
          <cell r="I2876">
            <v>13</v>
          </cell>
          <cell r="J2876">
            <v>0</v>
          </cell>
          <cell r="K2876">
            <v>0</v>
          </cell>
          <cell r="L2876">
            <v>0.65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 t="e">
            <v>#DIV/0!</v>
          </cell>
          <cell r="S2876">
            <v>0</v>
          </cell>
        </row>
        <row r="2877">
          <cell r="A2877" t="str">
            <v>Y031-120</v>
          </cell>
          <cell r="B2877">
            <v>0</v>
          </cell>
          <cell r="C2877" t="str">
            <v>Y031</v>
          </cell>
          <cell r="D2877" t="str">
            <v>KO-006国王床 右</v>
          </cell>
          <cell r="E2877" t="str">
            <v>床头板饰条6</v>
          </cell>
          <cell r="F2877" t="str">
            <v>410*32*13</v>
          </cell>
          <cell r="G2877">
            <v>410</v>
          </cell>
          <cell r="H2877">
            <v>32</v>
          </cell>
          <cell r="I2877">
            <v>13</v>
          </cell>
          <cell r="J2877">
            <v>0</v>
          </cell>
          <cell r="K2877">
            <v>0</v>
          </cell>
          <cell r="L2877">
            <v>0.65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 t="e">
            <v>#DIV/0!</v>
          </cell>
          <cell r="S2877">
            <v>0</v>
          </cell>
        </row>
        <row r="2878">
          <cell r="A2878" t="str">
            <v>Y031-121</v>
          </cell>
          <cell r="B2878">
            <v>0</v>
          </cell>
          <cell r="C2878" t="str">
            <v>Y031</v>
          </cell>
          <cell r="D2878" t="str">
            <v>KO-006国王床 左</v>
          </cell>
          <cell r="E2878" t="str">
            <v>床头板饰条7</v>
          </cell>
          <cell r="F2878" t="str">
            <v>700*32*13</v>
          </cell>
          <cell r="G2878">
            <v>700</v>
          </cell>
          <cell r="H2878">
            <v>32</v>
          </cell>
          <cell r="I2878">
            <v>13</v>
          </cell>
          <cell r="J2878">
            <v>0</v>
          </cell>
          <cell r="K2878">
            <v>0</v>
          </cell>
          <cell r="L2878">
            <v>0.75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 t="e">
            <v>#DIV/0!</v>
          </cell>
          <cell r="S2878">
            <v>0</v>
          </cell>
        </row>
        <row r="2879">
          <cell r="A2879" t="str">
            <v>Y031-122</v>
          </cell>
          <cell r="B2879">
            <v>0</v>
          </cell>
          <cell r="C2879" t="str">
            <v>Y031</v>
          </cell>
          <cell r="D2879" t="str">
            <v>KO-006国王床 右</v>
          </cell>
          <cell r="E2879" t="str">
            <v>床头板饰条7</v>
          </cell>
          <cell r="F2879" t="str">
            <v>700*32*13</v>
          </cell>
          <cell r="G2879">
            <v>700</v>
          </cell>
          <cell r="H2879">
            <v>32</v>
          </cell>
          <cell r="I2879">
            <v>13</v>
          </cell>
          <cell r="J2879">
            <v>0</v>
          </cell>
          <cell r="K2879">
            <v>0</v>
          </cell>
          <cell r="L2879">
            <v>0.75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 t="e">
            <v>#DIV/0!</v>
          </cell>
          <cell r="S2879">
            <v>0</v>
          </cell>
        </row>
        <row r="2880">
          <cell r="A2880" t="str">
            <v>Y031-123</v>
          </cell>
          <cell r="B2880">
            <v>0</v>
          </cell>
          <cell r="C2880" t="str">
            <v>Y031</v>
          </cell>
          <cell r="D2880" t="str">
            <v>KO-006国王床</v>
          </cell>
          <cell r="E2880" t="str">
            <v>床尾板饰条1</v>
          </cell>
          <cell r="F2880" t="str">
            <v>1780*32*13</v>
          </cell>
          <cell r="G2880">
            <v>1780</v>
          </cell>
          <cell r="H2880">
            <v>32</v>
          </cell>
          <cell r="I2880">
            <v>13</v>
          </cell>
          <cell r="J2880">
            <v>0</v>
          </cell>
          <cell r="K2880">
            <v>0</v>
          </cell>
          <cell r="L2880">
            <v>2.2999999999999998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 t="e">
            <v>#DIV/0!</v>
          </cell>
          <cell r="S2880">
            <v>0</v>
          </cell>
        </row>
        <row r="2881">
          <cell r="A2881" t="str">
            <v>Y031-124</v>
          </cell>
          <cell r="B2881">
            <v>0</v>
          </cell>
          <cell r="C2881" t="str">
            <v>Y031</v>
          </cell>
          <cell r="D2881">
            <v>2434491</v>
          </cell>
          <cell r="E2881" t="str">
            <v>梳妆台</v>
          </cell>
          <cell r="F2881" t="str">
            <v>340*214*7</v>
          </cell>
          <cell r="G2881">
            <v>340</v>
          </cell>
          <cell r="H2881">
            <v>214</v>
          </cell>
          <cell r="I2881">
            <v>7</v>
          </cell>
          <cell r="J2881">
            <v>0</v>
          </cell>
          <cell r="K2881">
            <v>0</v>
          </cell>
          <cell r="L2881">
            <v>0.36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</row>
        <row r="2882">
          <cell r="A2882" t="str">
            <v>Y031-125</v>
          </cell>
          <cell r="B2882">
            <v>0</v>
          </cell>
          <cell r="C2882" t="str">
            <v>Y031</v>
          </cell>
          <cell r="D2882">
            <v>2434454</v>
          </cell>
          <cell r="E2882" t="str">
            <v>床头柜</v>
          </cell>
          <cell r="F2882" t="str">
            <v>322*197*7</v>
          </cell>
          <cell r="G2882">
            <v>322</v>
          </cell>
          <cell r="H2882">
            <v>197</v>
          </cell>
          <cell r="I2882">
            <v>7</v>
          </cell>
          <cell r="J2882">
            <v>0</v>
          </cell>
          <cell r="K2882">
            <v>0</v>
          </cell>
          <cell r="L2882">
            <v>0.34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</row>
        <row r="2883">
          <cell r="A2883" t="str">
            <v>Y032-001</v>
          </cell>
          <cell r="B2883" t="str">
            <v>LCT085-133</v>
          </cell>
          <cell r="C2883" t="str">
            <v>Y032</v>
          </cell>
          <cell r="D2883" t="str">
            <v>JAM-02S</v>
          </cell>
          <cell r="E2883" t="str">
            <v>飾條 Chỉ Poly</v>
          </cell>
          <cell r="F2883" t="str">
            <v>512*8*4</v>
          </cell>
          <cell r="G2883">
            <v>512</v>
          </cell>
          <cell r="H2883">
            <v>8</v>
          </cell>
          <cell r="I2883">
            <v>4</v>
          </cell>
          <cell r="J2883">
            <v>30</v>
          </cell>
          <cell r="K2883">
            <v>0</v>
          </cell>
          <cell r="L2883">
            <v>0.15</v>
          </cell>
          <cell r="M2883">
            <v>0</v>
          </cell>
          <cell r="N2883">
            <v>0</v>
          </cell>
          <cell r="O2883">
            <v>0</v>
          </cell>
          <cell r="P2883" t="str">
            <v>1010</v>
          </cell>
          <cell r="Q2883" t="str">
            <v>1010</v>
          </cell>
          <cell r="R2883">
            <v>5</v>
          </cell>
        </row>
        <row r="2884">
          <cell r="A2884" t="str">
            <v>Y032-002</v>
          </cell>
          <cell r="B2884" t="str">
            <v>LCT085-101</v>
          </cell>
          <cell r="C2884" t="str">
            <v>Y032</v>
          </cell>
          <cell r="D2884">
            <v>0</v>
          </cell>
          <cell r="E2884" t="str">
            <v>抽面板飾條 MNK</v>
          </cell>
          <cell r="F2884" t="str">
            <v>621*10*5</v>
          </cell>
          <cell r="G2884">
            <v>621</v>
          </cell>
          <cell r="H2884">
            <v>10</v>
          </cell>
          <cell r="I2884">
            <v>5</v>
          </cell>
          <cell r="J2884">
            <v>55</v>
          </cell>
          <cell r="K2884">
            <v>0</v>
          </cell>
          <cell r="L2884">
            <v>0.2</v>
          </cell>
          <cell r="M2884">
            <v>0</v>
          </cell>
          <cell r="N2884">
            <v>0</v>
          </cell>
          <cell r="O2884">
            <v>0</v>
          </cell>
          <cell r="P2884" t="str">
            <v>1010</v>
          </cell>
          <cell r="Q2884" t="str">
            <v>1010</v>
          </cell>
          <cell r="R2884">
            <v>3.6363636363636367</v>
          </cell>
        </row>
        <row r="2885">
          <cell r="A2885" t="str">
            <v>Y032-003</v>
          </cell>
          <cell r="B2885" t="str">
            <v>LCT085-132</v>
          </cell>
          <cell r="C2885" t="str">
            <v>Y032</v>
          </cell>
          <cell r="D2885" t="str">
            <v>JAM-02S</v>
          </cell>
          <cell r="E2885" t="str">
            <v>飾條 Chỉ Poly</v>
          </cell>
          <cell r="F2885" t="str">
            <v>1140*8*4</v>
          </cell>
          <cell r="G2885">
            <v>1140</v>
          </cell>
          <cell r="H2885">
            <v>8</v>
          </cell>
          <cell r="I2885">
            <v>4</v>
          </cell>
          <cell r="J2885">
            <v>65</v>
          </cell>
          <cell r="K2885">
            <v>0</v>
          </cell>
          <cell r="L2885">
            <v>0.38</v>
          </cell>
          <cell r="M2885">
            <v>0</v>
          </cell>
          <cell r="N2885">
            <v>0</v>
          </cell>
          <cell r="O2885">
            <v>0</v>
          </cell>
          <cell r="P2885" t="str">
            <v>1010</v>
          </cell>
          <cell r="Q2885" t="str">
            <v>1010</v>
          </cell>
          <cell r="R2885">
            <v>5.8461538461538458</v>
          </cell>
        </row>
        <row r="2886">
          <cell r="A2886" t="str">
            <v>Y032-004</v>
          </cell>
          <cell r="B2886" t="str">
            <v>LCT085-103</v>
          </cell>
          <cell r="C2886" t="str">
            <v>Y032</v>
          </cell>
          <cell r="D2886">
            <v>0</v>
          </cell>
          <cell r="E2886" t="str">
            <v>抽面板飾條MNK</v>
          </cell>
          <cell r="F2886" t="str">
            <v>514*10*5</v>
          </cell>
          <cell r="G2886">
            <v>514</v>
          </cell>
          <cell r="H2886">
            <v>10</v>
          </cell>
          <cell r="I2886">
            <v>5</v>
          </cell>
          <cell r="J2886">
            <v>0</v>
          </cell>
          <cell r="K2886">
            <v>0</v>
          </cell>
          <cell r="L2886">
            <v>0.16</v>
          </cell>
          <cell r="M2886">
            <v>0</v>
          </cell>
          <cell r="N2886">
            <v>0</v>
          </cell>
          <cell r="O2886">
            <v>0</v>
          </cell>
          <cell r="P2886" t="str">
            <v>1010</v>
          </cell>
          <cell r="Q2886" t="str">
            <v>1010</v>
          </cell>
          <cell r="R2886" t="e">
            <v>#DIV/0!</v>
          </cell>
        </row>
        <row r="2887">
          <cell r="A2887" t="str">
            <v>Y032-005</v>
          </cell>
          <cell r="B2887" t="str">
            <v>LCT085-116</v>
          </cell>
          <cell r="C2887" t="str">
            <v>Y032</v>
          </cell>
          <cell r="D2887">
            <v>0</v>
          </cell>
          <cell r="E2887" t="str">
            <v>床头顶冠 chi nep</v>
          </cell>
          <cell r="F2887" t="str">
            <v>1113*20*9</v>
          </cell>
          <cell r="G2887">
            <v>1113</v>
          </cell>
          <cell r="H2887">
            <v>20</v>
          </cell>
          <cell r="I2887">
            <v>9</v>
          </cell>
          <cell r="J2887">
            <v>300</v>
          </cell>
          <cell r="K2887">
            <v>0</v>
          </cell>
          <cell r="L2887">
            <v>0.9</v>
          </cell>
          <cell r="M2887">
            <v>0</v>
          </cell>
          <cell r="N2887">
            <v>0</v>
          </cell>
          <cell r="O2887" t="str">
            <v>T</v>
          </cell>
          <cell r="P2887" t="str">
            <v>1010</v>
          </cell>
          <cell r="Q2887" t="str">
            <v>1010</v>
          </cell>
          <cell r="R2887">
            <v>3</v>
          </cell>
        </row>
        <row r="2888">
          <cell r="A2888" t="str">
            <v>Y032-006</v>
          </cell>
          <cell r="B2888" t="str">
            <v>LCT085-093</v>
          </cell>
          <cell r="C2888" t="str">
            <v>Y032</v>
          </cell>
          <cell r="D2888">
            <v>0</v>
          </cell>
          <cell r="E2888" t="str">
            <v>床头饰条</v>
          </cell>
          <cell r="F2888" t="str">
            <v>1296*48*17</v>
          </cell>
          <cell r="G2888">
            <v>1296</v>
          </cell>
          <cell r="H2888">
            <v>48</v>
          </cell>
          <cell r="I2888">
            <v>17</v>
          </cell>
          <cell r="J2888">
            <v>1678</v>
          </cell>
          <cell r="K2888">
            <v>1610</v>
          </cell>
          <cell r="L2888">
            <v>3.19</v>
          </cell>
          <cell r="M2888">
            <v>0</v>
          </cell>
          <cell r="N2888">
            <v>0</v>
          </cell>
          <cell r="O2888">
            <v>0</v>
          </cell>
          <cell r="P2888" t="str">
            <v>1010</v>
          </cell>
          <cell r="Q2888" t="str">
            <v>1010</v>
          </cell>
          <cell r="R2888">
            <v>1.901072705601907</v>
          </cell>
        </row>
        <row r="2889">
          <cell r="A2889" t="str">
            <v>Y032-007</v>
          </cell>
          <cell r="B2889" t="str">
            <v>LCT085-067</v>
          </cell>
          <cell r="C2889" t="str">
            <v>Y032</v>
          </cell>
          <cell r="D2889">
            <v>0</v>
          </cell>
          <cell r="E2889" t="str">
            <v>抽头饰条POLY</v>
          </cell>
          <cell r="F2889" t="str">
            <v>610*48*17</v>
          </cell>
          <cell r="G2889">
            <v>610</v>
          </cell>
          <cell r="H2889">
            <v>48</v>
          </cell>
          <cell r="I2889">
            <v>17</v>
          </cell>
          <cell r="J2889">
            <v>813</v>
          </cell>
          <cell r="K2889">
            <v>770</v>
          </cell>
          <cell r="L2889">
            <v>1.7250000000000001</v>
          </cell>
          <cell r="M2889">
            <v>0</v>
          </cell>
          <cell r="N2889">
            <v>0</v>
          </cell>
          <cell r="O2889">
            <v>0</v>
          </cell>
          <cell r="P2889" t="str">
            <v>1010</v>
          </cell>
          <cell r="Q2889" t="str">
            <v>1010</v>
          </cell>
          <cell r="R2889">
            <v>2.1217712177121775</v>
          </cell>
        </row>
        <row r="2890">
          <cell r="A2890" t="str">
            <v>Y032-008</v>
          </cell>
          <cell r="B2890" t="str">
            <v>LCT085-070</v>
          </cell>
          <cell r="C2890" t="str">
            <v>Y032</v>
          </cell>
          <cell r="D2890">
            <v>0</v>
          </cell>
          <cell r="E2890" t="str">
            <v>抽屜饰条POLY</v>
          </cell>
          <cell r="F2890" t="str">
            <v>1884*48*17</v>
          </cell>
          <cell r="G2890">
            <v>1884</v>
          </cell>
          <cell r="H2890">
            <v>48</v>
          </cell>
          <cell r="I2890">
            <v>17</v>
          </cell>
          <cell r="J2890">
            <v>2395</v>
          </cell>
          <cell r="K2890">
            <v>2420</v>
          </cell>
          <cell r="L2890">
            <v>5.17</v>
          </cell>
          <cell r="M2890">
            <v>0</v>
          </cell>
          <cell r="N2890">
            <v>0</v>
          </cell>
          <cell r="O2890">
            <v>0</v>
          </cell>
          <cell r="P2890" t="str">
            <v>1010</v>
          </cell>
          <cell r="Q2890" t="str">
            <v>1010</v>
          </cell>
          <cell r="R2890">
            <v>2.1586638830897704</v>
          </cell>
        </row>
        <row r="2891">
          <cell r="A2891" t="str">
            <v>Y032-009</v>
          </cell>
          <cell r="B2891" t="str">
            <v>LCT085-068</v>
          </cell>
          <cell r="C2891" t="str">
            <v>Y032</v>
          </cell>
          <cell r="D2891">
            <v>0</v>
          </cell>
          <cell r="E2891" t="str">
            <v>抽头饰条POLY</v>
          </cell>
          <cell r="F2891" t="str">
            <v>1484*48*17</v>
          </cell>
          <cell r="G2891">
            <v>1484</v>
          </cell>
          <cell r="H2891">
            <v>48</v>
          </cell>
          <cell r="I2891">
            <v>17</v>
          </cell>
          <cell r="J2891">
            <v>1916</v>
          </cell>
          <cell r="K2891">
            <v>1900</v>
          </cell>
          <cell r="L2891">
            <v>3.96</v>
          </cell>
          <cell r="M2891">
            <v>0</v>
          </cell>
          <cell r="N2891">
            <v>0</v>
          </cell>
          <cell r="O2891" t="str">
            <v>100V</v>
          </cell>
          <cell r="P2891" t="str">
            <v>1010</v>
          </cell>
          <cell r="Q2891" t="str">
            <v>1010</v>
          </cell>
          <cell r="R2891">
            <v>2.0668058455114822</v>
          </cell>
        </row>
        <row r="2892">
          <cell r="A2892" t="str">
            <v>Y032-010</v>
          </cell>
          <cell r="B2892" t="str">
            <v>LCT085-076</v>
          </cell>
          <cell r="C2892" t="str">
            <v>Y032</v>
          </cell>
          <cell r="D2892">
            <v>0</v>
          </cell>
          <cell r="E2892" t="str">
            <v>抽屜饰条POLY</v>
          </cell>
          <cell r="F2892" t="str">
            <v>520*38*12</v>
          </cell>
          <cell r="G2892">
            <v>520</v>
          </cell>
          <cell r="H2892">
            <v>38</v>
          </cell>
          <cell r="I2892">
            <v>12</v>
          </cell>
          <cell r="J2892">
            <v>319</v>
          </cell>
          <cell r="K2892">
            <v>310</v>
          </cell>
          <cell r="L2892">
            <v>0.7</v>
          </cell>
          <cell r="M2892">
            <v>0</v>
          </cell>
          <cell r="N2892">
            <v>0</v>
          </cell>
          <cell r="O2892">
            <v>0</v>
          </cell>
          <cell r="P2892" t="str">
            <v>1010</v>
          </cell>
          <cell r="Q2892" t="str">
            <v>1010</v>
          </cell>
          <cell r="R2892">
            <v>2.1943573667711598</v>
          </cell>
        </row>
        <row r="2893">
          <cell r="A2893" t="str">
            <v>Y032-011</v>
          </cell>
          <cell r="B2893" t="str">
            <v>LCT085-082</v>
          </cell>
          <cell r="C2893" t="str">
            <v>Y032</v>
          </cell>
          <cell r="D2893">
            <v>0</v>
          </cell>
          <cell r="E2893" t="str">
            <v>抽屜饰条POLY</v>
          </cell>
          <cell r="F2893" t="str">
            <v>840*38*12</v>
          </cell>
          <cell r="G2893">
            <v>840</v>
          </cell>
          <cell r="H2893">
            <v>38</v>
          </cell>
          <cell r="I2893">
            <v>12</v>
          </cell>
          <cell r="J2893">
            <v>503</v>
          </cell>
          <cell r="K2893">
            <v>500</v>
          </cell>
          <cell r="L2893">
            <v>1.1000000000000001</v>
          </cell>
          <cell r="M2893">
            <v>0</v>
          </cell>
          <cell r="N2893">
            <v>0</v>
          </cell>
          <cell r="O2893">
            <v>0</v>
          </cell>
          <cell r="P2893" t="str">
            <v>1010</v>
          </cell>
          <cell r="Q2893" t="str">
            <v>1010</v>
          </cell>
          <cell r="R2893">
            <v>2.1868787276341948</v>
          </cell>
        </row>
        <row r="2894">
          <cell r="A2894" t="str">
            <v>Y032-012</v>
          </cell>
          <cell r="B2894" t="str">
            <v>LCT085-091</v>
          </cell>
          <cell r="C2894" t="str">
            <v>Y032</v>
          </cell>
          <cell r="D2894">
            <v>0</v>
          </cell>
          <cell r="E2894" t="str">
            <v>抽屉饰条</v>
          </cell>
          <cell r="F2894" t="str">
            <v>714*38*12</v>
          </cell>
          <cell r="G2894">
            <v>714</v>
          </cell>
          <cell r="H2894">
            <v>38</v>
          </cell>
          <cell r="I2894">
            <v>12</v>
          </cell>
          <cell r="J2894">
            <v>425</v>
          </cell>
          <cell r="K2894">
            <v>460</v>
          </cell>
          <cell r="L2894">
            <v>0.97</v>
          </cell>
          <cell r="M2894">
            <v>0</v>
          </cell>
          <cell r="N2894">
            <v>0</v>
          </cell>
          <cell r="O2894">
            <v>0</v>
          </cell>
          <cell r="P2894" t="str">
            <v>1010</v>
          </cell>
          <cell r="Q2894" t="str">
            <v>1010</v>
          </cell>
          <cell r="R2894">
            <v>2.2823529411764705</v>
          </cell>
        </row>
        <row r="2895">
          <cell r="A2895" t="str">
            <v>Y032-013</v>
          </cell>
          <cell r="B2895" t="str">
            <v>LCT085-079</v>
          </cell>
          <cell r="C2895" t="str">
            <v>Y032</v>
          </cell>
          <cell r="D2895">
            <v>0</v>
          </cell>
          <cell r="E2895" t="str">
            <v>抽屜饰条POLY</v>
          </cell>
          <cell r="F2895" t="str">
            <v>1300*38*12</v>
          </cell>
          <cell r="G2895">
            <v>1300</v>
          </cell>
          <cell r="H2895">
            <v>38</v>
          </cell>
          <cell r="I2895">
            <v>12</v>
          </cell>
          <cell r="J2895">
            <v>774</v>
          </cell>
          <cell r="K2895">
            <v>940</v>
          </cell>
          <cell r="L2895">
            <v>1.7</v>
          </cell>
          <cell r="M2895">
            <v>0</v>
          </cell>
          <cell r="N2895">
            <v>0</v>
          </cell>
          <cell r="O2895">
            <v>0</v>
          </cell>
          <cell r="P2895" t="str">
            <v>1010</v>
          </cell>
          <cell r="Q2895" t="str">
            <v>1010</v>
          </cell>
          <cell r="R2895">
            <v>2.1963824289405682</v>
          </cell>
        </row>
        <row r="2896">
          <cell r="A2896" t="str">
            <v>Y032-014</v>
          </cell>
          <cell r="B2896" t="str">
            <v>LCT085-077</v>
          </cell>
          <cell r="C2896" t="str">
            <v>Y032</v>
          </cell>
          <cell r="D2896">
            <v>0</v>
          </cell>
          <cell r="E2896" t="str">
            <v>抽屜饰条POLY</v>
          </cell>
          <cell r="F2896" t="str">
            <v>610*38*12</v>
          </cell>
          <cell r="G2896">
            <v>610</v>
          </cell>
          <cell r="H2896">
            <v>38</v>
          </cell>
          <cell r="I2896">
            <v>12</v>
          </cell>
          <cell r="J2896">
            <v>368</v>
          </cell>
          <cell r="K2896">
            <v>420</v>
          </cell>
          <cell r="L2896">
            <v>0.8</v>
          </cell>
          <cell r="M2896">
            <v>0</v>
          </cell>
          <cell r="N2896">
            <v>0</v>
          </cell>
          <cell r="O2896">
            <v>0</v>
          </cell>
          <cell r="P2896" t="str">
            <v>1010</v>
          </cell>
          <cell r="Q2896" t="str">
            <v>1010</v>
          </cell>
          <cell r="R2896">
            <v>2.1739130434782612</v>
          </cell>
        </row>
        <row r="2897">
          <cell r="A2897" t="str">
            <v>Y032-015</v>
          </cell>
          <cell r="B2897" t="str">
            <v>LCT085-081</v>
          </cell>
          <cell r="C2897" t="str">
            <v>Y032</v>
          </cell>
          <cell r="D2897">
            <v>0</v>
          </cell>
          <cell r="E2897" t="str">
            <v>抽屜饰条POLY</v>
          </cell>
          <cell r="F2897" t="str">
            <v>1600*38*12</v>
          </cell>
          <cell r="G2897">
            <v>1600</v>
          </cell>
          <cell r="H2897">
            <v>38</v>
          </cell>
          <cell r="I2897">
            <v>12</v>
          </cell>
          <cell r="J2897">
            <v>958</v>
          </cell>
          <cell r="K2897">
            <v>1120</v>
          </cell>
          <cell r="L2897">
            <v>2.2000000000000002</v>
          </cell>
          <cell r="M2897">
            <v>0</v>
          </cell>
          <cell r="N2897">
            <v>0</v>
          </cell>
          <cell r="O2897">
            <v>0</v>
          </cell>
          <cell r="P2897" t="str">
            <v>1010</v>
          </cell>
          <cell r="Q2897" t="str">
            <v>1010</v>
          </cell>
          <cell r="R2897">
            <v>2.2964509394572028</v>
          </cell>
        </row>
        <row r="2898">
          <cell r="A2898" t="str">
            <v>Y032-016</v>
          </cell>
          <cell r="B2898" t="str">
            <v>LCT085-092</v>
          </cell>
          <cell r="C2898" t="str">
            <v>Y032</v>
          </cell>
          <cell r="D2898">
            <v>0</v>
          </cell>
          <cell r="E2898" t="str">
            <v>抽屉饰条</v>
          </cell>
          <cell r="F2898" t="str">
            <v>824*38*12</v>
          </cell>
          <cell r="G2898">
            <v>824</v>
          </cell>
          <cell r="H2898">
            <v>38</v>
          </cell>
          <cell r="I2898">
            <v>12</v>
          </cell>
          <cell r="J2898">
            <v>492</v>
          </cell>
          <cell r="K2898">
            <v>550</v>
          </cell>
          <cell r="L2898">
            <v>1.1200000000000001</v>
          </cell>
          <cell r="M2898">
            <v>0</v>
          </cell>
          <cell r="N2898">
            <v>0</v>
          </cell>
          <cell r="O2898">
            <v>0</v>
          </cell>
          <cell r="P2898" t="str">
            <v>1010</v>
          </cell>
          <cell r="Q2898" t="str">
            <v>1010</v>
          </cell>
          <cell r="R2898">
            <v>2.2764227642276427</v>
          </cell>
        </row>
        <row r="2899">
          <cell r="A2899" t="str">
            <v>Y032-017</v>
          </cell>
          <cell r="B2899" t="str">
            <v>LCT085-078</v>
          </cell>
          <cell r="C2899" t="str">
            <v>Y032</v>
          </cell>
          <cell r="D2899">
            <v>0</v>
          </cell>
          <cell r="E2899" t="str">
            <v>抽屜饰条POLY</v>
          </cell>
          <cell r="F2899" t="str">
            <v>960*38*12</v>
          </cell>
          <cell r="G2899">
            <v>960</v>
          </cell>
          <cell r="H2899">
            <v>38</v>
          </cell>
          <cell r="I2899">
            <v>12</v>
          </cell>
          <cell r="J2899">
            <v>570</v>
          </cell>
          <cell r="K2899">
            <v>660</v>
          </cell>
          <cell r="L2899">
            <v>1.3</v>
          </cell>
          <cell r="M2899">
            <v>0</v>
          </cell>
          <cell r="N2899">
            <v>0</v>
          </cell>
          <cell r="O2899">
            <v>0</v>
          </cell>
          <cell r="P2899" t="str">
            <v>1010</v>
          </cell>
          <cell r="Q2899" t="str">
            <v>1010</v>
          </cell>
          <cell r="R2899">
            <v>2.2807017543859653</v>
          </cell>
        </row>
        <row r="2900">
          <cell r="A2900" t="str">
            <v>Y032-018</v>
          </cell>
          <cell r="B2900" t="str">
            <v>LCT085-140</v>
          </cell>
          <cell r="C2900" t="str">
            <v>Y032</v>
          </cell>
          <cell r="D2900" t="str">
            <v>A-01-03</v>
          </cell>
          <cell r="E2900" t="str">
            <v>摩納哥嬰兒床飾框</v>
          </cell>
          <cell r="F2900" t="str">
            <v>1180*79*10</v>
          </cell>
          <cell r="G2900">
            <v>1180</v>
          </cell>
          <cell r="H2900">
            <v>79</v>
          </cell>
          <cell r="I2900">
            <v>10</v>
          </cell>
          <cell r="J2900">
            <v>520</v>
          </cell>
          <cell r="K2900">
            <v>0</v>
          </cell>
          <cell r="L2900">
            <v>1.1000000000000001</v>
          </cell>
          <cell r="M2900">
            <v>0</v>
          </cell>
          <cell r="N2900">
            <v>0</v>
          </cell>
          <cell r="O2900">
            <v>0</v>
          </cell>
          <cell r="P2900" t="str">
            <v>1010</v>
          </cell>
          <cell r="Q2900" t="str">
            <v>1010</v>
          </cell>
          <cell r="R2900">
            <v>2.1153846153846154</v>
          </cell>
        </row>
        <row r="2901">
          <cell r="A2901" t="str">
            <v>Y032-019</v>
          </cell>
          <cell r="B2901" t="str">
            <v>Y032-019</v>
          </cell>
          <cell r="C2901" t="str">
            <v>Y032</v>
          </cell>
          <cell r="D2901" t="str">
            <v>(A-07-03)BEL-01S</v>
          </cell>
          <cell r="E2901" t="str">
            <v>貝拉嬰兒床-飾條2</v>
          </cell>
          <cell r="F2901" t="str">
            <v>300*10*10</v>
          </cell>
          <cell r="G2901">
            <v>300</v>
          </cell>
          <cell r="H2901">
            <v>10</v>
          </cell>
          <cell r="I2901">
            <v>10</v>
          </cell>
          <cell r="J2901">
            <v>0</v>
          </cell>
          <cell r="K2901">
            <v>0</v>
          </cell>
          <cell r="L2901">
            <v>0.15</v>
          </cell>
          <cell r="M2901">
            <v>0</v>
          </cell>
          <cell r="N2901">
            <v>0</v>
          </cell>
          <cell r="O2901">
            <v>0</v>
          </cell>
          <cell r="P2901" t="str">
            <v>1010</v>
          </cell>
          <cell r="Q2901" t="str">
            <v>1010</v>
          </cell>
          <cell r="R2901" t="e">
            <v>#DIV/0!</v>
          </cell>
        </row>
        <row r="2902">
          <cell r="A2902" t="str">
            <v>Y032-020</v>
          </cell>
          <cell r="B2902" t="str">
            <v>Y032-020</v>
          </cell>
          <cell r="C2902" t="str">
            <v>Y032</v>
          </cell>
          <cell r="D2902" t="str">
            <v>(A-08-04)BEL-01S</v>
          </cell>
          <cell r="E2902" t="str">
            <v>貝拉嬰兒床-飾條5</v>
          </cell>
          <cell r="F2902" t="str">
            <v>320*10*10</v>
          </cell>
          <cell r="G2902">
            <v>320</v>
          </cell>
          <cell r="H2902">
            <v>10</v>
          </cell>
          <cell r="I2902">
            <v>10</v>
          </cell>
          <cell r="J2902">
            <v>0</v>
          </cell>
          <cell r="K2902">
            <v>0</v>
          </cell>
          <cell r="L2902">
            <v>0.16</v>
          </cell>
          <cell r="M2902">
            <v>0</v>
          </cell>
          <cell r="N2902">
            <v>0</v>
          </cell>
          <cell r="O2902">
            <v>0</v>
          </cell>
          <cell r="P2902" t="str">
            <v>1010</v>
          </cell>
          <cell r="Q2902" t="str">
            <v>1010</v>
          </cell>
          <cell r="R2902" t="e">
            <v>#DIV/0!</v>
          </cell>
        </row>
        <row r="2903">
          <cell r="A2903" t="str">
            <v>Y032-021</v>
          </cell>
          <cell r="B2903" t="str">
            <v>Y032-021</v>
          </cell>
          <cell r="C2903" t="str">
            <v>Y032</v>
          </cell>
          <cell r="D2903" t="str">
            <v>(C-06#)BEL-01S</v>
          </cell>
          <cell r="E2903" t="str">
            <v>貝拉嬰兒床-飾條9</v>
          </cell>
          <cell r="F2903" t="str">
            <v>520*10*5</v>
          </cell>
          <cell r="G2903">
            <v>520</v>
          </cell>
          <cell r="H2903">
            <v>10</v>
          </cell>
          <cell r="I2903">
            <v>5</v>
          </cell>
          <cell r="J2903">
            <v>0</v>
          </cell>
          <cell r="K2903">
            <v>0</v>
          </cell>
          <cell r="L2903">
            <v>0.13</v>
          </cell>
          <cell r="M2903">
            <v>0</v>
          </cell>
          <cell r="N2903">
            <v>0</v>
          </cell>
          <cell r="O2903">
            <v>0</v>
          </cell>
          <cell r="P2903" t="str">
            <v>1010</v>
          </cell>
          <cell r="Q2903" t="str">
            <v>1010</v>
          </cell>
          <cell r="R2903" t="e">
            <v>#DIV/0!</v>
          </cell>
        </row>
        <row r="2904">
          <cell r="A2904" t="str">
            <v>Y032-022</v>
          </cell>
          <cell r="B2904" t="str">
            <v>Y032-022</v>
          </cell>
          <cell r="C2904" t="str">
            <v>Y032</v>
          </cell>
          <cell r="D2904" t="str">
            <v>(B-02-07#)20281</v>
          </cell>
          <cell r="E2904" t="str">
            <v>柏利燈床(雙人)床頭+床尾飾條2</v>
          </cell>
          <cell r="F2904" t="str">
            <v>1336*7*4</v>
          </cell>
          <cell r="G2904">
            <v>1336</v>
          </cell>
          <cell r="H2904">
            <v>7</v>
          </cell>
          <cell r="I2904">
            <v>4</v>
          </cell>
          <cell r="J2904">
            <v>0</v>
          </cell>
          <cell r="K2904">
            <v>0</v>
          </cell>
          <cell r="L2904">
            <v>0.2</v>
          </cell>
          <cell r="M2904">
            <v>0</v>
          </cell>
          <cell r="N2904">
            <v>0</v>
          </cell>
          <cell r="O2904">
            <v>0</v>
          </cell>
          <cell r="P2904" t="str">
            <v>1010</v>
          </cell>
          <cell r="Q2904" t="str">
            <v>1010</v>
          </cell>
          <cell r="R2904" t="e">
            <v>#DIV/0!</v>
          </cell>
        </row>
        <row r="2905">
          <cell r="A2905" t="str">
            <v>Y032-023</v>
          </cell>
          <cell r="B2905" t="str">
            <v>Y032-023</v>
          </cell>
          <cell r="C2905" t="str">
            <v>Y032</v>
          </cell>
          <cell r="D2905" t="str">
            <v>(B-02-07)20289</v>
          </cell>
          <cell r="E2905" t="str">
            <v>柏利燈床(雙人)床頭+床尾飾條2</v>
          </cell>
          <cell r="F2905" t="str">
            <v>1336*7*4</v>
          </cell>
          <cell r="G2905">
            <v>1336</v>
          </cell>
          <cell r="H2905">
            <v>7</v>
          </cell>
          <cell r="I2905">
            <v>4</v>
          </cell>
          <cell r="J2905">
            <v>0</v>
          </cell>
          <cell r="K2905">
            <v>0</v>
          </cell>
          <cell r="L2905">
            <v>0.2</v>
          </cell>
          <cell r="M2905">
            <v>0</v>
          </cell>
          <cell r="N2905">
            <v>0</v>
          </cell>
          <cell r="O2905">
            <v>0</v>
          </cell>
          <cell r="P2905" t="str">
            <v>1010</v>
          </cell>
          <cell r="Q2905" t="str">
            <v>1010</v>
          </cell>
          <cell r="R2905" t="e">
            <v>#DIV/0!</v>
          </cell>
        </row>
        <row r="2906">
          <cell r="A2906" t="str">
            <v>Y032-024</v>
          </cell>
          <cell r="B2906" t="str">
            <v>Y032-024</v>
          </cell>
          <cell r="C2906" t="str">
            <v>Y032</v>
          </cell>
          <cell r="D2906" t="str">
            <v>(B-02-07#)20285</v>
          </cell>
          <cell r="E2906" t="str">
            <v>柏利燈床(雙人)床頭+床尾飾條2</v>
          </cell>
          <cell r="F2906" t="str">
            <v>1336*7*4</v>
          </cell>
          <cell r="G2906">
            <v>1336</v>
          </cell>
          <cell r="H2906">
            <v>7</v>
          </cell>
          <cell r="I2906">
            <v>4</v>
          </cell>
          <cell r="J2906">
            <v>0</v>
          </cell>
          <cell r="K2906">
            <v>0</v>
          </cell>
          <cell r="L2906">
            <v>0.2</v>
          </cell>
          <cell r="M2906">
            <v>0</v>
          </cell>
          <cell r="N2906">
            <v>0</v>
          </cell>
          <cell r="O2906">
            <v>0</v>
          </cell>
          <cell r="P2906" t="str">
            <v>1010</v>
          </cell>
          <cell r="Q2906" t="str">
            <v>1010</v>
          </cell>
          <cell r="R2906" t="e">
            <v>#DIV/0!</v>
          </cell>
        </row>
        <row r="2907">
          <cell r="A2907" t="str">
            <v>Y032-025</v>
          </cell>
          <cell r="B2907" t="str">
            <v>Y032-025</v>
          </cell>
          <cell r="C2907" t="str">
            <v>Y032</v>
          </cell>
          <cell r="D2907" t="str">
            <v>(B-02-07)20249</v>
          </cell>
          <cell r="E2907" t="str">
            <v>柏利燈床(單人)床頭+床尾飾條2</v>
          </cell>
          <cell r="F2907" t="str">
            <v>965*7*4</v>
          </cell>
          <cell r="G2907">
            <v>965</v>
          </cell>
          <cell r="H2907">
            <v>7</v>
          </cell>
          <cell r="I2907">
            <v>4</v>
          </cell>
          <cell r="J2907">
            <v>0</v>
          </cell>
          <cell r="K2907">
            <v>0</v>
          </cell>
          <cell r="L2907">
            <v>0.15</v>
          </cell>
          <cell r="M2907">
            <v>0</v>
          </cell>
          <cell r="N2907">
            <v>0</v>
          </cell>
          <cell r="O2907">
            <v>0</v>
          </cell>
          <cell r="P2907" t="str">
            <v>1010</v>
          </cell>
          <cell r="Q2907" t="str">
            <v>1010</v>
          </cell>
          <cell r="R2907" t="e">
            <v>#DIV/0!</v>
          </cell>
        </row>
        <row r="2908">
          <cell r="A2908" t="str">
            <v>Y032-026</v>
          </cell>
          <cell r="B2908" t="str">
            <v>Y032-026</v>
          </cell>
          <cell r="C2908" t="str">
            <v>Y032</v>
          </cell>
          <cell r="D2908" t="str">
            <v>(B-02-07)20277</v>
          </cell>
          <cell r="E2908" t="str">
            <v>柏利燈床(單人)床頭+床尾飾條2</v>
          </cell>
          <cell r="F2908" t="str">
            <v>965*7*4</v>
          </cell>
          <cell r="G2908">
            <v>965</v>
          </cell>
          <cell r="H2908">
            <v>7</v>
          </cell>
          <cell r="I2908">
            <v>4</v>
          </cell>
          <cell r="J2908">
            <v>0</v>
          </cell>
          <cell r="K2908">
            <v>0</v>
          </cell>
          <cell r="L2908">
            <v>0.15</v>
          </cell>
          <cell r="M2908">
            <v>0</v>
          </cell>
          <cell r="N2908">
            <v>0</v>
          </cell>
          <cell r="O2908">
            <v>0</v>
          </cell>
          <cell r="P2908" t="str">
            <v>1010</v>
          </cell>
          <cell r="Q2908" t="str">
            <v>1010</v>
          </cell>
          <cell r="R2908" t="e">
            <v>#DIV/0!</v>
          </cell>
        </row>
        <row r="2909">
          <cell r="A2909" t="str">
            <v>Y032-027</v>
          </cell>
          <cell r="B2909">
            <v>0</v>
          </cell>
          <cell r="C2909" t="str">
            <v>Y032</v>
          </cell>
          <cell r="D2909">
            <v>0</v>
          </cell>
          <cell r="E2909" t="str">
            <v>poly 飾品</v>
          </cell>
          <cell r="F2909" t="str">
            <v>48*44*44</v>
          </cell>
          <cell r="G2909">
            <v>48</v>
          </cell>
          <cell r="H2909">
            <v>44</v>
          </cell>
          <cell r="I2909">
            <v>44</v>
          </cell>
          <cell r="J2909">
            <v>0</v>
          </cell>
          <cell r="K2909">
            <v>0</v>
          </cell>
          <cell r="L2909">
            <v>0.16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 t="e">
            <v>#DIV/0!</v>
          </cell>
          <cell r="S2909">
            <v>0</v>
          </cell>
        </row>
        <row r="2910">
          <cell r="A2910" t="str">
            <v>Y032-028</v>
          </cell>
          <cell r="B2910">
            <v>0</v>
          </cell>
          <cell r="C2910" t="str">
            <v>Y032</v>
          </cell>
          <cell r="D2910">
            <v>0</v>
          </cell>
          <cell r="E2910" t="str">
            <v>POLY 饰块</v>
          </cell>
          <cell r="F2910" t="str">
            <v>39*39*8</v>
          </cell>
          <cell r="G2910">
            <v>39</v>
          </cell>
          <cell r="H2910">
            <v>39</v>
          </cell>
          <cell r="I2910">
            <v>8</v>
          </cell>
          <cell r="J2910">
            <v>0</v>
          </cell>
          <cell r="K2910">
            <v>0</v>
          </cell>
          <cell r="L2910">
            <v>4.4999999999999998E-2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 t="e">
            <v>#DIV/0!</v>
          </cell>
          <cell r="S2910">
            <v>42426</v>
          </cell>
        </row>
        <row r="2911">
          <cell r="A2911" t="str">
            <v>Y033-001</v>
          </cell>
          <cell r="B2911" t="str">
            <v>LCT099-013</v>
          </cell>
          <cell r="C2911" t="str">
            <v>Y033</v>
          </cell>
          <cell r="D2911">
            <v>0</v>
          </cell>
          <cell r="E2911" t="str">
            <v>poly 饰条</v>
          </cell>
          <cell r="F2911" t="str">
            <v>1550*15*8</v>
          </cell>
          <cell r="G2911">
            <v>1550</v>
          </cell>
          <cell r="H2911">
            <v>15</v>
          </cell>
          <cell r="I2911">
            <v>8</v>
          </cell>
          <cell r="J2911">
            <v>200</v>
          </cell>
          <cell r="K2911">
            <v>0</v>
          </cell>
          <cell r="L2911">
            <v>0.71299999999999997</v>
          </cell>
          <cell r="M2911">
            <v>0</v>
          </cell>
          <cell r="N2911">
            <v>0</v>
          </cell>
          <cell r="O2911" t="str">
            <v>40V</v>
          </cell>
          <cell r="P2911" t="str">
            <v>1010</v>
          </cell>
          <cell r="Q2911" t="str">
            <v>1010</v>
          </cell>
          <cell r="R2911">
            <v>3.5649999999999995</v>
          </cell>
        </row>
        <row r="2912">
          <cell r="A2912" t="str">
            <v>Y033-002</v>
          </cell>
          <cell r="B2912" t="str">
            <v>LCT099-014</v>
          </cell>
          <cell r="C2912" t="str">
            <v>Y033</v>
          </cell>
          <cell r="D2912">
            <v>0</v>
          </cell>
          <cell r="E2912" t="str">
            <v>poly 饰条</v>
          </cell>
          <cell r="F2912" t="str">
            <v>980*15*8</v>
          </cell>
          <cell r="G2912">
            <v>980</v>
          </cell>
          <cell r="H2912">
            <v>15</v>
          </cell>
          <cell r="I2912">
            <v>8</v>
          </cell>
          <cell r="J2912">
            <v>130</v>
          </cell>
          <cell r="K2912">
            <v>0</v>
          </cell>
          <cell r="L2912">
            <v>0.42599999999999999</v>
          </cell>
          <cell r="M2912">
            <v>0</v>
          </cell>
          <cell r="N2912">
            <v>0</v>
          </cell>
          <cell r="O2912" t="str">
            <v>40V</v>
          </cell>
          <cell r="P2912" t="str">
            <v>1010</v>
          </cell>
          <cell r="Q2912" t="str">
            <v>1010</v>
          </cell>
          <cell r="R2912">
            <v>3.2769230769230768</v>
          </cell>
        </row>
        <row r="2913">
          <cell r="A2913" t="str">
            <v>Y033-003</v>
          </cell>
          <cell r="B2913" t="str">
            <v>LCT099-016</v>
          </cell>
          <cell r="C2913" t="str">
            <v>Y033</v>
          </cell>
          <cell r="D2913">
            <v>0</v>
          </cell>
          <cell r="E2913" t="str">
            <v>poly 饰条</v>
          </cell>
          <cell r="F2913" t="str">
            <v>1700*20*2</v>
          </cell>
          <cell r="G2913">
            <v>1700</v>
          </cell>
          <cell r="H2913">
            <v>20</v>
          </cell>
          <cell r="I2913">
            <v>2</v>
          </cell>
          <cell r="J2913">
            <v>160</v>
          </cell>
          <cell r="K2913">
            <v>0</v>
          </cell>
          <cell r="L2913">
            <v>0.65</v>
          </cell>
          <cell r="M2913">
            <v>0</v>
          </cell>
          <cell r="N2913">
            <v>0</v>
          </cell>
          <cell r="O2913" t="str">
            <v>40V</v>
          </cell>
          <cell r="P2913" t="str">
            <v>1010</v>
          </cell>
          <cell r="Q2913" t="str">
            <v>1010</v>
          </cell>
          <cell r="R2913">
            <v>4.0625</v>
          </cell>
        </row>
        <row r="2914">
          <cell r="A2914" t="str">
            <v>Y033-004</v>
          </cell>
          <cell r="B2914" t="str">
            <v>LCT099-012</v>
          </cell>
          <cell r="C2914" t="str">
            <v>Y033</v>
          </cell>
          <cell r="D2914">
            <v>0</v>
          </cell>
          <cell r="E2914" t="str">
            <v>poly 饰条</v>
          </cell>
          <cell r="F2914" t="str">
            <v>840*44*10</v>
          </cell>
          <cell r="G2914">
            <v>840</v>
          </cell>
          <cell r="H2914">
            <v>44</v>
          </cell>
          <cell r="I2914">
            <v>10</v>
          </cell>
          <cell r="J2914">
            <v>620</v>
          </cell>
          <cell r="K2914">
            <v>0</v>
          </cell>
          <cell r="L2914">
            <v>1.7250000000000001</v>
          </cell>
          <cell r="M2914">
            <v>0</v>
          </cell>
          <cell r="N2914">
            <v>0</v>
          </cell>
          <cell r="O2914" t="str">
            <v>40V</v>
          </cell>
          <cell r="P2914" t="str">
            <v>1010</v>
          </cell>
          <cell r="Q2914" t="str">
            <v>1010</v>
          </cell>
          <cell r="R2914">
            <v>2.782258064516129</v>
          </cell>
        </row>
        <row r="2915">
          <cell r="A2915" t="str">
            <v>Y033-005</v>
          </cell>
          <cell r="B2915">
            <v>0</v>
          </cell>
          <cell r="C2915" t="str">
            <v>Y033</v>
          </cell>
          <cell r="D2915" t="str">
            <v xml:space="preserve">Cục tròn </v>
          </cell>
          <cell r="E2915" t="str">
            <v>圆饰块</v>
          </cell>
          <cell r="F2915" t="str">
            <v>59*59*14</v>
          </cell>
          <cell r="G2915">
            <v>59</v>
          </cell>
          <cell r="H2915">
            <v>59</v>
          </cell>
          <cell r="I2915">
            <v>14</v>
          </cell>
          <cell r="J2915">
            <v>68</v>
          </cell>
          <cell r="K2915">
            <v>0</v>
          </cell>
          <cell r="L2915">
            <v>0.18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2.6470588235294117</v>
          </cell>
          <cell r="S2915">
            <v>0</v>
          </cell>
        </row>
        <row r="2916">
          <cell r="A2916" t="str">
            <v>Y034-001</v>
          </cell>
          <cell r="B2916" t="str">
            <v>Y034-001</v>
          </cell>
          <cell r="C2916" t="str">
            <v>Y034</v>
          </cell>
          <cell r="D2916">
            <v>0</v>
          </cell>
          <cell r="E2916" t="str">
            <v>poly飾塊</v>
          </cell>
          <cell r="F2916" t="str">
            <v>60*27*23</v>
          </cell>
          <cell r="G2916">
            <v>60</v>
          </cell>
          <cell r="H2916">
            <v>27</v>
          </cell>
          <cell r="I2916">
            <v>23</v>
          </cell>
          <cell r="J2916">
            <v>50</v>
          </cell>
          <cell r="K2916">
            <v>0</v>
          </cell>
          <cell r="L2916">
            <v>0.3</v>
          </cell>
          <cell r="M2916">
            <v>0</v>
          </cell>
          <cell r="N2916">
            <v>10</v>
          </cell>
          <cell r="O2916" t="str">
            <v>40V</v>
          </cell>
          <cell r="P2916" t="str">
            <v>1010</v>
          </cell>
          <cell r="Q2916" t="str">
            <v>1010</v>
          </cell>
          <cell r="R2916">
            <v>5.9999999999999991</v>
          </cell>
        </row>
        <row r="2917">
          <cell r="A2917" t="str">
            <v>Y034-002</v>
          </cell>
          <cell r="B2917" t="str">
            <v>Y034-002</v>
          </cell>
          <cell r="C2917" t="str">
            <v>Y034</v>
          </cell>
          <cell r="D2917">
            <v>0</v>
          </cell>
          <cell r="E2917" t="str">
            <v>Dìm dọc bàn Amore coffee</v>
          </cell>
          <cell r="F2917" t="str">
            <v>8*120*864</v>
          </cell>
          <cell r="G2917">
            <v>8</v>
          </cell>
          <cell r="H2917">
            <v>120</v>
          </cell>
          <cell r="I2917">
            <v>864</v>
          </cell>
          <cell r="J2917">
            <v>300</v>
          </cell>
          <cell r="K2917">
            <v>0</v>
          </cell>
          <cell r="L2917">
            <v>1.56</v>
          </cell>
          <cell r="M2917">
            <v>0</v>
          </cell>
          <cell r="N2917">
            <v>0</v>
          </cell>
          <cell r="O2917" t="str">
            <v>40V</v>
          </cell>
          <cell r="P2917" t="str">
            <v>1010</v>
          </cell>
          <cell r="Q2917" t="str">
            <v>1010</v>
          </cell>
          <cell r="R2917">
            <v>5.2</v>
          </cell>
          <cell r="S2917">
            <v>0</v>
          </cell>
        </row>
        <row r="2918">
          <cell r="A2918" t="str">
            <v>Y034-003</v>
          </cell>
          <cell r="B2918" t="str">
            <v>Y034-003</v>
          </cell>
          <cell r="C2918" t="str">
            <v>Y034</v>
          </cell>
          <cell r="D2918">
            <v>0</v>
          </cell>
          <cell r="E2918" t="str">
            <v>Dìm ngang bàn Amore coffee</v>
          </cell>
          <cell r="F2918" t="str">
            <v>8*110*444</v>
          </cell>
          <cell r="G2918">
            <v>8</v>
          </cell>
          <cell r="H2918">
            <v>110</v>
          </cell>
          <cell r="I2918">
            <v>444</v>
          </cell>
          <cell r="J2918">
            <v>120</v>
          </cell>
          <cell r="K2918">
            <v>0</v>
          </cell>
          <cell r="L2918">
            <v>0.68</v>
          </cell>
          <cell r="M2918">
            <v>0</v>
          </cell>
          <cell r="N2918">
            <v>0</v>
          </cell>
          <cell r="O2918" t="str">
            <v>40V</v>
          </cell>
          <cell r="P2918" t="str">
            <v>1010</v>
          </cell>
          <cell r="Q2918" t="str">
            <v>1010</v>
          </cell>
          <cell r="R2918">
            <v>5.666666666666667</v>
          </cell>
          <cell r="S2918">
            <v>0</v>
          </cell>
        </row>
        <row r="2919">
          <cell r="A2919" t="str">
            <v>Y034-004</v>
          </cell>
          <cell r="B2919" t="str">
            <v>Y034-004</v>
          </cell>
          <cell r="C2919" t="str">
            <v>Y034</v>
          </cell>
          <cell r="D2919">
            <v>0</v>
          </cell>
          <cell r="E2919" t="str">
            <v>Dìm ngang bàn Amore side</v>
          </cell>
          <cell r="F2919" t="str">
            <v>8*100*315</v>
          </cell>
          <cell r="G2919">
            <v>8</v>
          </cell>
          <cell r="H2919">
            <v>100</v>
          </cell>
          <cell r="I2919">
            <v>315</v>
          </cell>
          <cell r="J2919">
            <v>100</v>
          </cell>
          <cell r="K2919">
            <v>0</v>
          </cell>
          <cell r="L2919">
            <v>0.7</v>
          </cell>
          <cell r="M2919">
            <v>0</v>
          </cell>
          <cell r="N2919">
            <v>0</v>
          </cell>
          <cell r="O2919" t="str">
            <v>40V</v>
          </cell>
          <cell r="P2919" t="str">
            <v>1010</v>
          </cell>
          <cell r="Q2919" t="str">
            <v>1010</v>
          </cell>
          <cell r="R2919">
            <v>6.9999999999999991</v>
          </cell>
          <cell r="S2919">
            <v>0</v>
          </cell>
        </row>
        <row r="2920">
          <cell r="A2920" t="str">
            <v>Y034-005</v>
          </cell>
          <cell r="B2920" t="str">
            <v>Y034-005</v>
          </cell>
          <cell r="C2920" t="str">
            <v>Y034</v>
          </cell>
          <cell r="D2920">
            <v>0</v>
          </cell>
          <cell r="E2920" t="str">
            <v>Dìm ngang bàn Amore side</v>
          </cell>
          <cell r="F2920" t="str">
            <v>8*83*265</v>
          </cell>
          <cell r="G2920">
            <v>8</v>
          </cell>
          <cell r="H2920">
            <v>83</v>
          </cell>
          <cell r="I2920">
            <v>265</v>
          </cell>
          <cell r="J2920">
            <v>55</v>
          </cell>
          <cell r="K2920">
            <v>0</v>
          </cell>
          <cell r="L2920">
            <v>0.39</v>
          </cell>
          <cell r="M2920">
            <v>0</v>
          </cell>
          <cell r="N2920">
            <v>0</v>
          </cell>
          <cell r="O2920" t="str">
            <v>40V</v>
          </cell>
          <cell r="P2920" t="str">
            <v>1010</v>
          </cell>
          <cell r="Q2920" t="str">
            <v>1010</v>
          </cell>
          <cell r="R2920">
            <v>7.0909090909090908</v>
          </cell>
          <cell r="S2920">
            <v>0</v>
          </cell>
        </row>
        <row r="2921">
          <cell r="A2921" t="str">
            <v>Y034-006</v>
          </cell>
          <cell r="B2921" t="str">
            <v>Y034-006</v>
          </cell>
          <cell r="C2921" t="str">
            <v>Y034</v>
          </cell>
          <cell r="D2921">
            <v>0</v>
          </cell>
          <cell r="E2921" t="str">
            <v>Dìm dọc bàn Amore console</v>
          </cell>
          <cell r="F2921" t="str">
            <v>8*120*860</v>
          </cell>
          <cell r="G2921">
            <v>8</v>
          </cell>
          <cell r="H2921">
            <v>120</v>
          </cell>
          <cell r="I2921">
            <v>860</v>
          </cell>
          <cell r="J2921">
            <v>300</v>
          </cell>
          <cell r="K2921">
            <v>0</v>
          </cell>
          <cell r="L2921">
            <v>1.69</v>
          </cell>
          <cell r="M2921">
            <v>0</v>
          </cell>
          <cell r="N2921">
            <v>0</v>
          </cell>
          <cell r="O2921" t="str">
            <v>40V</v>
          </cell>
          <cell r="P2921" t="str">
            <v>1010</v>
          </cell>
          <cell r="Q2921" t="str">
            <v>1010</v>
          </cell>
          <cell r="R2921">
            <v>5.6333333333333337</v>
          </cell>
          <cell r="S2921">
            <v>0</v>
          </cell>
        </row>
        <row r="2922">
          <cell r="A2922" t="str">
            <v>Y034-007</v>
          </cell>
          <cell r="B2922" t="str">
            <v>Y034-007</v>
          </cell>
          <cell r="C2922" t="str">
            <v>Y034</v>
          </cell>
          <cell r="D2922">
            <v>0</v>
          </cell>
          <cell r="E2922" t="str">
            <v>Dìm ngang bàn Amore console</v>
          </cell>
          <cell r="F2922" t="str">
            <v>8*66*140</v>
          </cell>
          <cell r="G2922">
            <v>8</v>
          </cell>
          <cell r="H2922">
            <v>66</v>
          </cell>
          <cell r="I2922">
            <v>140</v>
          </cell>
          <cell r="J2922">
            <v>50</v>
          </cell>
          <cell r="K2922">
            <v>0</v>
          </cell>
          <cell r="L2922">
            <v>0.24</v>
          </cell>
          <cell r="M2922">
            <v>0</v>
          </cell>
          <cell r="N2922">
            <v>0</v>
          </cell>
          <cell r="O2922" t="str">
            <v>40V</v>
          </cell>
          <cell r="P2922" t="str">
            <v>1010</v>
          </cell>
          <cell r="Q2922" t="str">
            <v>1010</v>
          </cell>
          <cell r="R2922">
            <v>4.8</v>
          </cell>
          <cell r="S2922">
            <v>0</v>
          </cell>
        </row>
        <row r="2923">
          <cell r="A2923" t="str">
            <v>Y034-008</v>
          </cell>
          <cell r="B2923">
            <v>0</v>
          </cell>
          <cell r="C2923" t="str">
            <v>Y034</v>
          </cell>
          <cell r="D2923">
            <v>0</v>
          </cell>
          <cell r="E2923" t="str">
            <v>Dìm dọc bàn Amore dining</v>
          </cell>
          <cell r="F2923" t="str">
            <v>8*100*1585</v>
          </cell>
          <cell r="G2923">
            <v>8</v>
          </cell>
          <cell r="H2923">
            <v>100</v>
          </cell>
          <cell r="I2923">
            <v>1585</v>
          </cell>
          <cell r="J2923">
            <v>260</v>
          </cell>
          <cell r="K2923">
            <v>0</v>
          </cell>
          <cell r="L2923">
            <v>2.37</v>
          </cell>
          <cell r="M2923">
            <v>0</v>
          </cell>
          <cell r="N2923">
            <v>0</v>
          </cell>
          <cell r="O2923" t="str">
            <v>40V</v>
          </cell>
          <cell r="P2923" t="str">
            <v>1010</v>
          </cell>
          <cell r="Q2923" t="str">
            <v>1010</v>
          </cell>
          <cell r="R2923">
            <v>9.115384615384615</v>
          </cell>
          <cell r="S2923">
            <v>0</v>
          </cell>
        </row>
        <row r="2924">
          <cell r="A2924" t="str">
            <v>Y034-009</v>
          </cell>
          <cell r="B2924">
            <v>0</v>
          </cell>
          <cell r="C2924" t="str">
            <v>Y034</v>
          </cell>
          <cell r="D2924">
            <v>0</v>
          </cell>
          <cell r="E2924" t="str">
            <v>Dìm ngang bàn Amore dining</v>
          </cell>
          <cell r="F2924" t="str">
            <v>8*100*683</v>
          </cell>
          <cell r="G2924">
            <v>8</v>
          </cell>
          <cell r="H2924">
            <v>100</v>
          </cell>
          <cell r="I2924">
            <v>683</v>
          </cell>
          <cell r="J2924">
            <v>120</v>
          </cell>
          <cell r="K2924">
            <v>0</v>
          </cell>
          <cell r="L2924">
            <v>1.1200000000000001</v>
          </cell>
          <cell r="M2924">
            <v>0</v>
          </cell>
          <cell r="N2924">
            <v>0</v>
          </cell>
          <cell r="O2924" t="str">
            <v>40V</v>
          </cell>
          <cell r="P2924" t="str">
            <v>1010</v>
          </cell>
          <cell r="Q2924" t="str">
            <v>1010</v>
          </cell>
          <cell r="R2924">
            <v>9.3333333333333339</v>
          </cell>
          <cell r="S2924">
            <v>0</v>
          </cell>
        </row>
        <row r="2925">
          <cell r="A2925" t="str">
            <v>Y034-010</v>
          </cell>
          <cell r="B2925">
            <v>0</v>
          </cell>
          <cell r="C2925" t="str">
            <v>Y034</v>
          </cell>
          <cell r="D2925">
            <v>0</v>
          </cell>
          <cell r="E2925" t="str">
            <v>Hoa văn marielle  mirror</v>
          </cell>
          <cell r="F2925" t="str">
            <v>10*75*260</v>
          </cell>
          <cell r="G2925">
            <v>10</v>
          </cell>
          <cell r="H2925">
            <v>75</v>
          </cell>
          <cell r="I2925">
            <v>260</v>
          </cell>
          <cell r="J2925">
            <v>0</v>
          </cell>
          <cell r="K2925">
            <v>0</v>
          </cell>
          <cell r="L2925">
            <v>0.26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</row>
        <row r="2926">
          <cell r="A2926" t="str">
            <v>Y034-011</v>
          </cell>
          <cell r="B2926">
            <v>0</v>
          </cell>
          <cell r="C2926" t="str">
            <v>Y034</v>
          </cell>
          <cell r="D2926">
            <v>0</v>
          </cell>
          <cell r="E2926" t="str">
            <v>POLY DỌC</v>
          </cell>
          <cell r="F2926" t="str">
            <v>9*15*1752</v>
          </cell>
          <cell r="G2926">
            <v>9</v>
          </cell>
          <cell r="H2926">
            <v>15</v>
          </cell>
          <cell r="I2926">
            <v>1752</v>
          </cell>
          <cell r="J2926">
            <v>0</v>
          </cell>
          <cell r="K2926">
            <v>0</v>
          </cell>
          <cell r="L2926">
            <v>0.95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</row>
        <row r="2927">
          <cell r="A2927" t="str">
            <v>Y034-012</v>
          </cell>
          <cell r="B2927">
            <v>0</v>
          </cell>
          <cell r="C2927" t="str">
            <v>Y034</v>
          </cell>
          <cell r="D2927">
            <v>0</v>
          </cell>
          <cell r="E2927" t="str">
            <v>POLY NGANG</v>
          </cell>
          <cell r="F2927" t="str">
            <v>9*15*756</v>
          </cell>
          <cell r="G2927">
            <v>9</v>
          </cell>
          <cell r="H2927">
            <v>15</v>
          </cell>
          <cell r="I2927">
            <v>756</v>
          </cell>
          <cell r="J2927">
            <v>0</v>
          </cell>
          <cell r="K2927">
            <v>0</v>
          </cell>
          <cell r="L2927">
            <v>0.42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</row>
        <row r="2928">
          <cell r="A2928" t="str">
            <v>Y034-013</v>
          </cell>
          <cell r="B2928">
            <v>0</v>
          </cell>
          <cell r="C2928" t="str">
            <v>Y034</v>
          </cell>
          <cell r="D2928" t="str">
            <v>﹃﹄</v>
          </cell>
          <cell r="E2928" t="str">
            <v>Poly trái 左</v>
          </cell>
          <cell r="F2928" t="str">
            <v>535*148/81*22</v>
          </cell>
          <cell r="G2928">
            <v>535</v>
          </cell>
          <cell r="H2928" t="str">
            <v>148/81</v>
          </cell>
          <cell r="I2928">
            <v>22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</row>
        <row r="2929">
          <cell r="A2929" t="str">
            <v>Y034-014</v>
          </cell>
          <cell r="B2929">
            <v>0</v>
          </cell>
          <cell r="C2929" t="str">
            <v>Y034</v>
          </cell>
          <cell r="D2929" t="str">
            <v>﹃﹄</v>
          </cell>
          <cell r="E2929" t="str">
            <v>POLY PHẢI 右</v>
          </cell>
          <cell r="F2929" t="str">
            <v>535*148/81*22</v>
          </cell>
          <cell r="G2929">
            <v>535</v>
          </cell>
          <cell r="H2929" t="str">
            <v>148/81</v>
          </cell>
          <cell r="I2929">
            <v>22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</row>
        <row r="2930">
          <cell r="A2930" t="str">
            <v>Y035-001</v>
          </cell>
          <cell r="B2930" t="str">
            <v>LCT068-083</v>
          </cell>
          <cell r="C2930" t="str">
            <v>Y035</v>
          </cell>
          <cell r="D2930" t="str">
            <v>589Y-6</v>
          </cell>
          <cell r="E2930" t="str">
            <v>镜框侧饰条</v>
          </cell>
          <cell r="F2930" t="str">
            <v>46*18*19</v>
          </cell>
          <cell r="G2930">
            <v>46</v>
          </cell>
          <cell r="H2930">
            <v>18</v>
          </cell>
          <cell r="I2930">
            <v>19</v>
          </cell>
          <cell r="J2930">
            <v>30</v>
          </cell>
          <cell r="K2930">
            <v>0</v>
          </cell>
          <cell r="L2930">
            <v>0.12</v>
          </cell>
          <cell r="M2930">
            <v>0</v>
          </cell>
          <cell r="N2930">
            <v>0</v>
          </cell>
          <cell r="O2930" t="str">
            <v>40V</v>
          </cell>
          <cell r="P2930" t="str">
            <v>1010</v>
          </cell>
          <cell r="Q2930" t="str">
            <v>1010</v>
          </cell>
          <cell r="R2930">
            <v>4</v>
          </cell>
        </row>
        <row r="2931">
          <cell r="A2931" t="str">
            <v>Y035-002</v>
          </cell>
          <cell r="B2931" t="str">
            <v>LCT068-084</v>
          </cell>
          <cell r="C2931" t="str">
            <v>Y035</v>
          </cell>
          <cell r="D2931" t="str">
            <v>589Y-9/12</v>
          </cell>
          <cell r="E2931" t="str">
            <v>床头侧饰条</v>
          </cell>
          <cell r="F2931" t="str">
            <v>42*22*19</v>
          </cell>
          <cell r="G2931">
            <v>42</v>
          </cell>
          <cell r="H2931">
            <v>22</v>
          </cell>
          <cell r="I2931">
            <v>19</v>
          </cell>
          <cell r="J2931">
            <v>30</v>
          </cell>
          <cell r="K2931">
            <v>0</v>
          </cell>
          <cell r="L2931">
            <v>0.12</v>
          </cell>
          <cell r="M2931">
            <v>0</v>
          </cell>
          <cell r="N2931">
            <v>0</v>
          </cell>
          <cell r="O2931" t="str">
            <v>40V</v>
          </cell>
          <cell r="P2931" t="str">
            <v>1010</v>
          </cell>
          <cell r="Q2931" t="str">
            <v>1010</v>
          </cell>
          <cell r="R2931">
            <v>4</v>
          </cell>
        </row>
        <row r="2932">
          <cell r="A2932" t="str">
            <v>Y036-001</v>
          </cell>
          <cell r="B2932" t="str">
            <v>LCT028-003</v>
          </cell>
          <cell r="C2932" t="str">
            <v>Y036</v>
          </cell>
          <cell r="D2932">
            <v>0</v>
          </cell>
          <cell r="E2932" t="str">
            <v>Chair</v>
          </cell>
          <cell r="F2932" t="str">
            <v>5*25*47*172</v>
          </cell>
          <cell r="G2932">
            <v>5</v>
          </cell>
          <cell r="H2932" t="str">
            <v>25*47</v>
          </cell>
          <cell r="I2932">
            <v>172</v>
          </cell>
          <cell r="J2932">
            <v>96</v>
          </cell>
          <cell r="K2932">
            <v>0</v>
          </cell>
          <cell r="L2932">
            <v>0.51</v>
          </cell>
          <cell r="M2932">
            <v>0</v>
          </cell>
          <cell r="N2932">
            <v>0</v>
          </cell>
          <cell r="O2932" t="str">
            <v>40V</v>
          </cell>
          <cell r="P2932" t="str">
            <v>1010</v>
          </cell>
          <cell r="Q2932">
            <v>1010</v>
          </cell>
          <cell r="R2932">
            <v>5.3125</v>
          </cell>
          <cell r="S2932">
            <v>0</v>
          </cell>
        </row>
        <row r="2933">
          <cell r="A2933" t="str">
            <v>Y036-002</v>
          </cell>
          <cell r="B2933" t="str">
            <v>LCT028-004</v>
          </cell>
          <cell r="C2933" t="str">
            <v>Y036</v>
          </cell>
          <cell r="D2933">
            <v>0</v>
          </cell>
          <cell r="E2933" t="str">
            <v>Sever</v>
          </cell>
          <cell r="F2933" t="str">
            <v>5*53*58*95</v>
          </cell>
          <cell r="G2933">
            <v>5</v>
          </cell>
          <cell r="H2933" t="str">
            <v>53*58</v>
          </cell>
          <cell r="I2933">
            <v>95</v>
          </cell>
          <cell r="J2933">
            <v>110</v>
          </cell>
          <cell r="K2933">
            <v>0</v>
          </cell>
          <cell r="L2933">
            <v>0.57999999999999996</v>
          </cell>
          <cell r="M2933">
            <v>0</v>
          </cell>
          <cell r="N2933">
            <v>0</v>
          </cell>
          <cell r="O2933" t="str">
            <v>40V</v>
          </cell>
          <cell r="P2933" t="str">
            <v>1010</v>
          </cell>
          <cell r="Q2933">
            <v>1010</v>
          </cell>
          <cell r="R2933">
            <v>5.2727272727272725</v>
          </cell>
          <cell r="S2933">
            <v>0</v>
          </cell>
        </row>
        <row r="2934">
          <cell r="A2934" t="str">
            <v>Y036-003</v>
          </cell>
          <cell r="B2934" t="str">
            <v>LCT028-005</v>
          </cell>
          <cell r="C2934" t="str">
            <v>Y036</v>
          </cell>
          <cell r="D2934">
            <v>0</v>
          </cell>
          <cell r="E2934" t="str">
            <v>Curio</v>
          </cell>
          <cell r="F2934" t="str">
            <v>5*54*54*75</v>
          </cell>
          <cell r="G2934">
            <v>5</v>
          </cell>
          <cell r="H2934" t="str">
            <v>54*54</v>
          </cell>
          <cell r="I2934">
            <v>75</v>
          </cell>
          <cell r="J2934">
            <v>94</v>
          </cell>
          <cell r="K2934">
            <v>0</v>
          </cell>
          <cell r="L2934">
            <v>0.49</v>
          </cell>
          <cell r="M2934">
            <v>0</v>
          </cell>
          <cell r="N2934">
            <v>0</v>
          </cell>
          <cell r="O2934" t="str">
            <v>40V</v>
          </cell>
          <cell r="P2934" t="str">
            <v>1010</v>
          </cell>
          <cell r="Q2934">
            <v>1010</v>
          </cell>
          <cell r="R2934">
            <v>5.2127659574468082</v>
          </cell>
          <cell r="S2934">
            <v>0</v>
          </cell>
        </row>
        <row r="2935">
          <cell r="A2935" t="str">
            <v>Y036-004</v>
          </cell>
          <cell r="B2935" t="str">
            <v>LCT028-006</v>
          </cell>
          <cell r="C2935" t="str">
            <v>Y036</v>
          </cell>
          <cell r="D2935">
            <v>0</v>
          </cell>
          <cell r="E2935" t="str">
            <v>Round Table-60"</v>
          </cell>
          <cell r="F2935" t="str">
            <v>5*40*43*102</v>
          </cell>
          <cell r="G2935">
            <v>5</v>
          </cell>
          <cell r="H2935" t="str">
            <v>40*43</v>
          </cell>
          <cell r="I2935">
            <v>102</v>
          </cell>
          <cell r="J2935">
            <v>95</v>
          </cell>
          <cell r="K2935">
            <v>0</v>
          </cell>
          <cell r="L2935">
            <v>0.51</v>
          </cell>
          <cell r="M2935">
            <v>0</v>
          </cell>
          <cell r="N2935">
            <v>0</v>
          </cell>
          <cell r="O2935" t="str">
            <v>40V</v>
          </cell>
          <cell r="P2935" t="str">
            <v>1010</v>
          </cell>
          <cell r="Q2935">
            <v>1010</v>
          </cell>
          <cell r="R2935">
            <v>5.3684210526315788</v>
          </cell>
          <cell r="S2935">
            <v>0</v>
          </cell>
        </row>
        <row r="2936">
          <cell r="A2936" t="str">
            <v>Y036-005</v>
          </cell>
          <cell r="B2936" t="str">
            <v>LCT028-007</v>
          </cell>
          <cell r="C2936" t="str">
            <v>Y036</v>
          </cell>
          <cell r="D2936">
            <v>0</v>
          </cell>
          <cell r="E2936" t="str">
            <v>Counter Table-54"</v>
          </cell>
          <cell r="F2936" t="str">
            <v>5*37*49*103</v>
          </cell>
          <cell r="G2936">
            <v>5</v>
          </cell>
          <cell r="H2936" t="str">
            <v>37*49</v>
          </cell>
          <cell r="I2936">
            <v>103</v>
          </cell>
          <cell r="J2936">
            <v>100</v>
          </cell>
          <cell r="K2936">
            <v>0</v>
          </cell>
          <cell r="L2936">
            <v>0.54</v>
          </cell>
          <cell r="M2936">
            <v>0</v>
          </cell>
          <cell r="N2936">
            <v>0</v>
          </cell>
          <cell r="O2936" t="str">
            <v>40V</v>
          </cell>
          <cell r="P2936" t="str">
            <v>1010</v>
          </cell>
          <cell r="Q2936">
            <v>1010</v>
          </cell>
          <cell r="R2936">
            <v>5.4</v>
          </cell>
          <cell r="S2936">
            <v>0</v>
          </cell>
        </row>
        <row r="2937">
          <cell r="A2937" t="str">
            <v>Y036-006</v>
          </cell>
          <cell r="B2937">
            <v>0</v>
          </cell>
          <cell r="C2937" t="str">
            <v>Y036</v>
          </cell>
          <cell r="D2937">
            <v>0</v>
          </cell>
          <cell r="E2937" t="str">
            <v>Chair</v>
          </cell>
          <cell r="F2937" t="str">
            <v>5*33*55*175</v>
          </cell>
          <cell r="G2937">
            <v>5</v>
          </cell>
          <cell r="H2937" t="str">
            <v>33*55</v>
          </cell>
          <cell r="I2937">
            <v>175</v>
          </cell>
          <cell r="J2937">
            <v>100</v>
          </cell>
          <cell r="K2937">
            <v>0</v>
          </cell>
          <cell r="L2937">
            <v>0.51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5.0999999999999996</v>
          </cell>
          <cell r="S2937">
            <v>0</v>
          </cell>
        </row>
        <row r="2938">
          <cell r="A2938" t="str">
            <v>Y036-007</v>
          </cell>
          <cell r="B2938">
            <v>0</v>
          </cell>
          <cell r="C2938" t="str">
            <v>Y036</v>
          </cell>
          <cell r="D2938">
            <v>0</v>
          </cell>
          <cell r="E2938" t="str">
            <v>POLY半圆珠 饰条</v>
          </cell>
          <cell r="F2938" t="str">
            <v>6*13*1900</v>
          </cell>
          <cell r="G2938">
            <v>6</v>
          </cell>
          <cell r="H2938">
            <v>13</v>
          </cell>
          <cell r="I2938">
            <v>1900</v>
          </cell>
          <cell r="J2938">
            <v>220</v>
          </cell>
          <cell r="K2938">
            <v>0</v>
          </cell>
          <cell r="L2938">
            <v>0.62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2.8181818181818183</v>
          </cell>
          <cell r="S2938">
            <v>0</v>
          </cell>
        </row>
        <row r="2939">
          <cell r="A2939" t="str">
            <v>Y036-008</v>
          </cell>
          <cell r="B2939">
            <v>0</v>
          </cell>
          <cell r="C2939" t="str">
            <v>Y036</v>
          </cell>
          <cell r="D2939" t="str">
            <v>#246DR 246-260</v>
          </cell>
          <cell r="E2939" t="str">
            <v>Chỉ hong dưới</v>
          </cell>
          <cell r="F2939" t="str">
            <v>21*67*410</v>
          </cell>
          <cell r="G2939">
            <v>21</v>
          </cell>
          <cell r="H2939">
            <v>67</v>
          </cell>
          <cell r="I2939">
            <v>410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 t="e">
            <v>#DIV/0!</v>
          </cell>
          <cell r="S2939">
            <v>0</v>
          </cell>
          <cell r="T2939">
            <v>0</v>
          </cell>
        </row>
        <row r="2940">
          <cell r="A2940" t="str">
            <v>Y036-009</v>
          </cell>
          <cell r="B2940">
            <v>0</v>
          </cell>
          <cell r="C2940" t="str">
            <v>Y036</v>
          </cell>
          <cell r="D2940" t="str">
            <v>#5389*5390 savev</v>
          </cell>
          <cell r="E2940" t="str">
            <v>Chỉ trước dưới</v>
          </cell>
          <cell r="F2940" t="str">
            <v>54*67*1474</v>
          </cell>
          <cell r="G2940">
            <v>54</v>
          </cell>
          <cell r="H2940">
            <v>67</v>
          </cell>
          <cell r="I2940">
            <v>1474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 t="e">
            <v>#DIV/0!</v>
          </cell>
          <cell r="S2940">
            <v>0</v>
          </cell>
          <cell r="T2940">
            <v>0</v>
          </cell>
        </row>
        <row r="2941">
          <cell r="A2941" t="str">
            <v>Y036-010</v>
          </cell>
          <cell r="B2941">
            <v>0</v>
          </cell>
          <cell r="C2941" t="str">
            <v>Y036</v>
          </cell>
          <cell r="D2941" t="str">
            <v>#246-260 SAVER</v>
          </cell>
          <cell r="E2941" t="str">
            <v>Chỉ hong dưới</v>
          </cell>
          <cell r="F2941" t="str">
            <v>16*22*410</v>
          </cell>
          <cell r="G2941">
            <v>16</v>
          </cell>
          <cell r="H2941">
            <v>22</v>
          </cell>
          <cell r="I2941">
            <v>410</v>
          </cell>
          <cell r="J2941">
            <v>186</v>
          </cell>
          <cell r="K2941">
            <v>0</v>
          </cell>
          <cell r="L2941">
            <v>0.54</v>
          </cell>
          <cell r="M2941">
            <v>0</v>
          </cell>
          <cell r="N2941">
            <v>0</v>
          </cell>
          <cell r="O2941">
            <v>0</v>
          </cell>
          <cell r="P2941" t="str">
            <v>1010</v>
          </cell>
          <cell r="Q2941" t="str">
            <v>1010</v>
          </cell>
          <cell r="R2941">
            <v>2.903225806451613</v>
          </cell>
          <cell r="S2941">
            <v>0</v>
          </cell>
          <cell r="T2941">
            <v>0</v>
          </cell>
        </row>
        <row r="2942">
          <cell r="A2942" t="str">
            <v>Y036-011</v>
          </cell>
          <cell r="B2942">
            <v>0</v>
          </cell>
          <cell r="C2942" t="str">
            <v>Y036</v>
          </cell>
          <cell r="D2942" t="str">
            <v>#246-260 SAVER</v>
          </cell>
          <cell r="E2942" t="str">
            <v>Chỉ trước dưới</v>
          </cell>
          <cell r="F2942" t="str">
            <v>16*22*1290</v>
          </cell>
          <cell r="G2942">
            <v>16</v>
          </cell>
          <cell r="H2942">
            <v>22</v>
          </cell>
          <cell r="I2942">
            <v>1290</v>
          </cell>
          <cell r="J2942">
            <v>520</v>
          </cell>
          <cell r="K2942">
            <v>0</v>
          </cell>
          <cell r="L2942">
            <v>1.52</v>
          </cell>
          <cell r="M2942">
            <v>0</v>
          </cell>
          <cell r="N2942">
            <v>0</v>
          </cell>
          <cell r="O2942">
            <v>0</v>
          </cell>
          <cell r="P2942" t="str">
            <v>1010</v>
          </cell>
          <cell r="Q2942" t="str">
            <v>1010</v>
          </cell>
          <cell r="R2942">
            <v>2.9230769230769229</v>
          </cell>
          <cell r="S2942">
            <v>0</v>
          </cell>
          <cell r="T2942">
            <v>0</v>
          </cell>
        </row>
        <row r="2943">
          <cell r="A2943" t="str">
            <v>Y036-012</v>
          </cell>
          <cell r="B2943">
            <v>0</v>
          </cell>
          <cell r="C2943" t="str">
            <v>Y036</v>
          </cell>
          <cell r="D2943" t="str">
            <v>#246-260 SAVER</v>
          </cell>
          <cell r="E2943" t="str">
            <v>Chỉ trước 左 TRÁI</v>
          </cell>
          <cell r="F2943" t="str">
            <v>22*48*105</v>
          </cell>
          <cell r="G2943">
            <v>22</v>
          </cell>
          <cell r="H2943">
            <v>48</v>
          </cell>
          <cell r="I2943">
            <v>105</v>
          </cell>
          <cell r="J2943">
            <v>104</v>
          </cell>
          <cell r="K2943">
            <v>0</v>
          </cell>
          <cell r="L2943">
            <v>0.3</v>
          </cell>
          <cell r="M2943">
            <v>0</v>
          </cell>
          <cell r="N2943">
            <v>0</v>
          </cell>
          <cell r="O2943">
            <v>0</v>
          </cell>
          <cell r="P2943" t="str">
            <v>1010</v>
          </cell>
          <cell r="Q2943" t="str">
            <v>1010</v>
          </cell>
          <cell r="R2943">
            <v>2.8846153846153846</v>
          </cell>
          <cell r="S2943">
            <v>0</v>
          </cell>
          <cell r="T2943">
            <v>0</v>
          </cell>
        </row>
        <row r="2944">
          <cell r="A2944" t="str">
            <v>Y036-013</v>
          </cell>
          <cell r="B2944">
            <v>0</v>
          </cell>
          <cell r="C2944" t="str">
            <v>Y036</v>
          </cell>
          <cell r="D2944" t="str">
            <v>#246-260 SAVER</v>
          </cell>
          <cell r="E2944" t="str">
            <v>Chỉ trước 右 PHẢI</v>
          </cell>
          <cell r="F2944" t="str">
            <v>22*48*105</v>
          </cell>
          <cell r="G2944">
            <v>22</v>
          </cell>
          <cell r="H2944">
            <v>48</v>
          </cell>
          <cell r="I2944">
            <v>105</v>
          </cell>
          <cell r="J2944">
            <v>104</v>
          </cell>
          <cell r="K2944">
            <v>0</v>
          </cell>
          <cell r="L2944">
            <v>0.3</v>
          </cell>
          <cell r="M2944">
            <v>0</v>
          </cell>
          <cell r="N2944">
            <v>0</v>
          </cell>
          <cell r="O2944">
            <v>0</v>
          </cell>
          <cell r="P2944" t="str">
            <v>1010</v>
          </cell>
          <cell r="Q2944" t="str">
            <v>1010</v>
          </cell>
          <cell r="R2944">
            <v>2.8846153846153846</v>
          </cell>
          <cell r="S2944">
            <v>0</v>
          </cell>
          <cell r="T2944">
            <v>0</v>
          </cell>
        </row>
        <row r="2945">
          <cell r="A2945" t="str">
            <v>Y036-014</v>
          </cell>
          <cell r="B2945">
            <v>0</v>
          </cell>
          <cell r="C2945" t="str">
            <v>Y036</v>
          </cell>
          <cell r="D2945" t="str">
            <v>#246-260 SAVER</v>
          </cell>
          <cell r="E2945" t="str">
            <v>Học kéo 没槽 KHÔNG RẢNH</v>
          </cell>
          <cell r="F2945" t="str">
            <v>18*25*422</v>
          </cell>
          <cell r="G2945">
            <v>18</v>
          </cell>
          <cell r="H2945">
            <v>25</v>
          </cell>
          <cell r="I2945">
            <v>422</v>
          </cell>
          <cell r="J2945">
            <v>265</v>
          </cell>
          <cell r="K2945">
            <v>0</v>
          </cell>
          <cell r="L2945">
            <v>0.7</v>
          </cell>
          <cell r="M2945">
            <v>0</v>
          </cell>
          <cell r="N2945">
            <v>0</v>
          </cell>
          <cell r="O2945">
            <v>0</v>
          </cell>
          <cell r="P2945" t="str">
            <v>1010</v>
          </cell>
          <cell r="Q2945" t="str">
            <v>1010</v>
          </cell>
          <cell r="R2945">
            <v>2.641509433962264</v>
          </cell>
          <cell r="S2945">
            <v>0</v>
          </cell>
          <cell r="T2945">
            <v>0</v>
          </cell>
        </row>
        <row r="2946">
          <cell r="A2946" t="str">
            <v>Y036-015</v>
          </cell>
          <cell r="B2946">
            <v>0</v>
          </cell>
          <cell r="C2946" t="str">
            <v>Y036</v>
          </cell>
          <cell r="D2946" t="str">
            <v>#246-260 SAVER</v>
          </cell>
          <cell r="E2946" t="str">
            <v>Học kéo 没槽 KHÔNG RẢNH</v>
          </cell>
          <cell r="F2946" t="str">
            <v>18*25*160</v>
          </cell>
          <cell r="G2946">
            <v>18</v>
          </cell>
          <cell r="H2946">
            <v>25</v>
          </cell>
          <cell r="I2946">
            <v>160</v>
          </cell>
          <cell r="J2946">
            <v>116</v>
          </cell>
          <cell r="K2946">
            <v>0</v>
          </cell>
          <cell r="L2946">
            <v>0.3</v>
          </cell>
          <cell r="M2946">
            <v>0</v>
          </cell>
          <cell r="N2946">
            <v>0</v>
          </cell>
          <cell r="O2946">
            <v>0</v>
          </cell>
          <cell r="P2946" t="str">
            <v>1010</v>
          </cell>
          <cell r="Q2946" t="str">
            <v>1010</v>
          </cell>
          <cell r="R2946">
            <v>2.5862068965517238</v>
          </cell>
          <cell r="S2946">
            <v>0</v>
          </cell>
          <cell r="T2946">
            <v>0</v>
          </cell>
        </row>
        <row r="2947">
          <cell r="A2947" t="str">
            <v>Y036-016</v>
          </cell>
          <cell r="B2947">
            <v>0</v>
          </cell>
          <cell r="C2947" t="str">
            <v>Y036</v>
          </cell>
          <cell r="D2947" t="str">
            <v>#246-260 SAVER</v>
          </cell>
          <cell r="E2947" t="str">
            <v>Chỉ cửa 有槽 CÓ RẢNH</v>
          </cell>
          <cell r="F2947" t="str">
            <v>16*25*280</v>
          </cell>
          <cell r="G2947">
            <v>16</v>
          </cell>
          <cell r="H2947">
            <v>25</v>
          </cell>
          <cell r="I2947">
            <v>280</v>
          </cell>
          <cell r="J2947">
            <v>100</v>
          </cell>
          <cell r="K2947">
            <v>0</v>
          </cell>
          <cell r="L2947">
            <v>0.28999999999999998</v>
          </cell>
          <cell r="M2947">
            <v>0</v>
          </cell>
          <cell r="N2947">
            <v>0</v>
          </cell>
          <cell r="O2947">
            <v>0</v>
          </cell>
          <cell r="P2947" t="str">
            <v>1010</v>
          </cell>
          <cell r="Q2947" t="str">
            <v>1010</v>
          </cell>
          <cell r="R2947">
            <v>2.8999999999999995</v>
          </cell>
          <cell r="S2947">
            <v>0</v>
          </cell>
          <cell r="T2947">
            <v>0</v>
          </cell>
        </row>
        <row r="2948">
          <cell r="A2948" t="str">
            <v>Y036-017</v>
          </cell>
          <cell r="B2948">
            <v>0</v>
          </cell>
          <cell r="C2948" t="str">
            <v>Y036</v>
          </cell>
          <cell r="D2948" t="str">
            <v>#246-260 SAVER</v>
          </cell>
          <cell r="E2948" t="str">
            <v>Chỉ cửa 有槽 CÓ RẢNH</v>
          </cell>
          <cell r="F2948" t="str">
            <v>16*25*607</v>
          </cell>
          <cell r="G2948">
            <v>16</v>
          </cell>
          <cell r="H2948">
            <v>25</v>
          </cell>
          <cell r="I2948">
            <v>607</v>
          </cell>
          <cell r="J2948">
            <v>200</v>
          </cell>
          <cell r="K2948">
            <v>0</v>
          </cell>
          <cell r="L2948">
            <v>0.57999999999999996</v>
          </cell>
          <cell r="M2948">
            <v>0</v>
          </cell>
          <cell r="N2948">
            <v>0</v>
          </cell>
          <cell r="O2948">
            <v>0</v>
          </cell>
          <cell r="P2948" t="str">
            <v>1010</v>
          </cell>
          <cell r="Q2948" t="str">
            <v>1010</v>
          </cell>
          <cell r="R2948">
            <v>2.8999999999999995</v>
          </cell>
          <cell r="S2948">
            <v>0</v>
          </cell>
          <cell r="T2948">
            <v>0</v>
          </cell>
        </row>
        <row r="2949">
          <cell r="A2949" t="str">
            <v>Y036-018</v>
          </cell>
          <cell r="B2949">
            <v>0</v>
          </cell>
          <cell r="C2949" t="str">
            <v>Y036</v>
          </cell>
          <cell r="D2949" t="str">
            <v>#246-260 TABLE</v>
          </cell>
          <cell r="E2949" t="str">
            <v>Diềm trên</v>
          </cell>
          <cell r="F2949" t="str">
            <v>16*22*909</v>
          </cell>
          <cell r="G2949">
            <v>16</v>
          </cell>
          <cell r="H2949">
            <v>22</v>
          </cell>
          <cell r="I2949">
            <v>909</v>
          </cell>
          <cell r="J2949">
            <v>402</v>
          </cell>
          <cell r="K2949">
            <v>0</v>
          </cell>
          <cell r="L2949">
            <v>1.17</v>
          </cell>
          <cell r="M2949">
            <v>0</v>
          </cell>
          <cell r="N2949">
            <v>0</v>
          </cell>
          <cell r="O2949">
            <v>0</v>
          </cell>
          <cell r="P2949" t="str">
            <v>1010</v>
          </cell>
          <cell r="Q2949" t="str">
            <v>1010</v>
          </cell>
          <cell r="R2949">
            <v>2.9104477611940296</v>
          </cell>
          <cell r="S2949">
            <v>0</v>
          </cell>
          <cell r="T2949">
            <v>0</v>
          </cell>
        </row>
        <row r="2950">
          <cell r="A2950" t="str">
            <v>Y036-019</v>
          </cell>
          <cell r="B2950">
            <v>0</v>
          </cell>
          <cell r="C2950" t="str">
            <v>Y036</v>
          </cell>
          <cell r="D2950" t="str">
            <v>#246-260 TABLE</v>
          </cell>
          <cell r="E2950" t="str">
            <v>Diềm trên</v>
          </cell>
          <cell r="F2950" t="str">
            <v>16*22*1457</v>
          </cell>
          <cell r="G2950">
            <v>16</v>
          </cell>
          <cell r="H2950">
            <v>22</v>
          </cell>
          <cell r="I2950">
            <v>1057</v>
          </cell>
          <cell r="J2950">
            <v>480</v>
          </cell>
          <cell r="K2950">
            <v>0</v>
          </cell>
          <cell r="L2950">
            <v>1.4</v>
          </cell>
          <cell r="M2950">
            <v>0</v>
          </cell>
          <cell r="N2950">
            <v>0</v>
          </cell>
          <cell r="O2950">
            <v>0</v>
          </cell>
          <cell r="P2950" t="str">
            <v>1010</v>
          </cell>
          <cell r="Q2950" t="str">
            <v>1010</v>
          </cell>
          <cell r="R2950">
            <v>2.9166666666666665</v>
          </cell>
          <cell r="S2950">
            <v>0</v>
          </cell>
          <cell r="T2950">
            <v>0</v>
          </cell>
        </row>
        <row r="2951">
          <cell r="A2951" t="str">
            <v>Y036-020</v>
          </cell>
          <cell r="B2951">
            <v>0</v>
          </cell>
          <cell r="C2951" t="str">
            <v>Y036</v>
          </cell>
          <cell r="D2951" t="str">
            <v>#246-260 TABLE</v>
          </cell>
          <cell r="E2951" t="str">
            <v>Diềm trên</v>
          </cell>
          <cell r="F2951" t="str">
            <v>16*22*356</v>
          </cell>
          <cell r="G2951">
            <v>16</v>
          </cell>
          <cell r="H2951">
            <v>22</v>
          </cell>
          <cell r="I2951">
            <v>356</v>
          </cell>
          <cell r="J2951">
            <v>159</v>
          </cell>
          <cell r="K2951">
            <v>0</v>
          </cell>
          <cell r="L2951">
            <v>0.46</v>
          </cell>
          <cell r="M2951">
            <v>0</v>
          </cell>
          <cell r="N2951">
            <v>0</v>
          </cell>
          <cell r="O2951">
            <v>0</v>
          </cell>
          <cell r="P2951" t="str">
            <v>1010</v>
          </cell>
          <cell r="Q2951" t="str">
            <v>1010</v>
          </cell>
          <cell r="R2951">
            <v>2.8930817610062896</v>
          </cell>
          <cell r="S2951">
            <v>0</v>
          </cell>
          <cell r="T2951">
            <v>0</v>
          </cell>
        </row>
        <row r="2952">
          <cell r="A2952" t="str">
            <v>Y036-021</v>
          </cell>
          <cell r="B2952">
            <v>0</v>
          </cell>
          <cell r="C2952" t="str">
            <v>Y036</v>
          </cell>
          <cell r="D2952" t="str">
            <v>#246-260 TABLE</v>
          </cell>
          <cell r="E2952" t="str">
            <v>Diềm dưới</v>
          </cell>
          <cell r="F2952" t="str">
            <v>17*19*910</v>
          </cell>
          <cell r="G2952">
            <v>17</v>
          </cell>
          <cell r="H2952">
            <v>19</v>
          </cell>
          <cell r="I2952">
            <v>910</v>
          </cell>
          <cell r="J2952">
            <v>425</v>
          </cell>
          <cell r="K2952">
            <v>0</v>
          </cell>
          <cell r="L2952">
            <v>1.24</v>
          </cell>
          <cell r="M2952">
            <v>0</v>
          </cell>
          <cell r="N2952">
            <v>0</v>
          </cell>
          <cell r="O2952">
            <v>0</v>
          </cell>
          <cell r="P2952" t="str">
            <v>1010</v>
          </cell>
          <cell r="Q2952" t="str">
            <v>1010</v>
          </cell>
          <cell r="R2952">
            <v>2.9176470588235293</v>
          </cell>
          <cell r="S2952">
            <v>0</v>
          </cell>
          <cell r="T2952">
            <v>0</v>
          </cell>
        </row>
        <row r="2953">
          <cell r="A2953" t="str">
            <v>Y036-022</v>
          </cell>
          <cell r="B2953">
            <v>0</v>
          </cell>
          <cell r="C2953" t="str">
            <v>Y036</v>
          </cell>
          <cell r="D2953" t="str">
            <v>#246-260 TABLE</v>
          </cell>
          <cell r="E2953" t="str">
            <v>Diềm dưới</v>
          </cell>
          <cell r="F2953" t="str">
            <v>17*19*1059</v>
          </cell>
          <cell r="G2953">
            <v>17</v>
          </cell>
          <cell r="H2953">
            <v>19</v>
          </cell>
          <cell r="I2953">
            <v>1059</v>
          </cell>
          <cell r="J2953">
            <v>490</v>
          </cell>
          <cell r="K2953">
            <v>0</v>
          </cell>
          <cell r="L2953">
            <v>1.43</v>
          </cell>
          <cell r="M2953">
            <v>0</v>
          </cell>
          <cell r="N2953">
            <v>0</v>
          </cell>
          <cell r="O2953">
            <v>0</v>
          </cell>
          <cell r="P2953" t="str">
            <v>1010</v>
          </cell>
          <cell r="Q2953" t="str">
            <v>1010</v>
          </cell>
          <cell r="R2953">
            <v>2.9183673469387754</v>
          </cell>
          <cell r="S2953">
            <v>0</v>
          </cell>
          <cell r="T2953">
            <v>0</v>
          </cell>
        </row>
        <row r="2954">
          <cell r="A2954" t="str">
            <v>Y036-023</v>
          </cell>
          <cell r="B2954">
            <v>0</v>
          </cell>
          <cell r="C2954" t="str">
            <v>Y036</v>
          </cell>
          <cell r="D2954" t="str">
            <v>#246-260 TABLE</v>
          </cell>
          <cell r="E2954" t="str">
            <v>Diềm dưới</v>
          </cell>
          <cell r="F2954" t="str">
            <v>17*19*356</v>
          </cell>
          <cell r="G2954">
            <v>17</v>
          </cell>
          <cell r="H2954">
            <v>19</v>
          </cell>
          <cell r="I2954">
            <v>356</v>
          </cell>
          <cell r="J2954">
            <v>180</v>
          </cell>
          <cell r="K2954">
            <v>0</v>
          </cell>
          <cell r="L2954">
            <v>0.52</v>
          </cell>
          <cell r="M2954">
            <v>0</v>
          </cell>
          <cell r="N2954">
            <v>0</v>
          </cell>
          <cell r="O2954">
            <v>0</v>
          </cell>
          <cell r="P2954" t="str">
            <v>1010</v>
          </cell>
          <cell r="Q2954" t="str">
            <v>1010</v>
          </cell>
          <cell r="R2954">
            <v>2.8888888888888893</v>
          </cell>
          <cell r="S2954">
            <v>0</v>
          </cell>
          <cell r="T2954">
            <v>0</v>
          </cell>
        </row>
        <row r="2955">
          <cell r="A2955" t="str">
            <v>Y036-024</v>
          </cell>
          <cell r="B2955">
            <v>0</v>
          </cell>
          <cell r="C2955" t="str">
            <v>Y036</v>
          </cell>
          <cell r="D2955" t="str">
            <v>#246-250</v>
          </cell>
          <cell r="E2955" t="str">
            <v>脚柱 Chân</v>
          </cell>
          <cell r="F2955" t="str">
            <v>403*65*65</v>
          </cell>
          <cell r="G2955">
            <v>403</v>
          </cell>
          <cell r="H2955">
            <v>65</v>
          </cell>
          <cell r="I2955">
            <v>65</v>
          </cell>
          <cell r="J2955">
            <v>547</v>
          </cell>
          <cell r="K2955" t="str">
            <v>帶木0.9</v>
          </cell>
          <cell r="L2955">
            <v>2.4</v>
          </cell>
          <cell r="M2955">
            <v>0</v>
          </cell>
          <cell r="N2955">
            <v>0</v>
          </cell>
          <cell r="O2955">
            <v>0</v>
          </cell>
          <cell r="P2955" t="str">
            <v>5510</v>
          </cell>
          <cell r="Q2955" t="str">
            <v>5510</v>
          </cell>
          <cell r="R2955">
            <v>4.3875685557586834</v>
          </cell>
          <cell r="S2955">
            <v>0</v>
          </cell>
          <cell r="T2955">
            <v>0</v>
          </cell>
        </row>
        <row r="2956">
          <cell r="A2956" t="str">
            <v>Y036-025</v>
          </cell>
          <cell r="B2956">
            <v>0</v>
          </cell>
          <cell r="C2956" t="str">
            <v>Y036</v>
          </cell>
          <cell r="D2956" t="str">
            <v>#246-254</v>
          </cell>
          <cell r="E2956" t="str">
            <v>脚柱 Chân</v>
          </cell>
          <cell r="F2956" t="str">
            <v>403*65*65</v>
          </cell>
          <cell r="G2956">
            <v>403</v>
          </cell>
          <cell r="H2956">
            <v>65</v>
          </cell>
          <cell r="I2956">
            <v>65</v>
          </cell>
          <cell r="J2956">
            <v>547</v>
          </cell>
          <cell r="K2956" t="str">
            <v>帶木0.9</v>
          </cell>
          <cell r="L2956">
            <v>2.4</v>
          </cell>
          <cell r="M2956">
            <v>0</v>
          </cell>
          <cell r="N2956">
            <v>0</v>
          </cell>
          <cell r="O2956">
            <v>0</v>
          </cell>
          <cell r="P2956" t="str">
            <v>5510</v>
          </cell>
          <cell r="Q2956" t="str">
            <v>5510</v>
          </cell>
          <cell r="R2956">
            <v>4.3875685557586834</v>
          </cell>
          <cell r="S2956">
            <v>0</v>
          </cell>
          <cell r="T2956">
            <v>0</v>
          </cell>
        </row>
        <row r="2957">
          <cell r="A2957" t="str">
            <v>Y036-026</v>
          </cell>
          <cell r="B2957">
            <v>0</v>
          </cell>
          <cell r="C2957" t="str">
            <v>Y036</v>
          </cell>
          <cell r="D2957" t="str">
            <v>#246-220 HUTCH</v>
          </cell>
          <cell r="E2957" t="str">
            <v>Chi ngang</v>
          </cell>
          <cell r="F2957" t="str">
            <v>82*92*1219</v>
          </cell>
          <cell r="G2957">
            <v>82</v>
          </cell>
          <cell r="H2957">
            <v>92</v>
          </cell>
          <cell r="I2957">
            <v>1219</v>
          </cell>
          <cell r="J2957">
            <v>2381</v>
          </cell>
          <cell r="K2957">
            <v>0</v>
          </cell>
          <cell r="L2957">
            <v>6.3</v>
          </cell>
          <cell r="M2957">
            <v>0</v>
          </cell>
          <cell r="N2957">
            <v>0</v>
          </cell>
          <cell r="O2957">
            <v>0</v>
          </cell>
          <cell r="P2957" t="str">
            <v>1010</v>
          </cell>
          <cell r="Q2957" t="str">
            <v>1010</v>
          </cell>
          <cell r="R2957">
            <v>2.6459470810583792</v>
          </cell>
          <cell r="S2957">
            <v>0</v>
          </cell>
          <cell r="T2957">
            <v>0</v>
          </cell>
        </row>
        <row r="2958">
          <cell r="A2958" t="str">
            <v>Y036-027</v>
          </cell>
          <cell r="B2958">
            <v>0</v>
          </cell>
          <cell r="C2958" t="str">
            <v>Y036</v>
          </cell>
          <cell r="D2958" t="str">
            <v>#246-220 HUTCH</v>
          </cell>
          <cell r="E2958" t="str">
            <v>Chỉ dọc</v>
          </cell>
          <cell r="F2958" t="str">
            <v>49*92*388</v>
          </cell>
          <cell r="G2958">
            <v>49</v>
          </cell>
          <cell r="H2958">
            <v>92</v>
          </cell>
          <cell r="I2958">
            <v>388</v>
          </cell>
          <cell r="J2958">
            <v>636</v>
          </cell>
          <cell r="K2958">
            <v>0</v>
          </cell>
          <cell r="L2958">
            <v>1.73</v>
          </cell>
          <cell r="M2958">
            <v>0</v>
          </cell>
          <cell r="N2958">
            <v>0</v>
          </cell>
          <cell r="O2958">
            <v>0</v>
          </cell>
          <cell r="P2958" t="str">
            <v>1010</v>
          </cell>
          <cell r="Q2958" t="str">
            <v>1010</v>
          </cell>
          <cell r="R2958">
            <v>2.7201257861635217</v>
          </cell>
          <cell r="S2958">
            <v>0</v>
          </cell>
          <cell r="T2958">
            <v>0</v>
          </cell>
        </row>
        <row r="2959">
          <cell r="A2959" t="str">
            <v>Y036-028</v>
          </cell>
          <cell r="B2959">
            <v>0</v>
          </cell>
          <cell r="C2959" t="str">
            <v>Y036</v>
          </cell>
          <cell r="D2959" t="str">
            <v>#246-210 BASE</v>
          </cell>
          <cell r="E2959" t="str">
            <v>Chỉ ngang trước</v>
          </cell>
          <cell r="F2959" t="str">
            <v>16*22*979</v>
          </cell>
          <cell r="G2959">
            <v>16</v>
          </cell>
          <cell r="H2959">
            <v>22</v>
          </cell>
          <cell r="I2959">
            <v>979</v>
          </cell>
          <cell r="J2959">
            <v>437</v>
          </cell>
          <cell r="K2959">
            <v>0</v>
          </cell>
          <cell r="L2959">
            <v>1.1499999999999999</v>
          </cell>
          <cell r="M2959">
            <v>0</v>
          </cell>
          <cell r="N2959">
            <v>0</v>
          </cell>
          <cell r="O2959">
            <v>0</v>
          </cell>
          <cell r="P2959" t="str">
            <v>1010</v>
          </cell>
          <cell r="Q2959" t="str">
            <v>1010</v>
          </cell>
          <cell r="R2959">
            <v>2.6315789473684208</v>
          </cell>
          <cell r="S2959">
            <v>0</v>
          </cell>
          <cell r="T2959">
            <v>0</v>
          </cell>
        </row>
        <row r="2960">
          <cell r="A2960" t="str">
            <v>Y036-029</v>
          </cell>
          <cell r="B2960">
            <v>0</v>
          </cell>
          <cell r="C2960" t="str">
            <v>Y036</v>
          </cell>
          <cell r="D2960" t="str">
            <v>#246-210 BASE</v>
          </cell>
          <cell r="E2960" t="str">
            <v>Chỉ ngang hong</v>
          </cell>
          <cell r="F2960" t="str">
            <v>16*22*388</v>
          </cell>
          <cell r="G2960">
            <v>16</v>
          </cell>
          <cell r="H2960">
            <v>22</v>
          </cell>
          <cell r="I2960">
            <v>388</v>
          </cell>
          <cell r="J2960">
            <v>173</v>
          </cell>
          <cell r="K2960">
            <v>0</v>
          </cell>
          <cell r="L2960">
            <v>0.5</v>
          </cell>
          <cell r="M2960">
            <v>0</v>
          </cell>
          <cell r="N2960">
            <v>0</v>
          </cell>
          <cell r="O2960">
            <v>0</v>
          </cell>
          <cell r="P2960" t="str">
            <v>1010</v>
          </cell>
          <cell r="Q2960" t="str">
            <v>1010</v>
          </cell>
          <cell r="R2960">
            <v>2.8901734104046244</v>
          </cell>
          <cell r="S2960">
            <v>0</v>
          </cell>
          <cell r="T2960">
            <v>0</v>
          </cell>
        </row>
        <row r="2961">
          <cell r="A2961" t="str">
            <v>Y036-030</v>
          </cell>
          <cell r="B2961" t="str">
            <v>有槽,暫不生產</v>
          </cell>
          <cell r="C2961" t="str">
            <v>Y036</v>
          </cell>
          <cell r="D2961" t="str">
            <v>#246-210 BASE</v>
          </cell>
          <cell r="E2961" t="str">
            <v>Chỉ ngang</v>
          </cell>
          <cell r="F2961" t="str">
            <v>16*25*461</v>
          </cell>
          <cell r="G2961">
            <v>16</v>
          </cell>
          <cell r="H2961">
            <v>25</v>
          </cell>
          <cell r="I2961">
            <v>461</v>
          </cell>
          <cell r="J2961">
            <v>152</v>
          </cell>
          <cell r="K2961">
            <v>0</v>
          </cell>
          <cell r="L2961">
            <v>0.46</v>
          </cell>
          <cell r="M2961">
            <v>0</v>
          </cell>
          <cell r="N2961">
            <v>0</v>
          </cell>
          <cell r="O2961">
            <v>0</v>
          </cell>
          <cell r="P2961" t="str">
            <v>1010</v>
          </cell>
          <cell r="Q2961" t="str">
            <v>1010</v>
          </cell>
          <cell r="R2961">
            <v>3.0263157894736845</v>
          </cell>
          <cell r="S2961">
            <v>0</v>
          </cell>
          <cell r="T2961">
            <v>0</v>
          </cell>
        </row>
        <row r="2962">
          <cell r="A2962" t="str">
            <v>Y036-031</v>
          </cell>
          <cell r="B2962" t="str">
            <v>有槽,暫不生產</v>
          </cell>
          <cell r="C2962" t="str">
            <v>Y036</v>
          </cell>
          <cell r="D2962" t="str">
            <v>#246-210 BASE</v>
          </cell>
          <cell r="E2962" t="str">
            <v>Chỉ dọc</v>
          </cell>
          <cell r="F2962" t="str">
            <v>16*25*281</v>
          </cell>
          <cell r="G2962">
            <v>16</v>
          </cell>
          <cell r="H2962">
            <v>25</v>
          </cell>
          <cell r="I2962">
            <v>281</v>
          </cell>
          <cell r="J2962">
            <v>93</v>
          </cell>
          <cell r="K2962">
            <v>0</v>
          </cell>
          <cell r="L2962">
            <v>0.28999999999999998</v>
          </cell>
          <cell r="M2962">
            <v>0</v>
          </cell>
          <cell r="N2962">
            <v>0</v>
          </cell>
          <cell r="O2962">
            <v>0</v>
          </cell>
          <cell r="P2962" t="str">
            <v>1010</v>
          </cell>
          <cell r="Q2962" t="str">
            <v>1010</v>
          </cell>
          <cell r="R2962">
            <v>3.118279569892473</v>
          </cell>
          <cell r="S2962">
            <v>0</v>
          </cell>
          <cell r="T2962">
            <v>0</v>
          </cell>
        </row>
        <row r="2963">
          <cell r="A2963" t="str">
            <v>Y036-032</v>
          </cell>
          <cell r="B2963" t="str">
            <v>沒槽.同25*18</v>
          </cell>
          <cell r="C2963" t="str">
            <v>Y036</v>
          </cell>
          <cell r="D2963" t="str">
            <v>#246-210 BASE</v>
          </cell>
          <cell r="E2963" t="str">
            <v xml:space="preserve">Chỉ ngang </v>
          </cell>
          <cell r="F2963" t="str">
            <v>18*25*461</v>
          </cell>
          <cell r="G2963">
            <v>18</v>
          </cell>
          <cell r="H2963">
            <v>25</v>
          </cell>
          <cell r="I2963">
            <v>461</v>
          </cell>
          <cell r="J2963">
            <v>279</v>
          </cell>
          <cell r="K2963">
            <v>0</v>
          </cell>
          <cell r="L2963">
            <v>0.77</v>
          </cell>
          <cell r="M2963">
            <v>0</v>
          </cell>
          <cell r="N2963">
            <v>0</v>
          </cell>
          <cell r="O2963">
            <v>0</v>
          </cell>
          <cell r="P2963" t="str">
            <v>1010</v>
          </cell>
          <cell r="Q2963" t="str">
            <v>1010</v>
          </cell>
          <cell r="R2963">
            <v>2.7598566308243724</v>
          </cell>
          <cell r="S2963">
            <v>0</v>
          </cell>
          <cell r="T2963">
            <v>0</v>
          </cell>
        </row>
        <row r="2964">
          <cell r="A2964" t="str">
            <v>Y036-033</v>
          </cell>
          <cell r="B2964" t="str">
            <v>"</v>
          </cell>
          <cell r="C2964" t="str">
            <v>Y036</v>
          </cell>
          <cell r="D2964" t="str">
            <v>#246-210 BASE</v>
          </cell>
          <cell r="E2964" t="str">
            <v xml:space="preserve">Chỉ dọc </v>
          </cell>
          <cell r="F2964" t="str">
            <v>18*25*461</v>
          </cell>
          <cell r="G2964">
            <v>18</v>
          </cell>
          <cell r="H2964">
            <v>25</v>
          </cell>
          <cell r="I2964">
            <v>281</v>
          </cell>
          <cell r="J2964">
            <v>180</v>
          </cell>
          <cell r="K2964">
            <v>0</v>
          </cell>
          <cell r="L2964">
            <v>0.5</v>
          </cell>
          <cell r="M2964">
            <v>0</v>
          </cell>
          <cell r="N2964">
            <v>0</v>
          </cell>
          <cell r="O2964">
            <v>0</v>
          </cell>
          <cell r="P2964" t="str">
            <v>1010</v>
          </cell>
          <cell r="Q2964" t="str">
            <v>1010</v>
          </cell>
          <cell r="R2964">
            <v>2.7777777777777777</v>
          </cell>
          <cell r="S2964">
            <v>0</v>
          </cell>
          <cell r="T2964">
            <v>0</v>
          </cell>
        </row>
        <row r="2965">
          <cell r="A2965" t="str">
            <v>Y036-034</v>
          </cell>
          <cell r="B2965">
            <v>0</v>
          </cell>
          <cell r="C2965" t="str">
            <v>Y036</v>
          </cell>
          <cell r="D2965" t="str">
            <v>#246-210 BASE</v>
          </cell>
          <cell r="E2965" t="str">
            <v>Chỉ ngang trước</v>
          </cell>
          <cell r="F2965" t="str">
            <v>16*22*975</v>
          </cell>
          <cell r="G2965">
            <v>16</v>
          </cell>
          <cell r="H2965">
            <v>22</v>
          </cell>
          <cell r="I2965">
            <v>975</v>
          </cell>
          <cell r="J2965">
            <v>437</v>
          </cell>
          <cell r="K2965">
            <v>0</v>
          </cell>
          <cell r="L2965">
            <v>1.1499999999999999</v>
          </cell>
          <cell r="M2965">
            <v>0</v>
          </cell>
          <cell r="N2965">
            <v>0</v>
          </cell>
          <cell r="O2965">
            <v>0</v>
          </cell>
          <cell r="P2965" t="str">
            <v>1010</v>
          </cell>
          <cell r="Q2965" t="str">
            <v>1010</v>
          </cell>
          <cell r="R2965">
            <v>2.6315789473684208</v>
          </cell>
          <cell r="S2965">
            <v>0</v>
          </cell>
          <cell r="T2965">
            <v>0</v>
          </cell>
        </row>
        <row r="2966">
          <cell r="A2966" t="str">
            <v>Y036-035</v>
          </cell>
          <cell r="B2966">
            <v>0</v>
          </cell>
          <cell r="C2966" t="str">
            <v>Y036</v>
          </cell>
          <cell r="D2966" t="str">
            <v>#246-260 TABLE</v>
          </cell>
          <cell r="E2966" t="str">
            <v>Diềm dưới</v>
          </cell>
          <cell r="F2966" t="str">
            <v>14*19*910</v>
          </cell>
          <cell r="G2966">
            <v>14</v>
          </cell>
          <cell r="H2966">
            <v>19</v>
          </cell>
          <cell r="I2966">
            <v>910</v>
          </cell>
          <cell r="J2966">
            <v>0</v>
          </cell>
          <cell r="K2966">
            <v>0</v>
          </cell>
          <cell r="L2966">
            <v>0.98</v>
          </cell>
          <cell r="M2966">
            <v>0</v>
          </cell>
          <cell r="N2966">
            <v>0</v>
          </cell>
          <cell r="O2966">
            <v>0</v>
          </cell>
          <cell r="P2966" t="str">
            <v>1010</v>
          </cell>
          <cell r="Q2966" t="str">
            <v>1010</v>
          </cell>
          <cell r="R2966" t="e">
            <v>#DIV/0!</v>
          </cell>
          <cell r="S2966">
            <v>0</v>
          </cell>
          <cell r="T2966">
            <v>0</v>
          </cell>
        </row>
        <row r="2967">
          <cell r="A2967" t="str">
            <v>Y036-036</v>
          </cell>
          <cell r="B2967">
            <v>0</v>
          </cell>
          <cell r="C2967" t="str">
            <v>Y036</v>
          </cell>
          <cell r="D2967" t="str">
            <v>#246-260 TABLE</v>
          </cell>
          <cell r="E2967" t="str">
            <v>Diềm dưới</v>
          </cell>
          <cell r="F2967" t="str">
            <v>14*19*1059</v>
          </cell>
          <cell r="G2967">
            <v>14</v>
          </cell>
          <cell r="H2967">
            <v>19</v>
          </cell>
          <cell r="I2967">
            <v>1059</v>
          </cell>
          <cell r="J2967">
            <v>466</v>
          </cell>
          <cell r="K2967">
            <v>0</v>
          </cell>
          <cell r="L2967">
            <v>1.1399999999999999</v>
          </cell>
          <cell r="M2967">
            <v>0</v>
          </cell>
          <cell r="N2967">
            <v>0</v>
          </cell>
          <cell r="O2967">
            <v>0</v>
          </cell>
          <cell r="P2967" t="str">
            <v>1010</v>
          </cell>
          <cell r="Q2967" t="str">
            <v>1010</v>
          </cell>
          <cell r="R2967">
            <v>2.4463519313304718</v>
          </cell>
          <cell r="S2967">
            <v>0</v>
          </cell>
          <cell r="T2967">
            <v>0</v>
          </cell>
        </row>
        <row r="2968">
          <cell r="A2968" t="str">
            <v>Y036-037</v>
          </cell>
          <cell r="B2968">
            <v>0</v>
          </cell>
          <cell r="C2968" t="str">
            <v>Y036</v>
          </cell>
          <cell r="D2968" t="str">
            <v>#246-260 TABLE</v>
          </cell>
          <cell r="E2968" t="str">
            <v>Diềm dưới</v>
          </cell>
          <cell r="F2968" t="str">
            <v>14*19*356</v>
          </cell>
          <cell r="G2968">
            <v>14</v>
          </cell>
          <cell r="H2968">
            <v>19</v>
          </cell>
          <cell r="I2968">
            <v>356</v>
          </cell>
          <cell r="J2968">
            <v>0</v>
          </cell>
          <cell r="K2968">
            <v>0</v>
          </cell>
          <cell r="L2968">
            <v>0.39</v>
          </cell>
          <cell r="M2968">
            <v>0</v>
          </cell>
          <cell r="N2968">
            <v>0</v>
          </cell>
          <cell r="O2968">
            <v>0</v>
          </cell>
          <cell r="P2968" t="str">
            <v>1010</v>
          </cell>
          <cell r="Q2968" t="str">
            <v>1010</v>
          </cell>
          <cell r="R2968" t="e">
            <v>#DIV/0!</v>
          </cell>
          <cell r="S2968">
            <v>0</v>
          </cell>
          <cell r="T2968">
            <v>0</v>
          </cell>
        </row>
        <row r="2969">
          <cell r="A2969" t="str">
            <v>Y036-038</v>
          </cell>
          <cell r="B2969">
            <v>0</v>
          </cell>
          <cell r="C2969" t="str">
            <v>Y036</v>
          </cell>
          <cell r="D2969" t="str">
            <v>#246-210 BASE</v>
          </cell>
          <cell r="E2969" t="str">
            <v xml:space="preserve">Chỉ dọc </v>
          </cell>
          <cell r="F2969" t="str">
            <v>18*25*218</v>
          </cell>
          <cell r="G2969">
            <v>18</v>
          </cell>
          <cell r="H2969">
            <v>25</v>
          </cell>
          <cell r="I2969">
            <v>218</v>
          </cell>
          <cell r="J2969">
            <v>127</v>
          </cell>
          <cell r="K2969">
            <v>0</v>
          </cell>
          <cell r="L2969">
            <v>0.39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 t="str">
            <v>1010</v>
          </cell>
          <cell r="R2969">
            <v>3.0708661417322833</v>
          </cell>
          <cell r="S2969">
            <v>0</v>
          </cell>
          <cell r="T2969">
            <v>0</v>
          </cell>
        </row>
        <row r="2970">
          <cell r="A2970" t="str">
            <v>Y036-039</v>
          </cell>
          <cell r="B2970" t="str">
            <v>送貨單寫1806</v>
          </cell>
          <cell r="C2970" t="str">
            <v>Y036</v>
          </cell>
          <cell r="D2970" t="str">
            <v>#949-TABLE</v>
          </cell>
          <cell r="E2970" t="str">
            <v>POLY飾條</v>
          </cell>
          <cell r="F2970" t="str">
            <v>22*22*1813</v>
          </cell>
          <cell r="G2970">
            <v>22</v>
          </cell>
          <cell r="H2970">
            <v>22</v>
          </cell>
          <cell r="I2970">
            <v>1813</v>
          </cell>
          <cell r="J2970">
            <v>0</v>
          </cell>
          <cell r="K2970">
            <v>0</v>
          </cell>
          <cell r="L2970">
            <v>2.2799999999999998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</row>
        <row r="2971">
          <cell r="A2971" t="str">
            <v>Y036-040</v>
          </cell>
          <cell r="B2971" t="str">
            <v>"</v>
          </cell>
          <cell r="C2971" t="str">
            <v>Y036</v>
          </cell>
          <cell r="D2971" t="str">
            <v>#949-TABLE</v>
          </cell>
          <cell r="E2971" t="str">
            <v>POLY飾條</v>
          </cell>
          <cell r="F2971" t="str">
            <v>6*15*1813</v>
          </cell>
          <cell r="G2971">
            <v>6</v>
          </cell>
          <cell r="H2971">
            <v>15</v>
          </cell>
          <cell r="I2971">
            <v>1830</v>
          </cell>
          <cell r="J2971">
            <v>0</v>
          </cell>
          <cell r="K2971">
            <v>0</v>
          </cell>
          <cell r="L2971">
            <v>0.65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</row>
        <row r="2972">
          <cell r="A2972" t="str">
            <v>Y036-2001</v>
          </cell>
          <cell r="B2972">
            <v>0</v>
          </cell>
          <cell r="C2972" t="str">
            <v>Y036</v>
          </cell>
          <cell r="D2972" t="str">
            <v>#246-210 BASE</v>
          </cell>
          <cell r="E2972" t="str">
            <v>Chỉ ngang 有槽 CÓ RẢNH</v>
          </cell>
          <cell r="F2972">
            <v>0</v>
          </cell>
          <cell r="G2972">
            <v>1212</v>
          </cell>
          <cell r="H2972">
            <v>22</v>
          </cell>
          <cell r="I2972">
            <v>7.5</v>
          </cell>
          <cell r="J2972">
            <v>581</v>
          </cell>
          <cell r="K2972">
            <v>0</v>
          </cell>
          <cell r="L2972">
            <v>1.59</v>
          </cell>
          <cell r="M2972">
            <v>0</v>
          </cell>
          <cell r="N2972">
            <v>0</v>
          </cell>
          <cell r="O2972" t="str">
            <v>40V</v>
          </cell>
          <cell r="P2972" t="str">
            <v>1010</v>
          </cell>
          <cell r="Q2972">
            <v>1010</v>
          </cell>
          <cell r="R2972">
            <v>2.7366609294320141</v>
          </cell>
          <cell r="S2972">
            <v>0</v>
          </cell>
        </row>
        <row r="2973">
          <cell r="A2973" t="str">
            <v>Y036-2002</v>
          </cell>
          <cell r="B2973">
            <v>0</v>
          </cell>
          <cell r="C2973" t="str">
            <v>Y036</v>
          </cell>
          <cell r="D2973" t="str">
            <v>#246-210 BASE</v>
          </cell>
          <cell r="E2973" t="str">
            <v>Chỉ dọc 有槽 CÓ RẢNH</v>
          </cell>
          <cell r="F2973">
            <v>0</v>
          </cell>
          <cell r="G2973">
            <v>1346</v>
          </cell>
          <cell r="H2973">
            <v>68</v>
          </cell>
          <cell r="I2973">
            <v>22</v>
          </cell>
          <cell r="J2973">
            <v>1440</v>
          </cell>
          <cell r="K2973">
            <v>0</v>
          </cell>
          <cell r="L2973">
            <v>4.2</v>
          </cell>
          <cell r="M2973">
            <v>0</v>
          </cell>
          <cell r="N2973">
            <v>430</v>
          </cell>
          <cell r="O2973" t="str">
            <v>40V</v>
          </cell>
          <cell r="P2973" t="str">
            <v>1010</v>
          </cell>
          <cell r="Q2973">
            <v>1010</v>
          </cell>
          <cell r="R2973">
            <v>2.916666666666667</v>
          </cell>
          <cell r="S2973">
            <v>0</v>
          </cell>
        </row>
        <row r="2974">
          <cell r="A2974" t="str">
            <v>Y036-2003</v>
          </cell>
          <cell r="B2974">
            <v>0</v>
          </cell>
          <cell r="C2974" t="str">
            <v>Y036</v>
          </cell>
          <cell r="D2974" t="str">
            <v>#246-210 BASE</v>
          </cell>
          <cell r="E2974" t="str">
            <v>Chỉ ngang trước</v>
          </cell>
          <cell r="F2974">
            <v>0</v>
          </cell>
          <cell r="G2974">
            <v>1624</v>
          </cell>
          <cell r="H2974">
            <v>46</v>
          </cell>
          <cell r="I2974">
            <v>24</v>
          </cell>
          <cell r="J2974">
            <v>706</v>
          </cell>
          <cell r="K2974">
            <v>0</v>
          </cell>
          <cell r="L2974">
            <v>2.1</v>
          </cell>
          <cell r="M2974">
            <v>0</v>
          </cell>
          <cell r="N2974">
            <v>129</v>
          </cell>
          <cell r="O2974" t="str">
            <v>40V</v>
          </cell>
          <cell r="P2974" t="str">
            <v>1010</v>
          </cell>
          <cell r="Q2974">
            <v>1010</v>
          </cell>
          <cell r="R2974">
            <v>2.974504249291785</v>
          </cell>
          <cell r="S2974">
            <v>0</v>
          </cell>
        </row>
        <row r="2975">
          <cell r="A2975" t="str">
            <v>Y036-2004</v>
          </cell>
          <cell r="B2975">
            <v>0</v>
          </cell>
          <cell r="C2975" t="str">
            <v>Y036</v>
          </cell>
          <cell r="D2975">
            <v>0</v>
          </cell>
          <cell r="E2975" t="str">
            <v>POLY飾條</v>
          </cell>
          <cell r="F2975">
            <v>0</v>
          </cell>
          <cell r="G2975">
            <v>1024</v>
          </cell>
          <cell r="H2975">
            <v>46</v>
          </cell>
          <cell r="I2975">
            <v>31</v>
          </cell>
          <cell r="J2975">
            <v>1053</v>
          </cell>
          <cell r="K2975">
            <v>0</v>
          </cell>
          <cell r="L2975">
            <v>3.1</v>
          </cell>
          <cell r="M2975">
            <v>0</v>
          </cell>
          <cell r="N2975">
            <v>211</v>
          </cell>
          <cell r="O2975">
            <v>0</v>
          </cell>
          <cell r="P2975" t="str">
            <v>1010</v>
          </cell>
          <cell r="Q2975" t="str">
            <v>1010</v>
          </cell>
          <cell r="R2975">
            <v>2.9439696106362776</v>
          </cell>
          <cell r="S2975">
            <v>0</v>
          </cell>
        </row>
        <row r="2976">
          <cell r="A2976" t="str">
            <v>Y036-2005</v>
          </cell>
          <cell r="B2976">
            <v>0</v>
          </cell>
          <cell r="C2976" t="str">
            <v>Y036</v>
          </cell>
          <cell r="D2976">
            <v>0</v>
          </cell>
          <cell r="E2976" t="str">
            <v>POLY飾條</v>
          </cell>
          <cell r="F2976">
            <v>0</v>
          </cell>
          <cell r="G2976">
            <v>716</v>
          </cell>
          <cell r="H2976">
            <v>26</v>
          </cell>
          <cell r="I2976">
            <v>20</v>
          </cell>
          <cell r="J2976">
            <v>303</v>
          </cell>
          <cell r="K2976">
            <v>0</v>
          </cell>
          <cell r="L2976">
            <v>0.89</v>
          </cell>
          <cell r="M2976">
            <v>0</v>
          </cell>
          <cell r="N2976">
            <v>47</v>
          </cell>
          <cell r="O2976">
            <v>0</v>
          </cell>
          <cell r="P2976" t="str">
            <v>1010</v>
          </cell>
          <cell r="Q2976" t="str">
            <v>1010</v>
          </cell>
          <cell r="R2976">
            <v>2.9372937293729375</v>
          </cell>
          <cell r="S2976">
            <v>0</v>
          </cell>
        </row>
        <row r="2977">
          <cell r="A2977" t="str">
            <v>Y036-2006</v>
          </cell>
          <cell r="B2977" t="str">
            <v>腳柱內木17-01扣回</v>
          </cell>
          <cell r="C2977" t="str">
            <v>Y036</v>
          </cell>
          <cell r="D2977" t="str">
            <v>#246-254</v>
          </cell>
          <cell r="E2977" t="str">
            <v>脚柱 Chân</v>
          </cell>
          <cell r="F2977" t="str">
            <v>403*65*65</v>
          </cell>
          <cell r="G2977">
            <v>403</v>
          </cell>
          <cell r="H2977">
            <v>65</v>
          </cell>
          <cell r="I2977">
            <v>65</v>
          </cell>
          <cell r="J2977">
            <v>0</v>
          </cell>
          <cell r="K2977" t="str">
            <v>內木</v>
          </cell>
          <cell r="L2977">
            <v>0.9</v>
          </cell>
          <cell r="M2977">
            <v>0</v>
          </cell>
          <cell r="N2977">
            <v>47</v>
          </cell>
          <cell r="O2977">
            <v>0</v>
          </cell>
          <cell r="P2977" t="str">
            <v>1010</v>
          </cell>
          <cell r="Q2977" t="str">
            <v>1010</v>
          </cell>
          <cell r="R2977" t="e">
            <v>#DIV/0!</v>
          </cell>
          <cell r="S2977">
            <v>0</v>
          </cell>
        </row>
        <row r="2978">
          <cell r="A2978" t="str">
            <v>Y037-001</v>
          </cell>
          <cell r="B2978" t="str">
            <v>LCT102-001</v>
          </cell>
          <cell r="C2978" t="str">
            <v>Y037</v>
          </cell>
          <cell r="D2978" t="str">
            <v>323</v>
          </cell>
          <cell r="E2978" t="str">
            <v>POLY 圆珠饰条</v>
          </cell>
          <cell r="F2978" t="str">
            <v>800*10*5</v>
          </cell>
          <cell r="G2978">
            <v>800</v>
          </cell>
          <cell r="H2978">
            <v>10</v>
          </cell>
          <cell r="I2978">
            <v>5</v>
          </cell>
          <cell r="J2978">
            <v>60</v>
          </cell>
          <cell r="K2978">
            <v>0</v>
          </cell>
          <cell r="L2978">
            <v>0.21</v>
          </cell>
          <cell r="M2978">
            <v>0</v>
          </cell>
          <cell r="N2978">
            <v>0</v>
          </cell>
          <cell r="O2978" t="str">
            <v>40V</v>
          </cell>
          <cell r="P2978" t="str">
            <v>1010</v>
          </cell>
          <cell r="Q2978" t="str">
            <v>1010</v>
          </cell>
          <cell r="R2978">
            <v>3.5</v>
          </cell>
        </row>
        <row r="2979">
          <cell r="A2979" t="str">
            <v>Y037-002</v>
          </cell>
          <cell r="B2979" t="str">
            <v>LCT102-006</v>
          </cell>
          <cell r="C2979" t="str">
            <v>Y037</v>
          </cell>
          <cell r="D2979" t="str">
            <v>#323</v>
          </cell>
          <cell r="E2979" t="str">
            <v>POLY 1/4半圆珠饰条</v>
          </cell>
          <cell r="F2979" t="str">
            <v>1005*8*8</v>
          </cell>
          <cell r="G2979">
            <v>1005</v>
          </cell>
          <cell r="H2979">
            <v>8</v>
          </cell>
          <cell r="I2979">
            <v>8</v>
          </cell>
          <cell r="J2979">
            <v>80</v>
          </cell>
          <cell r="K2979">
            <v>0</v>
          </cell>
          <cell r="L2979">
            <v>0.25</v>
          </cell>
          <cell r="M2979">
            <v>0</v>
          </cell>
          <cell r="N2979">
            <v>0</v>
          </cell>
          <cell r="O2979" t="str">
            <v>40V</v>
          </cell>
          <cell r="P2979" t="str">
            <v>1010</v>
          </cell>
          <cell r="Q2979" t="str">
            <v>1010</v>
          </cell>
          <cell r="R2979">
            <v>3.125</v>
          </cell>
        </row>
        <row r="2980">
          <cell r="A2980" t="str">
            <v>Y037-003</v>
          </cell>
          <cell r="B2980" t="str">
            <v>LCT102-007</v>
          </cell>
          <cell r="C2980" t="str">
            <v>Y037</v>
          </cell>
          <cell r="D2980" t="str">
            <v>#323</v>
          </cell>
          <cell r="E2980" t="str">
            <v>POLY 1/4半圆珠饰条</v>
          </cell>
          <cell r="F2980" t="str">
            <v>665*8*8</v>
          </cell>
          <cell r="G2980">
            <v>665</v>
          </cell>
          <cell r="H2980">
            <v>8</v>
          </cell>
          <cell r="I2980">
            <v>8</v>
          </cell>
          <cell r="J2980">
            <v>50</v>
          </cell>
          <cell r="K2980">
            <v>0</v>
          </cell>
          <cell r="L2980">
            <v>0.17</v>
          </cell>
          <cell r="M2980">
            <v>0</v>
          </cell>
          <cell r="N2980">
            <v>0</v>
          </cell>
          <cell r="O2980" t="str">
            <v>40V</v>
          </cell>
          <cell r="P2980" t="str">
            <v>1010</v>
          </cell>
          <cell r="Q2980" t="str">
            <v>1010</v>
          </cell>
          <cell r="R2980">
            <v>3.4</v>
          </cell>
        </row>
        <row r="2981">
          <cell r="A2981" t="str">
            <v>Y037-004</v>
          </cell>
          <cell r="B2981" t="str">
            <v>LCT102-005</v>
          </cell>
          <cell r="C2981" t="str">
            <v>Y037</v>
          </cell>
          <cell r="D2981" t="str">
            <v>#323</v>
          </cell>
          <cell r="E2981" t="str">
            <v>POLY 1/4半圆珠饰条</v>
          </cell>
          <cell r="F2981" t="str">
            <v>800*8*8</v>
          </cell>
          <cell r="G2981">
            <v>800</v>
          </cell>
          <cell r="H2981">
            <v>8</v>
          </cell>
          <cell r="I2981">
            <v>8</v>
          </cell>
          <cell r="J2981">
            <v>60</v>
          </cell>
          <cell r="K2981">
            <v>0</v>
          </cell>
          <cell r="L2981">
            <v>0.22</v>
          </cell>
          <cell r="M2981">
            <v>0</v>
          </cell>
          <cell r="N2981">
            <v>0</v>
          </cell>
          <cell r="O2981" t="str">
            <v>40V</v>
          </cell>
          <cell r="P2981" t="str">
            <v>1010</v>
          </cell>
          <cell r="Q2981" t="str">
            <v>1010</v>
          </cell>
          <cell r="R2981">
            <v>3.666666666666667</v>
          </cell>
        </row>
        <row r="2982">
          <cell r="A2982" t="str">
            <v>Y037-005</v>
          </cell>
          <cell r="B2982" t="str">
            <v>LCT102-008</v>
          </cell>
          <cell r="C2982" t="str">
            <v>Y037</v>
          </cell>
          <cell r="D2982" t="str">
            <v>#323</v>
          </cell>
          <cell r="E2982" t="str">
            <v>POLY 1/4半圆珠饰条</v>
          </cell>
          <cell r="F2982" t="str">
            <v>565*8*8</v>
          </cell>
          <cell r="G2982">
            <v>565</v>
          </cell>
          <cell r="H2982">
            <v>8</v>
          </cell>
          <cell r="I2982">
            <v>8</v>
          </cell>
          <cell r="J2982">
            <v>45</v>
          </cell>
          <cell r="K2982">
            <v>0</v>
          </cell>
          <cell r="L2982">
            <v>0.16</v>
          </cell>
          <cell r="M2982">
            <v>0</v>
          </cell>
          <cell r="N2982">
            <v>0</v>
          </cell>
          <cell r="O2982" t="str">
            <v>40V</v>
          </cell>
          <cell r="P2982" t="str">
            <v>1010</v>
          </cell>
          <cell r="Q2982" t="str">
            <v>1010</v>
          </cell>
          <cell r="R2982">
            <v>3.5555555555555558</v>
          </cell>
        </row>
        <row r="2983">
          <cell r="A2983" t="str">
            <v>Y037-006</v>
          </cell>
          <cell r="B2983" t="str">
            <v>LCT102-009</v>
          </cell>
          <cell r="C2983" t="str">
            <v>Y037</v>
          </cell>
          <cell r="D2983" t="str">
            <v>#323</v>
          </cell>
          <cell r="E2983" t="str">
            <v>POLY 1/4半圆珠饰条</v>
          </cell>
          <cell r="F2983" t="str">
            <v>440*8*8</v>
          </cell>
          <cell r="G2983">
            <v>440</v>
          </cell>
          <cell r="H2983">
            <v>8</v>
          </cell>
          <cell r="I2983">
            <v>8</v>
          </cell>
          <cell r="J2983">
            <v>38</v>
          </cell>
          <cell r="K2983">
            <v>0</v>
          </cell>
          <cell r="L2983">
            <v>0.12</v>
          </cell>
          <cell r="M2983">
            <v>0</v>
          </cell>
          <cell r="N2983">
            <v>0</v>
          </cell>
          <cell r="O2983" t="str">
            <v>40V</v>
          </cell>
          <cell r="P2983" t="str">
            <v>1010</v>
          </cell>
          <cell r="Q2983" t="str">
            <v>1010</v>
          </cell>
          <cell r="R2983">
            <v>3.1578947368421053</v>
          </cell>
        </row>
        <row r="2984">
          <cell r="A2984" t="str">
            <v>Y038-001</v>
          </cell>
          <cell r="B2984" t="str">
            <v>LCT031-117</v>
          </cell>
          <cell r="C2984" t="str">
            <v>Y038</v>
          </cell>
          <cell r="D2984" t="str">
            <v>SVPL-4310-81-512</v>
          </cell>
          <cell r="E2984" t="str">
            <v>前框企饰条</v>
          </cell>
          <cell r="F2984" t="str">
            <v>433*10*10</v>
          </cell>
          <cell r="G2984">
            <v>433</v>
          </cell>
          <cell r="H2984">
            <v>10</v>
          </cell>
          <cell r="I2984">
            <v>10</v>
          </cell>
          <cell r="J2984">
            <v>45</v>
          </cell>
          <cell r="K2984">
            <v>0</v>
          </cell>
          <cell r="L2984">
            <v>0.2</v>
          </cell>
          <cell r="M2984">
            <v>0</v>
          </cell>
          <cell r="N2984">
            <v>0</v>
          </cell>
          <cell r="O2984">
            <v>0</v>
          </cell>
          <cell r="P2984" t="str">
            <v>1010</v>
          </cell>
          <cell r="Q2984">
            <v>1010</v>
          </cell>
          <cell r="R2984">
            <v>4.4444444444444446</v>
          </cell>
        </row>
        <row r="2985">
          <cell r="A2985" t="str">
            <v>Y038-002</v>
          </cell>
          <cell r="B2985" t="str">
            <v>LCT031-116</v>
          </cell>
          <cell r="C2985" t="str">
            <v>Y038</v>
          </cell>
          <cell r="D2985" t="str">
            <v>SVPL-4310-54HS-0</v>
          </cell>
          <cell r="E2985" t="str">
            <v>堵版横饰条</v>
          </cell>
          <cell r="F2985" t="str">
            <v>564*10*10</v>
          </cell>
          <cell r="G2985">
            <v>564</v>
          </cell>
          <cell r="H2985">
            <v>10</v>
          </cell>
          <cell r="I2985">
            <v>10</v>
          </cell>
          <cell r="J2985">
            <v>60</v>
          </cell>
          <cell r="K2985">
            <v>0</v>
          </cell>
          <cell r="L2985">
            <v>0.26</v>
          </cell>
          <cell r="M2985">
            <v>0</v>
          </cell>
          <cell r="N2985">
            <v>0</v>
          </cell>
          <cell r="O2985">
            <v>0</v>
          </cell>
          <cell r="P2985" t="str">
            <v>1010</v>
          </cell>
          <cell r="Q2985">
            <v>1010</v>
          </cell>
          <cell r="R2985">
            <v>4.3333333333333339</v>
          </cell>
        </row>
        <row r="2986">
          <cell r="A2986" t="str">
            <v>Y038-003</v>
          </cell>
          <cell r="B2986" t="str">
            <v>LCT031-115</v>
          </cell>
          <cell r="C2986" t="str">
            <v>Y038</v>
          </cell>
          <cell r="D2986" t="str">
            <v>SVPL-4310-54HS-0</v>
          </cell>
          <cell r="E2986" t="str">
            <v>堵版横饰条</v>
          </cell>
          <cell r="F2986" t="str">
            <v>606*10*10</v>
          </cell>
          <cell r="G2986">
            <v>606</v>
          </cell>
          <cell r="H2986">
            <v>10</v>
          </cell>
          <cell r="I2986">
            <v>10</v>
          </cell>
          <cell r="J2986">
            <v>70</v>
          </cell>
          <cell r="K2986">
            <v>0</v>
          </cell>
          <cell r="L2986">
            <v>0.28000000000000003</v>
          </cell>
          <cell r="M2986">
            <v>0</v>
          </cell>
          <cell r="N2986">
            <v>0</v>
          </cell>
          <cell r="O2986">
            <v>0</v>
          </cell>
          <cell r="P2986" t="str">
            <v>1010</v>
          </cell>
          <cell r="Q2986">
            <v>1010</v>
          </cell>
          <cell r="R2986">
            <v>4</v>
          </cell>
        </row>
        <row r="2987">
          <cell r="A2987" t="str">
            <v>Y039-001</v>
          </cell>
          <cell r="B2987" t="str">
            <v>LCT069-007</v>
          </cell>
          <cell r="C2987" t="str">
            <v>Y039</v>
          </cell>
          <cell r="D2987">
            <v>0</v>
          </cell>
          <cell r="E2987" t="str">
            <v>poly 四方形饰条</v>
          </cell>
          <cell r="F2987" t="str">
            <v>800*8*8</v>
          </cell>
          <cell r="G2987">
            <v>800</v>
          </cell>
          <cell r="H2987">
            <v>8</v>
          </cell>
          <cell r="I2987">
            <v>8</v>
          </cell>
          <cell r="J2987">
            <v>80</v>
          </cell>
          <cell r="K2987">
            <v>0</v>
          </cell>
          <cell r="L2987">
            <v>0.37</v>
          </cell>
          <cell r="M2987">
            <v>0</v>
          </cell>
          <cell r="N2987">
            <v>0</v>
          </cell>
          <cell r="O2987">
            <v>0</v>
          </cell>
          <cell r="P2987" t="str">
            <v>1010</v>
          </cell>
          <cell r="Q2987" t="str">
            <v>1010</v>
          </cell>
          <cell r="R2987">
            <v>4.625</v>
          </cell>
          <cell r="S2987">
            <v>0</v>
          </cell>
        </row>
        <row r="2988">
          <cell r="A2988" t="str">
            <v>Y039-002</v>
          </cell>
          <cell r="B2988" t="str">
            <v>LCT069-008</v>
          </cell>
          <cell r="C2988" t="str">
            <v>Y039</v>
          </cell>
          <cell r="D2988">
            <v>0</v>
          </cell>
          <cell r="E2988" t="str">
            <v>poly 四方形饰条</v>
          </cell>
          <cell r="F2988" t="str">
            <v>1050*8*8</v>
          </cell>
          <cell r="G2988">
            <v>1050</v>
          </cell>
          <cell r="H2988">
            <v>8</v>
          </cell>
          <cell r="I2988">
            <v>8</v>
          </cell>
          <cell r="J2988">
            <v>100</v>
          </cell>
          <cell r="K2988">
            <v>0</v>
          </cell>
          <cell r="L2988">
            <v>0.48</v>
          </cell>
          <cell r="M2988">
            <v>0</v>
          </cell>
          <cell r="N2988">
            <v>0</v>
          </cell>
          <cell r="O2988">
            <v>0</v>
          </cell>
          <cell r="P2988" t="str">
            <v>1010</v>
          </cell>
          <cell r="Q2988" t="str">
            <v>1010</v>
          </cell>
          <cell r="R2988">
            <v>4.8</v>
          </cell>
          <cell r="S2988">
            <v>0</v>
          </cell>
        </row>
        <row r="2989">
          <cell r="A2989" t="str">
            <v>Y040-001</v>
          </cell>
          <cell r="B2989" t="str">
            <v>LCT096-004</v>
          </cell>
          <cell r="C2989" t="str">
            <v>Y040</v>
          </cell>
          <cell r="D2989">
            <v>0</v>
          </cell>
          <cell r="E2989" t="str">
            <v>圆珠饰条chæ popy haït cöôøm</v>
          </cell>
          <cell r="F2989" t="str">
            <v>550*10*5</v>
          </cell>
          <cell r="G2989">
            <v>550</v>
          </cell>
          <cell r="H2989">
            <v>10</v>
          </cell>
          <cell r="I2989">
            <v>5</v>
          </cell>
          <cell r="J2989">
            <v>50</v>
          </cell>
          <cell r="K2989">
            <v>0</v>
          </cell>
          <cell r="L2989">
            <v>0.2</v>
          </cell>
          <cell r="M2989">
            <v>0</v>
          </cell>
          <cell r="N2989">
            <v>0</v>
          </cell>
          <cell r="O2989">
            <v>0</v>
          </cell>
          <cell r="P2989" t="str">
            <v>1010</v>
          </cell>
          <cell r="Q2989" t="str">
            <v>1010</v>
          </cell>
          <cell r="R2989">
            <v>4</v>
          </cell>
          <cell r="S2989">
            <v>0</v>
          </cell>
        </row>
        <row r="2990">
          <cell r="A2990" t="str">
            <v>Y040-002</v>
          </cell>
          <cell r="B2990" t="str">
            <v>LCT096-006</v>
          </cell>
          <cell r="C2990" t="str">
            <v>Y040</v>
          </cell>
          <cell r="D2990">
            <v>0</v>
          </cell>
          <cell r="E2990" t="str">
            <v>Chi ranh xeo poly</v>
          </cell>
          <cell r="F2990" t="str">
            <v>800*15*7.5</v>
          </cell>
          <cell r="G2990">
            <v>800</v>
          </cell>
          <cell r="H2990">
            <v>15</v>
          </cell>
          <cell r="I2990">
            <v>7.5</v>
          </cell>
          <cell r="J2990">
            <v>110</v>
          </cell>
          <cell r="K2990">
            <v>0</v>
          </cell>
          <cell r="L2990">
            <v>0.45</v>
          </cell>
          <cell r="M2990">
            <v>0</v>
          </cell>
          <cell r="N2990">
            <v>0</v>
          </cell>
          <cell r="O2990">
            <v>0</v>
          </cell>
          <cell r="P2990" t="str">
            <v>1010</v>
          </cell>
          <cell r="Q2990" t="str">
            <v>1010</v>
          </cell>
          <cell r="R2990">
            <v>4.0909090909090908</v>
          </cell>
          <cell r="S2990">
            <v>0</v>
          </cell>
        </row>
        <row r="2991">
          <cell r="A2991" t="str">
            <v>Y041-001</v>
          </cell>
          <cell r="B2991" t="str">
            <v>LCT072-015</v>
          </cell>
          <cell r="C2991" t="str">
            <v>Y041</v>
          </cell>
          <cell r="D2991">
            <v>221147</v>
          </cell>
          <cell r="E2991" t="str">
            <v>VO-032/52 Trang trí</v>
          </cell>
          <cell r="F2991" t="str">
            <v>16*33*700</v>
          </cell>
          <cell r="G2991">
            <v>16</v>
          </cell>
          <cell r="H2991">
            <v>33</v>
          </cell>
          <cell r="I2991">
            <v>700</v>
          </cell>
          <cell r="J2991">
            <v>0</v>
          </cell>
          <cell r="K2991">
            <v>0</v>
          </cell>
          <cell r="L2991">
            <v>1.4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 t="e">
            <v>#DIV/0!</v>
          </cell>
        </row>
        <row r="2992">
          <cell r="A2992" t="str">
            <v>Y041-002</v>
          </cell>
          <cell r="B2992" t="str">
            <v>LCT072-016</v>
          </cell>
          <cell r="C2992" t="str">
            <v>Y041</v>
          </cell>
          <cell r="D2992">
            <v>221147</v>
          </cell>
          <cell r="E2992" t="str">
            <v>VO-052 Trang trí</v>
          </cell>
          <cell r="F2992" t="str">
            <v>16*33*600</v>
          </cell>
          <cell r="G2992">
            <v>16</v>
          </cell>
          <cell r="H2992">
            <v>33</v>
          </cell>
          <cell r="I2992">
            <v>600</v>
          </cell>
          <cell r="J2992">
            <v>0</v>
          </cell>
          <cell r="K2992">
            <v>0</v>
          </cell>
          <cell r="L2992">
            <v>1.2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 t="e">
            <v>#DIV/0!</v>
          </cell>
        </row>
        <row r="2993">
          <cell r="A2993" t="str">
            <v>Y041-003</v>
          </cell>
          <cell r="B2993" t="str">
            <v>LCT072-008</v>
          </cell>
          <cell r="C2993" t="str">
            <v>Y041</v>
          </cell>
          <cell r="D2993" t="str">
            <v>SM36TTB/TBTB</v>
          </cell>
          <cell r="E2993" t="str">
            <v>poly 饰条</v>
          </cell>
          <cell r="F2993" t="str">
            <v>5*10*1331</v>
          </cell>
          <cell r="G2993">
            <v>5</v>
          </cell>
          <cell r="H2993">
            <v>10</v>
          </cell>
          <cell r="I2993">
            <v>1331</v>
          </cell>
          <cell r="J2993">
            <v>105</v>
          </cell>
          <cell r="K2993">
            <v>0</v>
          </cell>
          <cell r="L2993">
            <v>0.5</v>
          </cell>
          <cell r="M2993">
            <v>0</v>
          </cell>
          <cell r="N2993">
            <v>0</v>
          </cell>
          <cell r="O2993">
            <v>0</v>
          </cell>
          <cell r="P2993" t="str">
            <v>1010</v>
          </cell>
          <cell r="Q2993" t="str">
            <v>1010</v>
          </cell>
          <cell r="R2993">
            <v>4.7619047619047619</v>
          </cell>
        </row>
        <row r="2994">
          <cell r="A2994" t="str">
            <v>Y041-004</v>
          </cell>
          <cell r="B2994">
            <v>0</v>
          </cell>
          <cell r="C2994" t="str">
            <v>Y041</v>
          </cell>
          <cell r="D2994">
            <v>55192</v>
          </cell>
          <cell r="E2994" t="str">
            <v>VE-012 POLY饰条</v>
          </cell>
          <cell r="F2994" t="str">
            <v>4*7*946</v>
          </cell>
          <cell r="G2994">
            <v>4</v>
          </cell>
          <cell r="H2994">
            <v>7</v>
          </cell>
          <cell r="I2994">
            <v>946</v>
          </cell>
          <cell r="J2994">
            <v>60</v>
          </cell>
          <cell r="K2994">
            <v>0</v>
          </cell>
          <cell r="L2994">
            <v>0.16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2.666666666666667</v>
          </cell>
        </row>
        <row r="2995">
          <cell r="A2995" t="str">
            <v>Y041-005</v>
          </cell>
          <cell r="B2995">
            <v>0</v>
          </cell>
          <cell r="C2995" t="str">
            <v>Y041</v>
          </cell>
          <cell r="D2995">
            <v>55192</v>
          </cell>
          <cell r="E2995" t="str">
            <v>VE-012 POLY饰条</v>
          </cell>
          <cell r="F2995" t="str">
            <v>4*7*544</v>
          </cell>
          <cell r="G2995">
            <v>4</v>
          </cell>
          <cell r="H2995">
            <v>7</v>
          </cell>
          <cell r="I2995">
            <v>544</v>
          </cell>
          <cell r="J2995">
            <v>40</v>
          </cell>
          <cell r="K2995">
            <v>0</v>
          </cell>
          <cell r="L2995">
            <v>0.11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2.75</v>
          </cell>
        </row>
        <row r="2996">
          <cell r="A2996" t="str">
            <v>Y041-006</v>
          </cell>
          <cell r="B2996">
            <v>0</v>
          </cell>
          <cell r="C2996" t="str">
            <v>Y041</v>
          </cell>
          <cell r="D2996">
            <v>55576</v>
          </cell>
          <cell r="E2996" t="str">
            <v>VE-011 POLY饰条</v>
          </cell>
          <cell r="F2996" t="str">
            <v>4*7*976</v>
          </cell>
          <cell r="G2996">
            <v>4</v>
          </cell>
          <cell r="H2996">
            <v>7</v>
          </cell>
          <cell r="I2996">
            <v>976</v>
          </cell>
          <cell r="J2996">
            <v>65</v>
          </cell>
          <cell r="K2996">
            <v>0</v>
          </cell>
          <cell r="L2996">
            <v>0.16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2.4615384615384617</v>
          </cell>
        </row>
        <row r="2997">
          <cell r="A2997" t="str">
            <v>Y041-007</v>
          </cell>
          <cell r="B2997">
            <v>0</v>
          </cell>
          <cell r="C2997" t="str">
            <v>Y041</v>
          </cell>
          <cell r="D2997">
            <v>55576</v>
          </cell>
          <cell r="E2997" t="str">
            <v>VE-011 POLY饰条</v>
          </cell>
          <cell r="F2997" t="str">
            <v>4*7*520</v>
          </cell>
          <cell r="G2997">
            <v>4</v>
          </cell>
          <cell r="H2997">
            <v>7</v>
          </cell>
          <cell r="I2997">
            <v>520</v>
          </cell>
          <cell r="J2997">
            <v>0</v>
          </cell>
          <cell r="K2997">
            <v>0</v>
          </cell>
          <cell r="L2997">
            <v>0.11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 t="e">
            <v>#DIV/0!</v>
          </cell>
        </row>
        <row r="2998">
          <cell r="A2998" t="str">
            <v>Y041-008</v>
          </cell>
          <cell r="B2998">
            <v>0</v>
          </cell>
          <cell r="C2998" t="str">
            <v>Y041</v>
          </cell>
          <cell r="D2998">
            <v>55351</v>
          </cell>
          <cell r="E2998" t="str">
            <v>VE-108 POLY饰条</v>
          </cell>
          <cell r="F2998" t="str">
            <v>4*7*1180</v>
          </cell>
          <cell r="G2998">
            <v>4</v>
          </cell>
          <cell r="H2998">
            <v>7</v>
          </cell>
          <cell r="I2998">
            <v>1180</v>
          </cell>
          <cell r="J2998">
            <v>80</v>
          </cell>
          <cell r="K2998">
            <v>0</v>
          </cell>
          <cell r="L2998">
            <v>0.3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3.75</v>
          </cell>
        </row>
        <row r="2999">
          <cell r="A2999" t="str">
            <v>Y041-009</v>
          </cell>
          <cell r="B2999">
            <v>0</v>
          </cell>
          <cell r="C2999" t="str">
            <v>Y041</v>
          </cell>
          <cell r="D2999">
            <v>55351</v>
          </cell>
          <cell r="E2999" t="str">
            <v>VE-108 POLY饰条</v>
          </cell>
          <cell r="F2999" t="str">
            <v>4*7*106</v>
          </cell>
          <cell r="G2999">
            <v>4</v>
          </cell>
          <cell r="H2999">
            <v>7</v>
          </cell>
          <cell r="I2999">
            <v>106</v>
          </cell>
          <cell r="J2999">
            <v>0</v>
          </cell>
          <cell r="K2999">
            <v>0</v>
          </cell>
          <cell r="L2999">
            <v>2.4E-2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 t="e">
            <v>#DIV/0!</v>
          </cell>
        </row>
        <row r="3000">
          <cell r="A3000" t="str">
            <v>Y041-010</v>
          </cell>
          <cell r="B3000">
            <v>0</v>
          </cell>
          <cell r="C3000" t="str">
            <v>Y041</v>
          </cell>
          <cell r="D3000">
            <v>55351</v>
          </cell>
          <cell r="E3000" t="str">
            <v>VE-109 POLY饰条</v>
          </cell>
          <cell r="F3000" t="str">
            <v>4*7*570</v>
          </cell>
          <cell r="G3000">
            <v>4</v>
          </cell>
          <cell r="H3000">
            <v>7</v>
          </cell>
          <cell r="I3000">
            <v>570</v>
          </cell>
          <cell r="J3000">
            <v>0</v>
          </cell>
          <cell r="K3000">
            <v>0</v>
          </cell>
          <cell r="L3000">
            <v>0.13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 t="e">
            <v>#DIV/0!</v>
          </cell>
        </row>
        <row r="3001">
          <cell r="A3001" t="str">
            <v>Y041-011</v>
          </cell>
          <cell r="B3001">
            <v>0</v>
          </cell>
          <cell r="C3001" t="str">
            <v>Y041</v>
          </cell>
          <cell r="D3001">
            <v>55351</v>
          </cell>
          <cell r="E3001" t="str">
            <v>VE-109 POLY饰条</v>
          </cell>
          <cell r="F3001" t="str">
            <v>4*7*96</v>
          </cell>
          <cell r="G3001">
            <v>4</v>
          </cell>
          <cell r="H3001">
            <v>7</v>
          </cell>
          <cell r="I3001">
            <v>96</v>
          </cell>
          <cell r="J3001">
            <v>0</v>
          </cell>
          <cell r="K3001">
            <v>0</v>
          </cell>
          <cell r="L3001">
            <v>2.1999999999999999E-2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 t="e">
            <v>#DIV/0!</v>
          </cell>
        </row>
        <row r="3002">
          <cell r="A3002" t="str">
            <v>Y041-012</v>
          </cell>
          <cell r="B3002">
            <v>0</v>
          </cell>
          <cell r="C3002" t="str">
            <v>Y041</v>
          </cell>
          <cell r="D3002">
            <v>55351</v>
          </cell>
          <cell r="E3002" t="str">
            <v>VE-109 POLY饰条</v>
          </cell>
          <cell r="F3002" t="str">
            <v>4*7*1200</v>
          </cell>
          <cell r="G3002">
            <v>4</v>
          </cell>
          <cell r="H3002">
            <v>7</v>
          </cell>
          <cell r="I3002">
            <v>1200</v>
          </cell>
          <cell r="J3002">
            <v>85</v>
          </cell>
          <cell r="K3002">
            <v>0</v>
          </cell>
          <cell r="L3002">
            <v>0.3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3.5294117647058818</v>
          </cell>
        </row>
        <row r="3003">
          <cell r="A3003" t="str">
            <v>Y042-001</v>
          </cell>
          <cell r="B3003" t="str">
            <v>LCT035-101</v>
          </cell>
          <cell r="C3003" t="str">
            <v>Y042</v>
          </cell>
          <cell r="D3003" t="str">
            <v>3601945943A</v>
          </cell>
          <cell r="E3003" t="str">
            <v>前後飾框</v>
          </cell>
          <cell r="F3003" t="str">
            <v>198*150*5</v>
          </cell>
          <cell r="G3003">
            <v>198</v>
          </cell>
          <cell r="H3003">
            <v>150</v>
          </cell>
          <cell r="I3003">
            <v>5</v>
          </cell>
          <cell r="J3003">
            <v>0</v>
          </cell>
          <cell r="K3003">
            <v>0</v>
          </cell>
          <cell r="L3003">
            <v>0.31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 t="e">
            <v>#DIV/0!</v>
          </cell>
        </row>
        <row r="3004">
          <cell r="A3004" t="str">
            <v>Y042-002</v>
          </cell>
          <cell r="B3004" t="str">
            <v>LCT035-102</v>
          </cell>
          <cell r="C3004" t="str">
            <v>Y042</v>
          </cell>
          <cell r="D3004" t="str">
            <v>3601945943B</v>
          </cell>
          <cell r="E3004" t="str">
            <v>側飾框</v>
          </cell>
          <cell r="F3004" t="str">
            <v>248*158*5</v>
          </cell>
          <cell r="G3004">
            <v>248</v>
          </cell>
          <cell r="H3004">
            <v>158</v>
          </cell>
          <cell r="I3004">
            <v>5</v>
          </cell>
          <cell r="J3004">
            <v>0</v>
          </cell>
          <cell r="K3004">
            <v>0</v>
          </cell>
          <cell r="L3004">
            <v>0.34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 t="e">
            <v>#DIV/0!</v>
          </cell>
        </row>
        <row r="3005">
          <cell r="A3005" t="str">
            <v>Y042-003</v>
          </cell>
          <cell r="B3005">
            <v>0</v>
          </cell>
          <cell r="C3005" t="str">
            <v>Y042</v>
          </cell>
          <cell r="D3005" t="str">
            <v>#44311-05</v>
          </cell>
          <cell r="E3005">
            <v>0</v>
          </cell>
          <cell r="F3005" t="str">
            <v>43*10*6</v>
          </cell>
          <cell r="G3005">
            <v>43</v>
          </cell>
          <cell r="H3005">
            <v>10</v>
          </cell>
          <cell r="I3005">
            <v>6</v>
          </cell>
          <cell r="J3005">
            <v>5</v>
          </cell>
          <cell r="K3005">
            <v>0</v>
          </cell>
          <cell r="L3005">
            <v>0.02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4</v>
          </cell>
        </row>
        <row r="3006">
          <cell r="A3006" t="str">
            <v>Y042-004</v>
          </cell>
          <cell r="B3006">
            <v>0</v>
          </cell>
          <cell r="C3006" t="str">
            <v>Y042</v>
          </cell>
          <cell r="D3006" t="str">
            <v>#44311-05</v>
          </cell>
          <cell r="E3006">
            <v>0</v>
          </cell>
          <cell r="F3006" t="str">
            <v>119*53*4</v>
          </cell>
          <cell r="G3006">
            <v>119</v>
          </cell>
          <cell r="H3006">
            <v>53</v>
          </cell>
          <cell r="I3006">
            <v>4</v>
          </cell>
          <cell r="J3006">
            <v>50</v>
          </cell>
          <cell r="K3006">
            <v>0</v>
          </cell>
          <cell r="L3006">
            <v>0.2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4</v>
          </cell>
        </row>
        <row r="3007">
          <cell r="A3007" t="str">
            <v>Y042-005</v>
          </cell>
          <cell r="B3007">
            <v>0</v>
          </cell>
          <cell r="C3007" t="str">
            <v>Y042</v>
          </cell>
          <cell r="D3007" t="str">
            <v>#44311-136</v>
          </cell>
          <cell r="E3007">
            <v>0</v>
          </cell>
          <cell r="F3007" t="str">
            <v>465*44*4</v>
          </cell>
          <cell r="G3007">
            <v>465</v>
          </cell>
          <cell r="H3007">
            <v>44</v>
          </cell>
          <cell r="I3007">
            <v>4</v>
          </cell>
          <cell r="J3007">
            <v>110</v>
          </cell>
          <cell r="K3007">
            <v>0</v>
          </cell>
          <cell r="L3007">
            <v>0.39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3.5454545454545454</v>
          </cell>
        </row>
        <row r="3008">
          <cell r="A3008" t="str">
            <v>Y042-006</v>
          </cell>
          <cell r="B3008">
            <v>0</v>
          </cell>
          <cell r="C3008" t="str">
            <v>Y042</v>
          </cell>
          <cell r="D3008" t="str">
            <v>#44315-02</v>
          </cell>
          <cell r="E3008">
            <v>0</v>
          </cell>
          <cell r="F3008" t="str">
            <v>70*70*6</v>
          </cell>
          <cell r="G3008">
            <v>70</v>
          </cell>
          <cell r="H3008">
            <v>70</v>
          </cell>
          <cell r="I3008">
            <v>6</v>
          </cell>
          <cell r="J3008">
            <v>55</v>
          </cell>
          <cell r="K3008">
            <v>0</v>
          </cell>
          <cell r="L3008">
            <v>0.22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4</v>
          </cell>
        </row>
        <row r="3009">
          <cell r="A3009" t="str">
            <v>Y042-007</v>
          </cell>
          <cell r="B3009">
            <v>0</v>
          </cell>
          <cell r="C3009" t="str">
            <v>Y042</v>
          </cell>
          <cell r="D3009" t="str">
            <v>#44311-236</v>
          </cell>
          <cell r="E3009">
            <v>0</v>
          </cell>
          <cell r="F3009" t="str">
            <v>70*70*6</v>
          </cell>
          <cell r="G3009">
            <v>70</v>
          </cell>
          <cell r="H3009">
            <v>70</v>
          </cell>
          <cell r="I3009">
            <v>6</v>
          </cell>
          <cell r="J3009">
            <v>55</v>
          </cell>
          <cell r="K3009">
            <v>0</v>
          </cell>
          <cell r="L3009">
            <v>0.22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4</v>
          </cell>
        </row>
        <row r="3010">
          <cell r="A3010" t="str">
            <v>Y042-008</v>
          </cell>
          <cell r="B3010">
            <v>0</v>
          </cell>
          <cell r="C3010" t="str">
            <v>Y042</v>
          </cell>
          <cell r="D3010" t="str">
            <v>#44311-136</v>
          </cell>
          <cell r="E3010">
            <v>0</v>
          </cell>
          <cell r="F3010" t="str">
            <v>61*54*4</v>
          </cell>
          <cell r="G3010">
            <v>61</v>
          </cell>
          <cell r="H3010">
            <v>54</v>
          </cell>
          <cell r="I3010">
            <v>4</v>
          </cell>
          <cell r="J3010">
            <v>30</v>
          </cell>
          <cell r="K3010">
            <v>0</v>
          </cell>
          <cell r="L3010">
            <v>0.12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4</v>
          </cell>
        </row>
        <row r="3011">
          <cell r="A3011" t="str">
            <v>Y042-009</v>
          </cell>
          <cell r="B3011">
            <v>0</v>
          </cell>
          <cell r="C3011" t="str">
            <v>Y042</v>
          </cell>
          <cell r="D3011" t="str">
            <v>#44311-130</v>
          </cell>
          <cell r="E3011">
            <v>0</v>
          </cell>
          <cell r="F3011" t="str">
            <v>61*54*4</v>
          </cell>
          <cell r="G3011">
            <v>61</v>
          </cell>
          <cell r="H3011">
            <v>54</v>
          </cell>
          <cell r="I3011">
            <v>4</v>
          </cell>
          <cell r="J3011">
            <v>30</v>
          </cell>
          <cell r="K3011">
            <v>0</v>
          </cell>
          <cell r="L3011">
            <v>0.12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4</v>
          </cell>
        </row>
        <row r="3012">
          <cell r="A3012" t="str">
            <v>Y042-010</v>
          </cell>
          <cell r="B3012">
            <v>0</v>
          </cell>
          <cell r="C3012" t="str">
            <v>Y042</v>
          </cell>
          <cell r="D3012" t="str">
            <v xml:space="preserve">#391/443 </v>
          </cell>
          <cell r="E3012" t="str">
            <v>poly 饰条</v>
          </cell>
          <cell r="F3012" t="str">
            <v>1000*14*10</v>
          </cell>
          <cell r="G3012">
            <v>1000</v>
          </cell>
          <cell r="H3012">
            <v>14</v>
          </cell>
          <cell r="I3012">
            <v>10</v>
          </cell>
          <cell r="J3012">
            <v>160</v>
          </cell>
          <cell r="K3012">
            <v>0</v>
          </cell>
          <cell r="L3012">
            <v>0.6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3.75</v>
          </cell>
          <cell r="S3012">
            <v>0</v>
          </cell>
        </row>
        <row r="3013">
          <cell r="A3013" t="str">
            <v>Y042-011</v>
          </cell>
          <cell r="B3013">
            <v>0</v>
          </cell>
          <cell r="C3013" t="str">
            <v>Y042</v>
          </cell>
          <cell r="D3013" t="str">
            <v>Poly-PU0009</v>
          </cell>
          <cell r="E3013" t="str">
            <v>#443-13-03 poly 饰条</v>
          </cell>
          <cell r="F3013" t="str">
            <v>845*25*6</v>
          </cell>
          <cell r="G3013">
            <v>845</v>
          </cell>
          <cell r="H3013">
            <v>25</v>
          </cell>
          <cell r="I3013">
            <v>6</v>
          </cell>
          <cell r="J3013">
            <v>210</v>
          </cell>
          <cell r="K3013">
            <v>0</v>
          </cell>
          <cell r="L3013">
            <v>0.57999999999999996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2.7619047619047619</v>
          </cell>
          <cell r="S3013">
            <v>0</v>
          </cell>
        </row>
        <row r="3014">
          <cell r="A3014" t="str">
            <v>Y042-012</v>
          </cell>
          <cell r="B3014">
            <v>0</v>
          </cell>
          <cell r="C3014" t="str">
            <v>Y042</v>
          </cell>
          <cell r="D3014" t="str">
            <v>Poly-PU0010</v>
          </cell>
          <cell r="E3014" t="str">
            <v>#443-13-03 poly 饰条</v>
          </cell>
          <cell r="F3014" t="str">
            <v>455*25*6</v>
          </cell>
          <cell r="G3014">
            <v>455</v>
          </cell>
          <cell r="H3014">
            <v>25</v>
          </cell>
          <cell r="I3014">
            <v>6</v>
          </cell>
          <cell r="J3014">
            <v>125</v>
          </cell>
          <cell r="K3014">
            <v>0</v>
          </cell>
          <cell r="L3014">
            <v>0.34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2.72</v>
          </cell>
          <cell r="S3014">
            <v>0</v>
          </cell>
        </row>
        <row r="3015">
          <cell r="A3015" t="str">
            <v>Y042-013</v>
          </cell>
          <cell r="B3015">
            <v>0</v>
          </cell>
          <cell r="C3015" t="str">
            <v>Y042</v>
          </cell>
          <cell r="D3015" t="str">
            <v>POLY-PU0011</v>
          </cell>
          <cell r="E3015" t="str">
            <v>#443-15-33 poly 饰条</v>
          </cell>
          <cell r="F3015" t="str">
            <v>845*22*5</v>
          </cell>
          <cell r="G3015">
            <v>845</v>
          </cell>
          <cell r="H3015">
            <v>22</v>
          </cell>
          <cell r="I3015">
            <v>5</v>
          </cell>
          <cell r="J3015">
            <v>0</v>
          </cell>
          <cell r="K3015">
            <v>0</v>
          </cell>
          <cell r="L3015">
            <v>0.4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</row>
        <row r="3016">
          <cell r="A3016" t="str">
            <v>Y042-014</v>
          </cell>
          <cell r="B3016">
            <v>0</v>
          </cell>
          <cell r="C3016" t="str">
            <v>Y042</v>
          </cell>
          <cell r="D3016" t="str">
            <v>POLY-PU0012</v>
          </cell>
          <cell r="E3016" t="str">
            <v>#518-13-80 抽面饰条</v>
          </cell>
          <cell r="F3016" t="str">
            <v>592.5*149.5*5</v>
          </cell>
          <cell r="G3016">
            <v>592.5</v>
          </cell>
          <cell r="H3016">
            <v>149.5</v>
          </cell>
          <cell r="I3016">
            <v>5</v>
          </cell>
          <cell r="J3016">
            <v>0</v>
          </cell>
          <cell r="K3016">
            <v>0</v>
          </cell>
          <cell r="L3016">
            <v>0.88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</row>
        <row r="3017">
          <cell r="A3017" t="str">
            <v>Y042-015</v>
          </cell>
          <cell r="B3017">
            <v>0</v>
          </cell>
          <cell r="C3017" t="str">
            <v>Y042</v>
          </cell>
          <cell r="D3017" t="str">
            <v>POLY-PU0013</v>
          </cell>
          <cell r="E3017" t="str">
            <v>#518-13-80 抽面饰条</v>
          </cell>
          <cell r="F3017" t="str">
            <v>592.5*162*5</v>
          </cell>
          <cell r="G3017">
            <v>592.5</v>
          </cell>
          <cell r="H3017">
            <v>162</v>
          </cell>
          <cell r="I3017">
            <v>5</v>
          </cell>
          <cell r="J3017">
            <v>0</v>
          </cell>
          <cell r="K3017">
            <v>0</v>
          </cell>
          <cell r="L3017">
            <v>0.91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</row>
        <row r="3018">
          <cell r="A3018" t="str">
            <v>Y042-016</v>
          </cell>
          <cell r="B3018">
            <v>0</v>
          </cell>
          <cell r="C3018" t="str">
            <v>Y042</v>
          </cell>
          <cell r="D3018" t="str">
            <v>POLY-PU0015</v>
          </cell>
          <cell r="E3018" t="str">
            <v>#518-15-33 抽面饰条</v>
          </cell>
          <cell r="F3018" t="str">
            <v>389*144.5*5</v>
          </cell>
          <cell r="G3018">
            <v>389</v>
          </cell>
          <cell r="H3018">
            <v>144.5</v>
          </cell>
          <cell r="I3018">
            <v>5</v>
          </cell>
          <cell r="J3018">
            <v>0</v>
          </cell>
          <cell r="K3018">
            <v>0</v>
          </cell>
          <cell r="L3018">
            <v>0.68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</row>
        <row r="3019">
          <cell r="A3019" t="str">
            <v>Y042-017</v>
          </cell>
          <cell r="B3019">
            <v>0</v>
          </cell>
          <cell r="C3019" t="str">
            <v>Y042</v>
          </cell>
          <cell r="D3019" t="str">
            <v>POLY-PU0016</v>
          </cell>
          <cell r="E3019" t="str">
            <v>#518-13-05 抽面饰条</v>
          </cell>
          <cell r="F3019" t="str">
            <v>409.5*183*5</v>
          </cell>
          <cell r="G3019">
            <v>409.5</v>
          </cell>
          <cell r="H3019">
            <v>183</v>
          </cell>
          <cell r="I3019">
            <v>5</v>
          </cell>
          <cell r="J3019">
            <v>0</v>
          </cell>
          <cell r="K3019">
            <v>0</v>
          </cell>
          <cell r="L3019">
            <v>0.71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</row>
        <row r="3020">
          <cell r="A3020" t="str">
            <v>Y042-018</v>
          </cell>
          <cell r="B3020">
            <v>0</v>
          </cell>
          <cell r="C3020" t="str">
            <v>Y042</v>
          </cell>
          <cell r="D3020" t="str">
            <v>POLY-PU0017</v>
          </cell>
          <cell r="E3020" t="str">
            <v>#518-13-05 抽面饰条</v>
          </cell>
          <cell r="F3020" t="str">
            <v>691*183*5</v>
          </cell>
          <cell r="G3020">
            <v>691</v>
          </cell>
          <cell r="H3020">
            <v>183</v>
          </cell>
          <cell r="I3020">
            <v>5</v>
          </cell>
          <cell r="J3020">
            <v>0</v>
          </cell>
          <cell r="K3020">
            <v>0</v>
          </cell>
          <cell r="L3020">
            <v>1.0900000000000001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</row>
        <row r="3021">
          <cell r="A3021" t="str">
            <v>Y042-019</v>
          </cell>
          <cell r="B3021">
            <v>0</v>
          </cell>
          <cell r="C3021" t="str">
            <v>Y042</v>
          </cell>
          <cell r="D3021" t="str">
            <v>POLY-PU0018</v>
          </cell>
          <cell r="E3021" t="str">
            <v>#518-13-05 抽面饰条</v>
          </cell>
          <cell r="F3021" t="str">
            <v>772.5*202.5*5</v>
          </cell>
          <cell r="G3021">
            <v>772.5</v>
          </cell>
          <cell r="H3021">
            <v>202.5</v>
          </cell>
          <cell r="I3021">
            <v>5</v>
          </cell>
          <cell r="J3021">
            <v>0</v>
          </cell>
          <cell r="K3021">
            <v>0</v>
          </cell>
          <cell r="L3021">
            <v>1.21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</row>
        <row r="3022">
          <cell r="A3022" t="str">
            <v>Y042-020</v>
          </cell>
          <cell r="B3022">
            <v>0</v>
          </cell>
          <cell r="C3022" t="str">
            <v>Y042</v>
          </cell>
          <cell r="D3022" t="str">
            <v>POLY-PU0019</v>
          </cell>
          <cell r="E3022" t="str">
            <v>#518-13-05 抽面饰条</v>
          </cell>
          <cell r="F3022" t="str">
            <v>772.5*228*5</v>
          </cell>
          <cell r="G3022">
            <v>772.5</v>
          </cell>
          <cell r="H3022">
            <v>228</v>
          </cell>
          <cell r="I3022">
            <v>5</v>
          </cell>
          <cell r="J3022">
            <v>0</v>
          </cell>
          <cell r="K3022">
            <v>0</v>
          </cell>
          <cell r="L3022">
            <v>1.24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</row>
        <row r="3023">
          <cell r="A3023" t="str">
            <v>Y042-021</v>
          </cell>
          <cell r="B3023">
            <v>0</v>
          </cell>
          <cell r="C3023" t="str">
            <v>Y042</v>
          </cell>
          <cell r="D3023" t="str">
            <v>POLY-PU0020</v>
          </cell>
          <cell r="E3023" t="str">
            <v>#518-13-33 抽面饰条</v>
          </cell>
          <cell r="F3023" t="str">
            <v>812*147.5*5</v>
          </cell>
          <cell r="G3023">
            <v>812</v>
          </cell>
          <cell r="H3023">
            <v>147.5</v>
          </cell>
          <cell r="I3023">
            <v>5</v>
          </cell>
          <cell r="J3023">
            <v>0</v>
          </cell>
          <cell r="K3023">
            <v>0</v>
          </cell>
          <cell r="L3023">
            <v>1.24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</row>
        <row r="3024">
          <cell r="A3024" t="str">
            <v>Y042-022</v>
          </cell>
          <cell r="B3024">
            <v>0</v>
          </cell>
          <cell r="C3024" t="str">
            <v>Y042</v>
          </cell>
          <cell r="D3024" t="str">
            <v>POLY-PU0021</v>
          </cell>
          <cell r="E3024" t="str">
            <v>#518-11-05 抽面饰条</v>
          </cell>
          <cell r="F3024" t="str">
            <v>364*159*5</v>
          </cell>
          <cell r="G3024">
            <v>364</v>
          </cell>
          <cell r="H3024">
            <v>159</v>
          </cell>
          <cell r="I3024">
            <v>5</v>
          </cell>
          <cell r="J3024">
            <v>0</v>
          </cell>
          <cell r="K3024">
            <v>0</v>
          </cell>
          <cell r="L3024">
            <v>0.65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</row>
        <row r="3025">
          <cell r="A3025" t="str">
            <v>Y042-023</v>
          </cell>
          <cell r="B3025">
            <v>0</v>
          </cell>
          <cell r="C3025" t="str">
            <v>Y042</v>
          </cell>
          <cell r="D3025" t="str">
            <v>POLY-PU0022</v>
          </cell>
          <cell r="E3025" t="str">
            <v>#518-11-05 抽面饰条</v>
          </cell>
          <cell r="F3025" t="str">
            <v>889*159*5</v>
          </cell>
          <cell r="G3025">
            <v>889</v>
          </cell>
          <cell r="H3025">
            <v>159</v>
          </cell>
          <cell r="I3025">
            <v>5</v>
          </cell>
          <cell r="J3025">
            <v>0</v>
          </cell>
          <cell r="K3025">
            <v>0</v>
          </cell>
          <cell r="L3025">
            <v>1.32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</row>
        <row r="3026">
          <cell r="A3026" t="str">
            <v>Y042-024</v>
          </cell>
          <cell r="B3026">
            <v>0</v>
          </cell>
          <cell r="C3026" t="str">
            <v>Y042</v>
          </cell>
          <cell r="D3026" t="str">
            <v>POLY-PU0023</v>
          </cell>
          <cell r="E3026" t="str">
            <v>#518-11-05 抽面饰条</v>
          </cell>
          <cell r="F3026" t="str">
            <v>593.5*182*5</v>
          </cell>
          <cell r="G3026">
            <v>593.5</v>
          </cell>
          <cell r="H3026">
            <v>182</v>
          </cell>
          <cell r="I3026">
            <v>5</v>
          </cell>
          <cell r="J3026">
            <v>0</v>
          </cell>
          <cell r="K3026">
            <v>0</v>
          </cell>
          <cell r="L3026">
            <v>0.98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</row>
        <row r="3027">
          <cell r="A3027" t="str">
            <v>Y042-025</v>
          </cell>
          <cell r="B3027">
            <v>0</v>
          </cell>
          <cell r="C3027" t="str">
            <v>Y042</v>
          </cell>
          <cell r="D3027" t="str">
            <v>POLY-PU0024</v>
          </cell>
          <cell r="E3027" t="str">
            <v>#518-15-10 抽面饰条</v>
          </cell>
          <cell r="F3027" t="str">
            <v>569.5*90*5</v>
          </cell>
          <cell r="G3027">
            <v>569.5</v>
          </cell>
          <cell r="H3027">
            <v>90</v>
          </cell>
          <cell r="I3027">
            <v>5</v>
          </cell>
          <cell r="J3027">
            <v>0</v>
          </cell>
          <cell r="K3027">
            <v>0</v>
          </cell>
          <cell r="L3027">
            <v>0.64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</row>
        <row r="3028">
          <cell r="A3028" t="str">
            <v>Y042-026</v>
          </cell>
          <cell r="B3028">
            <v>0</v>
          </cell>
          <cell r="C3028" t="str">
            <v>Y042</v>
          </cell>
          <cell r="D3028" t="str">
            <v>POLY-PU0026</v>
          </cell>
          <cell r="E3028" t="str">
            <v>#518-15-18 抽面饰条</v>
          </cell>
          <cell r="F3028" t="str">
            <v>954*273*5</v>
          </cell>
          <cell r="G3028">
            <v>954</v>
          </cell>
          <cell r="H3028">
            <v>273</v>
          </cell>
          <cell r="I3028">
            <v>5</v>
          </cell>
          <cell r="J3028">
            <v>0</v>
          </cell>
          <cell r="K3028">
            <v>0</v>
          </cell>
          <cell r="L3028">
            <v>2.2000000000000002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</row>
        <row r="3029">
          <cell r="A3029" t="str">
            <v>Y042-027</v>
          </cell>
          <cell r="B3029">
            <v>0</v>
          </cell>
          <cell r="C3029" t="str">
            <v>Y042</v>
          </cell>
          <cell r="D3029" t="str">
            <v>POLY-PU0027</v>
          </cell>
          <cell r="E3029" t="str">
            <v>#518-15-05 抽面饰条</v>
          </cell>
          <cell r="F3029" t="str">
            <v>379.5*109*5</v>
          </cell>
          <cell r="G3029">
            <v>379.5</v>
          </cell>
          <cell r="H3029">
            <v>109</v>
          </cell>
          <cell r="I3029">
            <v>5</v>
          </cell>
          <cell r="J3029">
            <v>0</v>
          </cell>
          <cell r="K3029">
            <v>0</v>
          </cell>
          <cell r="L3029">
            <v>0.49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</row>
        <row r="3030">
          <cell r="A3030" t="str">
            <v>Y042-028</v>
          </cell>
          <cell r="B3030">
            <v>0</v>
          </cell>
          <cell r="C3030" t="str">
            <v>Y042</v>
          </cell>
          <cell r="D3030" t="str">
            <v>POLY-PU0028</v>
          </cell>
          <cell r="E3030" t="str">
            <v>#518-15-03 抽面饰条</v>
          </cell>
          <cell r="F3030" t="str">
            <v>776.5*492*5</v>
          </cell>
          <cell r="G3030">
            <v>776.5</v>
          </cell>
          <cell r="H3030">
            <v>492</v>
          </cell>
          <cell r="I3030">
            <v>5</v>
          </cell>
          <cell r="J3030">
            <v>0</v>
          </cell>
          <cell r="K3030">
            <v>0</v>
          </cell>
          <cell r="L3030">
            <v>1.77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</row>
        <row r="3031">
          <cell r="A3031" t="str">
            <v>Y042-029</v>
          </cell>
          <cell r="B3031">
            <v>0</v>
          </cell>
          <cell r="C3031" t="str">
            <v>Y042</v>
          </cell>
          <cell r="D3031" t="str">
            <v>POLY-PU0029</v>
          </cell>
          <cell r="E3031" t="str">
            <v>#518-15-03 抽面饰条</v>
          </cell>
          <cell r="F3031" t="str">
            <v>398.5*133.5*5</v>
          </cell>
          <cell r="G3031">
            <v>398.5</v>
          </cell>
          <cell r="H3031">
            <v>133.5</v>
          </cell>
          <cell r="I3031">
            <v>5</v>
          </cell>
          <cell r="J3031">
            <v>0</v>
          </cell>
          <cell r="K3031">
            <v>0</v>
          </cell>
          <cell r="L3031">
            <v>0.65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</row>
        <row r="3032">
          <cell r="A3032" t="str">
            <v>Y042-030</v>
          </cell>
          <cell r="B3032">
            <v>0</v>
          </cell>
          <cell r="C3032" t="str">
            <v>Y042</v>
          </cell>
          <cell r="D3032" t="str">
            <v>POLY-PU0030</v>
          </cell>
          <cell r="E3032" t="str">
            <v>#518-15-10 抽面饰条</v>
          </cell>
          <cell r="F3032" t="str">
            <v>976.5*226*5</v>
          </cell>
          <cell r="G3032">
            <v>976.5</v>
          </cell>
          <cell r="H3032">
            <v>226</v>
          </cell>
          <cell r="I3032">
            <v>5</v>
          </cell>
          <cell r="J3032">
            <v>0</v>
          </cell>
          <cell r="K3032">
            <v>0</v>
          </cell>
          <cell r="L3032">
            <v>1.58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</row>
        <row r="3033">
          <cell r="A3033" t="str">
            <v>Y042-031</v>
          </cell>
          <cell r="B3033">
            <v>0</v>
          </cell>
          <cell r="C3033" t="str">
            <v>Y042</v>
          </cell>
          <cell r="D3033" t="str">
            <v>POLY-PU0031</v>
          </cell>
          <cell r="E3033" t="str">
            <v>#518-13-10 抽面饰条</v>
          </cell>
          <cell r="F3033" t="str">
            <v>976.5*252*5</v>
          </cell>
          <cell r="G3033">
            <v>976.5</v>
          </cell>
          <cell r="H3033">
            <v>252</v>
          </cell>
          <cell r="I3033">
            <v>5</v>
          </cell>
          <cell r="J3033">
            <v>0</v>
          </cell>
          <cell r="K3033">
            <v>0</v>
          </cell>
          <cell r="L3033">
            <v>1.6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</row>
        <row r="3034">
          <cell r="A3034" t="str">
            <v>Y042-032</v>
          </cell>
          <cell r="B3034">
            <v>0</v>
          </cell>
          <cell r="C3034" t="str">
            <v>Y042</v>
          </cell>
          <cell r="D3034" t="str">
            <v>POLY-PU0032</v>
          </cell>
          <cell r="E3034" t="str">
            <v>#518-13-11 抽面饰条</v>
          </cell>
          <cell r="F3034" t="str">
            <v>530*166*5</v>
          </cell>
          <cell r="G3034">
            <v>530</v>
          </cell>
          <cell r="H3034">
            <v>166</v>
          </cell>
          <cell r="I3034">
            <v>5</v>
          </cell>
          <cell r="J3034">
            <v>0</v>
          </cell>
          <cell r="K3034">
            <v>0</v>
          </cell>
          <cell r="L3034">
            <v>0.91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</row>
        <row r="3035">
          <cell r="A3035" t="str">
            <v>Y042-033</v>
          </cell>
          <cell r="B3035">
            <v>0</v>
          </cell>
          <cell r="C3035" t="str">
            <v>Y042</v>
          </cell>
          <cell r="D3035" t="str">
            <v>POLY-PU0033</v>
          </cell>
          <cell r="E3035" t="str">
            <v>#518-13-11 抽面饰条</v>
          </cell>
          <cell r="F3035" t="str">
            <v>530*193.5*5</v>
          </cell>
          <cell r="G3035">
            <v>530</v>
          </cell>
          <cell r="H3035">
            <v>193.5</v>
          </cell>
          <cell r="I3035">
            <v>5</v>
          </cell>
          <cell r="J3035">
            <v>0</v>
          </cell>
          <cell r="K3035">
            <v>0</v>
          </cell>
          <cell r="L3035">
            <v>0.98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</row>
        <row r="3036">
          <cell r="A3036" t="str">
            <v>Y042-034</v>
          </cell>
          <cell r="B3036">
            <v>0</v>
          </cell>
          <cell r="C3036" t="str">
            <v>Y042</v>
          </cell>
          <cell r="D3036" t="str">
            <v>POLY-PU0034</v>
          </cell>
          <cell r="E3036" t="str">
            <v>#518-13-11 抽面饰条</v>
          </cell>
          <cell r="F3036" t="str">
            <v>1095.5*219.5*5</v>
          </cell>
          <cell r="G3036">
            <v>1095.5</v>
          </cell>
          <cell r="H3036">
            <v>219.5</v>
          </cell>
          <cell r="I3036">
            <v>5</v>
          </cell>
          <cell r="J3036">
            <v>0</v>
          </cell>
          <cell r="K3036">
            <v>0</v>
          </cell>
          <cell r="L3036">
            <v>1.69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</row>
        <row r="3037">
          <cell r="A3037" t="str">
            <v>Y042-035</v>
          </cell>
          <cell r="B3037">
            <v>0</v>
          </cell>
          <cell r="C3037" t="str">
            <v>Y042</v>
          </cell>
          <cell r="D3037" t="str">
            <v>POLY-PU0035</v>
          </cell>
          <cell r="E3037" t="str">
            <v>#518-13-16 抽面饰条</v>
          </cell>
          <cell r="F3037" t="str">
            <v>362.5*166*5</v>
          </cell>
          <cell r="G3037">
            <v>362.5</v>
          </cell>
          <cell r="H3037">
            <v>166</v>
          </cell>
          <cell r="I3037">
            <v>5</v>
          </cell>
          <cell r="J3037">
            <v>0</v>
          </cell>
          <cell r="K3037">
            <v>0</v>
          </cell>
          <cell r="L3037">
            <v>0.64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</row>
        <row r="3038">
          <cell r="A3038" t="str">
            <v>Y042-036</v>
          </cell>
          <cell r="B3038">
            <v>0</v>
          </cell>
          <cell r="C3038" t="str">
            <v>Y042</v>
          </cell>
          <cell r="D3038" t="str">
            <v>POLY-PU0037</v>
          </cell>
          <cell r="E3038" t="str">
            <v>#518-13-16 抽面饰条</v>
          </cell>
          <cell r="F3038" t="str">
            <v>759*179*5</v>
          </cell>
          <cell r="G3038">
            <v>759</v>
          </cell>
          <cell r="H3038">
            <v>179</v>
          </cell>
          <cell r="I3038">
            <v>5</v>
          </cell>
          <cell r="J3038">
            <v>0</v>
          </cell>
          <cell r="K3038">
            <v>0</v>
          </cell>
          <cell r="L3038">
            <v>1.22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</row>
        <row r="3039">
          <cell r="A3039" t="str">
            <v>Y042-037</v>
          </cell>
          <cell r="B3039">
            <v>0</v>
          </cell>
          <cell r="C3039" t="str">
            <v>Y042</v>
          </cell>
          <cell r="D3039" t="str">
            <v>POLY-PU0038</v>
          </cell>
          <cell r="E3039" t="str">
            <v>#518-13-81 抽面饰条</v>
          </cell>
          <cell r="F3039" t="str">
            <v>517*.5*90*5</v>
          </cell>
          <cell r="G3039">
            <v>517.5</v>
          </cell>
          <cell r="H3039">
            <v>90</v>
          </cell>
          <cell r="I3039">
            <v>5</v>
          </cell>
          <cell r="J3039">
            <v>0</v>
          </cell>
          <cell r="K3039">
            <v>0</v>
          </cell>
          <cell r="L3039">
            <v>0.57999999999999996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</row>
        <row r="3040">
          <cell r="A3040" t="str">
            <v>Y042-038</v>
          </cell>
          <cell r="B3040">
            <v>0</v>
          </cell>
          <cell r="C3040" t="str">
            <v>Y042</v>
          </cell>
          <cell r="D3040" t="str">
            <v>POLY-PU0039</v>
          </cell>
          <cell r="E3040" t="str">
            <v>#518-11-05 抽面饰条</v>
          </cell>
          <cell r="F3040" t="str">
            <v>528*386*5</v>
          </cell>
          <cell r="G3040">
            <v>528</v>
          </cell>
          <cell r="H3040">
            <v>386</v>
          </cell>
          <cell r="I3040">
            <v>5</v>
          </cell>
          <cell r="J3040">
            <v>0</v>
          </cell>
          <cell r="K3040">
            <v>0</v>
          </cell>
          <cell r="L3040">
            <v>1.7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</row>
        <row r="3041">
          <cell r="A3041" t="str">
            <v>Y042-039</v>
          </cell>
          <cell r="B3041">
            <v>0</v>
          </cell>
          <cell r="C3041" t="str">
            <v>Y042</v>
          </cell>
          <cell r="D3041" t="str">
            <v>POLY-PU0040</v>
          </cell>
          <cell r="E3041" t="str">
            <v>#518-15-03 抽面饰条</v>
          </cell>
          <cell r="F3041" t="str">
            <v>398.5*144.5*5</v>
          </cell>
          <cell r="G3041">
            <v>398.5</v>
          </cell>
          <cell r="H3041">
            <v>144.5</v>
          </cell>
          <cell r="I3041">
            <v>5</v>
          </cell>
          <cell r="J3041">
            <v>0</v>
          </cell>
          <cell r="K3041">
            <v>0</v>
          </cell>
          <cell r="L3041">
            <v>0.66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</row>
        <row r="3042">
          <cell r="A3042" t="str">
            <v>Y042-040</v>
          </cell>
          <cell r="B3042">
            <v>0</v>
          </cell>
          <cell r="C3042" t="str">
            <v>Y042</v>
          </cell>
          <cell r="D3042" t="str">
            <v>POLY-PU0042</v>
          </cell>
          <cell r="E3042" t="str">
            <v>#518-15-03 抽面饰条</v>
          </cell>
          <cell r="F3042" t="str">
            <v>492*366*5</v>
          </cell>
          <cell r="G3042">
            <v>492</v>
          </cell>
          <cell r="H3042">
            <v>366</v>
          </cell>
          <cell r="I3042">
            <v>5</v>
          </cell>
          <cell r="J3042">
            <v>0</v>
          </cell>
          <cell r="K3042">
            <v>0</v>
          </cell>
          <cell r="L3042">
            <v>1.1499999999999999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</row>
        <row r="3043">
          <cell r="A3043" t="str">
            <v>Y042-041</v>
          </cell>
          <cell r="B3043">
            <v>0</v>
          </cell>
          <cell r="C3043" t="str">
            <v>Y042</v>
          </cell>
          <cell r="D3043" t="str">
            <v>POLY-PU0043</v>
          </cell>
          <cell r="E3043" t="str">
            <v>#518-15-05 抽面饰条</v>
          </cell>
          <cell r="F3043" t="str">
            <v>263.5-109*5</v>
          </cell>
          <cell r="G3043">
            <v>263.5</v>
          </cell>
          <cell r="H3043">
            <v>109</v>
          </cell>
          <cell r="I3043">
            <v>5</v>
          </cell>
          <cell r="J3043">
            <v>0</v>
          </cell>
          <cell r="K3043">
            <v>0</v>
          </cell>
          <cell r="L3043">
            <v>0.34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</row>
        <row r="3044">
          <cell r="A3044" t="str">
            <v>Y042-042</v>
          </cell>
          <cell r="B3044">
            <v>0</v>
          </cell>
          <cell r="C3044" t="str">
            <v>Y042</v>
          </cell>
          <cell r="D3044" t="str">
            <v>POLY-PU0044</v>
          </cell>
          <cell r="E3044" t="str">
            <v>#518-15-05 抽面饰条</v>
          </cell>
          <cell r="F3044" t="str">
            <v>753*109*5</v>
          </cell>
          <cell r="G3044">
            <v>753</v>
          </cell>
          <cell r="H3044">
            <v>109</v>
          </cell>
          <cell r="I3044">
            <v>5</v>
          </cell>
          <cell r="J3044">
            <v>0</v>
          </cell>
          <cell r="K3044">
            <v>0</v>
          </cell>
          <cell r="L3044">
            <v>0.86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</row>
        <row r="3045">
          <cell r="A3045" t="str">
            <v>Y042-043</v>
          </cell>
          <cell r="B3045">
            <v>0</v>
          </cell>
          <cell r="C3045" t="str">
            <v>Y042</v>
          </cell>
          <cell r="D3045" t="str">
            <v>POLY-PU0045</v>
          </cell>
          <cell r="E3045" t="str">
            <v>#518-15-05 抽面饰条</v>
          </cell>
          <cell r="F3045" t="str">
            <v>749*106*5</v>
          </cell>
          <cell r="G3045">
            <v>749</v>
          </cell>
          <cell r="H3045">
            <v>106</v>
          </cell>
          <cell r="I3045">
            <v>5</v>
          </cell>
          <cell r="J3045">
            <v>0</v>
          </cell>
          <cell r="K3045">
            <v>0</v>
          </cell>
          <cell r="L3045">
            <v>0.83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</row>
        <row r="3046">
          <cell r="A3046" t="str">
            <v>Y042-044</v>
          </cell>
          <cell r="B3046" t="str">
            <v>取消.改181*11*7</v>
          </cell>
          <cell r="C3046" t="str">
            <v>Y042</v>
          </cell>
          <cell r="D3046" t="str">
            <v>POLY-PU0046</v>
          </cell>
          <cell r="E3046" t="str">
            <v>#518-15-18 抽面饰条</v>
          </cell>
          <cell r="F3046" t="str">
            <v>640*11*8</v>
          </cell>
          <cell r="G3046">
            <v>640</v>
          </cell>
          <cell r="H3046">
            <v>11</v>
          </cell>
          <cell r="I3046">
            <v>8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</row>
        <row r="3047">
          <cell r="A3047" t="str">
            <v>Y042-045</v>
          </cell>
          <cell r="B3047">
            <v>0</v>
          </cell>
          <cell r="C3047" t="str">
            <v>Y042</v>
          </cell>
          <cell r="D3047" t="str">
            <v>POLY-PU0047</v>
          </cell>
          <cell r="E3047" t="str">
            <v>#518-13-447 大床道左右饰条</v>
          </cell>
          <cell r="F3047" t="str">
            <v>276*91*5</v>
          </cell>
          <cell r="G3047">
            <v>276</v>
          </cell>
          <cell r="H3047">
            <v>91</v>
          </cell>
          <cell r="I3047">
            <v>5</v>
          </cell>
          <cell r="J3047">
            <v>0</v>
          </cell>
          <cell r="K3047">
            <v>0</v>
          </cell>
          <cell r="L3047">
            <v>0.26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</row>
        <row r="3048">
          <cell r="A3048" t="str">
            <v>Y042-046</v>
          </cell>
          <cell r="B3048">
            <v>0</v>
          </cell>
          <cell r="C3048" t="str">
            <v>Y042</v>
          </cell>
          <cell r="D3048" t="str">
            <v>POLY-PU0048</v>
          </cell>
          <cell r="E3048" t="str">
            <v>#518-13-447 大床道上下饰条</v>
          </cell>
          <cell r="F3048" t="str">
            <v>1890*25*5</v>
          </cell>
          <cell r="G3048">
            <v>1890</v>
          </cell>
          <cell r="H3048">
            <v>25</v>
          </cell>
          <cell r="I3048">
            <v>5</v>
          </cell>
          <cell r="J3048">
            <v>0</v>
          </cell>
          <cell r="K3048">
            <v>0</v>
          </cell>
          <cell r="L3048">
            <v>1.1499999999999999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</row>
        <row r="3049">
          <cell r="A3049" t="str">
            <v>Y042-047</v>
          </cell>
          <cell r="B3049">
            <v>0</v>
          </cell>
          <cell r="C3049" t="str">
            <v>Y042</v>
          </cell>
          <cell r="D3049" t="str">
            <v>POLY-PU0049</v>
          </cell>
          <cell r="E3049" t="str">
            <v>#518-13-442小床尾上下饰条</v>
          </cell>
          <cell r="F3049" t="str">
            <v>1363*25*5</v>
          </cell>
          <cell r="G3049">
            <v>1363</v>
          </cell>
          <cell r="H3049">
            <v>25</v>
          </cell>
          <cell r="I3049">
            <v>5</v>
          </cell>
          <cell r="J3049">
            <v>0</v>
          </cell>
          <cell r="K3049">
            <v>0</v>
          </cell>
          <cell r="L3049">
            <v>0.85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</row>
        <row r="3050">
          <cell r="A3050" t="str">
            <v>Y042-048</v>
          </cell>
          <cell r="B3050">
            <v>0</v>
          </cell>
          <cell r="C3050" t="str">
            <v>Y042</v>
          </cell>
          <cell r="D3050" t="str">
            <v>POLY-PU0050</v>
          </cell>
          <cell r="E3050" t="str">
            <v>#518-13-442 小床尾左右饰条</v>
          </cell>
          <cell r="F3050" t="str">
            <v>319*91*5</v>
          </cell>
          <cell r="G3050">
            <v>319</v>
          </cell>
          <cell r="H3050">
            <v>91</v>
          </cell>
          <cell r="I3050">
            <v>5</v>
          </cell>
          <cell r="J3050">
            <v>0</v>
          </cell>
          <cell r="K3050">
            <v>0</v>
          </cell>
          <cell r="L3050">
            <v>0.31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</row>
        <row r="3051">
          <cell r="A3051" t="str">
            <v>Y042-049</v>
          </cell>
          <cell r="B3051">
            <v>0</v>
          </cell>
          <cell r="C3051" t="str">
            <v>Y042</v>
          </cell>
          <cell r="D3051" t="str">
            <v>POLY-PU0051</v>
          </cell>
          <cell r="E3051" t="str">
            <v>#518-13-447 大床尾左右饰条</v>
          </cell>
          <cell r="F3051" t="str">
            <v>319*91*5</v>
          </cell>
          <cell r="G3051">
            <v>319</v>
          </cell>
          <cell r="H3051">
            <v>91</v>
          </cell>
          <cell r="I3051">
            <v>5</v>
          </cell>
          <cell r="J3051">
            <v>0</v>
          </cell>
          <cell r="K3051">
            <v>0</v>
          </cell>
          <cell r="L3051">
            <v>0.31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</row>
        <row r="3052">
          <cell r="A3052" t="str">
            <v>Y042-050</v>
          </cell>
          <cell r="B3052">
            <v>0</v>
          </cell>
          <cell r="C3052" t="str">
            <v>Y042</v>
          </cell>
          <cell r="D3052" t="str">
            <v>POLY-PU0052</v>
          </cell>
          <cell r="E3052" t="str">
            <v>#518-13-442 小床尾左右饰条</v>
          </cell>
          <cell r="F3052" t="str">
            <v>1775*25*5</v>
          </cell>
          <cell r="G3052">
            <v>1775</v>
          </cell>
          <cell r="H3052">
            <v>25</v>
          </cell>
          <cell r="I3052">
            <v>5</v>
          </cell>
          <cell r="J3052">
            <v>0</v>
          </cell>
          <cell r="K3052">
            <v>0</v>
          </cell>
          <cell r="L3052">
            <v>1.06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</row>
        <row r="3053">
          <cell r="A3053" t="str">
            <v>Y042-051</v>
          </cell>
          <cell r="B3053">
            <v>0</v>
          </cell>
          <cell r="C3053" t="str">
            <v>Y042</v>
          </cell>
          <cell r="D3053" t="str">
            <v>POLY-PU0053</v>
          </cell>
          <cell r="E3053" t="str">
            <v>#518-13-442 小床道左右饰条</v>
          </cell>
          <cell r="F3053" t="str">
            <v>276*91*5</v>
          </cell>
          <cell r="G3053">
            <v>276</v>
          </cell>
          <cell r="H3053">
            <v>91</v>
          </cell>
          <cell r="I3053">
            <v>5</v>
          </cell>
          <cell r="J3053">
            <v>0</v>
          </cell>
          <cell r="K3053">
            <v>0</v>
          </cell>
          <cell r="L3053">
            <v>0.26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</row>
        <row r="3054">
          <cell r="A3054" t="str">
            <v>Y042-052</v>
          </cell>
          <cell r="B3054">
            <v>0</v>
          </cell>
          <cell r="C3054" t="str">
            <v>Y042</v>
          </cell>
          <cell r="D3054" t="str">
            <v>POLY-PU0054</v>
          </cell>
          <cell r="E3054" t="str">
            <v>#518-13-447 大床道左右饰条</v>
          </cell>
          <cell r="F3054" t="str">
            <v>1890*25*5</v>
          </cell>
          <cell r="G3054">
            <v>1890</v>
          </cell>
          <cell r="H3054">
            <v>25</v>
          </cell>
          <cell r="I3054">
            <v>5</v>
          </cell>
          <cell r="J3054">
            <v>0</v>
          </cell>
          <cell r="K3054">
            <v>0</v>
          </cell>
          <cell r="L3054">
            <v>1.1499999999999999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</row>
        <row r="3055">
          <cell r="A3055" t="str">
            <v>Y042-053</v>
          </cell>
          <cell r="B3055">
            <v>0</v>
          </cell>
          <cell r="C3055" t="str">
            <v>Y042</v>
          </cell>
          <cell r="D3055" t="str">
            <v>POLY-PU0055</v>
          </cell>
          <cell r="E3055" t="str">
            <v>#518-13-10 抽面饰条</v>
          </cell>
          <cell r="F3055" t="str">
            <v>471*185*5</v>
          </cell>
          <cell r="G3055">
            <v>471</v>
          </cell>
          <cell r="H3055">
            <v>185</v>
          </cell>
          <cell r="I3055">
            <v>5</v>
          </cell>
          <cell r="J3055">
            <v>0</v>
          </cell>
          <cell r="K3055">
            <v>0</v>
          </cell>
          <cell r="L3055">
            <v>0.74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</row>
        <row r="3056">
          <cell r="A3056" t="str">
            <v>Y042-054</v>
          </cell>
          <cell r="B3056">
            <v>0</v>
          </cell>
          <cell r="C3056" t="str">
            <v>Y042</v>
          </cell>
          <cell r="D3056" t="str">
            <v>POLY-PU0056</v>
          </cell>
          <cell r="E3056" t="str">
            <v>#518-15-03 后板饰条</v>
          </cell>
          <cell r="F3056" t="str">
            <v>771.5*492*5</v>
          </cell>
          <cell r="G3056">
            <v>771.5</v>
          </cell>
          <cell r="H3056">
            <v>492</v>
          </cell>
          <cell r="I3056">
            <v>5</v>
          </cell>
          <cell r="J3056">
            <v>0</v>
          </cell>
          <cell r="K3056">
            <v>0</v>
          </cell>
          <cell r="L3056">
            <v>1.73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</row>
        <row r="3057">
          <cell r="A3057" t="str">
            <v>Y042-055</v>
          </cell>
          <cell r="B3057">
            <v>0</v>
          </cell>
          <cell r="C3057" t="str">
            <v>Y042</v>
          </cell>
          <cell r="D3057" t="str">
            <v>POLY-PU0036</v>
          </cell>
          <cell r="E3057" t="str">
            <v>#518-15-18 poly  抽面饰条</v>
          </cell>
          <cell r="F3057" t="str">
            <v>181*11*7</v>
          </cell>
          <cell r="G3057">
            <v>181</v>
          </cell>
          <cell r="H3057">
            <v>11</v>
          </cell>
          <cell r="I3057">
            <v>7</v>
          </cell>
          <cell r="J3057">
            <v>0</v>
          </cell>
          <cell r="K3057">
            <v>0</v>
          </cell>
          <cell r="L3057">
            <v>6.5000000000000002E-2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</row>
        <row r="3058">
          <cell r="A3058" t="str">
            <v>Y042-056</v>
          </cell>
          <cell r="B3058">
            <v>0</v>
          </cell>
          <cell r="C3058" t="str">
            <v>Y042</v>
          </cell>
          <cell r="D3058" t="str">
            <v>POLY-PU0046</v>
          </cell>
          <cell r="E3058" t="str">
            <v>#518-13-543 poly  抽面饰条</v>
          </cell>
          <cell r="F3058" t="str">
            <v>716.5*225*5</v>
          </cell>
          <cell r="G3058">
            <v>716.5</v>
          </cell>
          <cell r="H3058">
            <v>225</v>
          </cell>
          <cell r="I3058">
            <v>5</v>
          </cell>
          <cell r="J3058">
            <v>415</v>
          </cell>
          <cell r="K3058">
            <v>0</v>
          </cell>
          <cell r="L3058">
            <v>1.1499999999999999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</row>
        <row r="3059">
          <cell r="A3059" t="str">
            <v>Y042-057</v>
          </cell>
          <cell r="B3059">
            <v>0</v>
          </cell>
          <cell r="C3059" t="str">
            <v>Y042</v>
          </cell>
          <cell r="D3059" t="str">
            <v>POLY-PU0076</v>
          </cell>
          <cell r="E3059" t="str">
            <v>#518-13-549 poly  抽面饰条</v>
          </cell>
          <cell r="F3059" t="str">
            <v>923*225*5</v>
          </cell>
          <cell r="G3059">
            <v>923</v>
          </cell>
          <cell r="H3059">
            <v>225</v>
          </cell>
          <cell r="I3059">
            <v>5</v>
          </cell>
          <cell r="J3059">
            <v>540</v>
          </cell>
          <cell r="K3059">
            <v>0</v>
          </cell>
          <cell r="L3059">
            <v>1.5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</row>
        <row r="3060">
          <cell r="A3060" t="str">
            <v>Y042-057</v>
          </cell>
          <cell r="B3060">
            <v>0</v>
          </cell>
          <cell r="C3060" t="str">
            <v>Y042</v>
          </cell>
          <cell r="D3060" t="str">
            <v>POLY-PU0076</v>
          </cell>
          <cell r="E3060" t="str">
            <v>#518-13-549 poly  抽面饰条</v>
          </cell>
          <cell r="F3060" t="str">
            <v>923*225*5</v>
          </cell>
          <cell r="G3060">
            <v>923</v>
          </cell>
          <cell r="H3060">
            <v>225</v>
          </cell>
          <cell r="I3060">
            <v>5</v>
          </cell>
          <cell r="J3060">
            <v>540</v>
          </cell>
          <cell r="K3060">
            <v>0</v>
          </cell>
          <cell r="L3060">
            <v>1.5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</row>
        <row r="3061">
          <cell r="A3061" t="str">
            <v>Y042-058</v>
          </cell>
          <cell r="B3061">
            <v>0</v>
          </cell>
          <cell r="C3061" t="str">
            <v>Y042</v>
          </cell>
          <cell r="D3061" t="str">
            <v>POLY-PU0077</v>
          </cell>
          <cell r="E3061" t="str">
            <v>#391/443 poly 饰条</v>
          </cell>
          <cell r="F3061" t="str">
            <v>1500*51*10</v>
          </cell>
          <cell r="G3061">
            <v>1500</v>
          </cell>
          <cell r="H3061">
            <v>51</v>
          </cell>
          <cell r="I3061">
            <v>10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</row>
        <row r="3062">
          <cell r="A3062" t="str">
            <v>Y042-059</v>
          </cell>
          <cell r="B3062">
            <v>0</v>
          </cell>
          <cell r="C3062" t="str">
            <v>Y042</v>
          </cell>
          <cell r="D3062" t="str">
            <v>POLY-PU0078</v>
          </cell>
          <cell r="E3062" t="str">
            <v>Poly 451 企柱飾條</v>
          </cell>
          <cell r="F3062" t="str">
            <v>54*32*6</v>
          </cell>
          <cell r="G3062">
            <v>54</v>
          </cell>
          <cell r="H3062">
            <v>32</v>
          </cell>
          <cell r="I3062">
            <v>6</v>
          </cell>
          <cell r="J3062">
            <v>0</v>
          </cell>
          <cell r="K3062">
            <v>0</v>
          </cell>
          <cell r="L3062">
            <v>0.1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</row>
        <row r="3063">
          <cell r="A3063" t="str">
            <v>Y042-060</v>
          </cell>
          <cell r="B3063" t="str">
            <v>Y025</v>
          </cell>
          <cell r="C3063" t="str">
            <v>Y042</v>
          </cell>
          <cell r="D3063" t="str">
            <v>52721060/70</v>
          </cell>
          <cell r="E3063" t="str">
            <v>椅背</v>
          </cell>
          <cell r="F3063" t="str">
            <v>394*464*12</v>
          </cell>
          <cell r="G3063">
            <v>394</v>
          </cell>
          <cell r="H3063">
            <v>464</v>
          </cell>
          <cell r="I3063">
            <v>12</v>
          </cell>
          <cell r="J3063">
            <v>1776</v>
          </cell>
          <cell r="K3063">
            <v>0</v>
          </cell>
          <cell r="L3063">
            <v>5.3</v>
          </cell>
          <cell r="M3063">
            <v>0</v>
          </cell>
          <cell r="N3063" t="str">
            <v>SAT147</v>
          </cell>
          <cell r="O3063">
            <v>0</v>
          </cell>
          <cell r="P3063">
            <v>0</v>
          </cell>
          <cell r="Q3063" t="str">
            <v>3710</v>
          </cell>
          <cell r="R3063">
            <v>0</v>
          </cell>
          <cell r="S3063">
            <v>0</v>
          </cell>
          <cell r="T3063">
            <v>0</v>
          </cell>
        </row>
        <row r="3064">
          <cell r="A3064" t="str">
            <v>Y042-061</v>
          </cell>
          <cell r="B3064">
            <v>0</v>
          </cell>
          <cell r="C3064" t="str">
            <v>Y042</v>
          </cell>
          <cell r="D3064" t="str">
            <v>POLY-PU0086</v>
          </cell>
          <cell r="E3064" t="str">
            <v>POLY 451-X1-05中抽面板</v>
          </cell>
          <cell r="F3064" t="str">
            <v>700*148*8</v>
          </cell>
          <cell r="G3064">
            <v>700</v>
          </cell>
          <cell r="H3064">
            <v>148</v>
          </cell>
          <cell r="I3064">
            <v>8</v>
          </cell>
          <cell r="J3064">
            <v>0</v>
          </cell>
          <cell r="K3064">
            <v>0</v>
          </cell>
          <cell r="L3064">
            <v>3.2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</row>
        <row r="3065">
          <cell r="A3065" t="str">
            <v>Y042-062</v>
          </cell>
          <cell r="B3065">
            <v>0</v>
          </cell>
          <cell r="C3065" t="str">
            <v>Y042</v>
          </cell>
          <cell r="D3065" t="str">
            <v>POLY-PU0087</v>
          </cell>
          <cell r="E3065" t="str">
            <v>POLY 451-X1-05左右抽面板</v>
          </cell>
          <cell r="F3065" t="str">
            <v>410*148*8</v>
          </cell>
          <cell r="G3065">
            <v>410</v>
          </cell>
          <cell r="H3065">
            <v>148</v>
          </cell>
          <cell r="I3065">
            <v>8</v>
          </cell>
          <cell r="J3065">
            <v>0</v>
          </cell>
          <cell r="K3065">
            <v>0</v>
          </cell>
          <cell r="L3065">
            <v>1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</row>
        <row r="3066">
          <cell r="A3066" t="str">
            <v>Y042-063</v>
          </cell>
          <cell r="B3066">
            <v>0</v>
          </cell>
          <cell r="C3066" t="str">
            <v>Y042</v>
          </cell>
          <cell r="D3066" t="str">
            <v>POLY-PU0088</v>
          </cell>
          <cell r="E3066" t="str">
            <v>POLY 451-X1-60椅背</v>
          </cell>
          <cell r="F3066" t="str">
            <v>464*279*8</v>
          </cell>
          <cell r="G3066">
            <v>464</v>
          </cell>
          <cell r="H3066">
            <v>279</v>
          </cell>
          <cell r="I3066">
            <v>8</v>
          </cell>
          <cell r="J3066">
            <v>0</v>
          </cell>
          <cell r="K3066">
            <v>0</v>
          </cell>
          <cell r="L3066">
            <v>3.3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</row>
        <row r="3067">
          <cell r="A3067" t="str">
            <v>Y042-064</v>
          </cell>
          <cell r="B3067">
            <v>0</v>
          </cell>
          <cell r="C3067" t="str">
            <v>Y042</v>
          </cell>
          <cell r="D3067" t="str">
            <v>POLY-PU0089</v>
          </cell>
          <cell r="E3067" t="str">
            <v>POLY 451-X1-70椅背</v>
          </cell>
          <cell r="F3067" t="str">
            <v>386*238*8</v>
          </cell>
          <cell r="G3067">
            <v>386</v>
          </cell>
          <cell r="H3067">
            <v>238</v>
          </cell>
          <cell r="I3067">
            <v>8</v>
          </cell>
          <cell r="J3067">
            <v>0</v>
          </cell>
          <cell r="K3067">
            <v>0</v>
          </cell>
          <cell r="L3067">
            <v>2.2999999999999998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</row>
        <row r="3068">
          <cell r="A3068" t="str">
            <v>Y042-065</v>
          </cell>
          <cell r="B3068" t="str">
            <v>Y025-055</v>
          </cell>
          <cell r="C3068" t="str">
            <v>Y025</v>
          </cell>
          <cell r="D3068" t="str">
            <v>POLY-PU0079</v>
          </cell>
          <cell r="E3068" t="str">
            <v>床头企柱</v>
          </cell>
          <cell r="F3068" t="str">
            <v>1159*111*5</v>
          </cell>
          <cell r="G3068">
            <v>1159</v>
          </cell>
          <cell r="H3068">
            <v>111</v>
          </cell>
          <cell r="I3068">
            <v>5</v>
          </cell>
          <cell r="J3068">
            <v>1095</v>
          </cell>
          <cell r="K3068">
            <v>0</v>
          </cell>
          <cell r="L3068">
            <v>2.9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 t="str">
            <v>1010</v>
          </cell>
          <cell r="R3068">
            <v>0</v>
          </cell>
          <cell r="S3068">
            <v>0</v>
          </cell>
          <cell r="T3068">
            <v>0</v>
          </cell>
        </row>
        <row r="3069">
          <cell r="A3069" t="str">
            <v>Y042-066</v>
          </cell>
          <cell r="B3069" t="str">
            <v>Y025-056</v>
          </cell>
          <cell r="C3069" t="str">
            <v>Y025</v>
          </cell>
          <cell r="D3069" t="str">
            <v>POLY-PU0090</v>
          </cell>
          <cell r="E3069" t="str">
            <v>床头/床尾上横</v>
          </cell>
          <cell r="F3069" t="str">
            <v>1404*111*5</v>
          </cell>
          <cell r="G3069">
            <v>1404</v>
          </cell>
          <cell r="H3069">
            <v>111</v>
          </cell>
          <cell r="I3069">
            <v>5</v>
          </cell>
          <cell r="J3069">
            <v>1290</v>
          </cell>
          <cell r="K3069">
            <v>0</v>
          </cell>
          <cell r="L3069">
            <v>3.4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 t="str">
            <v>1010</v>
          </cell>
          <cell r="R3069">
            <v>0</v>
          </cell>
          <cell r="S3069">
            <v>0</v>
          </cell>
          <cell r="T3069">
            <v>0</v>
          </cell>
        </row>
        <row r="3070">
          <cell r="A3070" t="str">
            <v>Y042-067</v>
          </cell>
          <cell r="B3070" t="str">
            <v>Y025-057</v>
          </cell>
          <cell r="C3070" t="str">
            <v>Y025</v>
          </cell>
          <cell r="D3070" t="str">
            <v>POLY-PU0091</v>
          </cell>
          <cell r="E3070" t="str">
            <v>床头/床尾上横</v>
          </cell>
          <cell r="F3070" t="str">
            <v>1808*111*5</v>
          </cell>
          <cell r="G3070">
            <v>1808</v>
          </cell>
          <cell r="H3070">
            <v>111</v>
          </cell>
          <cell r="I3070">
            <v>5</v>
          </cell>
          <cell r="J3070">
            <v>1607</v>
          </cell>
          <cell r="K3070">
            <v>0</v>
          </cell>
          <cell r="L3070">
            <v>4.2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 t="str">
            <v>1010</v>
          </cell>
          <cell r="R3070">
            <v>0</v>
          </cell>
          <cell r="S3070">
            <v>0</v>
          </cell>
          <cell r="T3070">
            <v>0</v>
          </cell>
        </row>
        <row r="3071">
          <cell r="A3071" t="str">
            <v>Y042-068</v>
          </cell>
          <cell r="B3071" t="str">
            <v>Y025-058</v>
          </cell>
          <cell r="C3071" t="str">
            <v>Y025</v>
          </cell>
          <cell r="D3071" t="str">
            <v>POLY-PU0092</v>
          </cell>
          <cell r="E3071" t="str">
            <v>床尾企柱</v>
          </cell>
          <cell r="F3071" t="str">
            <v>425*111*5</v>
          </cell>
          <cell r="G3071">
            <v>425</v>
          </cell>
          <cell r="H3071">
            <v>111</v>
          </cell>
          <cell r="I3071">
            <v>5</v>
          </cell>
          <cell r="J3071">
            <v>399</v>
          </cell>
          <cell r="K3071">
            <v>0</v>
          </cell>
          <cell r="L3071">
            <v>1.05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 t="str">
            <v>1010</v>
          </cell>
          <cell r="R3071">
            <v>0</v>
          </cell>
          <cell r="S3071">
            <v>0</v>
          </cell>
          <cell r="T3071">
            <v>0</v>
          </cell>
        </row>
        <row r="3072">
          <cell r="A3072" t="str">
            <v>Y042-2001</v>
          </cell>
          <cell r="B3072">
            <v>0</v>
          </cell>
          <cell r="C3072" t="str">
            <v>Y042</v>
          </cell>
          <cell r="D3072">
            <v>0</v>
          </cell>
          <cell r="E3072" t="str">
            <v>POLY飾板</v>
          </cell>
          <cell r="F3072">
            <v>0</v>
          </cell>
          <cell r="G3072">
            <v>1500</v>
          </cell>
          <cell r="H3072">
            <v>51</v>
          </cell>
          <cell r="I3072">
            <v>10</v>
          </cell>
          <cell r="J3072">
            <v>0</v>
          </cell>
          <cell r="K3072" t="str">
            <v>未確認</v>
          </cell>
          <cell r="L3072">
            <v>2.1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</row>
        <row r="3073">
          <cell r="A3073" t="str">
            <v>Y043-001</v>
          </cell>
          <cell r="B3073" t="str">
            <v>LCT101-004</v>
          </cell>
          <cell r="C3073" t="str">
            <v>Y043</v>
          </cell>
          <cell r="D3073">
            <v>0</v>
          </cell>
          <cell r="E3073" t="str">
            <v>POLY飾條</v>
          </cell>
          <cell r="F3073" t="str">
            <v>1800*15*3</v>
          </cell>
          <cell r="G3073">
            <v>1800</v>
          </cell>
          <cell r="H3073">
            <v>15</v>
          </cell>
          <cell r="I3073">
            <v>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 t="str">
            <v>40V</v>
          </cell>
          <cell r="P3073" t="str">
            <v>1010</v>
          </cell>
          <cell r="Q3073" t="str">
            <v>1010</v>
          </cell>
          <cell r="R3073" t="e">
            <v>#DIV/0!</v>
          </cell>
        </row>
        <row r="3074">
          <cell r="A3074" t="str">
            <v>Y043-002</v>
          </cell>
          <cell r="B3074">
            <v>0</v>
          </cell>
          <cell r="C3074" t="str">
            <v>Y043</v>
          </cell>
          <cell r="D3074" t="str">
            <v>PO LY #7104</v>
          </cell>
          <cell r="E3074">
            <v>0</v>
          </cell>
          <cell r="F3074" t="str">
            <v>58*23*8</v>
          </cell>
          <cell r="G3074">
            <v>58</v>
          </cell>
          <cell r="H3074">
            <v>23</v>
          </cell>
          <cell r="I3074">
            <v>8</v>
          </cell>
          <cell r="J3074">
            <v>0</v>
          </cell>
          <cell r="K3074">
            <v>0</v>
          </cell>
          <cell r="L3074">
            <v>0</v>
          </cell>
          <cell r="M3074">
            <v>2650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43554</v>
          </cell>
          <cell r="T3074" t="str">
            <v>毅哥</v>
          </cell>
        </row>
        <row r="3075">
          <cell r="A3075" t="str">
            <v>Y044-001</v>
          </cell>
          <cell r="B3075" t="str">
            <v>LCT080-004</v>
          </cell>
          <cell r="C3075" t="str">
            <v>Y044</v>
          </cell>
          <cell r="D3075" t="str">
            <v>5505-D553-55B-01</v>
          </cell>
          <cell r="E3075">
            <v>0</v>
          </cell>
          <cell r="F3075" t="str">
            <v>Ø317*570</v>
          </cell>
          <cell r="G3075" t="str">
            <v>Ø</v>
          </cell>
          <cell r="H3075" t="str">
            <v>317</v>
          </cell>
          <cell r="I3075" t="str">
            <v>570</v>
          </cell>
          <cell r="J3075">
            <v>0</v>
          </cell>
          <cell r="K3075">
            <v>0</v>
          </cell>
          <cell r="L3075">
            <v>9</v>
          </cell>
          <cell r="M3075">
            <v>0</v>
          </cell>
          <cell r="N3075">
            <v>1000</v>
          </cell>
          <cell r="O3075">
            <v>0</v>
          </cell>
          <cell r="P3075" t="str">
            <v>2810</v>
          </cell>
          <cell r="Q3075" t="str">
            <v>2810</v>
          </cell>
          <cell r="R3075" t="e">
            <v>#DIV/0!</v>
          </cell>
        </row>
        <row r="3076">
          <cell r="A3076" t="str">
            <v>Y901-001</v>
          </cell>
          <cell r="B3076" t="str">
            <v>Y901-001</v>
          </cell>
          <cell r="C3076" t="str">
            <v>Y901</v>
          </cell>
          <cell r="D3076">
            <v>0</v>
          </cell>
          <cell r="E3076" t="str">
            <v>POLY飾條</v>
          </cell>
          <cell r="F3076" t="str">
            <v>1550*9*9</v>
          </cell>
          <cell r="G3076">
            <v>1550</v>
          </cell>
          <cell r="H3076">
            <v>9</v>
          </cell>
          <cell r="I3076">
            <v>9</v>
          </cell>
          <cell r="J3076">
            <v>0</v>
          </cell>
          <cell r="K3076">
            <v>0</v>
          </cell>
          <cell r="L3076">
            <v>0.62</v>
          </cell>
          <cell r="M3076">
            <v>0</v>
          </cell>
          <cell r="N3076">
            <v>0</v>
          </cell>
          <cell r="O3076" t="str">
            <v>40V</v>
          </cell>
          <cell r="P3076" t="str">
            <v>1010</v>
          </cell>
          <cell r="Q3076" t="str">
            <v>1010</v>
          </cell>
          <cell r="R3076" t="e">
            <v>#DIV/0!</v>
          </cell>
        </row>
        <row r="3077">
          <cell r="A3077" t="str">
            <v>Y901-002</v>
          </cell>
          <cell r="B3077" t="str">
            <v>Y901-002</v>
          </cell>
          <cell r="C3077" t="str">
            <v>Y901</v>
          </cell>
          <cell r="D3077">
            <v>0</v>
          </cell>
          <cell r="E3077" t="str">
            <v>POLY飾條</v>
          </cell>
          <cell r="F3077" t="str">
            <v>1000*(38*34)*5</v>
          </cell>
          <cell r="G3077">
            <v>1000</v>
          </cell>
          <cell r="H3077" t="str">
            <v>38*34</v>
          </cell>
          <cell r="I3077">
            <v>5</v>
          </cell>
          <cell r="J3077">
            <v>70</v>
          </cell>
          <cell r="K3077">
            <v>0</v>
          </cell>
          <cell r="L3077">
            <v>1.28</v>
          </cell>
          <cell r="M3077">
            <v>0</v>
          </cell>
          <cell r="N3077">
            <v>0</v>
          </cell>
          <cell r="O3077" t="str">
            <v>40V</v>
          </cell>
          <cell r="P3077" t="str">
            <v>1010</v>
          </cell>
          <cell r="Q3077" t="str">
            <v>1010</v>
          </cell>
          <cell r="R3077">
            <v>18.285714285714285</v>
          </cell>
        </row>
        <row r="3078">
          <cell r="A3078" t="str">
            <v>Y901-003</v>
          </cell>
          <cell r="B3078" t="str">
            <v>Y901-003</v>
          </cell>
          <cell r="C3078" t="str">
            <v>Y901</v>
          </cell>
          <cell r="D3078">
            <v>0</v>
          </cell>
          <cell r="E3078" t="str">
            <v>POLY飾花</v>
          </cell>
          <cell r="F3078" t="str">
            <v>50*45*5</v>
          </cell>
          <cell r="G3078">
            <v>50</v>
          </cell>
          <cell r="H3078">
            <v>45</v>
          </cell>
          <cell r="I3078">
            <v>5</v>
          </cell>
          <cell r="J3078">
            <v>13</v>
          </cell>
          <cell r="K3078">
            <v>0</v>
          </cell>
          <cell r="L3078">
            <v>0.1</v>
          </cell>
          <cell r="M3078">
            <v>0</v>
          </cell>
          <cell r="N3078">
            <v>0</v>
          </cell>
          <cell r="O3078" t="str">
            <v>40V</v>
          </cell>
          <cell r="P3078" t="str">
            <v>1010</v>
          </cell>
          <cell r="Q3078" t="str">
            <v>1010</v>
          </cell>
          <cell r="R3078">
            <v>7.6923076923076934</v>
          </cell>
        </row>
        <row r="3079">
          <cell r="A3079" t="str">
            <v>Y901-004</v>
          </cell>
          <cell r="B3079" t="str">
            <v>Y901-004</v>
          </cell>
          <cell r="C3079" t="str">
            <v>Y901</v>
          </cell>
          <cell r="D3079">
            <v>0</v>
          </cell>
          <cell r="E3079" t="str">
            <v>POLY飾花</v>
          </cell>
          <cell r="F3079" t="str">
            <v>45*45*6</v>
          </cell>
          <cell r="G3079">
            <v>45</v>
          </cell>
          <cell r="H3079">
            <v>45</v>
          </cell>
          <cell r="I3079">
            <v>6</v>
          </cell>
          <cell r="J3079">
            <v>26</v>
          </cell>
          <cell r="K3079">
            <v>0</v>
          </cell>
          <cell r="L3079">
            <v>0.08</v>
          </cell>
          <cell r="M3079">
            <v>0</v>
          </cell>
          <cell r="N3079">
            <v>0</v>
          </cell>
          <cell r="O3079" t="str">
            <v>40V</v>
          </cell>
          <cell r="P3079" t="str">
            <v>1010</v>
          </cell>
          <cell r="Q3079" t="str">
            <v>1010</v>
          </cell>
          <cell r="R3079">
            <v>3.0769230769230771</v>
          </cell>
        </row>
        <row r="3080">
          <cell r="A3080" t="str">
            <v>Y901-005</v>
          </cell>
          <cell r="B3080" t="str">
            <v>Y901-005</v>
          </cell>
          <cell r="C3080" t="str">
            <v>Y901</v>
          </cell>
          <cell r="D3080">
            <v>0</v>
          </cell>
          <cell r="E3080">
            <v>0</v>
          </cell>
          <cell r="F3080" t="str">
            <v>120*120*5</v>
          </cell>
          <cell r="G3080">
            <v>120</v>
          </cell>
          <cell r="H3080">
            <v>120</v>
          </cell>
          <cell r="I3080">
            <v>5</v>
          </cell>
          <cell r="J3080">
            <v>30</v>
          </cell>
          <cell r="K3080">
            <v>0</v>
          </cell>
          <cell r="L3080">
            <v>0.13</v>
          </cell>
          <cell r="M3080">
            <v>0</v>
          </cell>
          <cell r="N3080">
            <v>0</v>
          </cell>
          <cell r="O3080" t="str">
            <v>40V</v>
          </cell>
          <cell r="P3080" t="str">
            <v>1010</v>
          </cell>
          <cell r="Q3080" t="str">
            <v>1010</v>
          </cell>
          <cell r="R3080">
            <v>4.3333333333333339</v>
          </cell>
        </row>
        <row r="3081">
          <cell r="A3081" t="str">
            <v>Y901-006</v>
          </cell>
          <cell r="B3081" t="str">
            <v>Y901-006</v>
          </cell>
          <cell r="C3081" t="str">
            <v>Y901</v>
          </cell>
          <cell r="D3081">
            <v>0</v>
          </cell>
          <cell r="E3081" t="str">
            <v>1/4半圓麻花飾條</v>
          </cell>
          <cell r="F3081" t="str">
            <v>1000*8*8</v>
          </cell>
          <cell r="G3081">
            <v>1000</v>
          </cell>
          <cell r="H3081">
            <v>8</v>
          </cell>
          <cell r="I3081">
            <v>8</v>
          </cell>
          <cell r="J3081">
            <v>70</v>
          </cell>
          <cell r="K3081">
            <v>0</v>
          </cell>
          <cell r="L3081">
            <v>0.28000000000000003</v>
          </cell>
          <cell r="M3081">
            <v>0</v>
          </cell>
          <cell r="N3081">
            <v>0</v>
          </cell>
          <cell r="O3081" t="str">
            <v>40V</v>
          </cell>
          <cell r="P3081" t="str">
            <v>1010</v>
          </cell>
          <cell r="Q3081" t="str">
            <v>1010</v>
          </cell>
          <cell r="R3081">
            <v>4</v>
          </cell>
        </row>
        <row r="3082">
          <cell r="A3082" t="str">
            <v>Y901-007</v>
          </cell>
          <cell r="B3082">
            <v>0</v>
          </cell>
          <cell r="C3082">
            <v>0</v>
          </cell>
          <cell r="D3082">
            <v>0</v>
          </cell>
          <cell r="E3082" t="str">
            <v>POLY飾花</v>
          </cell>
          <cell r="F3082" t="str">
            <v>238*25*6</v>
          </cell>
          <cell r="G3082">
            <v>238</v>
          </cell>
          <cell r="H3082">
            <v>25</v>
          </cell>
          <cell r="I3082">
            <v>6</v>
          </cell>
          <cell r="J3082">
            <v>45</v>
          </cell>
          <cell r="K3082">
            <v>0</v>
          </cell>
          <cell r="L3082">
            <v>0.21</v>
          </cell>
          <cell r="M3082">
            <v>0</v>
          </cell>
          <cell r="N3082">
            <v>0</v>
          </cell>
          <cell r="O3082" t="str">
            <v>40V</v>
          </cell>
          <cell r="P3082" t="str">
            <v>1010</v>
          </cell>
          <cell r="Q3082" t="str">
            <v>1010</v>
          </cell>
          <cell r="R3082">
            <v>4.666666666666667</v>
          </cell>
        </row>
        <row r="3083">
          <cell r="A3083" t="str">
            <v>Y901-008</v>
          </cell>
          <cell r="B3083">
            <v>0</v>
          </cell>
          <cell r="C3083" t="str">
            <v>Y901</v>
          </cell>
          <cell r="D3083">
            <v>0</v>
          </cell>
          <cell r="E3083" t="str">
            <v>POLY飾花</v>
          </cell>
          <cell r="F3083" t="str">
            <v>235*35*6</v>
          </cell>
          <cell r="G3083">
            <v>235</v>
          </cell>
          <cell r="H3083">
            <v>35</v>
          </cell>
          <cell r="I3083">
            <v>6</v>
          </cell>
          <cell r="J3083">
            <v>46</v>
          </cell>
          <cell r="K3083">
            <v>0</v>
          </cell>
          <cell r="L3083">
            <v>0.21</v>
          </cell>
          <cell r="M3083">
            <v>0</v>
          </cell>
          <cell r="N3083">
            <v>0</v>
          </cell>
          <cell r="O3083" t="str">
            <v>40V</v>
          </cell>
          <cell r="P3083" t="str">
            <v>1010</v>
          </cell>
          <cell r="Q3083" t="str">
            <v>1010</v>
          </cell>
          <cell r="R3083">
            <v>4.5652173913043477</v>
          </cell>
        </row>
        <row r="3084">
          <cell r="A3084" t="str">
            <v>Y901-009</v>
          </cell>
          <cell r="B3084">
            <v>0</v>
          </cell>
          <cell r="C3084" t="str">
            <v>Y901</v>
          </cell>
          <cell r="D3084">
            <v>0</v>
          </cell>
          <cell r="E3084" t="str">
            <v>POLY飾花</v>
          </cell>
          <cell r="F3084" t="str">
            <v>135*25*7</v>
          </cell>
          <cell r="G3084">
            <v>135</v>
          </cell>
          <cell r="H3084">
            <v>25</v>
          </cell>
          <cell r="I3084">
            <v>7</v>
          </cell>
          <cell r="J3084">
            <v>25</v>
          </cell>
          <cell r="K3084">
            <v>0</v>
          </cell>
          <cell r="L3084">
            <v>0.12</v>
          </cell>
          <cell r="M3084">
            <v>0</v>
          </cell>
          <cell r="N3084">
            <v>0</v>
          </cell>
          <cell r="O3084" t="str">
            <v>40V</v>
          </cell>
          <cell r="P3084" t="str">
            <v>1010</v>
          </cell>
          <cell r="Q3084" t="str">
            <v>1010</v>
          </cell>
          <cell r="R3084">
            <v>4.8</v>
          </cell>
        </row>
        <row r="3085">
          <cell r="A3085" t="str">
            <v>Y901-010</v>
          </cell>
          <cell r="B3085">
            <v>0</v>
          </cell>
          <cell r="C3085" t="str">
            <v>Y901</v>
          </cell>
          <cell r="D3085">
            <v>0</v>
          </cell>
          <cell r="E3085">
            <v>0</v>
          </cell>
          <cell r="F3085" t="str">
            <v>95*94*10</v>
          </cell>
          <cell r="G3085">
            <v>95</v>
          </cell>
          <cell r="H3085">
            <v>94</v>
          </cell>
          <cell r="I3085">
            <v>10</v>
          </cell>
          <cell r="J3085">
            <v>0</v>
          </cell>
          <cell r="K3085">
            <v>0</v>
          </cell>
          <cell r="L3085">
            <v>0.4</v>
          </cell>
          <cell r="M3085">
            <v>0</v>
          </cell>
          <cell r="N3085">
            <v>0</v>
          </cell>
          <cell r="O3085" t="str">
            <v>40V</v>
          </cell>
          <cell r="P3085" t="str">
            <v>1010</v>
          </cell>
          <cell r="Q3085" t="str">
            <v>1010</v>
          </cell>
          <cell r="R3085" t="e">
            <v>#DIV/0!</v>
          </cell>
        </row>
        <row r="3086">
          <cell r="A3086" t="str">
            <v>Y901-011</v>
          </cell>
          <cell r="B3086">
            <v>0</v>
          </cell>
          <cell r="C3086" t="str">
            <v>Y901</v>
          </cell>
          <cell r="D3086">
            <v>0</v>
          </cell>
          <cell r="E3086" t="str">
            <v>POLY飾花</v>
          </cell>
          <cell r="F3086" t="str">
            <v>275*70*16</v>
          </cell>
          <cell r="G3086">
            <v>275</v>
          </cell>
          <cell r="H3086">
            <v>70</v>
          </cell>
          <cell r="I3086">
            <v>16</v>
          </cell>
          <cell r="J3086">
            <v>250</v>
          </cell>
          <cell r="K3086">
            <v>0</v>
          </cell>
          <cell r="L3086">
            <v>0.95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 t="str">
            <v>1010</v>
          </cell>
          <cell r="R3086">
            <v>3.8</v>
          </cell>
        </row>
        <row r="3087">
          <cell r="A3087" t="str">
            <v>Y901-012</v>
          </cell>
          <cell r="B3087">
            <v>0</v>
          </cell>
          <cell r="C3087" t="str">
            <v>Y901</v>
          </cell>
          <cell r="D3087">
            <v>0</v>
          </cell>
          <cell r="E3087" t="str">
            <v>POLY飾花</v>
          </cell>
          <cell r="F3087" t="str">
            <v>289*37*5</v>
          </cell>
          <cell r="G3087">
            <v>289</v>
          </cell>
          <cell r="H3087">
            <v>37</v>
          </cell>
          <cell r="I3087">
            <v>5</v>
          </cell>
          <cell r="J3087">
            <v>24</v>
          </cell>
          <cell r="K3087">
            <v>0</v>
          </cell>
          <cell r="L3087">
            <v>7.0000000000000007E-2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 t="str">
            <v>1010</v>
          </cell>
          <cell r="R3087">
            <v>2.916666666666667</v>
          </cell>
        </row>
        <row r="3088">
          <cell r="A3088" t="str">
            <v>Y901-013</v>
          </cell>
          <cell r="B3088">
            <v>0</v>
          </cell>
          <cell r="C3088" t="str">
            <v>Y901</v>
          </cell>
          <cell r="D3088">
            <v>0</v>
          </cell>
          <cell r="E3088" t="str">
            <v>POLY飾花</v>
          </cell>
          <cell r="F3088" t="str">
            <v>490*70*5</v>
          </cell>
          <cell r="G3088">
            <v>490</v>
          </cell>
          <cell r="H3088">
            <v>70</v>
          </cell>
          <cell r="I3088">
            <v>5</v>
          </cell>
          <cell r="J3088">
            <v>86</v>
          </cell>
          <cell r="K3088">
            <v>0</v>
          </cell>
          <cell r="L3088">
            <v>0.28000000000000003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 t="str">
            <v>1010</v>
          </cell>
          <cell r="R3088">
            <v>3.2558139534883725</v>
          </cell>
        </row>
        <row r="3089">
          <cell r="A3089" t="str">
            <v>Y901-014</v>
          </cell>
          <cell r="B3089">
            <v>0</v>
          </cell>
          <cell r="C3089" t="str">
            <v>Y901</v>
          </cell>
          <cell r="D3089">
            <v>0</v>
          </cell>
          <cell r="E3089" t="str">
            <v>POLY饰条</v>
          </cell>
          <cell r="F3089" t="str">
            <v>1793*19*4.5</v>
          </cell>
          <cell r="G3089">
            <v>1793</v>
          </cell>
          <cell r="H3089">
            <v>19</v>
          </cell>
          <cell r="I3089">
            <v>4.5</v>
          </cell>
          <cell r="J3089">
            <v>217</v>
          </cell>
          <cell r="K3089">
            <v>0</v>
          </cell>
          <cell r="L3089">
            <v>0.65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 t="str">
            <v>1010</v>
          </cell>
          <cell r="R3089">
            <v>2.9953917050691246</v>
          </cell>
        </row>
        <row r="3090">
          <cell r="A3090" t="str">
            <v>Y901-015</v>
          </cell>
          <cell r="B3090">
            <v>0</v>
          </cell>
          <cell r="C3090">
            <v>0</v>
          </cell>
          <cell r="D3090">
            <v>0</v>
          </cell>
          <cell r="E3090" t="str">
            <v>POLY飾花</v>
          </cell>
          <cell r="F3090" t="str">
            <v>123*70*3</v>
          </cell>
          <cell r="G3090">
            <v>123</v>
          </cell>
          <cell r="H3090">
            <v>70</v>
          </cell>
          <cell r="I3090">
            <v>3</v>
          </cell>
          <cell r="J3090">
            <v>40</v>
          </cell>
          <cell r="K3090">
            <v>0</v>
          </cell>
          <cell r="L3090">
            <v>0.17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 t="str">
            <v>1010</v>
          </cell>
          <cell r="R3090">
            <v>4.25</v>
          </cell>
        </row>
        <row r="3091">
          <cell r="A3091" t="str">
            <v>Y901-016</v>
          </cell>
          <cell r="B3091">
            <v>0</v>
          </cell>
          <cell r="C3091" t="str">
            <v>Y901</v>
          </cell>
          <cell r="D3091">
            <v>0</v>
          </cell>
          <cell r="E3091" t="str">
            <v>POLY飾花</v>
          </cell>
          <cell r="F3091" t="str">
            <v>302*56*5</v>
          </cell>
          <cell r="G3091">
            <v>302</v>
          </cell>
          <cell r="H3091">
            <v>56</v>
          </cell>
          <cell r="I3091">
            <v>5</v>
          </cell>
          <cell r="J3091">
            <v>46</v>
          </cell>
          <cell r="K3091">
            <v>0</v>
          </cell>
          <cell r="L3091">
            <v>0.2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 t="str">
            <v>1010</v>
          </cell>
          <cell r="R3091">
            <v>4.3478260869565224</v>
          </cell>
        </row>
        <row r="3092">
          <cell r="A3092" t="str">
            <v>Y901-017</v>
          </cell>
          <cell r="B3092">
            <v>0</v>
          </cell>
          <cell r="C3092" t="str">
            <v>Y901</v>
          </cell>
          <cell r="D3092">
            <v>0</v>
          </cell>
          <cell r="E3092" t="str">
            <v>POLY飾花</v>
          </cell>
          <cell r="F3092" t="str">
            <v>381*68*7.5</v>
          </cell>
          <cell r="G3092">
            <v>381</v>
          </cell>
          <cell r="H3092">
            <v>68</v>
          </cell>
          <cell r="I3092">
            <v>7.5</v>
          </cell>
          <cell r="J3092">
            <v>0</v>
          </cell>
          <cell r="K3092">
            <v>0</v>
          </cell>
          <cell r="L3092">
            <v>0.6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</row>
        <row r="3093">
          <cell r="A3093" t="str">
            <v>Y901-018</v>
          </cell>
          <cell r="B3093">
            <v>0</v>
          </cell>
          <cell r="C3093" t="str">
            <v>Y901</v>
          </cell>
          <cell r="D3093">
            <v>0</v>
          </cell>
          <cell r="E3093" t="str">
            <v>POLY飾花</v>
          </cell>
          <cell r="F3093" t="str">
            <v>420*79*7.5</v>
          </cell>
          <cell r="G3093">
            <v>420</v>
          </cell>
          <cell r="H3093">
            <v>79</v>
          </cell>
          <cell r="I3093">
            <v>7.5</v>
          </cell>
          <cell r="J3093">
            <v>0</v>
          </cell>
          <cell r="K3093">
            <v>0</v>
          </cell>
          <cell r="L3093">
            <v>0.7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</row>
        <row r="3094">
          <cell r="A3094" t="str">
            <v>Y901-019</v>
          </cell>
          <cell r="B3094">
            <v>0</v>
          </cell>
          <cell r="C3094" t="str">
            <v>Y901</v>
          </cell>
          <cell r="D3094">
            <v>0</v>
          </cell>
          <cell r="E3094" t="str">
            <v>POLY飾花</v>
          </cell>
          <cell r="F3094" t="str">
            <v>480*92*10</v>
          </cell>
          <cell r="G3094">
            <v>480</v>
          </cell>
          <cell r="H3094">
            <v>92</v>
          </cell>
          <cell r="I3094">
            <v>10</v>
          </cell>
          <cell r="J3094">
            <v>0</v>
          </cell>
          <cell r="K3094">
            <v>0</v>
          </cell>
          <cell r="L3094">
            <v>0.82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</row>
        <row r="3095">
          <cell r="A3095" t="str">
            <v>Y902-001</v>
          </cell>
          <cell r="B3095" t="str">
            <v>Y902-001</v>
          </cell>
          <cell r="C3095" t="str">
            <v>Y902</v>
          </cell>
          <cell r="D3095" t="str">
            <v>B323-100+200</v>
          </cell>
          <cell r="E3095" t="str">
            <v>Cuc tron trang tri</v>
          </cell>
          <cell r="F3095" t="str">
            <v>48*48*8</v>
          </cell>
          <cell r="G3095">
            <v>48</v>
          </cell>
          <cell r="H3095">
            <v>48</v>
          </cell>
          <cell r="I3095">
            <v>8</v>
          </cell>
          <cell r="J3095">
            <v>0</v>
          </cell>
          <cell r="K3095">
            <v>0</v>
          </cell>
          <cell r="L3095">
            <v>7.0000000000000007E-2</v>
          </cell>
          <cell r="M3095">
            <v>0</v>
          </cell>
          <cell r="N3095">
            <v>0</v>
          </cell>
          <cell r="O3095" t="str">
            <v>40V</v>
          </cell>
          <cell r="P3095" t="str">
            <v>1010</v>
          </cell>
          <cell r="Q3095" t="str">
            <v>1010</v>
          </cell>
          <cell r="R3095" t="e">
            <v>#DIV/0!</v>
          </cell>
        </row>
        <row r="3096">
          <cell r="A3096" t="str">
            <v>Y902-002</v>
          </cell>
          <cell r="B3096" t="str">
            <v>Y902-002</v>
          </cell>
          <cell r="C3096" t="str">
            <v>Y902</v>
          </cell>
          <cell r="D3096" t="str">
            <v>B323-100+200</v>
          </cell>
          <cell r="E3096" t="str">
            <v>Trang tri dai van dau girong圓珠</v>
          </cell>
          <cell r="F3096" t="str">
            <v>800*10*5</v>
          </cell>
          <cell r="G3096">
            <v>800</v>
          </cell>
          <cell r="H3096">
            <v>10</v>
          </cell>
          <cell r="I3096">
            <v>5</v>
          </cell>
          <cell r="J3096">
            <v>0</v>
          </cell>
          <cell r="K3096">
            <v>0</v>
          </cell>
          <cell r="L3096">
            <v>0.28000000000000003</v>
          </cell>
          <cell r="M3096">
            <v>0</v>
          </cell>
          <cell r="N3096">
            <v>0</v>
          </cell>
          <cell r="O3096" t="str">
            <v>40V</v>
          </cell>
          <cell r="P3096" t="str">
            <v>1010</v>
          </cell>
          <cell r="Q3096" t="str">
            <v>1010</v>
          </cell>
          <cell r="R3096" t="e">
            <v>#DIV/0!</v>
          </cell>
        </row>
        <row r="3097">
          <cell r="A3097" t="str">
            <v>Y903-001</v>
          </cell>
          <cell r="B3097" t="str">
            <v>Y903-001</v>
          </cell>
          <cell r="C3097" t="str">
            <v>Y903</v>
          </cell>
          <cell r="D3097">
            <v>0</v>
          </cell>
          <cell r="E3097" t="str">
            <v>圓飾片</v>
          </cell>
          <cell r="F3097" t="str">
            <v>37*37*11</v>
          </cell>
          <cell r="G3097">
            <v>37</v>
          </cell>
          <cell r="H3097">
            <v>37</v>
          </cell>
          <cell r="I3097">
            <v>11</v>
          </cell>
          <cell r="J3097">
            <v>15</v>
          </cell>
          <cell r="K3097">
            <v>0</v>
          </cell>
          <cell r="L3097">
            <v>7.0000000000000007E-2</v>
          </cell>
          <cell r="M3097">
            <v>0</v>
          </cell>
          <cell r="N3097">
            <v>0</v>
          </cell>
          <cell r="O3097" t="str">
            <v>40V</v>
          </cell>
          <cell r="P3097" t="str">
            <v>1010</v>
          </cell>
          <cell r="Q3097" t="str">
            <v>1010</v>
          </cell>
          <cell r="R3097">
            <v>4.666666666666667</v>
          </cell>
        </row>
        <row r="3098">
          <cell r="A3098" t="str">
            <v>Y903-2001</v>
          </cell>
          <cell r="B3098" t="str">
            <v>樣品費,</v>
          </cell>
          <cell r="C3098" t="str">
            <v>Y903</v>
          </cell>
          <cell r="D3098">
            <v>0</v>
          </cell>
          <cell r="E3098" t="str">
            <v>雙C桌腳</v>
          </cell>
          <cell r="F3098">
            <v>0</v>
          </cell>
          <cell r="G3098">
            <v>403</v>
          </cell>
          <cell r="H3098">
            <v>392</v>
          </cell>
          <cell r="I3098">
            <v>30.5</v>
          </cell>
          <cell r="J3098">
            <v>880</v>
          </cell>
          <cell r="K3098">
            <v>0</v>
          </cell>
          <cell r="L3098">
            <v>4.45</v>
          </cell>
          <cell r="M3098">
            <v>0</v>
          </cell>
          <cell r="N3098" t="str">
            <v>SAT521</v>
          </cell>
          <cell r="O3098" t="str">
            <v>40V</v>
          </cell>
          <cell r="P3098" t="str">
            <v>7310</v>
          </cell>
          <cell r="Q3098" t="str">
            <v>7310</v>
          </cell>
          <cell r="R3098">
            <v>5.0568181818181817</v>
          </cell>
        </row>
        <row r="3099">
          <cell r="A3099" t="str">
            <v>Y903-2002</v>
          </cell>
          <cell r="B3099" t="str">
            <v>樣品費,</v>
          </cell>
          <cell r="C3099" t="str">
            <v>Y903</v>
          </cell>
          <cell r="D3099">
            <v>0</v>
          </cell>
          <cell r="E3099" t="str">
            <v>雙C桌腳</v>
          </cell>
          <cell r="F3099">
            <v>0</v>
          </cell>
          <cell r="G3099">
            <v>945</v>
          </cell>
          <cell r="H3099">
            <v>365</v>
          </cell>
          <cell r="I3099">
            <v>47</v>
          </cell>
          <cell r="J3099">
            <v>1730</v>
          </cell>
          <cell r="K3099">
            <v>0</v>
          </cell>
          <cell r="L3099">
            <v>7</v>
          </cell>
          <cell r="M3099">
            <v>0</v>
          </cell>
          <cell r="N3099" t="str">
            <v>SAT881</v>
          </cell>
          <cell r="O3099" t="str">
            <v>40V</v>
          </cell>
          <cell r="P3099" t="str">
            <v>7310</v>
          </cell>
          <cell r="Q3099" t="str">
            <v>7310</v>
          </cell>
          <cell r="R3099">
            <v>4.0462427745664744</v>
          </cell>
        </row>
        <row r="3100">
          <cell r="A3100" t="str">
            <v>Y903-2003</v>
          </cell>
          <cell r="B3100" t="str">
            <v>樣品費,</v>
          </cell>
          <cell r="C3100" t="str">
            <v>Y903</v>
          </cell>
          <cell r="D3100">
            <v>0</v>
          </cell>
          <cell r="E3100" t="str">
            <v>雙C桌腳</v>
          </cell>
          <cell r="F3100">
            <v>0</v>
          </cell>
          <cell r="G3100">
            <v>905</v>
          </cell>
          <cell r="H3100">
            <v>503</v>
          </cell>
          <cell r="I3100" t="str">
            <v>.5.5</v>
          </cell>
          <cell r="J3100">
            <v>1575</v>
          </cell>
          <cell r="K3100">
            <v>0</v>
          </cell>
          <cell r="L3100">
            <v>7.3</v>
          </cell>
          <cell r="M3100">
            <v>0</v>
          </cell>
          <cell r="N3100" t="str">
            <v>SAT953</v>
          </cell>
          <cell r="O3100" t="str">
            <v>40V</v>
          </cell>
          <cell r="P3100" t="str">
            <v>7310</v>
          </cell>
          <cell r="Q3100" t="str">
            <v>7310</v>
          </cell>
          <cell r="R3100">
            <v>4.6349206349206353</v>
          </cell>
        </row>
        <row r="3101">
          <cell r="A3101" t="str">
            <v>Y903-2004</v>
          </cell>
          <cell r="B3101" t="str">
            <v>三個模具費</v>
          </cell>
          <cell r="C3101" t="str">
            <v>Y903</v>
          </cell>
          <cell r="D3101">
            <v>0</v>
          </cell>
          <cell r="E3101" t="str">
            <v>雙C桌腳-模具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201.5677</v>
          </cell>
          <cell r="M3101">
            <v>0</v>
          </cell>
          <cell r="N3101">
            <v>0</v>
          </cell>
          <cell r="O3101" t="str">
            <v>40V</v>
          </cell>
          <cell r="P3101" t="str">
            <v>1010</v>
          </cell>
          <cell r="Q3101" t="str">
            <v>1010</v>
          </cell>
          <cell r="R3101" t="e">
            <v>#DIV/0!</v>
          </cell>
        </row>
        <row r="3102">
          <cell r="A3102" t="str">
            <v>Y904-001</v>
          </cell>
          <cell r="B3102" t="str">
            <v>Y023</v>
          </cell>
          <cell r="C3102" t="str">
            <v>Y904</v>
          </cell>
          <cell r="D3102">
            <v>0</v>
          </cell>
          <cell r="E3102" t="str">
            <v>POLY 圆珠饰条</v>
          </cell>
          <cell r="F3102" t="str">
            <v>800*10*5</v>
          </cell>
          <cell r="G3102">
            <v>800</v>
          </cell>
          <cell r="H3102">
            <v>10</v>
          </cell>
          <cell r="I3102">
            <v>5</v>
          </cell>
          <cell r="J3102">
            <v>65</v>
          </cell>
          <cell r="K3102">
            <v>0</v>
          </cell>
          <cell r="L3102">
            <v>0.26</v>
          </cell>
          <cell r="M3102">
            <v>0</v>
          </cell>
          <cell r="N3102">
            <v>0</v>
          </cell>
          <cell r="O3102" t="str">
            <v>40V</v>
          </cell>
          <cell r="P3102" t="str">
            <v>1010</v>
          </cell>
          <cell r="Q3102" t="str">
            <v>1010</v>
          </cell>
          <cell r="R3102">
            <v>4</v>
          </cell>
        </row>
        <row r="3103">
          <cell r="A3103" t="str">
            <v>Y904-002</v>
          </cell>
          <cell r="B3103" t="str">
            <v>Y006</v>
          </cell>
          <cell r="C3103" t="str">
            <v>Y904</v>
          </cell>
          <cell r="D3103">
            <v>0</v>
          </cell>
          <cell r="E3103" t="str">
            <v>POLY麻花飾條</v>
          </cell>
          <cell r="F3103" t="str">
            <v>1070*11*5.5</v>
          </cell>
          <cell r="G3103">
            <v>1070</v>
          </cell>
          <cell r="H3103">
            <v>11</v>
          </cell>
          <cell r="I3103">
            <v>5.5</v>
          </cell>
          <cell r="J3103">
            <v>75</v>
          </cell>
          <cell r="K3103">
            <v>0</v>
          </cell>
          <cell r="L3103">
            <v>0.32</v>
          </cell>
          <cell r="M3103">
            <v>0</v>
          </cell>
          <cell r="N3103">
            <v>0</v>
          </cell>
          <cell r="O3103" t="str">
            <v>40V</v>
          </cell>
          <cell r="P3103" t="str">
            <v>1010</v>
          </cell>
          <cell r="Q3103" t="str">
            <v>1010</v>
          </cell>
          <cell r="R3103">
            <v>4.2666666666666666</v>
          </cell>
        </row>
        <row r="3104">
          <cell r="A3104" t="str">
            <v>Y904-003</v>
          </cell>
          <cell r="B3104">
            <v>0</v>
          </cell>
          <cell r="C3104" t="str">
            <v>Y904</v>
          </cell>
          <cell r="D3104" t="str">
            <v>Day poly</v>
          </cell>
          <cell r="E3104" t="str">
            <v>poly饰条</v>
          </cell>
          <cell r="F3104" t="str">
            <v>550*10*5</v>
          </cell>
          <cell r="G3104">
            <v>550</v>
          </cell>
          <cell r="H3104">
            <v>10</v>
          </cell>
          <cell r="I3104">
            <v>5</v>
          </cell>
          <cell r="J3104">
            <v>0</v>
          </cell>
          <cell r="K3104">
            <v>0</v>
          </cell>
          <cell r="L3104">
            <v>0.2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</row>
        <row r="3105">
          <cell r="A3105" t="str">
            <v>Y904-2001</v>
          </cell>
          <cell r="B3105">
            <v>0</v>
          </cell>
          <cell r="C3105" t="str">
            <v>Y904</v>
          </cell>
          <cell r="D3105">
            <v>0</v>
          </cell>
          <cell r="E3105">
            <v>0</v>
          </cell>
          <cell r="F3105" t="str">
            <v>48*48*4</v>
          </cell>
          <cell r="G3105">
            <v>48</v>
          </cell>
          <cell r="H3105">
            <v>48</v>
          </cell>
          <cell r="I3105">
            <v>4</v>
          </cell>
          <cell r="J3105">
            <v>12</v>
          </cell>
          <cell r="K3105">
            <v>0</v>
          </cell>
          <cell r="L3105">
            <v>0.05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 t="str">
            <v>1010</v>
          </cell>
          <cell r="R3105">
            <v>4.166666666666667</v>
          </cell>
        </row>
        <row r="3106">
          <cell r="A3106" t="str">
            <v>Y904-2002</v>
          </cell>
          <cell r="B3106">
            <v>0</v>
          </cell>
          <cell r="C3106" t="str">
            <v>Y904</v>
          </cell>
          <cell r="D3106">
            <v>0</v>
          </cell>
          <cell r="E3106">
            <v>0</v>
          </cell>
          <cell r="F3106" t="str">
            <v>37*37*4</v>
          </cell>
          <cell r="G3106">
            <v>37</v>
          </cell>
          <cell r="H3106">
            <v>37</v>
          </cell>
          <cell r="I3106">
            <v>4</v>
          </cell>
          <cell r="J3106">
            <v>7</v>
          </cell>
          <cell r="K3106">
            <v>0</v>
          </cell>
          <cell r="L3106">
            <v>0.03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 t="str">
            <v>1010</v>
          </cell>
          <cell r="R3106">
            <v>4.2857142857142856</v>
          </cell>
        </row>
        <row r="3107">
          <cell r="A3107" t="str">
            <v>Y905-001</v>
          </cell>
          <cell r="B3107" t="str">
            <v>Y021</v>
          </cell>
          <cell r="C3107" t="str">
            <v>Y905</v>
          </cell>
          <cell r="D3107">
            <v>0</v>
          </cell>
          <cell r="E3107" t="str">
            <v>POLY饰条</v>
          </cell>
          <cell r="F3107" t="str">
            <v>1000*10*5</v>
          </cell>
          <cell r="G3107">
            <v>1000</v>
          </cell>
          <cell r="H3107">
            <v>10</v>
          </cell>
          <cell r="I3107">
            <v>5</v>
          </cell>
          <cell r="J3107">
            <v>80</v>
          </cell>
          <cell r="K3107">
            <v>0</v>
          </cell>
          <cell r="L3107">
            <v>0.45</v>
          </cell>
          <cell r="M3107">
            <v>0</v>
          </cell>
          <cell r="N3107">
            <v>0</v>
          </cell>
          <cell r="O3107" t="str">
            <v>40V</v>
          </cell>
          <cell r="P3107" t="str">
            <v>1010</v>
          </cell>
          <cell r="Q3107" t="str">
            <v>1010</v>
          </cell>
          <cell r="R3107">
            <v>5.625</v>
          </cell>
        </row>
        <row r="3108">
          <cell r="A3108" t="str">
            <v>Y905-002</v>
          </cell>
          <cell r="B3108">
            <v>0</v>
          </cell>
          <cell r="C3108" t="str">
            <v>Y905</v>
          </cell>
          <cell r="D3108">
            <v>792</v>
          </cell>
          <cell r="E3108" t="str">
            <v>Thanh Nhựa 饰条</v>
          </cell>
          <cell r="F3108" t="str">
            <v>1475*10*8</v>
          </cell>
          <cell r="G3108">
            <v>1475</v>
          </cell>
          <cell r="H3108">
            <v>10</v>
          </cell>
          <cell r="I3108">
            <v>8</v>
          </cell>
          <cell r="J3108">
            <v>210</v>
          </cell>
          <cell r="K3108">
            <v>0</v>
          </cell>
          <cell r="L3108">
            <v>0.86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4.0952380952380949</v>
          </cell>
        </row>
        <row r="3109">
          <cell r="A3109" t="str">
            <v>Y905-003</v>
          </cell>
          <cell r="B3109">
            <v>0</v>
          </cell>
          <cell r="C3109" t="str">
            <v>Y905</v>
          </cell>
          <cell r="D3109">
            <v>792</v>
          </cell>
          <cell r="E3109" t="str">
            <v>Thanh Nhựa 饰条</v>
          </cell>
          <cell r="F3109" t="str">
            <v>1015*10*8</v>
          </cell>
          <cell r="G3109">
            <v>1015</v>
          </cell>
          <cell r="H3109">
            <v>10</v>
          </cell>
          <cell r="I3109">
            <v>8</v>
          </cell>
          <cell r="J3109">
            <v>150</v>
          </cell>
          <cell r="K3109">
            <v>0</v>
          </cell>
          <cell r="L3109">
            <v>0.6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4</v>
          </cell>
        </row>
        <row r="3110">
          <cell r="A3110" t="str">
            <v>Y905-004</v>
          </cell>
          <cell r="B3110">
            <v>0</v>
          </cell>
          <cell r="C3110" t="str">
            <v>Y905</v>
          </cell>
          <cell r="D3110" t="str">
            <v>01-16TĐ</v>
          </cell>
          <cell r="E3110" t="str">
            <v>Poly màu trắng 饰片</v>
          </cell>
          <cell r="F3110" t="str">
            <v>175*175*6</v>
          </cell>
          <cell r="G3110">
            <v>175</v>
          </cell>
          <cell r="H3110">
            <v>175</v>
          </cell>
          <cell r="I3110">
            <v>6</v>
          </cell>
          <cell r="J3110">
            <v>286</v>
          </cell>
          <cell r="K3110">
            <v>0</v>
          </cell>
          <cell r="L3110">
            <v>0.84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2.9370629370629371</v>
          </cell>
          <cell r="T3110">
            <v>0</v>
          </cell>
        </row>
        <row r="3111">
          <cell r="A3111" t="str">
            <v>Y905-005</v>
          </cell>
          <cell r="B3111">
            <v>0</v>
          </cell>
          <cell r="C3111" t="str">
            <v>Y905</v>
          </cell>
          <cell r="D3111" t="str">
            <v xml:space="preserve">Miếng Poly nhỏ </v>
          </cell>
          <cell r="E3111" t="str">
            <v>小饰片</v>
          </cell>
          <cell r="F3111" t="str">
            <v>581*466*6</v>
          </cell>
          <cell r="G3111">
            <v>581</v>
          </cell>
          <cell r="H3111">
            <v>466</v>
          </cell>
          <cell r="I3111">
            <v>6</v>
          </cell>
          <cell r="J3111">
            <v>0</v>
          </cell>
          <cell r="K3111">
            <v>0</v>
          </cell>
          <cell r="L3111">
            <v>7.5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 t="e">
            <v>#DIV/0!</v>
          </cell>
          <cell r="T3111">
            <v>0</v>
          </cell>
        </row>
        <row r="3112">
          <cell r="A3112" t="str">
            <v>Y905-006</v>
          </cell>
          <cell r="B3112">
            <v>0</v>
          </cell>
          <cell r="C3112" t="str">
            <v>Y905</v>
          </cell>
          <cell r="D3112" t="str">
            <v>Miếng Poly lớn</v>
          </cell>
          <cell r="E3112" t="str">
            <v>大饰片</v>
          </cell>
          <cell r="F3112" t="str">
            <v>1430*1985*6</v>
          </cell>
          <cell r="G3112">
            <v>1430</v>
          </cell>
          <cell r="H3112">
            <v>1985</v>
          </cell>
          <cell r="I3112">
            <v>6</v>
          </cell>
          <cell r="J3112">
            <v>19900</v>
          </cell>
          <cell r="K3112">
            <v>18500</v>
          </cell>
          <cell r="L3112">
            <v>64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3.2160804020100504</v>
          </cell>
          <cell r="T3112">
            <v>0</v>
          </cell>
        </row>
        <row r="3113">
          <cell r="A3113" t="str">
            <v>Y905-007</v>
          </cell>
          <cell r="B3113">
            <v>0</v>
          </cell>
          <cell r="C3113" t="str">
            <v>Y905</v>
          </cell>
          <cell r="D3113" t="str">
            <v>Kiếng tròn</v>
          </cell>
          <cell r="E3113" t="str">
            <v>镜子</v>
          </cell>
          <cell r="F3113" t="str">
            <v>710*710*40*5</v>
          </cell>
          <cell r="G3113">
            <v>710</v>
          </cell>
          <cell r="H3113">
            <v>710</v>
          </cell>
          <cell r="I3113" t="str">
            <v>40*5</v>
          </cell>
          <cell r="J3113">
            <v>9100</v>
          </cell>
          <cell r="K3113">
            <v>0</v>
          </cell>
          <cell r="L3113">
            <v>27.5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3.0219780219780219</v>
          </cell>
          <cell r="T3113">
            <v>0</v>
          </cell>
        </row>
        <row r="3114">
          <cell r="A3114" t="str">
            <v>Y905-008</v>
          </cell>
          <cell r="B3114">
            <v>0</v>
          </cell>
          <cell r="C3114" t="str">
            <v>Y905</v>
          </cell>
          <cell r="D3114" t="str">
            <v>Kiếng tròn</v>
          </cell>
          <cell r="E3114" t="str">
            <v>镜子</v>
          </cell>
          <cell r="F3114" t="str">
            <v>710*710*40*14</v>
          </cell>
          <cell r="G3114">
            <v>710</v>
          </cell>
          <cell r="H3114">
            <v>710</v>
          </cell>
          <cell r="I3114" t="str">
            <v>40*14</v>
          </cell>
          <cell r="J3114">
            <v>8800</v>
          </cell>
          <cell r="K3114">
            <v>0</v>
          </cell>
          <cell r="L3114">
            <v>29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3.295454545454545</v>
          </cell>
          <cell r="T3114">
            <v>0</v>
          </cell>
        </row>
        <row r="3115">
          <cell r="A3115" t="str">
            <v>Y905-009</v>
          </cell>
          <cell r="B3115">
            <v>0</v>
          </cell>
          <cell r="C3115" t="str">
            <v>Y905</v>
          </cell>
          <cell r="D3115" t="str">
            <v>Nhựa ốp cạnh độ cứng 50/50</v>
          </cell>
          <cell r="E3115" t="str">
            <v>bên trái - L</v>
          </cell>
          <cell r="F3115" t="str">
            <v>3*290*759</v>
          </cell>
          <cell r="G3115">
            <v>3</v>
          </cell>
          <cell r="H3115">
            <v>290</v>
          </cell>
          <cell r="I3115">
            <v>759</v>
          </cell>
          <cell r="J3115">
            <v>0</v>
          </cell>
          <cell r="K3115">
            <v>0</v>
          </cell>
          <cell r="L3115">
            <v>0.83199999999999996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</row>
        <row r="3116">
          <cell r="A3116" t="str">
            <v>Y905-010</v>
          </cell>
          <cell r="B3116">
            <v>0</v>
          </cell>
          <cell r="C3116" t="str">
            <v>Y905</v>
          </cell>
          <cell r="D3116" t="str">
            <v>Nhựa ốp cạnh độ cứng 50/50</v>
          </cell>
          <cell r="E3116" t="str">
            <v>bên phải - R</v>
          </cell>
          <cell r="F3116" t="str">
            <v>3*290*759</v>
          </cell>
          <cell r="G3116">
            <v>3</v>
          </cell>
          <cell r="H3116">
            <v>290</v>
          </cell>
          <cell r="I3116">
            <v>759</v>
          </cell>
          <cell r="J3116">
            <v>0</v>
          </cell>
          <cell r="K3116">
            <v>0</v>
          </cell>
          <cell r="L3116">
            <v>0.83199999999999996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</row>
        <row r="3117">
          <cell r="A3117" t="str">
            <v>Y905-011</v>
          </cell>
          <cell r="B3117">
            <v>0</v>
          </cell>
          <cell r="C3117" t="str">
            <v>Y905</v>
          </cell>
          <cell r="D3117" t="str">
            <v>Nhựa ốp mặt độ cứng 50/50</v>
          </cell>
          <cell r="E3117">
            <v>0</v>
          </cell>
          <cell r="F3117" t="str">
            <v>3*495*1284</v>
          </cell>
          <cell r="G3117">
            <v>3</v>
          </cell>
          <cell r="H3117">
            <v>495</v>
          </cell>
          <cell r="I3117">
            <v>1284</v>
          </cell>
          <cell r="J3117">
            <v>0</v>
          </cell>
          <cell r="K3117">
            <v>0</v>
          </cell>
          <cell r="L3117">
            <v>14.85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</row>
        <row r="3118">
          <cell r="A3118" t="str">
            <v>Y905-012</v>
          </cell>
          <cell r="B3118">
            <v>0</v>
          </cell>
          <cell r="C3118" t="str">
            <v>Y905</v>
          </cell>
          <cell r="D3118" t="str">
            <v>Nhựa ốp trước ván đáy 50/50</v>
          </cell>
          <cell r="E3118">
            <v>0</v>
          </cell>
          <cell r="F3118" t="str">
            <v>3*102*1320</v>
          </cell>
          <cell r="G3118">
            <v>3</v>
          </cell>
          <cell r="H3118">
            <v>102</v>
          </cell>
          <cell r="I3118">
            <v>1320</v>
          </cell>
          <cell r="J3118">
            <v>0</v>
          </cell>
          <cell r="K3118">
            <v>0</v>
          </cell>
          <cell r="L3118">
            <v>2.8780000000000001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</row>
        <row r="3119">
          <cell r="A3119" t="str">
            <v>Y905-013</v>
          </cell>
          <cell r="B3119">
            <v>0</v>
          </cell>
          <cell r="C3119" t="str">
            <v>Y905</v>
          </cell>
          <cell r="D3119" t="str">
            <v>TGS-600-CGK+Q</v>
          </cell>
          <cell r="E3119" t="str">
            <v>Chỉ nhưa poly</v>
          </cell>
          <cell r="F3119" t="str">
            <v>6*10*1420</v>
          </cell>
          <cell r="G3119">
            <v>6</v>
          </cell>
          <cell r="H3119">
            <v>10</v>
          </cell>
          <cell r="I3119">
            <v>1420</v>
          </cell>
          <cell r="J3119">
            <v>0</v>
          </cell>
          <cell r="K3119">
            <v>0</v>
          </cell>
          <cell r="L3119">
            <v>0.39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</row>
        <row r="3120">
          <cell r="A3120" t="str">
            <v>Y905-014</v>
          </cell>
          <cell r="B3120">
            <v>0</v>
          </cell>
          <cell r="C3120" t="str">
            <v>Y905</v>
          </cell>
          <cell r="D3120" t="str">
            <v>MIẾNG ỐP</v>
          </cell>
          <cell r="E3120" t="str">
            <v>POLY 50/50</v>
          </cell>
          <cell r="F3120" t="str">
            <v>21*194*914</v>
          </cell>
          <cell r="G3120">
            <v>21</v>
          </cell>
          <cell r="H3120">
            <v>194</v>
          </cell>
          <cell r="I3120">
            <v>914</v>
          </cell>
          <cell r="J3120">
            <v>0</v>
          </cell>
          <cell r="K3120">
            <v>0</v>
          </cell>
          <cell r="L3120">
            <v>8.8000000000000007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</row>
        <row r="3121">
          <cell r="A3121" t="str">
            <v>Y905-015</v>
          </cell>
          <cell r="B3121">
            <v>0</v>
          </cell>
          <cell r="C3121" t="str">
            <v>Y905</v>
          </cell>
          <cell r="D3121" t="str">
            <v>MIẾNG ỐP</v>
          </cell>
          <cell r="E3121" t="str">
            <v>POLY 50/50</v>
          </cell>
          <cell r="F3121" t="str">
            <v>21*178*722</v>
          </cell>
          <cell r="G3121">
            <v>21</v>
          </cell>
          <cell r="H3121">
            <v>178</v>
          </cell>
          <cell r="I3121">
            <v>722</v>
          </cell>
          <cell r="J3121">
            <v>0</v>
          </cell>
          <cell r="K3121">
            <v>0</v>
          </cell>
          <cell r="L3121">
            <v>6.33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43337</v>
          </cell>
          <cell r="T3121">
            <v>0</v>
          </cell>
        </row>
        <row r="3122">
          <cell r="A3122" t="str">
            <v>Y905-016</v>
          </cell>
          <cell r="B3122">
            <v>0</v>
          </cell>
          <cell r="C3122" t="str">
            <v>Y905</v>
          </cell>
          <cell r="D3122" t="str">
            <v>MIẾNG ỐP</v>
          </cell>
          <cell r="E3122" t="str">
            <v>POLY 50/50</v>
          </cell>
          <cell r="F3122" t="str">
            <v>21*178*552</v>
          </cell>
          <cell r="G3122">
            <v>21</v>
          </cell>
          <cell r="H3122">
            <v>178</v>
          </cell>
          <cell r="I3122">
            <v>552</v>
          </cell>
          <cell r="J3122">
            <v>0</v>
          </cell>
          <cell r="K3122">
            <v>0</v>
          </cell>
          <cell r="L3122">
            <v>4.9000000000000004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43337</v>
          </cell>
          <cell r="T3122">
            <v>0</v>
          </cell>
        </row>
        <row r="3123">
          <cell r="A3123" t="str">
            <v>Y905-017</v>
          </cell>
          <cell r="B3123">
            <v>0</v>
          </cell>
          <cell r="C3123" t="str">
            <v>Y905</v>
          </cell>
          <cell r="D3123" t="str">
            <v>MIẾNG ỐP</v>
          </cell>
          <cell r="E3123" t="str">
            <v>POLY 50/50</v>
          </cell>
          <cell r="F3123" t="str">
            <v>21*178*393</v>
          </cell>
          <cell r="G3123">
            <v>21</v>
          </cell>
          <cell r="H3123">
            <v>178</v>
          </cell>
          <cell r="I3123">
            <v>393</v>
          </cell>
          <cell r="J3123">
            <v>0</v>
          </cell>
          <cell r="K3123">
            <v>0</v>
          </cell>
          <cell r="L3123">
            <v>3.25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43337</v>
          </cell>
          <cell r="T3123">
            <v>0</v>
          </cell>
        </row>
        <row r="3124">
          <cell r="A3124" t="str">
            <v>Y905-018</v>
          </cell>
          <cell r="B3124" t="str">
            <v>Y005-008</v>
          </cell>
          <cell r="C3124" t="str">
            <v>Y905</v>
          </cell>
          <cell r="D3124" t="str">
            <v>#2989+3341-54/55F</v>
          </cell>
          <cell r="E3124" t="str">
            <v>半圓飾條</v>
          </cell>
          <cell r="F3124" t="str">
            <v>1200*6*3</v>
          </cell>
          <cell r="G3124">
            <v>1200</v>
          </cell>
          <cell r="H3124">
            <v>6</v>
          </cell>
          <cell r="I3124">
            <v>3</v>
          </cell>
          <cell r="J3124">
            <v>40</v>
          </cell>
          <cell r="K3124">
            <v>0</v>
          </cell>
          <cell r="L3124">
            <v>0.28999999999999998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7.2499999999999991</v>
          </cell>
          <cell r="S3124">
            <v>43375</v>
          </cell>
          <cell r="T3124">
            <v>0</v>
          </cell>
        </row>
        <row r="3125">
          <cell r="A3125" t="str">
            <v>Y905-019</v>
          </cell>
          <cell r="B3125">
            <v>0</v>
          </cell>
          <cell r="C3125" t="str">
            <v>Y905</v>
          </cell>
          <cell r="D3125" t="str">
            <v>MẶT BÀN</v>
          </cell>
          <cell r="E3125">
            <v>0</v>
          </cell>
          <cell r="F3125" t="str">
            <v>711*533*32</v>
          </cell>
          <cell r="G3125">
            <v>711</v>
          </cell>
          <cell r="H3125">
            <v>533</v>
          </cell>
          <cell r="I3125">
            <v>32</v>
          </cell>
          <cell r="J3125">
            <v>0</v>
          </cell>
          <cell r="K3125">
            <v>0</v>
          </cell>
          <cell r="L3125">
            <v>7.5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</row>
        <row r="3126">
          <cell r="A3126" t="str">
            <v>Y905-020</v>
          </cell>
          <cell r="B3126">
            <v>0</v>
          </cell>
          <cell r="C3126" t="str">
            <v>Y905</v>
          </cell>
          <cell r="D3126" t="str">
            <v>MIẾNG ỐP</v>
          </cell>
          <cell r="E3126" t="str">
            <v>POLY 50/50</v>
          </cell>
          <cell r="F3126" t="str">
            <v>21*194*608(650)</v>
          </cell>
          <cell r="G3126">
            <v>21</v>
          </cell>
          <cell r="H3126">
            <v>194</v>
          </cell>
          <cell r="I3126" t="str">
            <v>608(650)</v>
          </cell>
          <cell r="J3126">
            <v>0</v>
          </cell>
          <cell r="K3126">
            <v>0</v>
          </cell>
          <cell r="L3126">
            <v>6.33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</row>
        <row r="3127">
          <cell r="A3127" t="str">
            <v>Y905-021</v>
          </cell>
          <cell r="B3127">
            <v>0</v>
          </cell>
          <cell r="C3127" t="str">
            <v>Y905</v>
          </cell>
          <cell r="D3127" t="str">
            <v xml:space="preserve">CHÂN BÀN </v>
          </cell>
          <cell r="E3127" t="str">
            <v>炮管</v>
          </cell>
          <cell r="F3127" t="str">
            <v>406*406*559</v>
          </cell>
          <cell r="G3127">
            <v>406</v>
          </cell>
          <cell r="H3127">
            <v>406</v>
          </cell>
          <cell r="I3127">
            <v>559</v>
          </cell>
          <cell r="J3127">
            <v>0</v>
          </cell>
          <cell r="K3127">
            <v>0</v>
          </cell>
          <cell r="L3127">
            <v>38.5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</row>
        <row r="3128">
          <cell r="A3128" t="str">
            <v>Y905-2001</v>
          </cell>
          <cell r="B3128" t="str">
            <v>樣品</v>
          </cell>
          <cell r="C3128" t="str">
            <v>Y905</v>
          </cell>
          <cell r="D3128">
            <v>0</v>
          </cell>
          <cell r="E3128">
            <v>0</v>
          </cell>
          <cell r="F3128" t="str">
            <v>6*620*510</v>
          </cell>
          <cell r="G3128">
            <v>6</v>
          </cell>
          <cell r="H3128">
            <v>620</v>
          </cell>
          <cell r="I3128">
            <v>510</v>
          </cell>
          <cell r="J3128">
            <v>3318</v>
          </cell>
          <cell r="K3128">
            <v>0</v>
          </cell>
          <cell r="L3128">
            <v>9.76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2.9415310427968655</v>
          </cell>
          <cell r="T3128">
            <v>0</v>
          </cell>
        </row>
        <row r="3129">
          <cell r="A3129" t="str">
            <v>Y905-2002</v>
          </cell>
          <cell r="B3129" t="str">
            <v>樣品</v>
          </cell>
          <cell r="C3129" t="str">
            <v>Y905</v>
          </cell>
          <cell r="D3129">
            <v>0</v>
          </cell>
          <cell r="E3129">
            <v>0</v>
          </cell>
          <cell r="F3129" t="str">
            <v>10*90*91</v>
          </cell>
          <cell r="G3129">
            <v>10</v>
          </cell>
          <cell r="H3129">
            <v>90</v>
          </cell>
          <cell r="I3129">
            <v>91</v>
          </cell>
          <cell r="J3129">
            <v>107</v>
          </cell>
          <cell r="K3129">
            <v>0</v>
          </cell>
          <cell r="L3129">
            <v>0.31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2.8971962616822431</v>
          </cell>
          <cell r="T3129">
            <v>0</v>
          </cell>
        </row>
        <row r="3130">
          <cell r="A3130" t="str">
            <v>Y905-2003</v>
          </cell>
          <cell r="B3130" t="str">
            <v>樣品</v>
          </cell>
          <cell r="C3130" t="str">
            <v>Y905</v>
          </cell>
          <cell r="D3130">
            <v>0</v>
          </cell>
          <cell r="E3130">
            <v>0</v>
          </cell>
          <cell r="F3130" t="str">
            <v>40*5*710*710</v>
          </cell>
          <cell r="G3130" t="str">
            <v>40*5</v>
          </cell>
          <cell r="H3130">
            <v>710</v>
          </cell>
          <cell r="I3130">
            <v>710</v>
          </cell>
          <cell r="J3130">
            <v>9100</v>
          </cell>
          <cell r="K3130">
            <v>0</v>
          </cell>
          <cell r="L3130">
            <v>29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3.186813186813187</v>
          </cell>
          <cell r="T3130">
            <v>0</v>
          </cell>
        </row>
        <row r="3131">
          <cell r="A3131" t="str">
            <v>Y905-2004</v>
          </cell>
          <cell r="B3131" t="str">
            <v>樣品</v>
          </cell>
          <cell r="C3131" t="str">
            <v>Y905</v>
          </cell>
          <cell r="D3131">
            <v>0</v>
          </cell>
          <cell r="E3131" t="str">
            <v>POLY飾板</v>
          </cell>
          <cell r="F3131" t="str">
            <v>300*300*6</v>
          </cell>
          <cell r="G3131">
            <v>300</v>
          </cell>
          <cell r="H3131">
            <v>300</v>
          </cell>
          <cell r="I3131">
            <v>6</v>
          </cell>
          <cell r="J3131">
            <v>1056</v>
          </cell>
          <cell r="K3131">
            <v>0</v>
          </cell>
          <cell r="L3131">
            <v>3.5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3.3143939393939394</v>
          </cell>
          <cell r="T3131">
            <v>0</v>
          </cell>
        </row>
        <row r="3132">
          <cell r="A3132" t="str">
            <v>Y905-2005</v>
          </cell>
          <cell r="B3132" t="str">
            <v>樣品</v>
          </cell>
          <cell r="C3132" t="str">
            <v>Y905</v>
          </cell>
          <cell r="D3132">
            <v>0</v>
          </cell>
          <cell r="E3132" t="str">
            <v>POLY飾板-L</v>
          </cell>
          <cell r="F3132">
            <v>0</v>
          </cell>
          <cell r="G3132">
            <v>705</v>
          </cell>
          <cell r="H3132">
            <v>600</v>
          </cell>
          <cell r="I3132">
            <v>6</v>
          </cell>
          <cell r="J3132">
            <v>3950</v>
          </cell>
          <cell r="K3132">
            <v>0</v>
          </cell>
          <cell r="L3132">
            <v>13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3.2911392405063289</v>
          </cell>
          <cell r="T3132">
            <v>0</v>
          </cell>
        </row>
        <row r="3133">
          <cell r="A3133" t="str">
            <v>Y905-2006</v>
          </cell>
          <cell r="B3133" t="str">
            <v>樣品</v>
          </cell>
          <cell r="C3133" t="str">
            <v>Y905</v>
          </cell>
          <cell r="D3133">
            <v>0</v>
          </cell>
          <cell r="E3133" t="str">
            <v>POLY飾板-R</v>
          </cell>
          <cell r="F3133">
            <v>0</v>
          </cell>
          <cell r="G3133">
            <v>705</v>
          </cell>
          <cell r="H3133">
            <v>600</v>
          </cell>
          <cell r="I3133">
            <v>6</v>
          </cell>
          <cell r="J3133">
            <v>3950</v>
          </cell>
          <cell r="K3133">
            <v>0</v>
          </cell>
          <cell r="L3133">
            <v>13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3.2911392405063289</v>
          </cell>
          <cell r="T3133">
            <v>0</v>
          </cell>
        </row>
        <row r="3134">
          <cell r="A3134" t="str">
            <v>Y905-2007</v>
          </cell>
          <cell r="B3134" t="str">
            <v>樣品</v>
          </cell>
          <cell r="C3134" t="str">
            <v>Y905</v>
          </cell>
          <cell r="D3134">
            <v>0</v>
          </cell>
          <cell r="E3134" t="str">
            <v>POLY飾板</v>
          </cell>
          <cell r="F3134">
            <v>0</v>
          </cell>
          <cell r="G3134">
            <v>200</v>
          </cell>
          <cell r="H3134">
            <v>200</v>
          </cell>
          <cell r="I3134">
            <v>6</v>
          </cell>
          <cell r="J3134">
            <v>360</v>
          </cell>
          <cell r="K3134">
            <v>0</v>
          </cell>
          <cell r="L3134">
            <v>1.2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3.3333333333333335</v>
          </cell>
          <cell r="T3134">
            <v>0</v>
          </cell>
        </row>
        <row r="3135">
          <cell r="A3135" t="str">
            <v>Y905-2008</v>
          </cell>
          <cell r="B3135" t="str">
            <v>樣品</v>
          </cell>
          <cell r="C3135" t="str">
            <v>Y905</v>
          </cell>
          <cell r="D3135">
            <v>0</v>
          </cell>
          <cell r="E3135" t="str">
            <v>POLY飾板</v>
          </cell>
          <cell r="F3135">
            <v>0</v>
          </cell>
          <cell r="G3135">
            <v>900</v>
          </cell>
          <cell r="H3135">
            <v>900</v>
          </cell>
          <cell r="I3135">
            <v>9</v>
          </cell>
          <cell r="J3135">
            <v>10600</v>
          </cell>
          <cell r="K3135">
            <v>0</v>
          </cell>
          <cell r="L3135">
            <v>33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3.1132075471698113</v>
          </cell>
          <cell r="T3135">
            <v>0</v>
          </cell>
        </row>
        <row r="3136">
          <cell r="A3136" t="str">
            <v>Y905-2009</v>
          </cell>
          <cell r="B3136" t="str">
            <v>樣品</v>
          </cell>
          <cell r="C3136" t="str">
            <v>Y905</v>
          </cell>
          <cell r="D3136">
            <v>0</v>
          </cell>
          <cell r="E3136" t="str">
            <v>POLY飾板</v>
          </cell>
          <cell r="F3136">
            <v>0</v>
          </cell>
          <cell r="G3136">
            <v>995</v>
          </cell>
          <cell r="H3136">
            <v>950</v>
          </cell>
          <cell r="I3136">
            <v>10</v>
          </cell>
          <cell r="J3136">
            <v>16400</v>
          </cell>
          <cell r="K3136">
            <v>0</v>
          </cell>
          <cell r="L3136">
            <v>45.5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2.774390243902439</v>
          </cell>
          <cell r="T3136">
            <v>0</v>
          </cell>
        </row>
        <row r="3137">
          <cell r="A3137" t="str">
            <v>Y905-2010</v>
          </cell>
          <cell r="B3137" t="str">
            <v>樣品</v>
          </cell>
          <cell r="C3137" t="str">
            <v>Y905</v>
          </cell>
          <cell r="D3137">
            <v>0</v>
          </cell>
          <cell r="E3137" t="str">
            <v>POLY飾板</v>
          </cell>
          <cell r="F3137">
            <v>0</v>
          </cell>
          <cell r="G3137">
            <v>1100</v>
          </cell>
          <cell r="H3137">
            <v>700</v>
          </cell>
          <cell r="I3137">
            <v>6</v>
          </cell>
          <cell r="J3137">
            <v>0</v>
          </cell>
          <cell r="K3137">
            <v>0</v>
          </cell>
          <cell r="L3137">
            <v>23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T3137">
            <v>0</v>
          </cell>
        </row>
        <row r="3138">
          <cell r="A3138" t="str">
            <v>Y905-2011</v>
          </cell>
          <cell r="B3138" t="str">
            <v>樣品</v>
          </cell>
          <cell r="C3138" t="str">
            <v>Y905</v>
          </cell>
          <cell r="D3138">
            <v>0</v>
          </cell>
          <cell r="E3138" t="str">
            <v>POLY飾板</v>
          </cell>
          <cell r="F3138">
            <v>0</v>
          </cell>
          <cell r="G3138">
            <v>295</v>
          </cell>
          <cell r="H3138">
            <v>295</v>
          </cell>
          <cell r="I3138">
            <v>12</v>
          </cell>
          <cell r="J3138">
            <v>0</v>
          </cell>
          <cell r="K3138">
            <v>0</v>
          </cell>
          <cell r="L3138">
            <v>3.3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T3138">
            <v>0</v>
          </cell>
        </row>
        <row r="3139">
          <cell r="A3139" t="str">
            <v>Y905-2012</v>
          </cell>
          <cell r="B3139" t="str">
            <v>樣品</v>
          </cell>
          <cell r="C3139" t="str">
            <v>Y905</v>
          </cell>
          <cell r="D3139">
            <v>0</v>
          </cell>
          <cell r="E3139" t="str">
            <v>POLY飾板</v>
          </cell>
          <cell r="F3139">
            <v>0</v>
          </cell>
          <cell r="G3139">
            <v>450</v>
          </cell>
          <cell r="H3139">
            <v>450</v>
          </cell>
          <cell r="I3139">
            <v>9</v>
          </cell>
          <cell r="J3139">
            <v>0</v>
          </cell>
          <cell r="K3139">
            <v>0</v>
          </cell>
          <cell r="L3139">
            <v>8.5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T3139">
            <v>0</v>
          </cell>
        </row>
        <row r="3140">
          <cell r="A3140" t="str">
            <v>Y906-001</v>
          </cell>
          <cell r="B3140" t="str">
            <v>HA VI</v>
          </cell>
          <cell r="C3140" t="str">
            <v>Y906</v>
          </cell>
          <cell r="D3140">
            <v>0</v>
          </cell>
          <cell r="E3140" t="str">
            <v xml:space="preserve">POLY </v>
          </cell>
          <cell r="F3140" t="str">
            <v>2*20*1555</v>
          </cell>
          <cell r="G3140">
            <v>2</v>
          </cell>
          <cell r="H3140">
            <v>20</v>
          </cell>
          <cell r="I3140">
            <v>1555</v>
          </cell>
          <cell r="J3140">
            <v>170</v>
          </cell>
          <cell r="K3140">
            <v>0</v>
          </cell>
          <cell r="L3140">
            <v>0.68</v>
          </cell>
          <cell r="M3140">
            <v>0</v>
          </cell>
          <cell r="N3140">
            <v>0</v>
          </cell>
          <cell r="O3140" t="str">
            <v>40V</v>
          </cell>
          <cell r="P3140" t="str">
            <v>1010</v>
          </cell>
          <cell r="Q3140" t="str">
            <v>1010</v>
          </cell>
          <cell r="R3140">
            <v>4</v>
          </cell>
        </row>
        <row r="3141">
          <cell r="A3141" t="str">
            <v>Y906-002</v>
          </cell>
          <cell r="B3141">
            <v>0</v>
          </cell>
          <cell r="C3141" t="str">
            <v>Y906</v>
          </cell>
          <cell r="D3141">
            <v>0</v>
          </cell>
          <cell r="E3141" t="str">
            <v xml:space="preserve">POLY </v>
          </cell>
          <cell r="F3141" t="str">
            <v>2*20*1105</v>
          </cell>
          <cell r="G3141">
            <v>2</v>
          </cell>
          <cell r="H3141">
            <v>20</v>
          </cell>
          <cell r="I3141">
            <v>1105</v>
          </cell>
          <cell r="J3141">
            <v>130</v>
          </cell>
          <cell r="K3141">
            <v>0</v>
          </cell>
          <cell r="L3141">
            <v>0.52</v>
          </cell>
          <cell r="M3141">
            <v>0</v>
          </cell>
          <cell r="N3141">
            <v>0</v>
          </cell>
          <cell r="O3141" t="str">
            <v>40V</v>
          </cell>
          <cell r="P3141" t="str">
            <v>1010</v>
          </cell>
          <cell r="Q3141" t="str">
            <v>1010</v>
          </cell>
          <cell r="R3141">
            <v>4</v>
          </cell>
        </row>
        <row r="3142">
          <cell r="A3142" t="str">
            <v>Y906-003</v>
          </cell>
          <cell r="B3142">
            <v>0</v>
          </cell>
          <cell r="C3142" t="str">
            <v>Y906</v>
          </cell>
          <cell r="D3142">
            <v>0</v>
          </cell>
          <cell r="E3142" t="str">
            <v xml:space="preserve">POLY </v>
          </cell>
          <cell r="F3142" t="str">
            <v>2*20*340</v>
          </cell>
          <cell r="G3142">
            <v>2</v>
          </cell>
          <cell r="H3142">
            <v>20</v>
          </cell>
          <cell r="I3142">
            <v>340</v>
          </cell>
          <cell r="J3142">
            <v>60</v>
          </cell>
          <cell r="K3142">
            <v>0</v>
          </cell>
          <cell r="L3142">
            <v>0.24</v>
          </cell>
          <cell r="M3142">
            <v>0</v>
          </cell>
          <cell r="N3142">
            <v>0</v>
          </cell>
          <cell r="O3142" t="str">
            <v>40V</v>
          </cell>
          <cell r="P3142" t="str">
            <v>1010</v>
          </cell>
          <cell r="Q3142" t="str">
            <v>1010</v>
          </cell>
          <cell r="R3142">
            <v>4</v>
          </cell>
        </row>
        <row r="3143">
          <cell r="A3143" t="str">
            <v>Y906-004</v>
          </cell>
          <cell r="B3143">
            <v>0</v>
          </cell>
          <cell r="C3143" t="str">
            <v>Y906</v>
          </cell>
          <cell r="D3143">
            <v>0</v>
          </cell>
          <cell r="E3143" t="str">
            <v>POLY 飾片</v>
          </cell>
          <cell r="F3143" t="str">
            <v>Ø 28*10</v>
          </cell>
          <cell r="G3143" t="str">
            <v>Ø</v>
          </cell>
          <cell r="H3143">
            <v>28</v>
          </cell>
          <cell r="I3143">
            <v>10</v>
          </cell>
          <cell r="J3143">
            <v>0</v>
          </cell>
          <cell r="K3143">
            <v>0</v>
          </cell>
          <cell r="L3143">
            <v>0.16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 t="e">
            <v>#DIV/0!</v>
          </cell>
        </row>
        <row r="3144">
          <cell r="A3144" t="str">
            <v>Y906-005</v>
          </cell>
          <cell r="B3144">
            <v>0</v>
          </cell>
          <cell r="C3144" t="str">
            <v>Y906</v>
          </cell>
          <cell r="D3144" t="str">
            <v>POLY TRÒN</v>
          </cell>
          <cell r="E3144">
            <v>0</v>
          </cell>
          <cell r="F3144" t="str">
            <v>80*80*121</v>
          </cell>
          <cell r="G3144">
            <v>80</v>
          </cell>
          <cell r="H3144">
            <v>80</v>
          </cell>
          <cell r="I3144">
            <v>121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 t="e">
            <v>#DIV/0!</v>
          </cell>
        </row>
        <row r="3145">
          <cell r="A3145" t="str">
            <v>Y907-001</v>
          </cell>
          <cell r="B3145" t="str">
            <v>GOMO</v>
          </cell>
          <cell r="C3145" t="str">
            <v>Y907</v>
          </cell>
          <cell r="D3145">
            <v>0</v>
          </cell>
          <cell r="E3145" t="str">
            <v xml:space="preserve">POLY </v>
          </cell>
          <cell r="F3145" t="str">
            <v>1450*9*7</v>
          </cell>
          <cell r="G3145">
            <v>1450</v>
          </cell>
          <cell r="H3145">
            <v>9</v>
          </cell>
          <cell r="I3145">
            <v>7</v>
          </cell>
          <cell r="J3145">
            <v>180</v>
          </cell>
          <cell r="K3145">
            <v>0</v>
          </cell>
          <cell r="L3145">
            <v>0.5</v>
          </cell>
          <cell r="M3145">
            <v>0</v>
          </cell>
          <cell r="N3145">
            <v>0</v>
          </cell>
          <cell r="O3145" t="str">
            <v>40V</v>
          </cell>
          <cell r="P3145" t="str">
            <v>1010</v>
          </cell>
          <cell r="Q3145" t="str">
            <v>1010</v>
          </cell>
          <cell r="R3145">
            <v>2.7777777777777777</v>
          </cell>
        </row>
        <row r="3146">
          <cell r="A3146" t="str">
            <v>Y908-001</v>
          </cell>
          <cell r="B3146">
            <v>0</v>
          </cell>
          <cell r="C3146" t="str">
            <v>Y908</v>
          </cell>
          <cell r="D3146">
            <v>0</v>
          </cell>
          <cell r="E3146" t="str">
            <v>POLY</v>
          </cell>
          <cell r="F3146" t="str">
            <v>600*19*15</v>
          </cell>
          <cell r="G3146">
            <v>600</v>
          </cell>
          <cell r="H3146">
            <v>19</v>
          </cell>
          <cell r="I3146">
            <v>15</v>
          </cell>
          <cell r="J3146">
            <v>270</v>
          </cell>
          <cell r="K3146">
            <v>0</v>
          </cell>
          <cell r="L3146">
            <v>1.08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4</v>
          </cell>
        </row>
        <row r="3147">
          <cell r="A3147" t="str">
            <v>Y908-002</v>
          </cell>
          <cell r="B3147">
            <v>0</v>
          </cell>
          <cell r="C3147" t="str">
            <v>Y908</v>
          </cell>
          <cell r="D3147">
            <v>0</v>
          </cell>
          <cell r="E3147" t="str">
            <v>POLY</v>
          </cell>
          <cell r="F3147" t="str">
            <v>1000*20*2</v>
          </cell>
          <cell r="G3147">
            <v>1000</v>
          </cell>
          <cell r="H3147">
            <v>20</v>
          </cell>
          <cell r="I3147">
            <v>2</v>
          </cell>
          <cell r="J3147">
            <v>100</v>
          </cell>
          <cell r="K3147">
            <v>0</v>
          </cell>
          <cell r="L3147">
            <v>0.4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4</v>
          </cell>
        </row>
        <row r="3148">
          <cell r="A3148" t="str">
            <v>Y908-003</v>
          </cell>
          <cell r="B3148">
            <v>0</v>
          </cell>
          <cell r="C3148" t="str">
            <v>Y908</v>
          </cell>
          <cell r="D3148">
            <v>0</v>
          </cell>
          <cell r="E3148" t="str">
            <v>POLY</v>
          </cell>
          <cell r="F3148" t="str">
            <v>1600*20*8</v>
          </cell>
          <cell r="G3148">
            <v>1600</v>
          </cell>
          <cell r="H3148">
            <v>20</v>
          </cell>
          <cell r="I3148">
            <v>8</v>
          </cell>
          <cell r="J3148">
            <v>240</v>
          </cell>
          <cell r="K3148">
            <v>0</v>
          </cell>
          <cell r="L3148">
            <v>0.84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3.5</v>
          </cell>
        </row>
        <row r="3149">
          <cell r="A3149" t="str">
            <v>Y908-004</v>
          </cell>
          <cell r="B3149">
            <v>0</v>
          </cell>
          <cell r="C3149" t="str">
            <v>Y908</v>
          </cell>
          <cell r="D3149">
            <v>0</v>
          </cell>
          <cell r="E3149" t="str">
            <v>POLY</v>
          </cell>
          <cell r="F3149" t="str">
            <v>78*78*121</v>
          </cell>
          <cell r="G3149">
            <v>78</v>
          </cell>
          <cell r="H3149">
            <v>78</v>
          </cell>
          <cell r="I3149">
            <v>121</v>
          </cell>
          <cell r="J3149">
            <v>0</v>
          </cell>
          <cell r="K3149">
            <v>0</v>
          </cell>
          <cell r="L3149">
            <v>0.35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 t="e">
            <v>#DIV/0!</v>
          </cell>
        </row>
        <row r="3150">
          <cell r="A3150" t="str">
            <v>Y908-005</v>
          </cell>
          <cell r="B3150">
            <v>0</v>
          </cell>
          <cell r="C3150" t="str">
            <v>Y908</v>
          </cell>
          <cell r="D3150">
            <v>0</v>
          </cell>
          <cell r="E3150" t="str">
            <v>POLY</v>
          </cell>
          <cell r="F3150" t="str">
            <v>1700*8*4</v>
          </cell>
          <cell r="G3150">
            <v>1700</v>
          </cell>
          <cell r="H3150">
            <v>8</v>
          </cell>
          <cell r="I3150">
            <v>4</v>
          </cell>
          <cell r="J3150">
            <v>0</v>
          </cell>
          <cell r="K3150">
            <v>0</v>
          </cell>
          <cell r="L3150">
            <v>0.35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 t="e">
            <v>#DIV/0!</v>
          </cell>
        </row>
        <row r="3151">
          <cell r="A3151" t="str">
            <v>Y908-006</v>
          </cell>
          <cell r="B3151">
            <v>0</v>
          </cell>
          <cell r="C3151" t="str">
            <v>Y908</v>
          </cell>
          <cell r="D3151">
            <v>0</v>
          </cell>
          <cell r="E3151" t="str">
            <v>POLY 飾花</v>
          </cell>
          <cell r="F3151" t="str">
            <v>240*50*5</v>
          </cell>
          <cell r="G3151">
            <v>240</v>
          </cell>
          <cell r="H3151">
            <v>50</v>
          </cell>
          <cell r="I3151">
            <v>5</v>
          </cell>
          <cell r="J3151">
            <v>0</v>
          </cell>
          <cell r="K3151">
            <v>0</v>
          </cell>
          <cell r="L3151">
            <v>0.1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 t="e">
            <v>#DIV/0!</v>
          </cell>
        </row>
        <row r="3152">
          <cell r="A3152" t="str">
            <v>Y908-007</v>
          </cell>
          <cell r="B3152">
            <v>0</v>
          </cell>
          <cell r="C3152" t="str">
            <v>Y908</v>
          </cell>
          <cell r="D3152">
            <v>0</v>
          </cell>
          <cell r="E3152" t="str">
            <v>POLY 飾花</v>
          </cell>
          <cell r="F3152" t="str">
            <v>240*50*5</v>
          </cell>
          <cell r="G3152">
            <v>240</v>
          </cell>
          <cell r="H3152">
            <v>50</v>
          </cell>
          <cell r="I3152">
            <v>5</v>
          </cell>
          <cell r="J3152">
            <v>0</v>
          </cell>
          <cell r="K3152">
            <v>0</v>
          </cell>
          <cell r="L3152">
            <v>0.1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 t="e">
            <v>#DIV/0!</v>
          </cell>
        </row>
        <row r="3153">
          <cell r="A3153" t="str">
            <v>Y908-008</v>
          </cell>
          <cell r="B3153">
            <v>0</v>
          </cell>
          <cell r="C3153" t="str">
            <v>Y908</v>
          </cell>
          <cell r="D3153">
            <v>0</v>
          </cell>
          <cell r="E3153" t="str">
            <v>POLY 飾花</v>
          </cell>
          <cell r="F3153" t="str">
            <v>390*60*5</v>
          </cell>
          <cell r="G3153">
            <v>390</v>
          </cell>
          <cell r="H3153">
            <v>60</v>
          </cell>
          <cell r="I3153">
            <v>5</v>
          </cell>
          <cell r="J3153">
            <v>0</v>
          </cell>
          <cell r="K3153">
            <v>0</v>
          </cell>
          <cell r="L3153">
            <v>0.20200000000000001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 t="e">
            <v>#DIV/0!</v>
          </cell>
        </row>
        <row r="3154">
          <cell r="A3154" t="str">
            <v>Y908-009</v>
          </cell>
          <cell r="B3154">
            <v>0</v>
          </cell>
          <cell r="C3154" t="str">
            <v>Y908</v>
          </cell>
          <cell r="D3154">
            <v>0</v>
          </cell>
          <cell r="E3154" t="str">
            <v>POLY 飾花</v>
          </cell>
          <cell r="F3154" t="str">
            <v>390*60*5</v>
          </cell>
          <cell r="G3154">
            <v>390</v>
          </cell>
          <cell r="H3154">
            <v>60</v>
          </cell>
          <cell r="I3154">
            <v>5</v>
          </cell>
          <cell r="J3154">
            <v>0</v>
          </cell>
          <cell r="K3154">
            <v>0</v>
          </cell>
          <cell r="L3154">
            <v>0.20200000000000001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 t="e">
            <v>#DIV/0!</v>
          </cell>
        </row>
        <row r="3155">
          <cell r="A3155" t="str">
            <v>Y908-010</v>
          </cell>
          <cell r="B3155">
            <v>0</v>
          </cell>
          <cell r="C3155" t="str">
            <v>Y908</v>
          </cell>
          <cell r="D3155">
            <v>0</v>
          </cell>
          <cell r="E3155" t="str">
            <v>POLY 飾花</v>
          </cell>
          <cell r="F3155" t="str">
            <v>175*40*5</v>
          </cell>
          <cell r="G3155">
            <v>175</v>
          </cell>
          <cell r="H3155">
            <v>40</v>
          </cell>
          <cell r="I3155">
            <v>5</v>
          </cell>
          <cell r="J3155">
            <v>0</v>
          </cell>
          <cell r="K3155">
            <v>0</v>
          </cell>
          <cell r="L3155">
            <v>7.0000000000000007E-2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 t="e">
            <v>#DIV/0!</v>
          </cell>
        </row>
        <row r="3156">
          <cell r="A3156" t="str">
            <v>Y908-011</v>
          </cell>
          <cell r="B3156">
            <v>0</v>
          </cell>
          <cell r="C3156" t="str">
            <v>Y908</v>
          </cell>
          <cell r="D3156">
            <v>0</v>
          </cell>
          <cell r="E3156" t="str">
            <v>POLY 飾花</v>
          </cell>
          <cell r="F3156" t="str">
            <v>175*40*5</v>
          </cell>
          <cell r="G3156">
            <v>175</v>
          </cell>
          <cell r="H3156">
            <v>40</v>
          </cell>
          <cell r="I3156">
            <v>5</v>
          </cell>
          <cell r="J3156">
            <v>0</v>
          </cell>
          <cell r="K3156">
            <v>0</v>
          </cell>
          <cell r="L3156">
            <v>7.0000000000000007E-2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 t="e">
            <v>#DIV/0!</v>
          </cell>
        </row>
        <row r="3157">
          <cell r="A3157" t="str">
            <v>Y908-012</v>
          </cell>
          <cell r="B3157">
            <v>0</v>
          </cell>
          <cell r="C3157" t="str">
            <v>Y908</v>
          </cell>
          <cell r="D3157">
            <v>0</v>
          </cell>
          <cell r="E3157" t="str">
            <v>POLY 飾花</v>
          </cell>
          <cell r="F3157" t="str">
            <v>195*35*5</v>
          </cell>
          <cell r="G3157">
            <v>195</v>
          </cell>
          <cell r="H3157">
            <v>35</v>
          </cell>
          <cell r="I3157">
            <v>5</v>
          </cell>
          <cell r="J3157">
            <v>0</v>
          </cell>
          <cell r="K3157">
            <v>0</v>
          </cell>
          <cell r="L3157">
            <v>9.1999999999999998E-2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 t="e">
            <v>#DIV/0!</v>
          </cell>
        </row>
        <row r="3158">
          <cell r="A3158" t="str">
            <v>Y908-013</v>
          </cell>
          <cell r="B3158">
            <v>0</v>
          </cell>
          <cell r="C3158" t="str">
            <v>Y908</v>
          </cell>
          <cell r="D3158">
            <v>0</v>
          </cell>
          <cell r="E3158" t="str">
            <v>POLY 飾花</v>
          </cell>
          <cell r="F3158" t="str">
            <v>195*35*5</v>
          </cell>
          <cell r="G3158">
            <v>195</v>
          </cell>
          <cell r="H3158">
            <v>35</v>
          </cell>
          <cell r="I3158">
            <v>5</v>
          </cell>
          <cell r="J3158">
            <v>0</v>
          </cell>
          <cell r="K3158">
            <v>0</v>
          </cell>
          <cell r="L3158">
            <v>9.1999999999999998E-2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 t="e">
            <v>#DIV/0!</v>
          </cell>
        </row>
        <row r="3159">
          <cell r="A3159" t="str">
            <v>Y908-014</v>
          </cell>
          <cell r="B3159">
            <v>0</v>
          </cell>
          <cell r="C3159" t="str">
            <v>Y908</v>
          </cell>
          <cell r="D3159">
            <v>0</v>
          </cell>
          <cell r="E3159" t="str">
            <v>POLY 飾花</v>
          </cell>
          <cell r="F3159" t="str">
            <v>190*30*5</v>
          </cell>
          <cell r="G3159">
            <v>190</v>
          </cell>
          <cell r="H3159">
            <v>30</v>
          </cell>
          <cell r="I3159">
            <v>5</v>
          </cell>
          <cell r="J3159">
            <v>0</v>
          </cell>
          <cell r="K3159">
            <v>0</v>
          </cell>
          <cell r="L3159">
            <v>9.1999999999999998E-2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 t="e">
            <v>#DIV/0!</v>
          </cell>
        </row>
        <row r="3160">
          <cell r="A3160" t="str">
            <v>Y908-015</v>
          </cell>
          <cell r="B3160">
            <v>0</v>
          </cell>
          <cell r="C3160" t="str">
            <v>Y908</v>
          </cell>
          <cell r="D3160">
            <v>0</v>
          </cell>
          <cell r="E3160" t="str">
            <v>POLY 飾花</v>
          </cell>
          <cell r="F3160" t="str">
            <v>190*30*5</v>
          </cell>
          <cell r="G3160">
            <v>190</v>
          </cell>
          <cell r="H3160">
            <v>30</v>
          </cell>
          <cell r="I3160">
            <v>5</v>
          </cell>
          <cell r="J3160">
            <v>0</v>
          </cell>
          <cell r="K3160">
            <v>0</v>
          </cell>
          <cell r="L3160">
            <v>9.1999999999999998E-2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 t="e">
            <v>#DIV/0!</v>
          </cell>
        </row>
        <row r="3161">
          <cell r="A3161" t="str">
            <v>Y908-016</v>
          </cell>
          <cell r="B3161">
            <v>0</v>
          </cell>
          <cell r="C3161" t="str">
            <v>Y908</v>
          </cell>
          <cell r="D3161">
            <v>0</v>
          </cell>
          <cell r="E3161" t="str">
            <v>POLY 飾花</v>
          </cell>
          <cell r="F3161" t="str">
            <v>115*45*5</v>
          </cell>
          <cell r="G3161">
            <v>115</v>
          </cell>
          <cell r="H3161">
            <v>45</v>
          </cell>
          <cell r="I3161">
            <v>5</v>
          </cell>
          <cell r="J3161">
            <v>0</v>
          </cell>
          <cell r="K3161">
            <v>0</v>
          </cell>
          <cell r="L3161">
            <v>0.06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 t="e">
            <v>#DIV/0!</v>
          </cell>
        </row>
        <row r="3162">
          <cell r="A3162" t="str">
            <v>Y908-017</v>
          </cell>
          <cell r="B3162">
            <v>0</v>
          </cell>
          <cell r="C3162" t="str">
            <v>Y908</v>
          </cell>
          <cell r="D3162">
            <v>0</v>
          </cell>
          <cell r="E3162" t="str">
            <v>POLY 飾花</v>
          </cell>
          <cell r="F3162" t="str">
            <v>115*45*5</v>
          </cell>
          <cell r="G3162">
            <v>115</v>
          </cell>
          <cell r="H3162">
            <v>45</v>
          </cell>
          <cell r="I3162">
            <v>5</v>
          </cell>
          <cell r="J3162">
            <v>0</v>
          </cell>
          <cell r="K3162">
            <v>0</v>
          </cell>
          <cell r="L3162">
            <v>0.06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 t="e">
            <v>#DIV/0!</v>
          </cell>
        </row>
        <row r="3163">
          <cell r="A3163" t="str">
            <v>Y908-018</v>
          </cell>
          <cell r="B3163">
            <v>0</v>
          </cell>
          <cell r="C3163" t="str">
            <v>Y908</v>
          </cell>
          <cell r="D3163">
            <v>0</v>
          </cell>
          <cell r="E3163" t="str">
            <v>POLY 飾花</v>
          </cell>
          <cell r="F3163" t="str">
            <v>270*50*5</v>
          </cell>
          <cell r="G3163">
            <v>270</v>
          </cell>
          <cell r="H3163">
            <v>50</v>
          </cell>
          <cell r="I3163">
            <v>5</v>
          </cell>
          <cell r="J3163">
            <v>0</v>
          </cell>
          <cell r="K3163">
            <v>0</v>
          </cell>
          <cell r="L3163">
            <v>0.12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 t="e">
            <v>#DIV/0!</v>
          </cell>
        </row>
        <row r="3164">
          <cell r="A3164" t="str">
            <v>Y908-019</v>
          </cell>
          <cell r="B3164">
            <v>0</v>
          </cell>
          <cell r="C3164" t="str">
            <v>Y908</v>
          </cell>
          <cell r="D3164">
            <v>0</v>
          </cell>
          <cell r="E3164" t="str">
            <v>POLY 飾花</v>
          </cell>
          <cell r="F3164" t="str">
            <v>270*50*5</v>
          </cell>
          <cell r="G3164">
            <v>270</v>
          </cell>
          <cell r="H3164">
            <v>50</v>
          </cell>
          <cell r="I3164">
            <v>5</v>
          </cell>
          <cell r="J3164">
            <v>0</v>
          </cell>
          <cell r="K3164">
            <v>0</v>
          </cell>
          <cell r="L3164">
            <v>0.12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 t="e">
            <v>#DIV/0!</v>
          </cell>
        </row>
        <row r="3165">
          <cell r="A3165" t="str">
            <v>Y908-020</v>
          </cell>
          <cell r="B3165">
            <v>0</v>
          </cell>
          <cell r="C3165" t="str">
            <v>Y908</v>
          </cell>
          <cell r="D3165">
            <v>0</v>
          </cell>
          <cell r="E3165" t="str">
            <v>POLY 飾花</v>
          </cell>
          <cell r="F3165" t="str">
            <v>340*85*5</v>
          </cell>
          <cell r="G3165">
            <v>340</v>
          </cell>
          <cell r="H3165">
            <v>85</v>
          </cell>
          <cell r="I3165">
            <v>5</v>
          </cell>
          <cell r="J3165">
            <v>0</v>
          </cell>
          <cell r="K3165">
            <v>0</v>
          </cell>
          <cell r="L3165">
            <v>0.2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 t="e">
            <v>#DIV/0!</v>
          </cell>
        </row>
        <row r="3166">
          <cell r="A3166" t="str">
            <v>Y908-021</v>
          </cell>
          <cell r="B3166">
            <v>0</v>
          </cell>
          <cell r="C3166" t="str">
            <v>Y908</v>
          </cell>
          <cell r="D3166">
            <v>0</v>
          </cell>
          <cell r="E3166" t="str">
            <v>POLY 飾花</v>
          </cell>
          <cell r="F3166" t="str">
            <v>340*85*5</v>
          </cell>
          <cell r="G3166">
            <v>340</v>
          </cell>
          <cell r="H3166">
            <v>85</v>
          </cell>
          <cell r="I3166">
            <v>5</v>
          </cell>
          <cell r="J3166">
            <v>0</v>
          </cell>
          <cell r="K3166">
            <v>0</v>
          </cell>
          <cell r="L3166">
            <v>0.2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 t="e">
            <v>#DIV/0!</v>
          </cell>
        </row>
        <row r="3167">
          <cell r="A3167" t="str">
            <v>Y908-022</v>
          </cell>
          <cell r="B3167">
            <v>0</v>
          </cell>
          <cell r="C3167" t="str">
            <v>Y908</v>
          </cell>
          <cell r="D3167">
            <v>0</v>
          </cell>
          <cell r="E3167" t="str">
            <v>POLY 飾花</v>
          </cell>
          <cell r="F3167" t="str">
            <v>125*35*5</v>
          </cell>
          <cell r="G3167">
            <v>125</v>
          </cell>
          <cell r="H3167">
            <v>35</v>
          </cell>
          <cell r="I3167">
            <v>5</v>
          </cell>
          <cell r="J3167">
            <v>0</v>
          </cell>
          <cell r="K3167">
            <v>0</v>
          </cell>
          <cell r="L3167">
            <v>0.06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 t="e">
            <v>#DIV/0!</v>
          </cell>
        </row>
        <row r="3168">
          <cell r="A3168" t="str">
            <v>Y908-023</v>
          </cell>
          <cell r="B3168">
            <v>0</v>
          </cell>
          <cell r="C3168" t="str">
            <v>Y908</v>
          </cell>
          <cell r="D3168">
            <v>0</v>
          </cell>
          <cell r="E3168" t="str">
            <v>POLY 飾花</v>
          </cell>
          <cell r="F3168" t="str">
            <v>125*35*5</v>
          </cell>
          <cell r="G3168">
            <v>125</v>
          </cell>
          <cell r="H3168">
            <v>35</v>
          </cell>
          <cell r="I3168">
            <v>5</v>
          </cell>
          <cell r="J3168">
            <v>0</v>
          </cell>
          <cell r="K3168">
            <v>0</v>
          </cell>
          <cell r="L3168">
            <v>0.06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 t="e">
            <v>#DIV/0!</v>
          </cell>
        </row>
        <row r="3169">
          <cell r="A3169" t="str">
            <v>Y909-001</v>
          </cell>
          <cell r="B3169">
            <v>0</v>
          </cell>
          <cell r="C3169" t="str">
            <v>Y909</v>
          </cell>
          <cell r="D3169">
            <v>0</v>
          </cell>
          <cell r="E3169" t="str">
            <v>POLY</v>
          </cell>
          <cell r="F3169" t="str">
            <v>13*33*800</v>
          </cell>
          <cell r="G3169">
            <v>14</v>
          </cell>
          <cell r="H3169">
            <v>33</v>
          </cell>
          <cell r="I3169">
            <v>800</v>
          </cell>
          <cell r="J3169">
            <v>0</v>
          </cell>
          <cell r="K3169">
            <v>0</v>
          </cell>
          <cell r="L3169">
            <v>1.25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 t="e">
            <v>#DIV/0!</v>
          </cell>
        </row>
        <row r="3170">
          <cell r="A3170" t="str">
            <v>Y909-002</v>
          </cell>
          <cell r="B3170">
            <v>0</v>
          </cell>
          <cell r="C3170" t="str">
            <v>Y909</v>
          </cell>
          <cell r="D3170">
            <v>0</v>
          </cell>
          <cell r="E3170" t="str">
            <v>POLY</v>
          </cell>
          <cell r="F3170" t="str">
            <v>13*33*1100</v>
          </cell>
          <cell r="G3170">
            <v>14</v>
          </cell>
          <cell r="H3170">
            <v>33</v>
          </cell>
          <cell r="I3170">
            <v>1100</v>
          </cell>
          <cell r="J3170">
            <v>0</v>
          </cell>
          <cell r="K3170">
            <v>0</v>
          </cell>
          <cell r="L3170">
            <v>1.68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 t="e">
            <v>#DIV/0!</v>
          </cell>
        </row>
        <row r="3171">
          <cell r="A3171" t="str">
            <v>Y909-003</v>
          </cell>
          <cell r="B3171">
            <v>0</v>
          </cell>
          <cell r="C3171" t="str">
            <v>Y909</v>
          </cell>
          <cell r="D3171">
            <v>0</v>
          </cell>
          <cell r="E3171" t="str">
            <v>POLY</v>
          </cell>
          <cell r="F3171" t="str">
            <v>13*33*1300</v>
          </cell>
          <cell r="G3171">
            <v>14</v>
          </cell>
          <cell r="H3171">
            <v>33</v>
          </cell>
          <cell r="I3171">
            <v>1300</v>
          </cell>
          <cell r="J3171">
            <v>0</v>
          </cell>
          <cell r="K3171">
            <v>0</v>
          </cell>
          <cell r="L3171">
            <v>1.99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 t="e">
            <v>#DIV/0!</v>
          </cell>
        </row>
        <row r="3172">
          <cell r="A3172" t="str">
            <v>Y910-001</v>
          </cell>
          <cell r="B3172">
            <v>0</v>
          </cell>
          <cell r="C3172" t="str">
            <v>Y910</v>
          </cell>
          <cell r="D3172">
            <v>0</v>
          </cell>
          <cell r="E3172" t="str">
            <v>POLY</v>
          </cell>
          <cell r="F3172" t="str">
            <v>5*10*710</v>
          </cell>
          <cell r="G3172">
            <v>5</v>
          </cell>
          <cell r="H3172">
            <v>10</v>
          </cell>
          <cell r="I3172">
            <v>710</v>
          </cell>
          <cell r="J3172">
            <v>0</v>
          </cell>
          <cell r="K3172">
            <v>0</v>
          </cell>
          <cell r="L3172">
            <v>0.12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 t="e">
            <v>#DIV/0!</v>
          </cell>
        </row>
        <row r="3173">
          <cell r="A3173" t="str">
            <v>Y911-001</v>
          </cell>
          <cell r="B3173">
            <v>0</v>
          </cell>
          <cell r="C3173" t="str">
            <v>Y911</v>
          </cell>
          <cell r="D3173" t="str">
            <v>Chỉ 1/4 R7-poly</v>
          </cell>
          <cell r="E3173" t="str">
            <v>1/4饰条</v>
          </cell>
          <cell r="F3173" t="str">
            <v>1000*7*7</v>
          </cell>
          <cell r="G3173">
            <v>1000</v>
          </cell>
          <cell r="H3173">
            <v>7</v>
          </cell>
          <cell r="I3173">
            <v>7</v>
          </cell>
          <cell r="J3173">
            <v>50</v>
          </cell>
          <cell r="K3173">
            <v>0</v>
          </cell>
          <cell r="L3173">
            <v>0.17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3.4</v>
          </cell>
        </row>
        <row r="3174">
          <cell r="A3174" t="str">
            <v>Y911-002</v>
          </cell>
          <cell r="B3174">
            <v>0</v>
          </cell>
          <cell r="C3174" t="str">
            <v>Y911</v>
          </cell>
          <cell r="D3174" t="str">
            <v>Chỉ U8-Poly</v>
          </cell>
          <cell r="E3174" t="str">
            <v>半圆饰条</v>
          </cell>
          <cell r="F3174" t="str">
            <v>1000*8*6</v>
          </cell>
          <cell r="G3174">
            <v>1000</v>
          </cell>
          <cell r="H3174">
            <v>8</v>
          </cell>
          <cell r="I3174">
            <v>6</v>
          </cell>
          <cell r="J3174">
            <v>80</v>
          </cell>
          <cell r="K3174">
            <v>0</v>
          </cell>
          <cell r="L3174">
            <v>0.27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3.375</v>
          </cell>
        </row>
        <row r="3175">
          <cell r="A3175" t="str">
            <v>Y912-001</v>
          </cell>
          <cell r="B3175">
            <v>0</v>
          </cell>
          <cell r="C3175" t="str">
            <v>Y912</v>
          </cell>
          <cell r="D3175" t="str">
            <v>Chỉ nhưa poly</v>
          </cell>
          <cell r="E3175" t="str">
            <v>饰条</v>
          </cell>
          <cell r="F3175" t="str">
            <v>15*20*1476</v>
          </cell>
          <cell r="G3175">
            <v>15</v>
          </cell>
          <cell r="H3175">
            <v>20</v>
          </cell>
          <cell r="I3175">
            <v>1476</v>
          </cell>
          <cell r="J3175">
            <v>625</v>
          </cell>
          <cell r="K3175">
            <v>0</v>
          </cell>
          <cell r="L3175">
            <v>1.77</v>
          </cell>
          <cell r="M3175">
            <v>0</v>
          </cell>
          <cell r="N3175">
            <v>0</v>
          </cell>
          <cell r="O3175">
            <v>0</v>
          </cell>
          <cell r="P3175" t="str">
            <v>1010</v>
          </cell>
          <cell r="Q3175" t="str">
            <v>1010</v>
          </cell>
          <cell r="R3175">
            <v>2.8319999999999999</v>
          </cell>
          <cell r="S3175">
            <v>0</v>
          </cell>
        </row>
        <row r="3176">
          <cell r="A3176" t="str">
            <v>Y912-002</v>
          </cell>
          <cell r="B3176">
            <v>0</v>
          </cell>
          <cell r="C3176" t="str">
            <v>Y912</v>
          </cell>
          <cell r="D3176">
            <v>0</v>
          </cell>
          <cell r="E3176">
            <v>0</v>
          </cell>
          <cell r="F3176">
            <v>0</v>
          </cell>
          <cell r="G3176">
            <v>700</v>
          </cell>
          <cell r="H3176">
            <v>25</v>
          </cell>
          <cell r="I3176">
            <v>15</v>
          </cell>
          <cell r="J3176">
            <v>242</v>
          </cell>
          <cell r="K3176" t="str">
            <v>未確認</v>
          </cell>
          <cell r="L3176">
            <v>0.65</v>
          </cell>
          <cell r="M3176">
            <v>0</v>
          </cell>
          <cell r="N3176">
            <v>0</v>
          </cell>
          <cell r="O3176">
            <v>0</v>
          </cell>
          <cell r="P3176" t="str">
            <v>1010</v>
          </cell>
          <cell r="Q3176" t="str">
            <v>1010</v>
          </cell>
          <cell r="R3176">
            <v>2.6859504132231407</v>
          </cell>
          <cell r="S3176">
            <v>0</v>
          </cell>
        </row>
        <row r="3177">
          <cell r="A3177" t="str">
            <v>Y912-003</v>
          </cell>
          <cell r="B3177">
            <v>0</v>
          </cell>
          <cell r="C3177" t="str">
            <v>Y912</v>
          </cell>
          <cell r="D3177">
            <v>0</v>
          </cell>
          <cell r="E3177">
            <v>0</v>
          </cell>
          <cell r="F3177">
            <v>0</v>
          </cell>
          <cell r="G3177">
            <v>1200</v>
          </cell>
          <cell r="H3177">
            <v>25</v>
          </cell>
          <cell r="I3177">
            <v>15</v>
          </cell>
          <cell r="J3177">
            <v>414</v>
          </cell>
          <cell r="K3177" t="str">
            <v>未確認</v>
          </cell>
          <cell r="L3177">
            <v>1.17</v>
          </cell>
          <cell r="M3177">
            <v>0</v>
          </cell>
          <cell r="N3177">
            <v>0</v>
          </cell>
          <cell r="O3177">
            <v>0</v>
          </cell>
          <cell r="P3177" t="str">
            <v>1010</v>
          </cell>
          <cell r="Q3177" t="str">
            <v>1010</v>
          </cell>
          <cell r="R3177">
            <v>2.8260869565217392</v>
          </cell>
          <cell r="S3177">
            <v>0</v>
          </cell>
        </row>
        <row r="3178">
          <cell r="A3178" t="str">
            <v>Y912-004</v>
          </cell>
          <cell r="B3178">
            <v>0</v>
          </cell>
          <cell r="C3178" t="str">
            <v>Y912</v>
          </cell>
          <cell r="D3178">
            <v>0</v>
          </cell>
          <cell r="E3178" t="str">
            <v>饰条</v>
          </cell>
          <cell r="F3178" t="str">
            <v>5*10*990</v>
          </cell>
          <cell r="G3178">
            <v>5</v>
          </cell>
          <cell r="H3178">
            <v>10</v>
          </cell>
          <cell r="I3178">
            <v>990</v>
          </cell>
          <cell r="J3178">
            <v>0</v>
          </cell>
          <cell r="K3178">
            <v>0</v>
          </cell>
          <cell r="L3178">
            <v>0.27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</row>
        <row r="3179">
          <cell r="A3179" t="str">
            <v>Y913-001</v>
          </cell>
          <cell r="B3179">
            <v>0</v>
          </cell>
          <cell r="C3179" t="str">
            <v>Y913</v>
          </cell>
          <cell r="D3179" t="str">
            <v>Khung poly 1</v>
          </cell>
          <cell r="E3179">
            <v>0</v>
          </cell>
          <cell r="F3179" t="str">
            <v>1015*395*50</v>
          </cell>
          <cell r="G3179">
            <v>1015</v>
          </cell>
          <cell r="H3179">
            <v>395</v>
          </cell>
          <cell r="I3179">
            <v>50</v>
          </cell>
          <cell r="J3179">
            <v>0</v>
          </cell>
          <cell r="K3179">
            <v>0</v>
          </cell>
          <cell r="L3179">
            <v>5.5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 t="e">
            <v>#DIV/0!</v>
          </cell>
          <cell r="S3179">
            <v>0</v>
          </cell>
        </row>
        <row r="3180">
          <cell r="A3180" t="str">
            <v>Y913-002</v>
          </cell>
          <cell r="B3180">
            <v>0</v>
          </cell>
          <cell r="C3180" t="str">
            <v>Y913</v>
          </cell>
          <cell r="D3180" t="str">
            <v>Khung poly 2</v>
          </cell>
          <cell r="E3180">
            <v>0</v>
          </cell>
          <cell r="F3180" t="str">
            <v>545*545*30</v>
          </cell>
          <cell r="G3180">
            <v>545</v>
          </cell>
          <cell r="H3180">
            <v>545</v>
          </cell>
          <cell r="I3180">
            <v>30</v>
          </cell>
          <cell r="J3180">
            <v>0</v>
          </cell>
          <cell r="K3180">
            <v>0</v>
          </cell>
          <cell r="L3180">
            <v>3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 t="e">
            <v>#DIV/0!</v>
          </cell>
          <cell r="S3180">
            <v>0</v>
          </cell>
        </row>
        <row r="3181">
          <cell r="A3181" t="str">
            <v>Y913-003</v>
          </cell>
          <cell r="B3181">
            <v>0</v>
          </cell>
          <cell r="C3181" t="str">
            <v>Y913</v>
          </cell>
          <cell r="D3181" t="str">
            <v>BH20055</v>
          </cell>
          <cell r="E3181">
            <v>0</v>
          </cell>
          <cell r="F3181" t="str">
            <v>403*392*30.5</v>
          </cell>
          <cell r="G3181">
            <v>403</v>
          </cell>
          <cell r="H3181">
            <v>392</v>
          </cell>
          <cell r="I3181">
            <v>30.5</v>
          </cell>
          <cell r="J3181">
            <v>0</v>
          </cell>
          <cell r="K3181">
            <v>0</v>
          </cell>
          <cell r="L3181">
            <v>4.45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</row>
        <row r="3182">
          <cell r="A3182" t="str">
            <v>Y913-004</v>
          </cell>
          <cell r="B3182">
            <v>0</v>
          </cell>
          <cell r="C3182" t="str">
            <v>Y913</v>
          </cell>
          <cell r="D3182" t="str">
            <v>BH20056</v>
          </cell>
          <cell r="E3182">
            <v>0</v>
          </cell>
          <cell r="F3182" t="str">
            <v>945*365*47</v>
          </cell>
          <cell r="G3182">
            <v>945</v>
          </cell>
          <cell r="H3182">
            <v>365</v>
          </cell>
          <cell r="I3182">
            <v>47</v>
          </cell>
          <cell r="J3182">
            <v>0</v>
          </cell>
          <cell r="K3182">
            <v>0</v>
          </cell>
          <cell r="L3182">
            <v>7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</row>
        <row r="3183">
          <cell r="A3183" t="str">
            <v>Y913-005</v>
          </cell>
          <cell r="B3183">
            <v>0</v>
          </cell>
          <cell r="C3183" t="str">
            <v>Y913</v>
          </cell>
          <cell r="D3183" t="str">
            <v>G3822/4275 trang trí</v>
          </cell>
          <cell r="E3183">
            <v>0</v>
          </cell>
          <cell r="F3183" t="str">
            <v>403*340*30.5</v>
          </cell>
          <cell r="G3183">
            <v>403</v>
          </cell>
          <cell r="H3183">
            <v>340</v>
          </cell>
          <cell r="I3183">
            <v>30.5</v>
          </cell>
          <cell r="J3183">
            <v>0</v>
          </cell>
          <cell r="K3183">
            <v>0</v>
          </cell>
          <cell r="L3183">
            <v>3.24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</row>
        <row r="3184">
          <cell r="A3184" t="str">
            <v>Y913-006</v>
          </cell>
          <cell r="B3184">
            <v>0</v>
          </cell>
          <cell r="C3184">
            <v>0</v>
          </cell>
          <cell r="D3184" t="str">
            <v>khung poly G3414</v>
          </cell>
          <cell r="E3184">
            <v>0</v>
          </cell>
          <cell r="F3184" t="str">
            <v>898*508*25</v>
          </cell>
          <cell r="G3184">
            <v>898</v>
          </cell>
          <cell r="H3184">
            <v>508</v>
          </cell>
          <cell r="I3184">
            <v>25</v>
          </cell>
          <cell r="J3184">
            <v>0</v>
          </cell>
          <cell r="K3184">
            <v>0</v>
          </cell>
          <cell r="L3184">
            <v>5.8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</row>
        <row r="3185">
          <cell r="A3185" t="str">
            <v>Y915-001</v>
          </cell>
          <cell r="B3185">
            <v>0</v>
          </cell>
          <cell r="C3185" t="str">
            <v>Y915</v>
          </cell>
          <cell r="D3185">
            <v>0</v>
          </cell>
          <cell r="E3185" t="str">
            <v>饰花</v>
          </cell>
          <cell r="F3185" t="str">
            <v>320*50*5</v>
          </cell>
          <cell r="G3185">
            <v>320</v>
          </cell>
          <cell r="H3185">
            <v>50</v>
          </cell>
          <cell r="I3185">
            <v>5</v>
          </cell>
          <cell r="J3185">
            <v>50</v>
          </cell>
          <cell r="K3185">
            <v>0</v>
          </cell>
          <cell r="L3185">
            <v>1.06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 t="str">
            <v>1010</v>
          </cell>
          <cell r="R3185">
            <v>21.2</v>
          </cell>
          <cell r="S3185">
            <v>0</v>
          </cell>
        </row>
        <row r="3186">
          <cell r="A3186" t="str">
            <v>Y916-001</v>
          </cell>
          <cell r="B3186">
            <v>0</v>
          </cell>
          <cell r="C3186" t="str">
            <v>Y916</v>
          </cell>
          <cell r="D3186" t="str">
            <v>POLY FT0341</v>
          </cell>
          <cell r="E3186">
            <v>0</v>
          </cell>
          <cell r="F3186" t="str">
            <v>994*15*20</v>
          </cell>
          <cell r="G3186">
            <v>994</v>
          </cell>
          <cell r="H3186">
            <v>15</v>
          </cell>
          <cell r="I3186">
            <v>20</v>
          </cell>
          <cell r="J3186">
            <v>0</v>
          </cell>
          <cell r="K3186">
            <v>0</v>
          </cell>
          <cell r="L3186">
            <v>1.32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</row>
        <row r="3187">
          <cell r="A3187" t="str">
            <v>Y917-001</v>
          </cell>
          <cell r="B3187" t="str">
            <v>Y064</v>
          </cell>
          <cell r="C3187">
            <v>0</v>
          </cell>
          <cell r="D3187" t="str">
            <v>poly 饰条</v>
          </cell>
          <cell r="E3187">
            <v>0</v>
          </cell>
          <cell r="F3187" t="str">
            <v>1300*19*10</v>
          </cell>
          <cell r="G3187">
            <v>1300</v>
          </cell>
          <cell r="H3187">
            <v>19</v>
          </cell>
          <cell r="I3187">
            <v>10</v>
          </cell>
          <cell r="J3187">
            <v>0</v>
          </cell>
          <cell r="K3187">
            <v>0</v>
          </cell>
          <cell r="L3187">
            <v>0.81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</row>
        <row r="3188">
          <cell r="A3188" t="str">
            <v>Y917-002</v>
          </cell>
          <cell r="B3188" t="str">
            <v>Y022</v>
          </cell>
          <cell r="C3188">
            <v>0</v>
          </cell>
          <cell r="D3188" t="str">
            <v>poly 饰条</v>
          </cell>
          <cell r="E3188">
            <v>0</v>
          </cell>
          <cell r="F3188" t="str">
            <v>1320*18*7</v>
          </cell>
          <cell r="G3188">
            <v>1320</v>
          </cell>
          <cell r="H3188">
            <v>18</v>
          </cell>
          <cell r="I3188">
            <v>7</v>
          </cell>
          <cell r="J3188">
            <v>0</v>
          </cell>
          <cell r="K3188">
            <v>0</v>
          </cell>
          <cell r="L3188">
            <v>0.6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</row>
        <row r="3189">
          <cell r="A3189" t="str">
            <v>Y918-001</v>
          </cell>
          <cell r="B3189">
            <v>0</v>
          </cell>
          <cell r="C3189" t="str">
            <v>Y078</v>
          </cell>
          <cell r="D3189" t="str">
            <v>POLY HÌNH TRÒN</v>
          </cell>
          <cell r="E3189">
            <v>0</v>
          </cell>
          <cell r="F3189" t="str">
            <v>200*200*13</v>
          </cell>
          <cell r="G3189">
            <v>200</v>
          </cell>
          <cell r="H3189">
            <v>200</v>
          </cell>
          <cell r="I3189">
            <v>13</v>
          </cell>
          <cell r="J3189">
            <v>0</v>
          </cell>
          <cell r="K3189">
            <v>0</v>
          </cell>
          <cell r="L3189">
            <v>1.1000000000000001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</row>
        <row r="3190">
          <cell r="A3190" t="str">
            <v>Y918-002</v>
          </cell>
          <cell r="B3190">
            <v>0</v>
          </cell>
          <cell r="C3190" t="str">
            <v>Y078</v>
          </cell>
          <cell r="D3190" t="str">
            <v>POLY HÌNH BÔNG HOA</v>
          </cell>
          <cell r="E3190">
            <v>0</v>
          </cell>
          <cell r="F3190" t="str">
            <v>600*600*13</v>
          </cell>
          <cell r="G3190">
            <v>600</v>
          </cell>
          <cell r="H3190">
            <v>600</v>
          </cell>
          <cell r="I3190">
            <v>13</v>
          </cell>
          <cell r="J3190">
            <v>0</v>
          </cell>
          <cell r="K3190">
            <v>0</v>
          </cell>
          <cell r="L3190">
            <v>3.22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</row>
        <row r="3191">
          <cell r="A3191" t="str">
            <v>Y918-003</v>
          </cell>
          <cell r="B3191">
            <v>0</v>
          </cell>
          <cell r="C3191" t="str">
            <v>Y918</v>
          </cell>
          <cell r="D3191" t="str">
            <v xml:space="preserve">HÌNH TAM GIÁC </v>
          </cell>
          <cell r="E3191">
            <v>0</v>
          </cell>
          <cell r="F3191" t="str">
            <v>99*82*8</v>
          </cell>
          <cell r="G3191">
            <v>99</v>
          </cell>
          <cell r="H3191">
            <v>82</v>
          </cell>
          <cell r="I3191">
            <v>8</v>
          </cell>
          <cell r="J3191">
            <v>0</v>
          </cell>
          <cell r="K3191">
            <v>0</v>
          </cell>
          <cell r="L3191">
            <v>0.08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</row>
        <row r="3192">
          <cell r="A3192" t="str">
            <v>Y918-004</v>
          </cell>
          <cell r="B3192">
            <v>0</v>
          </cell>
          <cell r="C3192" t="str">
            <v>Y918</v>
          </cell>
          <cell r="D3192" t="str">
            <v xml:space="preserve">HÌNH TAM GIÁC </v>
          </cell>
          <cell r="E3192">
            <v>0</v>
          </cell>
          <cell r="F3192" t="str">
            <v>77*62*8</v>
          </cell>
          <cell r="G3192">
            <v>77</v>
          </cell>
          <cell r="H3192">
            <v>62</v>
          </cell>
          <cell r="I3192">
            <v>8</v>
          </cell>
          <cell r="J3192">
            <v>0</v>
          </cell>
          <cell r="K3192">
            <v>0</v>
          </cell>
          <cell r="L3192">
            <v>0.06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</row>
        <row r="3193">
          <cell r="A3193" t="str">
            <v>Y918-005</v>
          </cell>
          <cell r="B3193">
            <v>0</v>
          </cell>
          <cell r="C3193" t="str">
            <v>Y918</v>
          </cell>
          <cell r="D3193" t="str">
            <v>HÌNH TRÒN HOA</v>
          </cell>
          <cell r="E3193">
            <v>0</v>
          </cell>
          <cell r="F3193" t="str">
            <v>228*226*7</v>
          </cell>
          <cell r="G3193">
            <v>228</v>
          </cell>
          <cell r="H3193">
            <v>226</v>
          </cell>
          <cell r="I3193">
            <v>7</v>
          </cell>
          <cell r="J3193">
            <v>0</v>
          </cell>
          <cell r="K3193">
            <v>0</v>
          </cell>
          <cell r="L3193">
            <v>1.1299999999999999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</row>
        <row r="3194">
          <cell r="A3194" t="str">
            <v>Y918-006</v>
          </cell>
          <cell r="B3194">
            <v>0</v>
          </cell>
          <cell r="C3194" t="str">
            <v>Y918</v>
          </cell>
          <cell r="D3194">
            <v>0</v>
          </cell>
          <cell r="E3194">
            <v>0</v>
          </cell>
          <cell r="F3194" t="str">
            <v>800*8*4</v>
          </cell>
          <cell r="G3194">
            <v>800</v>
          </cell>
          <cell r="H3194">
            <v>8</v>
          </cell>
          <cell r="I3194">
            <v>4</v>
          </cell>
          <cell r="J3194">
            <v>0</v>
          </cell>
          <cell r="K3194">
            <v>0</v>
          </cell>
          <cell r="L3194">
            <v>0.18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</row>
        <row r="3195">
          <cell r="A3195" t="str">
            <v>Y918-007</v>
          </cell>
          <cell r="B3195">
            <v>0</v>
          </cell>
          <cell r="C3195" t="str">
            <v>Y918</v>
          </cell>
          <cell r="D3195" t="str">
            <v>POLY DÂY THẲNG</v>
          </cell>
          <cell r="E3195">
            <v>0</v>
          </cell>
          <cell r="F3195" t="str">
            <v>906*23*10</v>
          </cell>
          <cell r="G3195">
            <v>906</v>
          </cell>
          <cell r="H3195">
            <v>23</v>
          </cell>
          <cell r="I3195">
            <v>10</v>
          </cell>
          <cell r="J3195">
            <v>0</v>
          </cell>
          <cell r="K3195">
            <v>0</v>
          </cell>
          <cell r="L3195">
            <v>0.85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43292</v>
          </cell>
          <cell r="T3195">
            <v>0</v>
          </cell>
        </row>
        <row r="3196">
          <cell r="A3196" t="str">
            <v>Y918-008</v>
          </cell>
          <cell r="B3196">
            <v>0</v>
          </cell>
          <cell r="C3196" t="str">
            <v>Y918</v>
          </cell>
          <cell r="D3196" t="str">
            <v xml:space="preserve">DÂY CONG </v>
          </cell>
          <cell r="E3196">
            <v>0</v>
          </cell>
          <cell r="F3196" t="str">
            <v>267*133/23*10</v>
          </cell>
          <cell r="G3196">
            <v>267</v>
          </cell>
          <cell r="H3196" t="str">
            <v>133/23</v>
          </cell>
          <cell r="I3196">
            <v>10</v>
          </cell>
          <cell r="J3196">
            <v>0</v>
          </cell>
          <cell r="K3196">
            <v>0</v>
          </cell>
          <cell r="L3196">
            <v>0.34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43292</v>
          </cell>
          <cell r="T3196">
            <v>0</v>
          </cell>
        </row>
        <row r="3197">
          <cell r="A3197" t="str">
            <v>Y918-009</v>
          </cell>
          <cell r="B3197">
            <v>0</v>
          </cell>
          <cell r="C3197" t="str">
            <v>Y918</v>
          </cell>
          <cell r="D3197" t="str">
            <v>HÌNH TỨ GIÁC◇</v>
          </cell>
          <cell r="E3197">
            <v>0</v>
          </cell>
          <cell r="F3197" t="str">
            <v>128*125*8.5</v>
          </cell>
          <cell r="G3197">
            <v>128</v>
          </cell>
          <cell r="H3197">
            <v>125</v>
          </cell>
          <cell r="I3197">
            <v>8.5</v>
          </cell>
          <cell r="J3197">
            <v>0</v>
          </cell>
          <cell r="K3197">
            <v>0</v>
          </cell>
          <cell r="L3197">
            <v>0.22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43293</v>
          </cell>
          <cell r="T3197">
            <v>0</v>
          </cell>
        </row>
        <row r="3198">
          <cell r="A3198" t="str">
            <v>Y918-010</v>
          </cell>
          <cell r="B3198">
            <v>0</v>
          </cell>
          <cell r="C3198" t="str">
            <v>Y918</v>
          </cell>
          <cell r="D3198" t="str">
            <v xml:space="preserve">HÌNH CHUÔNG </v>
          </cell>
          <cell r="E3198">
            <v>0</v>
          </cell>
          <cell r="F3198" t="str">
            <v>150*160*22</v>
          </cell>
          <cell r="G3198">
            <v>150</v>
          </cell>
          <cell r="H3198">
            <v>160</v>
          </cell>
          <cell r="I3198">
            <v>22</v>
          </cell>
          <cell r="J3198">
            <v>0</v>
          </cell>
          <cell r="K3198">
            <v>0</v>
          </cell>
          <cell r="L3198">
            <v>1.1200000000000001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43299</v>
          </cell>
          <cell r="T3198">
            <v>0</v>
          </cell>
        </row>
        <row r="3199">
          <cell r="A3199" t="str">
            <v>Y918-011</v>
          </cell>
          <cell r="B3199">
            <v>0</v>
          </cell>
          <cell r="C3199" t="str">
            <v>Y918</v>
          </cell>
          <cell r="D3199" t="str">
            <v>THANH TỨ GIÁC LỚN</v>
          </cell>
          <cell r="E3199">
            <v>0</v>
          </cell>
          <cell r="F3199" t="str">
            <v>510*180*7.5</v>
          </cell>
          <cell r="G3199">
            <v>510</v>
          </cell>
          <cell r="H3199">
            <v>180</v>
          </cell>
          <cell r="I3199">
            <v>7.5</v>
          </cell>
          <cell r="J3199">
            <v>0</v>
          </cell>
          <cell r="K3199">
            <v>0</v>
          </cell>
          <cell r="L3199">
            <v>2.21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43307</v>
          </cell>
          <cell r="T3199">
            <v>0</v>
          </cell>
        </row>
        <row r="3200">
          <cell r="A3200" t="str">
            <v>Y918-012</v>
          </cell>
          <cell r="B3200">
            <v>0</v>
          </cell>
          <cell r="C3200" t="str">
            <v>Y918</v>
          </cell>
          <cell r="D3200" t="str">
            <v>THANH TỨ GIÁC NHỎ</v>
          </cell>
          <cell r="E3200">
            <v>0</v>
          </cell>
          <cell r="F3200" t="str">
            <v>420*110*7.5</v>
          </cell>
          <cell r="G3200">
            <v>420</v>
          </cell>
          <cell r="H3200">
            <v>110</v>
          </cell>
          <cell r="I3200">
            <v>7.5</v>
          </cell>
          <cell r="J3200">
            <v>0</v>
          </cell>
          <cell r="K3200">
            <v>0</v>
          </cell>
          <cell r="L3200">
            <v>0.9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43307</v>
          </cell>
          <cell r="T3200">
            <v>0</v>
          </cell>
        </row>
        <row r="3201">
          <cell r="A3201" t="str">
            <v>Y918-013</v>
          </cell>
          <cell r="B3201">
            <v>0</v>
          </cell>
          <cell r="C3201" t="str">
            <v>Y918</v>
          </cell>
          <cell r="D3201" t="str">
            <v>HÌNH TRÒN HOA LỚN</v>
          </cell>
          <cell r="E3201">
            <v>0</v>
          </cell>
          <cell r="F3201" t="str">
            <v>410*410*13</v>
          </cell>
          <cell r="G3201">
            <v>410</v>
          </cell>
          <cell r="H3201">
            <v>410</v>
          </cell>
          <cell r="I3201">
            <v>13</v>
          </cell>
          <cell r="J3201">
            <v>0</v>
          </cell>
          <cell r="K3201">
            <v>0</v>
          </cell>
          <cell r="L3201">
            <v>5.15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</row>
        <row r="3202">
          <cell r="A3202" t="str">
            <v>Y918-014</v>
          </cell>
          <cell r="B3202">
            <v>0</v>
          </cell>
          <cell r="C3202" t="str">
            <v>Y918</v>
          </cell>
          <cell r="D3202" t="str">
            <v>HÌNH TAM GIÁC LỚN</v>
          </cell>
          <cell r="E3202">
            <v>0</v>
          </cell>
          <cell r="F3202" t="str">
            <v>140*88*7</v>
          </cell>
          <cell r="G3202">
            <v>140</v>
          </cell>
          <cell r="H3202">
            <v>88</v>
          </cell>
          <cell r="I3202">
            <v>7</v>
          </cell>
          <cell r="J3202">
            <v>0</v>
          </cell>
          <cell r="K3202">
            <v>0</v>
          </cell>
          <cell r="L3202">
            <v>0.14000000000000001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43312</v>
          </cell>
          <cell r="T3202">
            <v>0</v>
          </cell>
        </row>
        <row r="3203">
          <cell r="A3203" t="str">
            <v>Y918-015</v>
          </cell>
          <cell r="B3203">
            <v>0</v>
          </cell>
          <cell r="C3203" t="str">
            <v>Y918</v>
          </cell>
          <cell r="D3203" t="str">
            <v>HÌNH CÂY KẸO</v>
          </cell>
          <cell r="E3203">
            <v>0</v>
          </cell>
          <cell r="F3203" t="str">
            <v>210*136*23</v>
          </cell>
          <cell r="G3203">
            <v>210</v>
          </cell>
          <cell r="H3203">
            <v>136</v>
          </cell>
          <cell r="I3203">
            <v>23</v>
          </cell>
          <cell r="J3203">
            <v>0</v>
          </cell>
          <cell r="K3203">
            <v>0</v>
          </cell>
          <cell r="L3203">
            <v>0.75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43312</v>
          </cell>
          <cell r="T3203">
            <v>0</v>
          </cell>
        </row>
        <row r="3204">
          <cell r="A3204" t="str">
            <v>Y918-016</v>
          </cell>
          <cell r="B3204">
            <v>0</v>
          </cell>
          <cell r="C3204" t="str">
            <v>Y918</v>
          </cell>
          <cell r="D3204" t="str">
            <v xml:space="preserve">DÂY </v>
          </cell>
          <cell r="E3204">
            <v>0</v>
          </cell>
          <cell r="F3204" t="str">
            <v>1133*15*10</v>
          </cell>
          <cell r="G3204">
            <v>1133</v>
          </cell>
          <cell r="H3204">
            <v>15</v>
          </cell>
          <cell r="I3204">
            <v>10</v>
          </cell>
          <cell r="J3204">
            <v>0</v>
          </cell>
          <cell r="K3204">
            <v>0</v>
          </cell>
          <cell r="L3204">
            <v>0.66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43312</v>
          </cell>
          <cell r="T3204">
            <v>0</v>
          </cell>
        </row>
        <row r="3205">
          <cell r="A3205" t="str">
            <v>Y918-017</v>
          </cell>
          <cell r="B3205">
            <v>0</v>
          </cell>
          <cell r="C3205" t="str">
            <v>Y918</v>
          </cell>
          <cell r="D3205" t="str">
            <v>HÌNH TRÒN NỀN VUÔNG</v>
          </cell>
          <cell r="E3205">
            <v>0</v>
          </cell>
          <cell r="F3205" t="str">
            <v>200*200*31</v>
          </cell>
          <cell r="G3205">
            <v>200</v>
          </cell>
          <cell r="H3205">
            <v>200</v>
          </cell>
          <cell r="I3205">
            <v>31</v>
          </cell>
          <cell r="J3205">
            <v>0</v>
          </cell>
          <cell r="K3205">
            <v>0</v>
          </cell>
          <cell r="L3205">
            <v>1.92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43356</v>
          </cell>
          <cell r="T3205">
            <v>0</v>
          </cell>
        </row>
        <row r="3206">
          <cell r="A3206" t="str">
            <v>Y918-018</v>
          </cell>
          <cell r="B3206">
            <v>0</v>
          </cell>
          <cell r="C3206" t="str">
            <v>Y918</v>
          </cell>
          <cell r="D3206" t="str">
            <v>HÌNH TRÒN NHỎ</v>
          </cell>
          <cell r="E3206">
            <v>0</v>
          </cell>
          <cell r="F3206" t="str">
            <v>128*128*22</v>
          </cell>
          <cell r="G3206">
            <v>128</v>
          </cell>
          <cell r="H3206">
            <v>128</v>
          </cell>
          <cell r="I3206">
            <v>22</v>
          </cell>
          <cell r="J3206">
            <v>0</v>
          </cell>
          <cell r="K3206">
            <v>0</v>
          </cell>
          <cell r="L3206">
            <v>0.85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</row>
        <row r="3207">
          <cell r="A3207" t="str">
            <v>Y918-019</v>
          </cell>
          <cell r="B3207">
            <v>0</v>
          </cell>
          <cell r="C3207" t="str">
            <v>Y918</v>
          </cell>
          <cell r="D3207" t="str">
            <v>HÌNH TRÒN NHỎ</v>
          </cell>
          <cell r="E3207">
            <v>0</v>
          </cell>
          <cell r="F3207" t="str">
            <v>128*128*26</v>
          </cell>
          <cell r="G3207">
            <v>128</v>
          </cell>
          <cell r="H3207">
            <v>128</v>
          </cell>
          <cell r="I3207">
            <v>26</v>
          </cell>
          <cell r="J3207">
            <v>0</v>
          </cell>
          <cell r="K3207">
            <v>0</v>
          </cell>
          <cell r="L3207">
            <v>1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</row>
        <row r="3208">
          <cell r="A3208" t="str">
            <v>Y918-020</v>
          </cell>
          <cell r="B3208">
            <v>0</v>
          </cell>
          <cell r="C3208" t="str">
            <v>Y918</v>
          </cell>
          <cell r="D3208" t="str">
            <v>BÔNG HOA VIỀN DÂY CHUỖI</v>
          </cell>
          <cell r="E3208">
            <v>0</v>
          </cell>
          <cell r="F3208" t="str">
            <v>335*335*13</v>
          </cell>
          <cell r="G3208">
            <v>335</v>
          </cell>
          <cell r="H3208">
            <v>335</v>
          </cell>
          <cell r="I3208">
            <v>13</v>
          </cell>
          <cell r="J3208">
            <v>0</v>
          </cell>
          <cell r="K3208">
            <v>0</v>
          </cell>
          <cell r="L3208">
            <v>2.9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</row>
        <row r="3209">
          <cell r="A3209" t="str">
            <v>Y918-021</v>
          </cell>
          <cell r="B3209">
            <v>0</v>
          </cell>
          <cell r="C3209" t="str">
            <v>Y918</v>
          </cell>
          <cell r="D3209" t="str">
            <v>HÌNH TRÒN</v>
          </cell>
          <cell r="E3209">
            <v>0</v>
          </cell>
          <cell r="F3209" t="str">
            <v>40*40*6</v>
          </cell>
          <cell r="G3209">
            <v>40</v>
          </cell>
          <cell r="H3209">
            <v>40</v>
          </cell>
          <cell r="I3209">
            <v>6</v>
          </cell>
          <cell r="J3209">
            <v>0</v>
          </cell>
          <cell r="K3209">
            <v>0</v>
          </cell>
          <cell r="L3209">
            <v>7.0000000000000007E-2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43418</v>
          </cell>
          <cell r="T3209">
            <v>0</v>
          </cell>
        </row>
        <row r="3210">
          <cell r="A3210" t="str">
            <v>Y918-022</v>
          </cell>
          <cell r="B3210">
            <v>0</v>
          </cell>
          <cell r="C3210" t="str">
            <v>Y918</v>
          </cell>
          <cell r="D3210" t="str">
            <v>HÌNH TRÒN</v>
          </cell>
          <cell r="E3210">
            <v>0</v>
          </cell>
          <cell r="F3210" t="str">
            <v>35*35*6</v>
          </cell>
          <cell r="G3210">
            <v>35</v>
          </cell>
          <cell r="H3210">
            <v>35</v>
          </cell>
          <cell r="I3210">
            <v>6</v>
          </cell>
          <cell r="J3210">
            <v>0</v>
          </cell>
          <cell r="K3210">
            <v>0</v>
          </cell>
          <cell r="L3210">
            <v>0.06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43418</v>
          </cell>
          <cell r="T3210">
            <v>0</v>
          </cell>
        </row>
        <row r="3211">
          <cell r="A3211" t="str">
            <v>Y918-023</v>
          </cell>
          <cell r="B3211">
            <v>0</v>
          </cell>
          <cell r="C3211" t="str">
            <v>Y918</v>
          </cell>
          <cell r="D3211" t="str">
            <v>HÌNH TRÒN</v>
          </cell>
          <cell r="E3211">
            <v>0</v>
          </cell>
          <cell r="F3211" t="str">
            <v>28*28*5</v>
          </cell>
          <cell r="G3211">
            <v>28</v>
          </cell>
          <cell r="H3211">
            <v>28</v>
          </cell>
          <cell r="I3211">
            <v>5</v>
          </cell>
          <cell r="J3211">
            <v>0</v>
          </cell>
          <cell r="K3211">
            <v>0</v>
          </cell>
          <cell r="L3211">
            <v>0.05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43418</v>
          </cell>
          <cell r="T3211">
            <v>0</v>
          </cell>
        </row>
        <row r="3212">
          <cell r="A3212" t="str">
            <v>Y918-024</v>
          </cell>
          <cell r="B3212">
            <v>0</v>
          </cell>
          <cell r="C3212" t="str">
            <v>Y918</v>
          </cell>
          <cell r="D3212" t="str">
            <v>HÌNH TRÒN</v>
          </cell>
          <cell r="E3212">
            <v>0</v>
          </cell>
          <cell r="F3212" t="str">
            <v>13*13*3.5</v>
          </cell>
          <cell r="G3212">
            <v>13</v>
          </cell>
          <cell r="H3212">
            <v>13</v>
          </cell>
          <cell r="I3212">
            <v>3.5</v>
          </cell>
          <cell r="J3212">
            <v>0</v>
          </cell>
          <cell r="K3212">
            <v>0</v>
          </cell>
          <cell r="L3212">
            <v>0.05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43418</v>
          </cell>
          <cell r="T3212">
            <v>0</v>
          </cell>
        </row>
        <row r="3213">
          <cell r="A3213" t="str">
            <v>Y918-025</v>
          </cell>
          <cell r="B3213">
            <v>0</v>
          </cell>
          <cell r="C3213" t="str">
            <v>Y918</v>
          </cell>
          <cell r="D3213" t="str">
            <v>MIẾNG TRANG TRÍ</v>
          </cell>
          <cell r="E3213">
            <v>0</v>
          </cell>
          <cell r="F3213" t="str">
            <v>172*82*8.5</v>
          </cell>
          <cell r="G3213">
            <v>172</v>
          </cell>
          <cell r="H3213">
            <v>82</v>
          </cell>
          <cell r="I3213">
            <v>8.5</v>
          </cell>
          <cell r="J3213">
            <v>0</v>
          </cell>
          <cell r="K3213">
            <v>0</v>
          </cell>
          <cell r="L3213">
            <v>0.3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43427</v>
          </cell>
          <cell r="T3213">
            <v>0</v>
          </cell>
        </row>
        <row r="3214">
          <cell r="A3214" t="str">
            <v>Y918-026</v>
          </cell>
          <cell r="B3214">
            <v>0</v>
          </cell>
          <cell r="C3214" t="str">
            <v>Y918</v>
          </cell>
          <cell r="D3214" t="str">
            <v>MIẾNG TRANG TRÍ</v>
          </cell>
          <cell r="E3214">
            <v>0</v>
          </cell>
          <cell r="F3214" t="str">
            <v>125*110*8.5</v>
          </cell>
          <cell r="G3214">
            <v>125</v>
          </cell>
          <cell r="H3214">
            <v>110</v>
          </cell>
          <cell r="I3214">
            <v>8.5</v>
          </cell>
          <cell r="J3214">
            <v>0</v>
          </cell>
          <cell r="K3214">
            <v>0</v>
          </cell>
          <cell r="L3214">
            <v>0.28000000000000003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43427</v>
          </cell>
          <cell r="T3214">
            <v>0</v>
          </cell>
        </row>
        <row r="3215">
          <cell r="A3215" t="str">
            <v>Y918-027</v>
          </cell>
          <cell r="B3215">
            <v>0</v>
          </cell>
          <cell r="C3215" t="str">
            <v>Y918</v>
          </cell>
          <cell r="D3215" t="str">
            <v>MIẾNG TRANG TRÍ</v>
          </cell>
          <cell r="E3215">
            <v>0</v>
          </cell>
          <cell r="F3215" t="str">
            <v>620*572*8</v>
          </cell>
          <cell r="G3215">
            <v>620</v>
          </cell>
          <cell r="H3215">
            <v>572</v>
          </cell>
          <cell r="I3215">
            <v>8</v>
          </cell>
          <cell r="J3215">
            <v>0</v>
          </cell>
          <cell r="K3215">
            <v>0</v>
          </cell>
          <cell r="L3215">
            <v>10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43427</v>
          </cell>
          <cell r="T3215">
            <v>0</v>
          </cell>
        </row>
        <row r="3216">
          <cell r="A3216" t="str">
            <v>Y918-028</v>
          </cell>
          <cell r="B3216">
            <v>0</v>
          </cell>
          <cell r="C3216" t="str">
            <v>Y918</v>
          </cell>
          <cell r="D3216" t="str">
            <v>MIẾNG TRANG TRÍ</v>
          </cell>
          <cell r="E3216">
            <v>0</v>
          </cell>
          <cell r="F3216" t="str">
            <v>1020*63*8</v>
          </cell>
          <cell r="G3216">
            <v>1020</v>
          </cell>
          <cell r="H3216">
            <v>63</v>
          </cell>
          <cell r="I3216">
            <v>8</v>
          </cell>
          <cell r="J3216">
            <v>0</v>
          </cell>
          <cell r="K3216">
            <v>0</v>
          </cell>
          <cell r="L3216">
            <v>1.94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43427</v>
          </cell>
          <cell r="T3216">
            <v>0</v>
          </cell>
        </row>
        <row r="3217">
          <cell r="A3217" t="str">
            <v>Y918-029</v>
          </cell>
          <cell r="B3217">
            <v>0</v>
          </cell>
          <cell r="C3217" t="str">
            <v>Y918</v>
          </cell>
          <cell r="D3217" t="str">
            <v>MIẾNG TRANG TRÍ</v>
          </cell>
          <cell r="E3217">
            <v>0</v>
          </cell>
          <cell r="F3217" t="str">
            <v>1090*56*9</v>
          </cell>
          <cell r="G3217">
            <v>1090</v>
          </cell>
          <cell r="H3217">
            <v>56</v>
          </cell>
          <cell r="I3217">
            <v>9</v>
          </cell>
          <cell r="J3217">
            <v>0</v>
          </cell>
          <cell r="K3217">
            <v>0</v>
          </cell>
          <cell r="L3217">
            <v>2.2000000000000002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43427</v>
          </cell>
          <cell r="T3217">
            <v>0</v>
          </cell>
        </row>
        <row r="3218">
          <cell r="A3218" t="str">
            <v>Y918-030</v>
          </cell>
          <cell r="B3218">
            <v>0</v>
          </cell>
          <cell r="C3218" t="str">
            <v>Y918</v>
          </cell>
          <cell r="D3218" t="str">
            <v>MIẾNG TRANG TRÍ</v>
          </cell>
          <cell r="E3218">
            <v>0</v>
          </cell>
          <cell r="F3218" t="str">
            <v>1072*77*8</v>
          </cell>
          <cell r="G3218">
            <v>1072</v>
          </cell>
          <cell r="H3218">
            <v>77</v>
          </cell>
          <cell r="I3218">
            <v>8</v>
          </cell>
          <cell r="J3218">
            <v>0</v>
          </cell>
          <cell r="K3218">
            <v>0</v>
          </cell>
          <cell r="L3218">
            <v>2.6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43427</v>
          </cell>
          <cell r="T3218">
            <v>0</v>
          </cell>
        </row>
        <row r="3219">
          <cell r="A3219" t="str">
            <v>Y918-031</v>
          </cell>
          <cell r="B3219">
            <v>0</v>
          </cell>
          <cell r="C3219" t="str">
            <v>Y918</v>
          </cell>
          <cell r="D3219" t="str">
            <v>HÌNH TRÒN</v>
          </cell>
          <cell r="E3219">
            <v>0</v>
          </cell>
          <cell r="F3219" t="str">
            <v>32*32*14.5</v>
          </cell>
          <cell r="G3219">
            <v>32</v>
          </cell>
          <cell r="H3219">
            <v>32</v>
          </cell>
          <cell r="I3219">
            <v>14.5</v>
          </cell>
          <cell r="J3219">
            <v>0</v>
          </cell>
          <cell r="K3219">
            <v>0</v>
          </cell>
          <cell r="L3219">
            <v>0.09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43430</v>
          </cell>
          <cell r="T3219">
            <v>0</v>
          </cell>
        </row>
        <row r="3220">
          <cell r="A3220" t="str">
            <v>Y918-032</v>
          </cell>
          <cell r="B3220">
            <v>0</v>
          </cell>
          <cell r="C3220" t="str">
            <v>Y918</v>
          </cell>
          <cell r="D3220" t="str">
            <v>CÁI NẮP</v>
          </cell>
          <cell r="E3220">
            <v>0</v>
          </cell>
          <cell r="F3220" t="str">
            <v>140*140*75/8</v>
          </cell>
          <cell r="G3220">
            <v>140</v>
          </cell>
          <cell r="H3220">
            <v>140</v>
          </cell>
          <cell r="I3220" t="str">
            <v>75/8</v>
          </cell>
          <cell r="J3220">
            <v>0</v>
          </cell>
          <cell r="K3220">
            <v>0</v>
          </cell>
          <cell r="L3220">
            <v>1.1000000000000001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</row>
        <row r="3221">
          <cell r="A3221" t="str">
            <v>Y918-2001</v>
          </cell>
          <cell r="B3221">
            <v>0</v>
          </cell>
          <cell r="C3221" t="str">
            <v>Y918</v>
          </cell>
          <cell r="D3221">
            <v>0</v>
          </cell>
          <cell r="E3221">
            <v>0</v>
          </cell>
          <cell r="F3221" t="str">
            <v>1433*25*12.5</v>
          </cell>
          <cell r="G3221">
            <v>1433</v>
          </cell>
          <cell r="H3221">
            <v>25</v>
          </cell>
          <cell r="I3221">
            <v>12.5</v>
          </cell>
          <cell r="J3221">
            <v>0</v>
          </cell>
          <cell r="K3221">
            <v>0</v>
          </cell>
          <cell r="L3221">
            <v>1.1499999999999999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</row>
        <row r="3222">
          <cell r="A3222" t="str">
            <v>Y919-001</v>
          </cell>
          <cell r="B3222" t="str">
            <v>Y901-006</v>
          </cell>
          <cell r="C3222" t="str">
            <v>Y919</v>
          </cell>
          <cell r="D3222">
            <v>0</v>
          </cell>
          <cell r="E3222" t="str">
            <v>1/4半圓麻花飾條</v>
          </cell>
          <cell r="F3222" t="str">
            <v>1000*8*8</v>
          </cell>
          <cell r="G3222">
            <v>1000</v>
          </cell>
          <cell r="H3222">
            <v>8</v>
          </cell>
          <cell r="I3222">
            <v>8</v>
          </cell>
          <cell r="J3222">
            <v>70</v>
          </cell>
          <cell r="K3222">
            <v>0</v>
          </cell>
          <cell r="L3222">
            <v>0.28000000000000003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</row>
        <row r="3223">
          <cell r="A3223" t="str">
            <v>Y920-001</v>
          </cell>
          <cell r="B3223" t="str">
            <v>Y034-010</v>
          </cell>
          <cell r="C3223" t="str">
            <v>Y920</v>
          </cell>
          <cell r="D3223">
            <v>0</v>
          </cell>
          <cell r="E3223" t="str">
            <v>Hoa văn marielle  mirror</v>
          </cell>
          <cell r="F3223" t="str">
            <v>10*75*260</v>
          </cell>
          <cell r="G3223">
            <v>10</v>
          </cell>
          <cell r="H3223">
            <v>75</v>
          </cell>
          <cell r="I3223">
            <v>260</v>
          </cell>
          <cell r="J3223">
            <v>0</v>
          </cell>
          <cell r="K3223">
            <v>0</v>
          </cell>
          <cell r="L3223">
            <v>0.26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</row>
        <row r="3224">
          <cell r="A3224" t="str">
            <v>Y921-001</v>
          </cell>
          <cell r="B3224">
            <v>0</v>
          </cell>
          <cell r="C3224" t="str">
            <v>Y921</v>
          </cell>
          <cell r="D3224" t="str">
            <v>poly 饰条</v>
          </cell>
          <cell r="E3224" t="str">
            <v>poly mặt trước-calais chair</v>
          </cell>
          <cell r="F3224" t="str">
            <v>386*10*6</v>
          </cell>
          <cell r="G3224">
            <v>386</v>
          </cell>
          <cell r="H3224">
            <v>10</v>
          </cell>
          <cell r="I3224">
            <v>6</v>
          </cell>
          <cell r="J3224">
            <v>0</v>
          </cell>
          <cell r="K3224">
            <v>0</v>
          </cell>
          <cell r="L3224">
            <v>0</v>
          </cell>
          <cell r="M3224">
            <v>6750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</row>
        <row r="3225">
          <cell r="A3225" t="str">
            <v>Y921-002</v>
          </cell>
          <cell r="B3225">
            <v>0</v>
          </cell>
          <cell r="C3225" t="str">
            <v>Y921</v>
          </cell>
          <cell r="D3225" t="str">
            <v>poly 饰条</v>
          </cell>
          <cell r="E3225" t="str">
            <v>poly mặt hông-calais chair</v>
          </cell>
          <cell r="F3225" t="str">
            <v>390*10*6</v>
          </cell>
          <cell r="G3225">
            <v>390</v>
          </cell>
          <cell r="H3225">
            <v>10</v>
          </cell>
          <cell r="I3225">
            <v>6</v>
          </cell>
          <cell r="J3225">
            <v>0</v>
          </cell>
          <cell r="K3225">
            <v>0</v>
          </cell>
          <cell r="L3225">
            <v>0</v>
          </cell>
          <cell r="M3225">
            <v>6750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</row>
        <row r="3226">
          <cell r="A3226" t="str">
            <v>Y921-003</v>
          </cell>
          <cell r="B3226">
            <v>0</v>
          </cell>
          <cell r="C3226" t="str">
            <v>Y921</v>
          </cell>
          <cell r="D3226" t="str">
            <v>poly 饰条</v>
          </cell>
          <cell r="E3226" t="str">
            <v>poly mặt sau-calais chair</v>
          </cell>
          <cell r="F3226" t="str">
            <v>332*10*6</v>
          </cell>
          <cell r="G3226">
            <v>332</v>
          </cell>
          <cell r="H3226">
            <v>10</v>
          </cell>
          <cell r="I3226">
            <v>6</v>
          </cell>
          <cell r="J3226">
            <v>0</v>
          </cell>
          <cell r="K3226">
            <v>0</v>
          </cell>
          <cell r="L3226">
            <v>0</v>
          </cell>
          <cell r="M3226">
            <v>6750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</row>
        <row r="3227">
          <cell r="A3227" t="str">
            <v>Y922-001</v>
          </cell>
          <cell r="B3227">
            <v>0</v>
          </cell>
          <cell r="C3227" t="str">
            <v>Y922</v>
          </cell>
          <cell r="D3227" t="str">
            <v>POLY 饰框</v>
          </cell>
          <cell r="E3227" t="str">
            <v>CHỈ POLY MẶT HỘC KÉO</v>
          </cell>
          <cell r="F3227" t="str">
            <v>780*175*5</v>
          </cell>
          <cell r="G3227">
            <v>780</v>
          </cell>
          <cell r="H3227">
            <v>175</v>
          </cell>
          <cell r="I3227">
            <v>5</v>
          </cell>
          <cell r="J3227">
            <v>0</v>
          </cell>
          <cell r="K3227">
            <v>0</v>
          </cell>
          <cell r="L3227">
            <v>0.52500000000000002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43560</v>
          </cell>
          <cell r="T3227">
            <v>0</v>
          </cell>
        </row>
        <row r="3228">
          <cell r="A3228" t="str">
            <v>Y922-002</v>
          </cell>
          <cell r="B3228">
            <v>0</v>
          </cell>
          <cell r="C3228" t="str">
            <v>Y922</v>
          </cell>
          <cell r="D3228" t="str">
            <v>POLY 饰框</v>
          </cell>
          <cell r="E3228" t="str">
            <v>CHỈ POLY MẶT HỘC KÉO</v>
          </cell>
          <cell r="F3228" t="str">
            <v>375*175*5</v>
          </cell>
          <cell r="G3228">
            <v>375</v>
          </cell>
          <cell r="H3228">
            <v>175</v>
          </cell>
          <cell r="I3228">
            <v>5</v>
          </cell>
          <cell r="J3228">
            <v>0</v>
          </cell>
          <cell r="K3228">
            <v>0</v>
          </cell>
          <cell r="L3228">
            <v>0.28999999999999998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43560</v>
          </cell>
          <cell r="T3228">
            <v>0</v>
          </cell>
        </row>
        <row r="3229">
          <cell r="A3229" t="str">
            <v>Y922-003</v>
          </cell>
          <cell r="B3229">
            <v>0</v>
          </cell>
          <cell r="C3229" t="str">
            <v>Y922</v>
          </cell>
          <cell r="D3229" t="str">
            <v>POLY 饰框</v>
          </cell>
          <cell r="E3229" t="str">
            <v>CHỈ POLY MẶT HỘC KÉO</v>
          </cell>
          <cell r="F3229" t="str">
            <v>363*175*5</v>
          </cell>
          <cell r="G3229">
            <v>363</v>
          </cell>
          <cell r="H3229">
            <v>175</v>
          </cell>
          <cell r="I3229">
            <v>5</v>
          </cell>
          <cell r="J3229">
            <v>0</v>
          </cell>
          <cell r="K3229">
            <v>0</v>
          </cell>
          <cell r="L3229">
            <v>0.28000000000000003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43560</v>
          </cell>
          <cell r="T3229">
            <v>0</v>
          </cell>
        </row>
        <row r="3230">
          <cell r="A3230" t="str">
            <v>Y045-001</v>
          </cell>
          <cell r="B3230" t="str">
            <v>Y045-001</v>
          </cell>
          <cell r="C3230" t="str">
            <v>Y045</v>
          </cell>
          <cell r="D3230" t="str">
            <v>So  4</v>
          </cell>
          <cell r="E3230" t="str">
            <v>飾條-Chi hoc keo NS</v>
          </cell>
          <cell r="F3230" t="str">
            <v>690*15*10</v>
          </cell>
          <cell r="G3230">
            <v>690</v>
          </cell>
          <cell r="H3230">
            <v>15</v>
          </cell>
          <cell r="I3230">
            <v>10</v>
          </cell>
          <cell r="J3230">
            <v>165</v>
          </cell>
          <cell r="K3230">
            <v>0</v>
          </cell>
          <cell r="L3230">
            <v>0.42099999999999999</v>
          </cell>
          <cell r="M3230">
            <v>0</v>
          </cell>
          <cell r="N3230">
            <v>0</v>
          </cell>
          <cell r="O3230" t="str">
            <v>40V</v>
          </cell>
          <cell r="P3230" t="str">
            <v>1010</v>
          </cell>
          <cell r="Q3230" t="str">
            <v>1010</v>
          </cell>
          <cell r="R3230">
            <v>2.5515151515151513</v>
          </cell>
          <cell r="S3230">
            <v>0</v>
          </cell>
        </row>
        <row r="3231">
          <cell r="A3231" t="str">
            <v>Y045-002</v>
          </cell>
          <cell r="B3231" t="str">
            <v>Y045-002</v>
          </cell>
          <cell r="C3231" t="str">
            <v>Y045</v>
          </cell>
          <cell r="D3231" t="str">
            <v>So  4</v>
          </cell>
          <cell r="E3231" t="str">
            <v>飾條-Chi hoc keo 5D</v>
          </cell>
          <cell r="F3231" t="str">
            <v>680*15*10</v>
          </cell>
          <cell r="G3231">
            <v>680</v>
          </cell>
          <cell r="H3231">
            <v>15</v>
          </cell>
          <cell r="I3231">
            <v>10</v>
          </cell>
          <cell r="J3231">
            <v>165</v>
          </cell>
          <cell r="K3231">
            <v>0</v>
          </cell>
          <cell r="L3231">
            <v>0.41499999999999998</v>
          </cell>
          <cell r="M3231">
            <v>0</v>
          </cell>
          <cell r="N3231">
            <v>0</v>
          </cell>
          <cell r="O3231" t="str">
            <v>40V</v>
          </cell>
          <cell r="P3231" t="str">
            <v>1010</v>
          </cell>
          <cell r="Q3231" t="str">
            <v>1010</v>
          </cell>
          <cell r="R3231">
            <v>2.5151515151515147</v>
          </cell>
        </row>
        <row r="3232">
          <cell r="A3232" t="str">
            <v>Y045-003</v>
          </cell>
          <cell r="B3232" t="str">
            <v>Y045-003</v>
          </cell>
          <cell r="C3232" t="str">
            <v>Y045</v>
          </cell>
          <cell r="D3232" t="str">
            <v>So  4</v>
          </cell>
          <cell r="E3232" t="str">
            <v>飾條-Chi hoc keo 5D</v>
          </cell>
          <cell r="F3232" t="str">
            <v>1184*15*10</v>
          </cell>
          <cell r="G3232">
            <v>1184</v>
          </cell>
          <cell r="H3232">
            <v>15</v>
          </cell>
          <cell r="I3232">
            <v>10</v>
          </cell>
          <cell r="J3232">
            <v>285</v>
          </cell>
          <cell r="K3232">
            <v>0</v>
          </cell>
          <cell r="L3232">
            <v>0.72199999999999998</v>
          </cell>
          <cell r="M3232">
            <v>0</v>
          </cell>
          <cell r="N3232">
            <v>0</v>
          </cell>
          <cell r="O3232" t="str">
            <v>40V</v>
          </cell>
          <cell r="P3232" t="str">
            <v>1010</v>
          </cell>
          <cell r="Q3232" t="str">
            <v>1010</v>
          </cell>
          <cell r="R3232">
            <v>2.5333333333333337</v>
          </cell>
        </row>
        <row r="3233">
          <cell r="A3233" t="str">
            <v>Y045-004</v>
          </cell>
          <cell r="B3233" t="str">
            <v>Y045-004</v>
          </cell>
          <cell r="C3233" t="str">
            <v>Y045</v>
          </cell>
          <cell r="D3233" t="str">
            <v>So  4</v>
          </cell>
          <cell r="E3233" t="str">
            <v>飾條-Chi hoc keo 7D</v>
          </cell>
          <cell r="F3233" t="str">
            <v>642*15*10</v>
          </cell>
          <cell r="G3233">
            <v>642</v>
          </cell>
          <cell r="H3233">
            <v>15</v>
          </cell>
          <cell r="I3233">
            <v>10</v>
          </cell>
          <cell r="J3233">
            <v>155</v>
          </cell>
          <cell r="K3233">
            <v>0</v>
          </cell>
          <cell r="L3233">
            <v>0.39200000000000002</v>
          </cell>
          <cell r="M3233">
            <v>0</v>
          </cell>
          <cell r="N3233">
            <v>0</v>
          </cell>
          <cell r="O3233" t="str">
            <v>40V</v>
          </cell>
          <cell r="P3233" t="str">
            <v>1010</v>
          </cell>
          <cell r="Q3233" t="str">
            <v>1010</v>
          </cell>
          <cell r="R3233">
            <v>2.5290322580645164</v>
          </cell>
        </row>
        <row r="3234">
          <cell r="A3234" t="str">
            <v>Y045-005</v>
          </cell>
          <cell r="B3234" t="str">
            <v>Y045-005</v>
          </cell>
          <cell r="C3234" t="str">
            <v>Y045</v>
          </cell>
          <cell r="D3234" t="str">
            <v>So  4</v>
          </cell>
          <cell r="E3234" t="str">
            <v>飾條-Chi hoc keo 7D</v>
          </cell>
          <cell r="F3234" t="str">
            <v>895*15*10</v>
          </cell>
          <cell r="G3234">
            <v>895</v>
          </cell>
          <cell r="H3234">
            <v>15</v>
          </cell>
          <cell r="I3234">
            <v>10</v>
          </cell>
          <cell r="J3234">
            <v>215</v>
          </cell>
          <cell r="K3234">
            <v>0</v>
          </cell>
          <cell r="L3234">
            <v>0.54600000000000004</v>
          </cell>
          <cell r="M3234">
            <v>0</v>
          </cell>
          <cell r="N3234">
            <v>0</v>
          </cell>
          <cell r="O3234" t="str">
            <v>40V</v>
          </cell>
          <cell r="P3234" t="str">
            <v>1010</v>
          </cell>
          <cell r="Q3234" t="str">
            <v>1010</v>
          </cell>
          <cell r="R3234">
            <v>2.5395348837209304</v>
          </cell>
        </row>
        <row r="3235">
          <cell r="A3235" t="str">
            <v>Y045-006</v>
          </cell>
          <cell r="B3235" t="str">
            <v>Y045-006</v>
          </cell>
          <cell r="C3235" t="str">
            <v>Y045</v>
          </cell>
          <cell r="D3235" t="str">
            <v>So  4</v>
          </cell>
          <cell r="E3235" t="str">
            <v>飾條-Chi hoc keo BC</v>
          </cell>
          <cell r="F3235" t="str">
            <v>1217*15*10</v>
          </cell>
          <cell r="G3235">
            <v>1217</v>
          </cell>
          <cell r="H3235">
            <v>15</v>
          </cell>
          <cell r="I3235">
            <v>10</v>
          </cell>
          <cell r="J3235">
            <v>292</v>
          </cell>
          <cell r="K3235">
            <v>0</v>
          </cell>
          <cell r="L3235">
            <v>0.74</v>
          </cell>
          <cell r="M3235">
            <v>0</v>
          </cell>
          <cell r="N3235">
            <v>0</v>
          </cell>
          <cell r="O3235" t="str">
            <v>40V</v>
          </cell>
          <cell r="P3235" t="str">
            <v>1010</v>
          </cell>
          <cell r="Q3235" t="str">
            <v>1010</v>
          </cell>
          <cell r="R3235">
            <v>2.5342465753424657</v>
          </cell>
        </row>
        <row r="3236">
          <cell r="A3236" t="str">
            <v>Y045-007</v>
          </cell>
          <cell r="B3236" t="str">
            <v>Y045-007</v>
          </cell>
          <cell r="C3236" t="str">
            <v>Y045</v>
          </cell>
          <cell r="D3236" t="str">
            <v>So 2</v>
          </cell>
          <cell r="E3236" t="str">
            <v>頂冠-Chi tren mirror</v>
          </cell>
          <cell r="F3236" t="str">
            <v>791*50*35</v>
          </cell>
          <cell r="G3236">
            <v>791</v>
          </cell>
          <cell r="H3236">
            <v>50</v>
          </cell>
          <cell r="I3236">
            <v>35</v>
          </cell>
          <cell r="J3236">
            <v>1700</v>
          </cell>
          <cell r="K3236">
            <v>0</v>
          </cell>
          <cell r="L3236">
            <v>4.33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2.547058823529412</v>
          </cell>
        </row>
        <row r="3237">
          <cell r="A3237" t="str">
            <v>Y045-008</v>
          </cell>
          <cell r="B3237" t="str">
            <v>Y045-008</v>
          </cell>
          <cell r="C3237" t="str">
            <v>Y045</v>
          </cell>
          <cell r="D3237" t="str">
            <v>So 10</v>
          </cell>
          <cell r="E3237" t="str">
            <v>頂冠-Chi tren noi nho</v>
          </cell>
          <cell r="F3237" t="str">
            <v>791*50*50</v>
          </cell>
          <cell r="G3237">
            <v>791</v>
          </cell>
          <cell r="H3237">
            <v>50</v>
          </cell>
          <cell r="I3237">
            <v>50</v>
          </cell>
          <cell r="J3237">
            <v>1700</v>
          </cell>
          <cell r="K3237">
            <v>0</v>
          </cell>
          <cell r="L3237">
            <v>5.0599999999999996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2.9764705882352938</v>
          </cell>
        </row>
        <row r="3238">
          <cell r="A3238" t="str">
            <v>Y045-009</v>
          </cell>
          <cell r="B3238" t="str">
            <v>Y045-009</v>
          </cell>
          <cell r="C3238" t="str">
            <v>Y045</v>
          </cell>
          <cell r="D3238" t="str">
            <v>So 11+12</v>
          </cell>
          <cell r="E3238" t="str">
            <v xml:space="preserve">頂冠-Chi tren noc </v>
          </cell>
          <cell r="F3238" t="str">
            <v>1016*50*50</v>
          </cell>
          <cell r="G3238">
            <v>1016</v>
          </cell>
          <cell r="H3238">
            <v>50</v>
          </cell>
          <cell r="I3238">
            <v>50</v>
          </cell>
          <cell r="J3238">
            <v>1910</v>
          </cell>
          <cell r="K3238">
            <v>0</v>
          </cell>
          <cell r="L3238">
            <v>6.15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3.2198952879581153</v>
          </cell>
        </row>
        <row r="3239">
          <cell r="A3239" t="str">
            <v>Y045-010</v>
          </cell>
          <cell r="B3239" t="str">
            <v>Y045-010</v>
          </cell>
          <cell r="C3239" t="str">
            <v>Y045</v>
          </cell>
          <cell r="D3239" t="str">
            <v>BONG So 1</v>
          </cell>
          <cell r="E3239" t="str">
            <v>飾花-Bong hau noi lon</v>
          </cell>
          <cell r="F3239" t="str">
            <v>570*70*4</v>
          </cell>
          <cell r="G3239">
            <v>570</v>
          </cell>
          <cell r="H3239">
            <v>70</v>
          </cell>
          <cell r="I3239">
            <v>4</v>
          </cell>
          <cell r="J3239">
            <v>350</v>
          </cell>
          <cell r="K3239">
            <v>0</v>
          </cell>
          <cell r="L3239">
            <v>1.19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3.4</v>
          </cell>
        </row>
        <row r="3240">
          <cell r="A3240" t="str">
            <v>Y045-011</v>
          </cell>
          <cell r="B3240" t="str">
            <v>Y045-011</v>
          </cell>
          <cell r="C3240" t="str">
            <v>Y045</v>
          </cell>
          <cell r="D3240" t="str">
            <v>BONG So 2</v>
          </cell>
          <cell r="E3240" t="str">
            <v>飾花-Bong tren thanh mat truoc noi lon</v>
          </cell>
          <cell r="F3240" t="str">
            <v>370*65*5</v>
          </cell>
          <cell r="G3240">
            <v>370</v>
          </cell>
          <cell r="H3240">
            <v>65</v>
          </cell>
          <cell r="I3240">
            <v>5</v>
          </cell>
          <cell r="J3240">
            <v>110</v>
          </cell>
          <cell r="K3240">
            <v>0</v>
          </cell>
          <cell r="L3240">
            <v>0.46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4.1818181818181817</v>
          </cell>
        </row>
        <row r="3241">
          <cell r="A3241" t="str">
            <v>Y045-012</v>
          </cell>
          <cell r="B3241" t="str">
            <v>Y045-012</v>
          </cell>
          <cell r="C3241" t="str">
            <v>Y045</v>
          </cell>
          <cell r="D3241" t="str">
            <v>BONG So 3</v>
          </cell>
          <cell r="E3241" t="str">
            <v>飾花-Bong tren thanh day  noi lon</v>
          </cell>
          <cell r="F3241" t="str">
            <v>278*60*8</v>
          </cell>
          <cell r="G3241">
            <v>278</v>
          </cell>
          <cell r="H3241">
            <v>60</v>
          </cell>
          <cell r="I3241">
            <v>8</v>
          </cell>
          <cell r="J3241">
            <v>90</v>
          </cell>
          <cell r="K3241">
            <v>0</v>
          </cell>
          <cell r="L3241">
            <v>0.36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4</v>
          </cell>
        </row>
        <row r="3242">
          <cell r="A3242" t="str">
            <v>Y045-013</v>
          </cell>
          <cell r="B3242" t="str">
            <v>Y045-013</v>
          </cell>
          <cell r="C3242" t="str">
            <v>Y045</v>
          </cell>
          <cell r="D3242" t="str">
            <v>BONG So 5</v>
          </cell>
          <cell r="E3242" t="str">
            <v>飾花-Bong mat hoc tren tu DD</v>
          </cell>
          <cell r="F3242" t="str">
            <v>260*54*5</v>
          </cell>
          <cell r="G3242">
            <v>260</v>
          </cell>
          <cell r="H3242">
            <v>54</v>
          </cell>
          <cell r="I3242">
            <v>5</v>
          </cell>
          <cell r="J3242">
            <v>60</v>
          </cell>
          <cell r="K3242">
            <v>0</v>
          </cell>
          <cell r="L3242">
            <v>0.33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5.5000000000000009</v>
          </cell>
        </row>
        <row r="3243">
          <cell r="A3243" t="str">
            <v>Y045-014</v>
          </cell>
          <cell r="B3243" t="str">
            <v>Y045-014</v>
          </cell>
          <cell r="C3243" t="str">
            <v>Y045</v>
          </cell>
          <cell r="D3243" t="str">
            <v>BONG So 7 a</v>
          </cell>
          <cell r="E3243" t="str">
            <v>飾花-Bong cua tu ao L</v>
          </cell>
          <cell r="F3243" t="str">
            <v>350*70*5</v>
          </cell>
          <cell r="G3243">
            <v>350</v>
          </cell>
          <cell r="H3243">
            <v>70</v>
          </cell>
          <cell r="I3243">
            <v>5</v>
          </cell>
          <cell r="J3243">
            <v>125</v>
          </cell>
          <cell r="K3243">
            <v>0</v>
          </cell>
          <cell r="L3243">
            <v>0.42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3.36</v>
          </cell>
        </row>
        <row r="3244">
          <cell r="A3244" t="str">
            <v>Y045-015</v>
          </cell>
          <cell r="B3244" t="str">
            <v>Y045-015</v>
          </cell>
          <cell r="C3244" t="str">
            <v>Y045</v>
          </cell>
          <cell r="D3244" t="str">
            <v>BONG So 7 b</v>
          </cell>
          <cell r="E3244" t="str">
            <v xml:space="preserve">飾花-Bong cua tu ao R </v>
          </cell>
          <cell r="F3244" t="str">
            <v>350*70*5</v>
          </cell>
          <cell r="G3244">
            <v>350</v>
          </cell>
          <cell r="H3244">
            <v>70</v>
          </cell>
          <cell r="I3244">
            <v>5</v>
          </cell>
          <cell r="J3244">
            <v>125</v>
          </cell>
          <cell r="K3244">
            <v>0</v>
          </cell>
          <cell r="L3244">
            <v>0.42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3.36</v>
          </cell>
        </row>
        <row r="3245">
          <cell r="A3245" t="str">
            <v>Y045-016</v>
          </cell>
          <cell r="B3245" t="str">
            <v>Y045-016</v>
          </cell>
          <cell r="C3245" t="str">
            <v>Y045</v>
          </cell>
          <cell r="D3245" t="str">
            <v xml:space="preserve">BONG So 8 </v>
          </cell>
          <cell r="E3245" t="str">
            <v>飾花-Bong Hutch</v>
          </cell>
          <cell r="F3245" t="str">
            <v>360*80*5</v>
          </cell>
          <cell r="G3245">
            <v>360</v>
          </cell>
          <cell r="H3245">
            <v>80</v>
          </cell>
          <cell r="I3245">
            <v>5</v>
          </cell>
          <cell r="J3245">
            <v>150</v>
          </cell>
          <cell r="K3245">
            <v>0</v>
          </cell>
          <cell r="L3245">
            <v>0.56000000000000005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3.7333333333333338</v>
          </cell>
        </row>
        <row r="3246">
          <cell r="A3246" t="str">
            <v>Y045-017</v>
          </cell>
          <cell r="B3246" t="str">
            <v>Y045-017</v>
          </cell>
          <cell r="C3246" t="str">
            <v>Y045</v>
          </cell>
          <cell r="D3246" t="str">
            <v xml:space="preserve">BONG So 9 </v>
          </cell>
          <cell r="E3246" t="str">
            <v>飾花-Bong duoi thanh day tu NS</v>
          </cell>
          <cell r="F3246" t="str">
            <v>235*50*7</v>
          </cell>
          <cell r="G3246">
            <v>235</v>
          </cell>
          <cell r="H3246">
            <v>50</v>
          </cell>
          <cell r="I3246">
            <v>7</v>
          </cell>
          <cell r="J3246">
            <v>80</v>
          </cell>
          <cell r="K3246">
            <v>0</v>
          </cell>
          <cell r="L3246">
            <v>0.3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3.75</v>
          </cell>
        </row>
        <row r="3247">
          <cell r="A3247" t="str">
            <v>Y045-018</v>
          </cell>
          <cell r="B3247" t="str">
            <v>Y045-018</v>
          </cell>
          <cell r="C3247" t="str">
            <v>Y045</v>
          </cell>
          <cell r="D3247">
            <v>0</v>
          </cell>
          <cell r="E3247" t="str">
            <v>飾條-Chi vien noi nho</v>
          </cell>
          <cell r="F3247" t="str">
            <v>810*15*5</v>
          </cell>
          <cell r="G3247">
            <v>810</v>
          </cell>
          <cell r="H3247">
            <v>15</v>
          </cell>
          <cell r="I3247">
            <v>5</v>
          </cell>
          <cell r="J3247">
            <v>140</v>
          </cell>
          <cell r="K3247">
            <v>0</v>
          </cell>
          <cell r="L3247">
            <v>0.33600000000000002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2.4</v>
          </cell>
        </row>
        <row r="3248">
          <cell r="A3248" t="str">
            <v>Y045-019</v>
          </cell>
          <cell r="B3248" t="str">
            <v>Y045-019</v>
          </cell>
          <cell r="C3248" t="str">
            <v>Y045</v>
          </cell>
          <cell r="D3248">
            <v>0</v>
          </cell>
          <cell r="E3248" t="str">
            <v>飾條-Chi vien noi nho</v>
          </cell>
          <cell r="F3248" t="str">
            <v>660*15*5</v>
          </cell>
          <cell r="G3248">
            <v>660</v>
          </cell>
          <cell r="H3248">
            <v>15</v>
          </cell>
          <cell r="I3248">
            <v>5</v>
          </cell>
          <cell r="J3248">
            <v>115</v>
          </cell>
          <cell r="K3248">
            <v>0</v>
          </cell>
          <cell r="L3248">
            <v>0.27600000000000002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2.4</v>
          </cell>
        </row>
        <row r="3249">
          <cell r="A3249" t="str">
            <v>Y045-020</v>
          </cell>
          <cell r="B3249" t="str">
            <v>Y045-005</v>
          </cell>
          <cell r="C3249" t="str">
            <v>Y045</v>
          </cell>
          <cell r="D3249" t="str">
            <v>So  5-L</v>
          </cell>
          <cell r="E3249" t="str">
            <v>腳柱-L</v>
          </cell>
          <cell r="F3249" t="str">
            <v>1162*50*50</v>
          </cell>
          <cell r="G3249">
            <v>1167</v>
          </cell>
          <cell r="H3249">
            <v>50</v>
          </cell>
          <cell r="I3249">
            <v>50</v>
          </cell>
          <cell r="J3249">
            <v>1600</v>
          </cell>
          <cell r="K3249">
            <v>0</v>
          </cell>
          <cell r="L3249">
            <v>6.11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3.8187500000000001</v>
          </cell>
        </row>
        <row r="3250">
          <cell r="A3250" t="str">
            <v>Y045-021</v>
          </cell>
          <cell r="B3250" t="str">
            <v>Y045-006</v>
          </cell>
          <cell r="C3250" t="str">
            <v>Y045</v>
          </cell>
          <cell r="D3250" t="str">
            <v>So  5-R</v>
          </cell>
          <cell r="E3250" t="str">
            <v>腳柱-R</v>
          </cell>
          <cell r="F3250" t="str">
            <v>1162*50*50</v>
          </cell>
          <cell r="G3250">
            <v>1167</v>
          </cell>
          <cell r="H3250">
            <v>50</v>
          </cell>
          <cell r="I3250">
            <v>50</v>
          </cell>
          <cell r="J3250">
            <v>1600</v>
          </cell>
          <cell r="K3250">
            <v>0</v>
          </cell>
          <cell r="L3250">
            <v>6.11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3.8187500000000001</v>
          </cell>
        </row>
        <row r="3251">
          <cell r="A3251" t="str">
            <v>Y045-022</v>
          </cell>
          <cell r="B3251" t="str">
            <v>Y045-007</v>
          </cell>
          <cell r="C3251" t="str">
            <v>Y045</v>
          </cell>
          <cell r="D3251" t="str">
            <v>So  6-L</v>
          </cell>
          <cell r="E3251" t="str">
            <v>腳柱-L</v>
          </cell>
          <cell r="F3251" t="str">
            <v>863*50*50</v>
          </cell>
          <cell r="G3251">
            <v>867</v>
          </cell>
          <cell r="H3251">
            <v>50</v>
          </cell>
          <cell r="I3251">
            <v>50</v>
          </cell>
          <cell r="J3251">
            <v>1400</v>
          </cell>
          <cell r="K3251">
            <v>0</v>
          </cell>
          <cell r="L3251">
            <v>4.5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3.2142857142857144</v>
          </cell>
        </row>
        <row r="3252">
          <cell r="A3252" t="str">
            <v>Y045-023</v>
          </cell>
          <cell r="B3252" t="str">
            <v>Y045-008</v>
          </cell>
          <cell r="C3252" t="str">
            <v>Y045</v>
          </cell>
          <cell r="D3252" t="str">
            <v>So  6-R</v>
          </cell>
          <cell r="E3252" t="str">
            <v>腳柱-R</v>
          </cell>
          <cell r="F3252" t="str">
            <v>863*50*50</v>
          </cell>
          <cell r="G3252">
            <v>867</v>
          </cell>
          <cell r="H3252">
            <v>50</v>
          </cell>
          <cell r="I3252">
            <v>50</v>
          </cell>
          <cell r="J3252">
            <v>1400</v>
          </cell>
          <cell r="K3252">
            <v>0</v>
          </cell>
          <cell r="L3252">
            <v>4.5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3.2142857142857144</v>
          </cell>
        </row>
        <row r="3253">
          <cell r="A3253" t="str">
            <v>Y045-024</v>
          </cell>
          <cell r="B3253" t="str">
            <v>Y045-009</v>
          </cell>
          <cell r="C3253" t="str">
            <v>Y045</v>
          </cell>
          <cell r="D3253" t="str">
            <v>So  7-L</v>
          </cell>
          <cell r="E3253" t="str">
            <v>腳柱-L</v>
          </cell>
          <cell r="F3253" t="str">
            <v>1043*50*50</v>
          </cell>
          <cell r="G3253">
            <v>1036</v>
          </cell>
          <cell r="H3253">
            <v>50</v>
          </cell>
          <cell r="I3253">
            <v>50</v>
          </cell>
          <cell r="J3253">
            <v>1580</v>
          </cell>
          <cell r="K3253">
            <v>0</v>
          </cell>
          <cell r="L3253">
            <v>5.4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3.4177215189873418</v>
          </cell>
        </row>
        <row r="3254">
          <cell r="A3254" t="str">
            <v>Y045-025</v>
          </cell>
          <cell r="B3254" t="str">
            <v>Y045-010</v>
          </cell>
          <cell r="C3254" t="str">
            <v>Y045</v>
          </cell>
          <cell r="D3254" t="str">
            <v>So  7-R</v>
          </cell>
          <cell r="E3254" t="str">
            <v>腳柱-R</v>
          </cell>
          <cell r="F3254" t="str">
            <v>1043*50*50</v>
          </cell>
          <cell r="G3254">
            <v>1036</v>
          </cell>
          <cell r="H3254">
            <v>50</v>
          </cell>
          <cell r="I3254">
            <v>50</v>
          </cell>
          <cell r="J3254">
            <v>1580</v>
          </cell>
          <cell r="K3254">
            <v>0</v>
          </cell>
          <cell r="L3254">
            <v>5.4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3.4177215189873418</v>
          </cell>
        </row>
        <row r="3255">
          <cell r="A3255" t="str">
            <v>Y045-026</v>
          </cell>
          <cell r="B3255" t="str">
            <v>Y045-011</v>
          </cell>
          <cell r="C3255" t="str">
            <v>Y045</v>
          </cell>
          <cell r="D3255" t="str">
            <v>So  8-L</v>
          </cell>
          <cell r="E3255" t="str">
            <v>虎腳-L</v>
          </cell>
          <cell r="F3255" t="str">
            <v>218*68*68</v>
          </cell>
          <cell r="G3255">
            <v>221</v>
          </cell>
          <cell r="H3255">
            <v>68</v>
          </cell>
          <cell r="I3255">
            <v>68</v>
          </cell>
          <cell r="J3255">
            <v>470</v>
          </cell>
          <cell r="K3255">
            <v>0</v>
          </cell>
          <cell r="L3255">
            <v>1.3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2.7659574468085109</v>
          </cell>
        </row>
        <row r="3256">
          <cell r="A3256" t="str">
            <v>Y045-027</v>
          </cell>
          <cell r="B3256" t="str">
            <v>Y045-012</v>
          </cell>
          <cell r="C3256" t="str">
            <v>Y045</v>
          </cell>
          <cell r="D3256" t="str">
            <v>So  8-R</v>
          </cell>
          <cell r="E3256" t="str">
            <v xml:space="preserve">虎腳-R </v>
          </cell>
          <cell r="F3256" t="str">
            <v>218*68*68</v>
          </cell>
          <cell r="G3256">
            <v>221</v>
          </cell>
          <cell r="H3256">
            <v>68</v>
          </cell>
          <cell r="I3256">
            <v>68</v>
          </cell>
          <cell r="J3256">
            <v>470</v>
          </cell>
          <cell r="K3256">
            <v>0</v>
          </cell>
          <cell r="L3256">
            <v>1.3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2.7659574468085109</v>
          </cell>
        </row>
        <row r="3257">
          <cell r="A3257" t="str">
            <v>Y046-001</v>
          </cell>
          <cell r="B3257" t="str">
            <v>Y046-001</v>
          </cell>
          <cell r="C3257" t="str">
            <v>Y046</v>
          </cell>
          <cell r="D3257" t="str">
            <v>8466#</v>
          </cell>
          <cell r="E3257" t="str">
            <v>轉角飾條</v>
          </cell>
          <cell r="F3257" t="str">
            <v>126*21*18</v>
          </cell>
          <cell r="G3257">
            <v>126</v>
          </cell>
          <cell r="H3257">
            <v>21</v>
          </cell>
          <cell r="I3257">
            <v>18</v>
          </cell>
          <cell r="J3257">
            <v>90</v>
          </cell>
          <cell r="K3257">
            <v>0</v>
          </cell>
          <cell r="L3257">
            <v>0.27500000000000002</v>
          </cell>
          <cell r="M3257">
            <v>0</v>
          </cell>
          <cell r="N3257">
            <v>0</v>
          </cell>
          <cell r="O3257">
            <v>0</v>
          </cell>
          <cell r="P3257" t="str">
            <v>1010</v>
          </cell>
          <cell r="Q3257" t="str">
            <v>1010</v>
          </cell>
          <cell r="R3257">
            <v>3.0555555555555558</v>
          </cell>
        </row>
        <row r="3258">
          <cell r="A3258" t="str">
            <v>Y046-002</v>
          </cell>
          <cell r="B3258" t="str">
            <v>Y046-002</v>
          </cell>
          <cell r="C3258" t="str">
            <v>Y046</v>
          </cell>
          <cell r="D3258" t="str">
            <v>8466-740#</v>
          </cell>
          <cell r="E3258" t="str">
            <v>POLY飾條</v>
          </cell>
          <cell r="F3258" t="str">
            <v>(840+20)*21*18</v>
          </cell>
          <cell r="G3258" t="str">
            <v>840+20</v>
          </cell>
          <cell r="H3258">
            <v>21</v>
          </cell>
          <cell r="I3258">
            <v>18</v>
          </cell>
          <cell r="J3258">
            <v>440</v>
          </cell>
          <cell r="K3258">
            <v>0</v>
          </cell>
          <cell r="L3258">
            <v>1.24</v>
          </cell>
          <cell r="M3258">
            <v>0</v>
          </cell>
          <cell r="N3258">
            <v>0</v>
          </cell>
          <cell r="O3258">
            <v>0</v>
          </cell>
          <cell r="P3258" t="str">
            <v>1010</v>
          </cell>
          <cell r="Q3258" t="str">
            <v>1010</v>
          </cell>
          <cell r="R3258">
            <v>2.8181818181818183</v>
          </cell>
        </row>
        <row r="3259">
          <cell r="A3259" t="str">
            <v>Y046-003</v>
          </cell>
          <cell r="B3259" t="str">
            <v>Y046-003</v>
          </cell>
          <cell r="C3259" t="str">
            <v>Y046</v>
          </cell>
          <cell r="D3259" t="str">
            <v>8466-740#</v>
          </cell>
          <cell r="E3259" t="str">
            <v>POLY飾條</v>
          </cell>
          <cell r="F3259" t="str">
            <v>(1000+20)*21*18</v>
          </cell>
          <cell r="G3259" t="str">
            <v>1000+20</v>
          </cell>
          <cell r="H3259">
            <v>21</v>
          </cell>
          <cell r="I3259">
            <v>18</v>
          </cell>
          <cell r="J3259">
            <v>430</v>
          </cell>
          <cell r="K3259">
            <v>0</v>
          </cell>
          <cell r="L3259">
            <v>1.2</v>
          </cell>
          <cell r="M3259">
            <v>0</v>
          </cell>
          <cell r="N3259">
            <v>0</v>
          </cell>
          <cell r="O3259">
            <v>0</v>
          </cell>
          <cell r="P3259" t="str">
            <v>1010</v>
          </cell>
          <cell r="Q3259" t="str">
            <v>1010</v>
          </cell>
          <cell r="R3259">
            <v>2.7906976744186047</v>
          </cell>
        </row>
        <row r="3260">
          <cell r="A3260" t="str">
            <v>Y047-001</v>
          </cell>
          <cell r="B3260" t="str">
            <v>LCT121-001</v>
          </cell>
          <cell r="C3260" t="str">
            <v>Y047</v>
          </cell>
          <cell r="D3260" t="str">
            <v>化妝柜</v>
          </cell>
          <cell r="E3260" t="str">
            <v>前框下横波丽饰條</v>
          </cell>
          <cell r="F3260" t="str">
            <v>690*11*10</v>
          </cell>
          <cell r="G3260">
            <v>690</v>
          </cell>
          <cell r="H3260">
            <v>11</v>
          </cell>
          <cell r="I3260">
            <v>10</v>
          </cell>
          <cell r="J3260">
            <v>100</v>
          </cell>
          <cell r="K3260">
            <v>0</v>
          </cell>
          <cell r="L3260">
            <v>0.3</v>
          </cell>
          <cell r="M3260">
            <v>0</v>
          </cell>
          <cell r="N3260">
            <v>0</v>
          </cell>
          <cell r="O3260" t="str">
            <v>V40</v>
          </cell>
          <cell r="P3260" t="str">
            <v>1010</v>
          </cell>
          <cell r="Q3260">
            <v>1010</v>
          </cell>
          <cell r="R3260">
            <v>2.9999999999999996</v>
          </cell>
        </row>
        <row r="3261">
          <cell r="A3261" t="str">
            <v>Y047-002</v>
          </cell>
          <cell r="B3261" t="str">
            <v>LCT121-002</v>
          </cell>
          <cell r="C3261" t="str">
            <v>Y047</v>
          </cell>
          <cell r="D3261">
            <v>0</v>
          </cell>
          <cell r="E3261" t="str">
            <v>波丽饰條框柱</v>
          </cell>
          <cell r="F3261" t="str">
            <v>75*31*11</v>
          </cell>
          <cell r="G3261">
            <v>75</v>
          </cell>
          <cell r="H3261">
            <v>31</v>
          </cell>
          <cell r="I3261">
            <v>11</v>
          </cell>
          <cell r="J3261">
            <v>20</v>
          </cell>
          <cell r="K3261">
            <v>0</v>
          </cell>
          <cell r="L3261">
            <v>0.1</v>
          </cell>
          <cell r="M3261">
            <v>0</v>
          </cell>
          <cell r="N3261">
            <v>0</v>
          </cell>
          <cell r="O3261">
            <v>40</v>
          </cell>
          <cell r="P3261" t="str">
            <v>1010</v>
          </cell>
          <cell r="Q3261">
            <v>1010</v>
          </cell>
          <cell r="R3261">
            <v>5</v>
          </cell>
        </row>
        <row r="3262">
          <cell r="A3262" t="str">
            <v>Y047-003</v>
          </cell>
          <cell r="B3262" t="str">
            <v>LCT121-004</v>
          </cell>
          <cell r="C3262" t="str">
            <v>Y047</v>
          </cell>
          <cell r="D3262" t="str">
            <v>化妝柜</v>
          </cell>
          <cell r="E3262" t="str">
            <v>侧板下波丽饰條</v>
          </cell>
          <cell r="F3262" t="str">
            <v>390*11*10</v>
          </cell>
          <cell r="G3262">
            <v>390</v>
          </cell>
          <cell r="H3262">
            <v>11</v>
          </cell>
          <cell r="I3262">
            <v>10</v>
          </cell>
          <cell r="J3262">
            <v>60</v>
          </cell>
          <cell r="K3262">
            <v>0</v>
          </cell>
          <cell r="L3262">
            <v>0.17</v>
          </cell>
          <cell r="M3262">
            <v>0</v>
          </cell>
          <cell r="N3262">
            <v>0</v>
          </cell>
          <cell r="O3262">
            <v>40</v>
          </cell>
          <cell r="P3262" t="str">
            <v>1010</v>
          </cell>
          <cell r="Q3262">
            <v>1010</v>
          </cell>
          <cell r="R3262">
            <v>2.8333333333333335</v>
          </cell>
        </row>
        <row r="3263">
          <cell r="A3263" t="str">
            <v>Y047-004</v>
          </cell>
          <cell r="B3263" t="str">
            <v>LCT121-005</v>
          </cell>
          <cell r="C3263" t="str">
            <v>Y047</v>
          </cell>
          <cell r="D3263" t="str">
            <v>五抽柜</v>
          </cell>
          <cell r="E3263" t="str">
            <v>前框下波丽饰條</v>
          </cell>
          <cell r="F3263" t="str">
            <v>750*11*10</v>
          </cell>
          <cell r="G3263">
            <v>750</v>
          </cell>
          <cell r="H3263">
            <v>11</v>
          </cell>
          <cell r="I3263">
            <v>10</v>
          </cell>
          <cell r="J3263">
            <v>110</v>
          </cell>
          <cell r="K3263">
            <v>0</v>
          </cell>
          <cell r="L3263">
            <v>0.32</v>
          </cell>
          <cell r="M3263">
            <v>0</v>
          </cell>
          <cell r="N3263">
            <v>0</v>
          </cell>
          <cell r="O3263">
            <v>40</v>
          </cell>
          <cell r="P3263" t="str">
            <v>1010</v>
          </cell>
          <cell r="Q3263">
            <v>1010</v>
          </cell>
          <cell r="R3263">
            <v>2.9090909090909092</v>
          </cell>
        </row>
        <row r="3264">
          <cell r="A3264" t="str">
            <v>Y047-005</v>
          </cell>
          <cell r="B3264" t="str">
            <v>LCT121-006</v>
          </cell>
          <cell r="C3264" t="str">
            <v>Y047</v>
          </cell>
          <cell r="D3264" t="str">
            <v>五抽柜</v>
          </cell>
          <cell r="E3264" t="str">
            <v>侧板下波丽饰條</v>
          </cell>
          <cell r="F3264" t="str">
            <v>350*11*10</v>
          </cell>
          <cell r="G3264">
            <v>350</v>
          </cell>
          <cell r="H3264">
            <v>11</v>
          </cell>
          <cell r="I3264">
            <v>10</v>
          </cell>
          <cell r="J3264">
            <v>57</v>
          </cell>
          <cell r="K3264">
            <v>0</v>
          </cell>
          <cell r="L3264">
            <v>0.15</v>
          </cell>
          <cell r="M3264">
            <v>0</v>
          </cell>
          <cell r="N3264">
            <v>0</v>
          </cell>
          <cell r="O3264">
            <v>40</v>
          </cell>
          <cell r="P3264" t="str">
            <v>1010</v>
          </cell>
          <cell r="Q3264">
            <v>1010</v>
          </cell>
          <cell r="R3264">
            <v>2.6315789473684208</v>
          </cell>
        </row>
        <row r="3265">
          <cell r="A3265" t="str">
            <v>Y047-006</v>
          </cell>
          <cell r="B3265" t="str">
            <v>LCT121-007</v>
          </cell>
          <cell r="C3265" t="str">
            <v>Y047</v>
          </cell>
          <cell r="D3265" t="str">
            <v>床頭柜</v>
          </cell>
          <cell r="E3265" t="str">
            <v>前框下波丽饰條</v>
          </cell>
          <cell r="F3265" t="str">
            <v>500*11*10</v>
          </cell>
          <cell r="G3265">
            <v>500</v>
          </cell>
          <cell r="H3265">
            <v>11</v>
          </cell>
          <cell r="I3265">
            <v>10</v>
          </cell>
          <cell r="J3265">
            <v>80</v>
          </cell>
          <cell r="K3265">
            <v>0</v>
          </cell>
          <cell r="L3265">
            <v>0.21</v>
          </cell>
          <cell r="M3265">
            <v>0</v>
          </cell>
          <cell r="N3265">
            <v>0</v>
          </cell>
          <cell r="O3265">
            <v>40</v>
          </cell>
          <cell r="P3265" t="str">
            <v>1010</v>
          </cell>
          <cell r="Q3265">
            <v>1010</v>
          </cell>
          <cell r="R3265">
            <v>2.625</v>
          </cell>
        </row>
        <row r="3266">
          <cell r="A3266" t="str">
            <v>Y047-007</v>
          </cell>
          <cell r="B3266" t="str">
            <v>LCT121-008</v>
          </cell>
          <cell r="C3266" t="str">
            <v>Y047</v>
          </cell>
          <cell r="D3266" t="str">
            <v>床頭柜</v>
          </cell>
          <cell r="E3266" t="str">
            <v>侧板下波丽饰條</v>
          </cell>
          <cell r="F3266" t="str">
            <v>335*11*10</v>
          </cell>
          <cell r="G3266">
            <v>335</v>
          </cell>
          <cell r="H3266">
            <v>11</v>
          </cell>
          <cell r="I3266">
            <v>10</v>
          </cell>
          <cell r="J3266">
            <v>56</v>
          </cell>
          <cell r="K3266">
            <v>0</v>
          </cell>
          <cell r="L3266">
            <v>0.14000000000000001</v>
          </cell>
          <cell r="M3266">
            <v>0</v>
          </cell>
          <cell r="N3266">
            <v>0</v>
          </cell>
          <cell r="O3266">
            <v>40</v>
          </cell>
          <cell r="P3266" t="str">
            <v>1010</v>
          </cell>
          <cell r="Q3266">
            <v>1010</v>
          </cell>
          <cell r="R3266">
            <v>2.5</v>
          </cell>
        </row>
        <row r="3267">
          <cell r="A3267" t="str">
            <v>Y047-008</v>
          </cell>
          <cell r="B3267" t="str">
            <v>LCT121-009</v>
          </cell>
          <cell r="C3267" t="str">
            <v>Y047</v>
          </cell>
          <cell r="D3267" t="str">
            <v>國王床尾</v>
          </cell>
          <cell r="E3267" t="str">
            <v>下波丽饰條</v>
          </cell>
          <cell r="F3267" t="str">
            <v>1990*11*10</v>
          </cell>
          <cell r="G3267">
            <v>1990</v>
          </cell>
          <cell r="H3267">
            <v>11</v>
          </cell>
          <cell r="I3267">
            <v>10</v>
          </cell>
          <cell r="J3267">
            <v>310</v>
          </cell>
          <cell r="K3267">
            <v>0</v>
          </cell>
          <cell r="L3267">
            <v>0.87</v>
          </cell>
          <cell r="M3267">
            <v>0</v>
          </cell>
          <cell r="N3267">
            <v>0</v>
          </cell>
          <cell r="O3267">
            <v>40</v>
          </cell>
          <cell r="P3267" t="str">
            <v>1010</v>
          </cell>
          <cell r="Q3267">
            <v>1010</v>
          </cell>
          <cell r="R3267">
            <v>2.806451612903226</v>
          </cell>
        </row>
        <row r="3268">
          <cell r="A3268" t="str">
            <v>Y047-009</v>
          </cell>
          <cell r="B3268" t="str">
            <v>LCT121-010</v>
          </cell>
          <cell r="C3268" t="str">
            <v>Y047</v>
          </cell>
          <cell r="D3268" t="str">
            <v>皇后床尾</v>
          </cell>
          <cell r="E3268" t="str">
            <v>下波丽饰條</v>
          </cell>
          <cell r="F3268" t="str">
            <v>1600*11*10</v>
          </cell>
          <cell r="G3268">
            <v>1600</v>
          </cell>
          <cell r="H3268">
            <v>11</v>
          </cell>
          <cell r="I3268">
            <v>10</v>
          </cell>
          <cell r="J3268">
            <v>250</v>
          </cell>
          <cell r="K3268">
            <v>0</v>
          </cell>
          <cell r="L3268">
            <v>0.69</v>
          </cell>
          <cell r="M3268">
            <v>0</v>
          </cell>
          <cell r="N3268">
            <v>0</v>
          </cell>
          <cell r="O3268">
            <v>40</v>
          </cell>
          <cell r="P3268" t="str">
            <v>1010</v>
          </cell>
          <cell r="Q3268">
            <v>1010</v>
          </cell>
          <cell r="R3268">
            <v>2.76</v>
          </cell>
        </row>
        <row r="3269">
          <cell r="A3269" t="str">
            <v>Y047-010</v>
          </cell>
          <cell r="B3269" t="str">
            <v>LCT121-011</v>
          </cell>
          <cell r="C3269" t="str">
            <v>Y047</v>
          </cell>
          <cell r="D3269" t="str">
            <v>床尾柱</v>
          </cell>
          <cell r="E3269" t="str">
            <v>下波丽饰條-L</v>
          </cell>
          <cell r="F3269" t="str">
            <v>75*31/70*10</v>
          </cell>
          <cell r="G3269">
            <v>75</v>
          </cell>
          <cell r="H3269" t="str">
            <v>31/70</v>
          </cell>
          <cell r="I3269">
            <v>10</v>
          </cell>
          <cell r="J3269">
            <v>30</v>
          </cell>
          <cell r="K3269">
            <v>0</v>
          </cell>
          <cell r="L3269">
            <v>0.1</v>
          </cell>
          <cell r="M3269">
            <v>0</v>
          </cell>
          <cell r="N3269">
            <v>0</v>
          </cell>
          <cell r="O3269">
            <v>40</v>
          </cell>
          <cell r="P3269" t="str">
            <v>1010</v>
          </cell>
          <cell r="Q3269">
            <v>1010</v>
          </cell>
          <cell r="R3269">
            <v>3.3333333333333335</v>
          </cell>
        </row>
        <row r="3270">
          <cell r="A3270" t="str">
            <v>Y047-011</v>
          </cell>
          <cell r="B3270" t="str">
            <v>LCT121-012</v>
          </cell>
          <cell r="C3270" t="str">
            <v>Y047</v>
          </cell>
          <cell r="D3270" t="str">
            <v>床尾柱</v>
          </cell>
          <cell r="E3270" t="str">
            <v>下波丽饰條-R</v>
          </cell>
          <cell r="F3270" t="str">
            <v>75*31/70*10</v>
          </cell>
          <cell r="G3270">
            <v>75</v>
          </cell>
          <cell r="H3270" t="str">
            <v>31/70</v>
          </cell>
          <cell r="I3270">
            <v>10</v>
          </cell>
          <cell r="J3270">
            <v>30</v>
          </cell>
          <cell r="K3270">
            <v>0</v>
          </cell>
          <cell r="L3270">
            <v>0.1</v>
          </cell>
          <cell r="M3270">
            <v>0</v>
          </cell>
          <cell r="N3270">
            <v>0</v>
          </cell>
          <cell r="O3270">
            <v>40</v>
          </cell>
          <cell r="P3270" t="str">
            <v>1010</v>
          </cell>
          <cell r="Q3270">
            <v>1010</v>
          </cell>
          <cell r="R3270">
            <v>3.3333333333333335</v>
          </cell>
        </row>
        <row r="3271">
          <cell r="A3271" t="str">
            <v>Y048-001</v>
          </cell>
          <cell r="B3271" t="str">
            <v>LCT102-001</v>
          </cell>
          <cell r="C3271" t="str">
            <v>Y048</v>
          </cell>
          <cell r="D3271" t="str">
            <v>#323</v>
          </cell>
          <cell r="E3271" t="str">
            <v>POLY 圆珠饰条</v>
          </cell>
          <cell r="F3271" t="str">
            <v>800*10*5</v>
          </cell>
          <cell r="G3271">
            <v>800</v>
          </cell>
          <cell r="H3271">
            <v>10</v>
          </cell>
          <cell r="I3271">
            <v>5</v>
          </cell>
          <cell r="J3271">
            <v>60</v>
          </cell>
          <cell r="K3271">
            <v>0</v>
          </cell>
          <cell r="L3271">
            <v>0.21</v>
          </cell>
          <cell r="M3271">
            <v>0</v>
          </cell>
          <cell r="N3271">
            <v>0</v>
          </cell>
          <cell r="O3271">
            <v>40</v>
          </cell>
          <cell r="P3271" t="str">
            <v>1010</v>
          </cell>
          <cell r="Q3271">
            <v>1010</v>
          </cell>
          <cell r="R3271">
            <v>3.5</v>
          </cell>
        </row>
        <row r="3272">
          <cell r="A3272" t="str">
            <v>Y048-002</v>
          </cell>
          <cell r="B3272" t="str">
            <v>LCT102-006</v>
          </cell>
          <cell r="C3272" t="str">
            <v>Y048</v>
          </cell>
          <cell r="D3272" t="str">
            <v>#323</v>
          </cell>
          <cell r="E3272" t="str">
            <v>POLY 1/4半圆珠饰条</v>
          </cell>
          <cell r="F3272" t="str">
            <v>1005*8*8</v>
          </cell>
          <cell r="G3272">
            <v>1005</v>
          </cell>
          <cell r="H3272">
            <v>8</v>
          </cell>
          <cell r="I3272">
            <v>8</v>
          </cell>
          <cell r="J3272">
            <v>80</v>
          </cell>
          <cell r="K3272">
            <v>0</v>
          </cell>
          <cell r="L3272">
            <v>0.25</v>
          </cell>
          <cell r="M3272">
            <v>0</v>
          </cell>
          <cell r="N3272">
            <v>0</v>
          </cell>
          <cell r="O3272">
            <v>40</v>
          </cell>
          <cell r="P3272" t="str">
            <v>1010</v>
          </cell>
          <cell r="Q3272">
            <v>1010</v>
          </cell>
          <cell r="R3272">
            <v>3.125</v>
          </cell>
        </row>
        <row r="3273">
          <cell r="A3273" t="str">
            <v>Y048-003</v>
          </cell>
          <cell r="B3273" t="str">
            <v>LCT102-007</v>
          </cell>
          <cell r="C3273" t="str">
            <v>Y048</v>
          </cell>
          <cell r="D3273" t="str">
            <v>#323</v>
          </cell>
          <cell r="E3273" t="str">
            <v>POLY 1/4半圆珠饰条</v>
          </cell>
          <cell r="F3273" t="str">
            <v>665*8*8</v>
          </cell>
          <cell r="G3273">
            <v>665</v>
          </cell>
          <cell r="H3273">
            <v>8</v>
          </cell>
          <cell r="I3273">
            <v>8</v>
          </cell>
          <cell r="J3273">
            <v>50</v>
          </cell>
          <cell r="K3273">
            <v>0</v>
          </cell>
          <cell r="L3273">
            <v>0.17</v>
          </cell>
          <cell r="M3273">
            <v>0</v>
          </cell>
          <cell r="N3273">
            <v>0</v>
          </cell>
          <cell r="O3273">
            <v>40</v>
          </cell>
          <cell r="P3273" t="str">
            <v>1010</v>
          </cell>
          <cell r="Q3273">
            <v>1010</v>
          </cell>
          <cell r="R3273">
            <v>3.4</v>
          </cell>
        </row>
        <row r="3274">
          <cell r="A3274" t="str">
            <v>Y048-004</v>
          </cell>
          <cell r="B3274" t="str">
            <v>LCT102-005</v>
          </cell>
          <cell r="C3274" t="str">
            <v>Y048</v>
          </cell>
          <cell r="D3274" t="str">
            <v>#323</v>
          </cell>
          <cell r="E3274" t="str">
            <v>POLY 1/4半圆珠饰条</v>
          </cell>
          <cell r="F3274" t="str">
            <v>800*8*8</v>
          </cell>
          <cell r="G3274">
            <v>800</v>
          </cell>
          <cell r="H3274">
            <v>8</v>
          </cell>
          <cell r="I3274">
            <v>8</v>
          </cell>
          <cell r="J3274">
            <v>60</v>
          </cell>
          <cell r="K3274">
            <v>0</v>
          </cell>
          <cell r="L3274">
            <v>0.22</v>
          </cell>
          <cell r="M3274">
            <v>0</v>
          </cell>
          <cell r="N3274">
            <v>0</v>
          </cell>
          <cell r="O3274">
            <v>40</v>
          </cell>
          <cell r="P3274" t="str">
            <v>1010</v>
          </cell>
          <cell r="Q3274">
            <v>1010</v>
          </cell>
          <cell r="R3274">
            <v>3.666666666666667</v>
          </cell>
        </row>
        <row r="3275">
          <cell r="A3275" t="str">
            <v>Y048-005</v>
          </cell>
          <cell r="B3275" t="str">
            <v>LCT102-008</v>
          </cell>
          <cell r="C3275" t="str">
            <v>Y048</v>
          </cell>
          <cell r="D3275" t="str">
            <v>#323</v>
          </cell>
          <cell r="E3275" t="str">
            <v>POLY 1/4半圆珠饰条</v>
          </cell>
          <cell r="F3275" t="str">
            <v>565*8*8</v>
          </cell>
          <cell r="G3275">
            <v>565</v>
          </cell>
          <cell r="H3275">
            <v>8</v>
          </cell>
          <cell r="I3275">
            <v>8</v>
          </cell>
          <cell r="J3275">
            <v>45</v>
          </cell>
          <cell r="K3275">
            <v>0</v>
          </cell>
          <cell r="L3275">
            <v>0.16</v>
          </cell>
          <cell r="M3275">
            <v>0</v>
          </cell>
          <cell r="N3275">
            <v>0</v>
          </cell>
          <cell r="O3275" t="str">
            <v>40V</v>
          </cell>
          <cell r="P3275" t="str">
            <v>1010</v>
          </cell>
          <cell r="Q3275" t="str">
            <v>1010</v>
          </cell>
          <cell r="R3275">
            <v>3.5555555555555558</v>
          </cell>
        </row>
        <row r="3276">
          <cell r="A3276" t="str">
            <v>Y048-006</v>
          </cell>
          <cell r="B3276" t="str">
            <v>LCT102-009</v>
          </cell>
          <cell r="C3276" t="str">
            <v>Y048</v>
          </cell>
          <cell r="D3276" t="str">
            <v>#323</v>
          </cell>
          <cell r="E3276" t="str">
            <v>POLY 1/4半圆珠饰条</v>
          </cell>
          <cell r="F3276" t="str">
            <v>440*8*8</v>
          </cell>
          <cell r="G3276">
            <v>440</v>
          </cell>
          <cell r="H3276">
            <v>8</v>
          </cell>
          <cell r="I3276">
            <v>8</v>
          </cell>
          <cell r="J3276">
            <v>38</v>
          </cell>
          <cell r="K3276">
            <v>0</v>
          </cell>
          <cell r="L3276">
            <v>0.12</v>
          </cell>
          <cell r="M3276">
            <v>0</v>
          </cell>
          <cell r="N3276">
            <v>0</v>
          </cell>
          <cell r="O3276" t="str">
            <v>40V</v>
          </cell>
          <cell r="P3276" t="str">
            <v>1010</v>
          </cell>
          <cell r="Q3276" t="str">
            <v>1010</v>
          </cell>
          <cell r="R3276">
            <v>3.1578947368421053</v>
          </cell>
        </row>
        <row r="3277">
          <cell r="A3277" t="str">
            <v>Y048-007</v>
          </cell>
          <cell r="B3277">
            <v>0</v>
          </cell>
          <cell r="C3277" t="str">
            <v>Y048</v>
          </cell>
          <cell r="D3277" t="str">
            <v>204181K</v>
          </cell>
          <cell r="E3277" t="str">
            <v>大床头内上饰条</v>
          </cell>
          <cell r="F3277" t="str">
            <v>1760*32*18</v>
          </cell>
          <cell r="G3277">
            <v>1760</v>
          </cell>
          <cell r="H3277">
            <v>32</v>
          </cell>
          <cell r="I3277">
            <v>18</v>
          </cell>
          <cell r="J3277">
            <v>1250</v>
          </cell>
          <cell r="K3277">
            <v>0</v>
          </cell>
          <cell r="L3277">
            <v>2.5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2</v>
          </cell>
          <cell r="S3277">
            <v>0</v>
          </cell>
        </row>
        <row r="3278">
          <cell r="A3278" t="str">
            <v>Y048-008</v>
          </cell>
          <cell r="B3278">
            <v>0</v>
          </cell>
          <cell r="C3278" t="str">
            <v>Y048</v>
          </cell>
          <cell r="D3278">
            <v>0</v>
          </cell>
          <cell r="E3278" t="str">
            <v>小床头内上饰条</v>
          </cell>
          <cell r="F3278" t="str">
            <v>1353*32*18</v>
          </cell>
          <cell r="G3278">
            <v>1353</v>
          </cell>
          <cell r="H3278">
            <v>32</v>
          </cell>
          <cell r="I3278">
            <v>18</v>
          </cell>
          <cell r="J3278">
            <v>1080</v>
          </cell>
          <cell r="K3278">
            <v>0</v>
          </cell>
          <cell r="L3278">
            <v>2.1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1.9444444444444444</v>
          </cell>
          <cell r="S3278">
            <v>0</v>
          </cell>
        </row>
        <row r="3279">
          <cell r="A3279" t="str">
            <v>Y048-009</v>
          </cell>
          <cell r="B3279">
            <v>0</v>
          </cell>
          <cell r="C3279" t="str">
            <v>Y048</v>
          </cell>
          <cell r="D3279" t="str">
            <v>T489-3</v>
          </cell>
          <cell r="E3279" t="str">
            <v>抽头饰条</v>
          </cell>
          <cell r="F3279" t="str">
            <v>680*8*4</v>
          </cell>
          <cell r="G3279">
            <v>680</v>
          </cell>
          <cell r="H3279">
            <v>8</v>
          </cell>
          <cell r="I3279">
            <v>4</v>
          </cell>
          <cell r="J3279">
            <v>0</v>
          </cell>
          <cell r="K3279">
            <v>0</v>
          </cell>
          <cell r="L3279">
            <v>0.1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</row>
        <row r="3280">
          <cell r="A3280" t="str">
            <v>Y048-010</v>
          </cell>
          <cell r="B3280">
            <v>0</v>
          </cell>
          <cell r="C3280" t="str">
            <v>Y048</v>
          </cell>
          <cell r="D3280" t="str">
            <v>T489-3</v>
          </cell>
          <cell r="E3280" t="str">
            <v>抽头饰条</v>
          </cell>
          <cell r="F3280" t="str">
            <v>630*10*5</v>
          </cell>
          <cell r="G3280">
            <v>630</v>
          </cell>
          <cell r="H3280">
            <v>10</v>
          </cell>
          <cell r="I3280">
            <v>5</v>
          </cell>
          <cell r="J3280">
            <v>0</v>
          </cell>
          <cell r="K3280">
            <v>0</v>
          </cell>
          <cell r="L3280">
            <v>0.1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</row>
        <row r="3281">
          <cell r="A3281" t="str">
            <v>Y049-001</v>
          </cell>
          <cell r="B3281" t="str">
            <v>Y049-001</v>
          </cell>
          <cell r="C3281" t="str">
            <v>Y049</v>
          </cell>
          <cell r="D3281" t="str">
            <v>853-07/15/46/09/15</v>
          </cell>
          <cell r="E3281" t="str">
            <v>企柱貼塊-左</v>
          </cell>
          <cell r="F3281" t="str">
            <v>92*86*102</v>
          </cell>
          <cell r="G3281">
            <v>92</v>
          </cell>
          <cell r="H3281">
            <v>86</v>
          </cell>
          <cell r="I3281">
            <v>102</v>
          </cell>
          <cell r="J3281">
            <v>260</v>
          </cell>
          <cell r="K3281">
            <v>0</v>
          </cell>
          <cell r="L3281">
            <v>0.84</v>
          </cell>
          <cell r="M3281">
            <v>0</v>
          </cell>
          <cell r="N3281">
            <v>40</v>
          </cell>
          <cell r="O3281" t="str">
            <v>40V</v>
          </cell>
          <cell r="P3281" t="str">
            <v>1010</v>
          </cell>
          <cell r="Q3281" t="str">
            <v>1010</v>
          </cell>
          <cell r="R3281">
            <v>3.2307692307692304</v>
          </cell>
        </row>
        <row r="3282">
          <cell r="A3282" t="str">
            <v>Y049-002</v>
          </cell>
          <cell r="B3282" t="str">
            <v>Y049-002</v>
          </cell>
          <cell r="C3282" t="str">
            <v>Y049</v>
          </cell>
          <cell r="D3282" t="str">
            <v>853-07/15/46/09/15</v>
          </cell>
          <cell r="E3282" t="str">
            <v>企柱貼塊-右</v>
          </cell>
          <cell r="F3282" t="str">
            <v>92*86*102</v>
          </cell>
          <cell r="G3282">
            <v>92</v>
          </cell>
          <cell r="H3282">
            <v>86</v>
          </cell>
          <cell r="I3282">
            <v>102</v>
          </cell>
          <cell r="J3282">
            <v>260</v>
          </cell>
          <cell r="K3282">
            <v>0</v>
          </cell>
          <cell r="L3282">
            <v>0.84</v>
          </cell>
          <cell r="M3282">
            <v>0</v>
          </cell>
          <cell r="N3282">
            <v>40</v>
          </cell>
          <cell r="O3282" t="str">
            <v>40V</v>
          </cell>
          <cell r="P3282" t="str">
            <v>1010</v>
          </cell>
          <cell r="Q3282" t="str">
            <v>1010</v>
          </cell>
          <cell r="R3282">
            <v>3.2307692307692304</v>
          </cell>
        </row>
        <row r="3283">
          <cell r="A3283" t="str">
            <v>Y050-001</v>
          </cell>
          <cell r="B3283">
            <v>0</v>
          </cell>
          <cell r="C3283" t="str">
            <v>Y050</v>
          </cell>
          <cell r="D3283">
            <v>0</v>
          </cell>
          <cell r="E3283" t="str">
            <v>廸士尼小愛心POLY</v>
          </cell>
          <cell r="F3283" t="str">
            <v>25*28*10</v>
          </cell>
          <cell r="G3283">
            <v>25</v>
          </cell>
          <cell r="H3283">
            <v>28</v>
          </cell>
          <cell r="I3283">
            <v>10</v>
          </cell>
          <cell r="J3283">
            <v>20</v>
          </cell>
          <cell r="K3283">
            <v>0</v>
          </cell>
          <cell r="L3283">
            <v>0.06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3</v>
          </cell>
        </row>
        <row r="3284">
          <cell r="A3284" t="str">
            <v>Y050-002</v>
          </cell>
          <cell r="B3284">
            <v>0</v>
          </cell>
          <cell r="C3284" t="str">
            <v>Y050</v>
          </cell>
          <cell r="D3284" t="str">
            <v>POLY 7152</v>
          </cell>
          <cell r="E3284" t="str">
            <v>嬰兒床-下側貼塊</v>
          </cell>
          <cell r="F3284" t="str">
            <v>144*72*56</v>
          </cell>
          <cell r="G3284">
            <v>148</v>
          </cell>
          <cell r="H3284">
            <v>72</v>
          </cell>
          <cell r="I3284">
            <v>56</v>
          </cell>
          <cell r="J3284">
            <v>340</v>
          </cell>
          <cell r="K3284">
            <v>0</v>
          </cell>
          <cell r="L3284">
            <v>0.98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2.8823529411764701</v>
          </cell>
        </row>
        <row r="3285">
          <cell r="A3285" t="str">
            <v>Y050-003</v>
          </cell>
          <cell r="B3285">
            <v>0</v>
          </cell>
          <cell r="C3285" t="str">
            <v>Y050</v>
          </cell>
          <cell r="D3285" t="str">
            <v>POLY 7152</v>
          </cell>
          <cell r="E3285" t="str">
            <v>嬰兒床-下後貼塊</v>
          </cell>
          <cell r="F3285" t="str">
            <v>144*34*18</v>
          </cell>
          <cell r="G3285">
            <v>148</v>
          </cell>
          <cell r="H3285">
            <v>34</v>
          </cell>
          <cell r="I3285">
            <v>18</v>
          </cell>
          <cell r="J3285">
            <v>110</v>
          </cell>
          <cell r="K3285">
            <v>0</v>
          </cell>
          <cell r="L3285">
            <v>0.31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2.8181818181818183</v>
          </cell>
        </row>
        <row r="3286">
          <cell r="A3286" t="str">
            <v>Y050-004</v>
          </cell>
          <cell r="B3286">
            <v>0</v>
          </cell>
          <cell r="C3286" t="str">
            <v>Y050</v>
          </cell>
          <cell r="D3286" t="str">
            <v>POLY 7152</v>
          </cell>
          <cell r="E3286" t="str">
            <v>嬰兒床-圓珠飾條</v>
          </cell>
          <cell r="F3286" t="str">
            <v>1500*10*8</v>
          </cell>
          <cell r="G3286">
            <v>1500</v>
          </cell>
          <cell r="H3286">
            <v>10</v>
          </cell>
          <cell r="I3286">
            <v>8</v>
          </cell>
          <cell r="J3286">
            <v>240</v>
          </cell>
          <cell r="K3286">
            <v>0</v>
          </cell>
          <cell r="L3286">
            <v>0.67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2.791666666666667</v>
          </cell>
        </row>
        <row r="3287">
          <cell r="A3287" t="str">
            <v>Y050-005</v>
          </cell>
          <cell r="B3287">
            <v>0</v>
          </cell>
          <cell r="C3287" t="str">
            <v>Y050</v>
          </cell>
          <cell r="D3287" t="str">
            <v>POLY 7152</v>
          </cell>
          <cell r="E3287" t="str">
            <v>嬰兒床-大愛心</v>
          </cell>
          <cell r="F3287" t="str">
            <v>35*30*10</v>
          </cell>
          <cell r="G3287">
            <v>35</v>
          </cell>
          <cell r="H3287">
            <v>30</v>
          </cell>
          <cell r="I3287">
            <v>10</v>
          </cell>
          <cell r="J3287">
            <v>30</v>
          </cell>
          <cell r="K3287">
            <v>0</v>
          </cell>
          <cell r="L3287">
            <v>0.09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3</v>
          </cell>
        </row>
        <row r="3288">
          <cell r="A3288" t="str">
            <v>Y050-006</v>
          </cell>
          <cell r="B3288">
            <v>0</v>
          </cell>
          <cell r="C3288" t="str">
            <v>Y050</v>
          </cell>
          <cell r="D3288" t="str">
            <v>POLY 71528</v>
          </cell>
          <cell r="E3288" t="str">
            <v>衣柜-抽屜飾框</v>
          </cell>
          <cell r="F3288" t="str">
            <v>570*156*8</v>
          </cell>
          <cell r="G3288">
            <v>570</v>
          </cell>
          <cell r="H3288">
            <v>156</v>
          </cell>
          <cell r="I3288">
            <v>8</v>
          </cell>
          <cell r="J3288">
            <v>293</v>
          </cell>
          <cell r="K3288">
            <v>0</v>
          </cell>
          <cell r="L3288">
            <v>0.95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3.2423208191126278</v>
          </cell>
        </row>
        <row r="3289">
          <cell r="A3289" t="str">
            <v>Y050-007</v>
          </cell>
          <cell r="B3289">
            <v>0</v>
          </cell>
          <cell r="C3289" t="str">
            <v>Y050</v>
          </cell>
          <cell r="D3289" t="str">
            <v>POLY 71528</v>
          </cell>
          <cell r="E3289" t="str">
            <v>衣柜-上側立水飾條</v>
          </cell>
          <cell r="F3289" t="str">
            <v>541*48*12</v>
          </cell>
          <cell r="G3289">
            <v>541</v>
          </cell>
          <cell r="H3289">
            <v>48</v>
          </cell>
          <cell r="I3289">
            <v>12</v>
          </cell>
          <cell r="J3289">
            <v>264</v>
          </cell>
          <cell r="K3289">
            <v>0</v>
          </cell>
          <cell r="L3289">
            <v>0.81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3.0681818181818183</v>
          </cell>
        </row>
        <row r="3290">
          <cell r="A3290" t="str">
            <v>Y050-008</v>
          </cell>
          <cell r="B3290">
            <v>0</v>
          </cell>
          <cell r="C3290" t="str">
            <v>Y050</v>
          </cell>
          <cell r="D3290" t="str">
            <v>POLY 71528</v>
          </cell>
          <cell r="E3290" t="str">
            <v>衣柜-上立水飾條</v>
          </cell>
          <cell r="F3290" t="str">
            <v>738-48*12</v>
          </cell>
          <cell r="G3290">
            <v>738</v>
          </cell>
          <cell r="H3290">
            <v>48</v>
          </cell>
          <cell r="I3290">
            <v>12</v>
          </cell>
          <cell r="J3290">
            <v>350</v>
          </cell>
          <cell r="K3290">
            <v>0</v>
          </cell>
          <cell r="L3290">
            <v>0.98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2.8000000000000003</v>
          </cell>
        </row>
        <row r="3291">
          <cell r="A3291" t="str">
            <v>Y050-009</v>
          </cell>
          <cell r="B3291">
            <v>0</v>
          </cell>
          <cell r="C3291" t="str">
            <v>Y050</v>
          </cell>
          <cell r="D3291" t="str">
            <v>POLY 71528</v>
          </cell>
          <cell r="E3291" t="str">
            <v>衣柜-圓珠飾條</v>
          </cell>
          <cell r="F3291" t="str">
            <v>1500*10*8</v>
          </cell>
          <cell r="G3291">
            <v>1500</v>
          </cell>
          <cell r="H3291">
            <v>10</v>
          </cell>
          <cell r="I3291">
            <v>8</v>
          </cell>
          <cell r="J3291">
            <v>240</v>
          </cell>
          <cell r="K3291">
            <v>0</v>
          </cell>
          <cell r="L3291">
            <v>0.67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2.791666666666667</v>
          </cell>
        </row>
        <row r="3292">
          <cell r="A3292" t="str">
            <v>Y050-010</v>
          </cell>
          <cell r="B3292">
            <v>0</v>
          </cell>
          <cell r="C3292" t="str">
            <v>Y050</v>
          </cell>
          <cell r="D3292" t="str">
            <v>POLY 71528</v>
          </cell>
          <cell r="E3292" t="str">
            <v>衣柜-小愛心</v>
          </cell>
          <cell r="F3292" t="str">
            <v>25*28*10</v>
          </cell>
          <cell r="G3292">
            <v>25</v>
          </cell>
          <cell r="H3292">
            <v>28</v>
          </cell>
          <cell r="I3292">
            <v>10</v>
          </cell>
          <cell r="J3292">
            <v>20</v>
          </cell>
          <cell r="K3292">
            <v>0</v>
          </cell>
          <cell r="L3292">
            <v>0.06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3</v>
          </cell>
        </row>
        <row r="3293">
          <cell r="A3293" t="str">
            <v>Y050-011</v>
          </cell>
          <cell r="B3293">
            <v>0</v>
          </cell>
          <cell r="C3293" t="str">
            <v>Y050</v>
          </cell>
          <cell r="D3293" t="str">
            <v>POLY 71528</v>
          </cell>
          <cell r="E3293" t="str">
            <v>衣柜-板上飾框</v>
          </cell>
          <cell r="F3293" t="str">
            <v>835*570*7</v>
          </cell>
          <cell r="G3293">
            <v>835</v>
          </cell>
          <cell r="H3293">
            <v>570</v>
          </cell>
          <cell r="I3293">
            <v>7</v>
          </cell>
          <cell r="J3293">
            <v>630</v>
          </cell>
          <cell r="K3293">
            <v>0</v>
          </cell>
          <cell r="L3293">
            <v>1.58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2.5079365079365079</v>
          </cell>
        </row>
        <row r="3294">
          <cell r="A3294" t="str">
            <v>Y050-012</v>
          </cell>
          <cell r="B3294">
            <v>0</v>
          </cell>
          <cell r="C3294" t="str">
            <v>Y050</v>
          </cell>
          <cell r="D3294" t="str">
            <v>POLY 71526</v>
          </cell>
          <cell r="E3294" t="str">
            <v>六抽柜-飾框</v>
          </cell>
          <cell r="F3294" t="str">
            <v>607.5*170*8</v>
          </cell>
          <cell r="G3294">
            <v>607.5</v>
          </cell>
          <cell r="H3294">
            <v>170</v>
          </cell>
          <cell r="I3294">
            <v>8</v>
          </cell>
          <cell r="J3294">
            <v>330</v>
          </cell>
          <cell r="K3294">
            <v>0</v>
          </cell>
          <cell r="L3294">
            <v>0.95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2.8787878787878785</v>
          </cell>
        </row>
        <row r="3295">
          <cell r="A3295" t="str">
            <v>Y050-013</v>
          </cell>
          <cell r="B3295">
            <v>0</v>
          </cell>
          <cell r="C3295" t="str">
            <v>Y050</v>
          </cell>
          <cell r="D3295" t="str">
            <v>POLY 71526</v>
          </cell>
          <cell r="E3295" t="str">
            <v>六抽柜-上側立水飾條</v>
          </cell>
          <cell r="F3295" t="str">
            <v>465*32*12</v>
          </cell>
          <cell r="G3295">
            <v>465</v>
          </cell>
          <cell r="H3295">
            <v>32</v>
          </cell>
          <cell r="I3295">
            <v>12</v>
          </cell>
          <cell r="J3295">
            <v>170</v>
          </cell>
          <cell r="K3295">
            <v>0</v>
          </cell>
          <cell r="L3295">
            <v>0.48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2.8235294117647056</v>
          </cell>
        </row>
        <row r="3296">
          <cell r="A3296" t="str">
            <v>Y050-014</v>
          </cell>
          <cell r="B3296">
            <v>0</v>
          </cell>
          <cell r="C3296" t="str">
            <v>Y050</v>
          </cell>
          <cell r="D3296" t="str">
            <v>POLY 71526</v>
          </cell>
          <cell r="E3296" t="str">
            <v>六抽柜-上立水飾條</v>
          </cell>
          <cell r="F3296" t="str">
            <v>1457*32*12</v>
          </cell>
          <cell r="G3296">
            <v>1457</v>
          </cell>
          <cell r="H3296">
            <v>32</v>
          </cell>
          <cell r="I3296">
            <v>12</v>
          </cell>
          <cell r="J3296">
            <v>410</v>
          </cell>
          <cell r="K3296">
            <v>0</v>
          </cell>
          <cell r="L3296">
            <v>1.1499999999999999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2.8048780487804876</v>
          </cell>
        </row>
        <row r="3297">
          <cell r="A3297" t="str">
            <v>Y050-015</v>
          </cell>
          <cell r="B3297">
            <v>0</v>
          </cell>
          <cell r="C3297" t="str">
            <v>Y050</v>
          </cell>
          <cell r="D3297" t="str">
            <v>POLY 71526</v>
          </cell>
          <cell r="E3297" t="str">
            <v>六抽柜-圓珠飾條</v>
          </cell>
          <cell r="F3297" t="str">
            <v>1500*10*8</v>
          </cell>
          <cell r="G3297">
            <v>1500</v>
          </cell>
          <cell r="H3297">
            <v>10</v>
          </cell>
          <cell r="I3297">
            <v>8</v>
          </cell>
          <cell r="J3297">
            <v>240</v>
          </cell>
          <cell r="K3297">
            <v>0</v>
          </cell>
          <cell r="L3297">
            <v>0.67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2.791666666666667</v>
          </cell>
        </row>
        <row r="3298">
          <cell r="A3298" t="str">
            <v>Y050-016</v>
          </cell>
          <cell r="B3298">
            <v>0</v>
          </cell>
          <cell r="C3298" t="str">
            <v>Y050</v>
          </cell>
          <cell r="D3298" t="str">
            <v>POLY 71526</v>
          </cell>
          <cell r="E3298" t="str">
            <v>六抽柜-小愛心</v>
          </cell>
          <cell r="F3298" t="str">
            <v>25*28*10</v>
          </cell>
          <cell r="G3298">
            <v>25</v>
          </cell>
          <cell r="H3298">
            <v>28</v>
          </cell>
          <cell r="I3298">
            <v>10</v>
          </cell>
          <cell r="J3298">
            <v>20</v>
          </cell>
          <cell r="K3298">
            <v>0</v>
          </cell>
          <cell r="L3298">
            <v>0.06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3</v>
          </cell>
        </row>
        <row r="3299">
          <cell r="A3299" t="str">
            <v>Y050-017</v>
          </cell>
          <cell r="B3299">
            <v>0</v>
          </cell>
          <cell r="C3299" t="str">
            <v>Y050</v>
          </cell>
          <cell r="D3299" t="str">
            <v>POLY 7152</v>
          </cell>
          <cell r="E3299" t="str">
            <v>圓珠飾條-圓</v>
          </cell>
          <cell r="F3299" t="str">
            <v>60*60*10</v>
          </cell>
          <cell r="G3299">
            <v>60</v>
          </cell>
          <cell r="H3299">
            <v>60</v>
          </cell>
          <cell r="I3299">
            <v>10</v>
          </cell>
          <cell r="J3299">
            <v>40</v>
          </cell>
          <cell r="K3299">
            <v>0</v>
          </cell>
          <cell r="L3299">
            <v>0.14000000000000001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3.5000000000000004</v>
          </cell>
        </row>
        <row r="3300">
          <cell r="A3300" t="str">
            <v>Y050-018</v>
          </cell>
          <cell r="B3300">
            <v>0</v>
          </cell>
          <cell r="C3300" t="str">
            <v>Y050</v>
          </cell>
          <cell r="D3300" t="str">
            <v>POLY 71528</v>
          </cell>
          <cell r="E3300" t="str">
            <v>圓珠飾條-圓</v>
          </cell>
          <cell r="F3300" t="str">
            <v>60*60*10</v>
          </cell>
          <cell r="G3300">
            <v>60</v>
          </cell>
          <cell r="H3300">
            <v>60</v>
          </cell>
          <cell r="I3300">
            <v>10</v>
          </cell>
          <cell r="J3300">
            <v>40</v>
          </cell>
          <cell r="K3300">
            <v>0</v>
          </cell>
          <cell r="L3300">
            <v>0.14000000000000001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3.5000000000000004</v>
          </cell>
        </row>
        <row r="3301">
          <cell r="A3301" t="str">
            <v>Y050-019</v>
          </cell>
          <cell r="B3301">
            <v>0</v>
          </cell>
          <cell r="C3301" t="str">
            <v>Y050</v>
          </cell>
          <cell r="D3301" t="str">
            <v>POLY 71526</v>
          </cell>
          <cell r="E3301" t="str">
            <v>圓珠飾條-圓</v>
          </cell>
          <cell r="F3301" t="str">
            <v>60*60*10</v>
          </cell>
          <cell r="G3301">
            <v>60</v>
          </cell>
          <cell r="H3301">
            <v>60</v>
          </cell>
          <cell r="I3301">
            <v>10</v>
          </cell>
          <cell r="J3301">
            <v>40</v>
          </cell>
          <cell r="K3301">
            <v>0</v>
          </cell>
          <cell r="L3301">
            <v>0.14000000000000001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3.5000000000000004</v>
          </cell>
        </row>
        <row r="3302">
          <cell r="A3302" t="str">
            <v>Y050-020</v>
          </cell>
          <cell r="B3302" t="str">
            <v>LCT055-008</v>
          </cell>
          <cell r="C3302" t="str">
            <v>Y050</v>
          </cell>
          <cell r="D3302">
            <v>0</v>
          </cell>
          <cell r="E3302" t="str">
            <v>poly 饰条</v>
          </cell>
          <cell r="F3302" t="str">
            <v>415*25.5*8</v>
          </cell>
          <cell r="G3302">
            <v>415</v>
          </cell>
          <cell r="H3302">
            <v>25.5</v>
          </cell>
          <cell r="I3302">
            <v>8</v>
          </cell>
          <cell r="J3302">
            <v>100</v>
          </cell>
          <cell r="K3302">
            <v>0</v>
          </cell>
          <cell r="L3302">
            <v>0.33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3.3</v>
          </cell>
        </row>
        <row r="3303">
          <cell r="A3303" t="str">
            <v>Y050-021</v>
          </cell>
          <cell r="B3303" t="str">
            <v>LCT055-009</v>
          </cell>
          <cell r="C3303" t="str">
            <v>Y050</v>
          </cell>
          <cell r="D3303">
            <v>0</v>
          </cell>
          <cell r="E3303" t="str">
            <v>poly 飾框</v>
          </cell>
          <cell r="F3303" t="str">
            <v>428*238*12.5</v>
          </cell>
          <cell r="G3303">
            <v>428</v>
          </cell>
          <cell r="H3303">
            <v>238</v>
          </cell>
          <cell r="I3303">
            <v>12.5</v>
          </cell>
          <cell r="J3303">
            <v>350</v>
          </cell>
          <cell r="K3303">
            <v>0</v>
          </cell>
          <cell r="L3303">
            <v>1.03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2.9428571428571431</v>
          </cell>
        </row>
        <row r="3304">
          <cell r="A3304" t="str">
            <v>Y050-022</v>
          </cell>
          <cell r="B3304" t="str">
            <v>LCT055-005</v>
          </cell>
          <cell r="C3304" t="str">
            <v>Y050</v>
          </cell>
          <cell r="D3304">
            <v>0</v>
          </cell>
          <cell r="E3304" t="str">
            <v>poly 饰条</v>
          </cell>
          <cell r="F3304" t="str">
            <v>490*25*8</v>
          </cell>
          <cell r="G3304">
            <v>490</v>
          </cell>
          <cell r="H3304">
            <v>25</v>
          </cell>
          <cell r="I3304">
            <v>8</v>
          </cell>
          <cell r="J3304">
            <v>130</v>
          </cell>
          <cell r="K3304">
            <v>0</v>
          </cell>
          <cell r="L3304">
            <v>0.4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3.0769230769230771</v>
          </cell>
          <cell r="S3304">
            <v>0</v>
          </cell>
        </row>
        <row r="3305">
          <cell r="A3305" t="str">
            <v>Y050-023</v>
          </cell>
          <cell r="B3305" t="str">
            <v>LCT055-006</v>
          </cell>
          <cell r="C3305" t="str">
            <v>Y050</v>
          </cell>
          <cell r="D3305">
            <v>0</v>
          </cell>
          <cell r="E3305" t="str">
            <v>poly 飾框</v>
          </cell>
          <cell r="F3305" t="str">
            <v>504*240*13</v>
          </cell>
          <cell r="G3305">
            <v>504</v>
          </cell>
          <cell r="H3305">
            <v>240</v>
          </cell>
          <cell r="I3305">
            <v>13</v>
          </cell>
          <cell r="J3305">
            <v>415</v>
          </cell>
          <cell r="K3305">
            <v>0</v>
          </cell>
          <cell r="L3305">
            <v>1.1499999999999999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2.7710843373493974</v>
          </cell>
          <cell r="S3305">
            <v>0</v>
          </cell>
        </row>
        <row r="3306">
          <cell r="A3306" t="str">
            <v>Y050-024</v>
          </cell>
          <cell r="B3306">
            <v>0</v>
          </cell>
          <cell r="C3306" t="str">
            <v>Y050</v>
          </cell>
          <cell r="D3306" t="str">
            <v>POLY 71528-</v>
          </cell>
          <cell r="E3306" t="str">
            <v>六抽柜-圓珠飾條</v>
          </cell>
          <cell r="F3306" t="str">
            <v>1330*10*8</v>
          </cell>
          <cell r="G3306">
            <v>1330</v>
          </cell>
          <cell r="H3306">
            <v>10</v>
          </cell>
          <cell r="I3306">
            <v>8</v>
          </cell>
          <cell r="J3306">
            <v>220</v>
          </cell>
          <cell r="K3306">
            <v>0</v>
          </cell>
          <cell r="L3306">
            <v>0.52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2.3636363636363638</v>
          </cell>
        </row>
        <row r="3307">
          <cell r="A3307" t="str">
            <v>Y050-025</v>
          </cell>
          <cell r="B3307">
            <v>0</v>
          </cell>
          <cell r="C3307" t="str">
            <v>Y050</v>
          </cell>
          <cell r="D3307" t="str">
            <v>POLY 71528-</v>
          </cell>
          <cell r="E3307" t="str">
            <v>六抽柜-圓珠飾條</v>
          </cell>
          <cell r="F3307" t="str">
            <v>650*10*8</v>
          </cell>
          <cell r="G3307">
            <v>650</v>
          </cell>
          <cell r="H3307">
            <v>10</v>
          </cell>
          <cell r="I3307">
            <v>8</v>
          </cell>
          <cell r="J3307">
            <v>110</v>
          </cell>
          <cell r="K3307">
            <v>0</v>
          </cell>
          <cell r="L3307">
            <v>0.27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2.4545454545454546</v>
          </cell>
        </row>
        <row r="3308">
          <cell r="A3308" t="str">
            <v>Y050-026</v>
          </cell>
          <cell r="B3308">
            <v>0</v>
          </cell>
          <cell r="C3308" t="str">
            <v>Y050</v>
          </cell>
          <cell r="D3308" t="str">
            <v>POLY 71526-</v>
          </cell>
          <cell r="E3308" t="str">
            <v>六抽柜-圓珠飾條</v>
          </cell>
          <cell r="F3308" t="str">
            <v>1330*10*8</v>
          </cell>
          <cell r="G3308">
            <v>1330</v>
          </cell>
          <cell r="H3308">
            <v>10</v>
          </cell>
          <cell r="I3308">
            <v>8</v>
          </cell>
          <cell r="J3308">
            <v>220</v>
          </cell>
          <cell r="K3308">
            <v>0</v>
          </cell>
          <cell r="L3308">
            <v>0.52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2.3636363636363638</v>
          </cell>
        </row>
        <row r="3309">
          <cell r="A3309" t="str">
            <v>Y050-027</v>
          </cell>
          <cell r="B3309">
            <v>0</v>
          </cell>
          <cell r="C3309" t="str">
            <v>Y050</v>
          </cell>
          <cell r="D3309" t="str">
            <v>POLY 71526-</v>
          </cell>
          <cell r="E3309" t="str">
            <v>六抽柜-圓珠飾條</v>
          </cell>
          <cell r="F3309" t="str">
            <v>650*10*8</v>
          </cell>
          <cell r="G3309">
            <v>650</v>
          </cell>
          <cell r="H3309">
            <v>10</v>
          </cell>
          <cell r="I3309">
            <v>8</v>
          </cell>
          <cell r="J3309">
            <v>110</v>
          </cell>
          <cell r="K3309">
            <v>0</v>
          </cell>
          <cell r="L3309">
            <v>0.27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2.4545454545454546</v>
          </cell>
        </row>
        <row r="3310">
          <cell r="A3310" t="str">
            <v>Y050-028</v>
          </cell>
          <cell r="B3310">
            <v>0</v>
          </cell>
          <cell r="C3310" t="str">
            <v>Y050</v>
          </cell>
          <cell r="D3310" t="str">
            <v xml:space="preserve">POLY </v>
          </cell>
          <cell r="E3310">
            <v>0</v>
          </cell>
          <cell r="F3310" t="str">
            <v>1310*69*13</v>
          </cell>
          <cell r="G3310">
            <v>1310</v>
          </cell>
          <cell r="H3310">
            <v>69</v>
          </cell>
          <cell r="I3310">
            <v>13</v>
          </cell>
          <cell r="J3310">
            <v>620</v>
          </cell>
          <cell r="K3310">
            <v>0</v>
          </cell>
          <cell r="L3310">
            <v>1.74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2.806451612903226</v>
          </cell>
          <cell r="S3310">
            <v>0</v>
          </cell>
        </row>
        <row r="3311">
          <cell r="A3311" t="str">
            <v>Y050-029</v>
          </cell>
          <cell r="B3311">
            <v>0</v>
          </cell>
          <cell r="C3311" t="str">
            <v>Y050</v>
          </cell>
          <cell r="D3311" t="str">
            <v xml:space="preserve">POLY </v>
          </cell>
          <cell r="E3311">
            <v>0</v>
          </cell>
          <cell r="F3311" t="str">
            <v>960*10*9</v>
          </cell>
          <cell r="G3311">
            <v>960</v>
          </cell>
          <cell r="H3311">
            <v>10</v>
          </cell>
          <cell r="I3311">
            <v>9</v>
          </cell>
          <cell r="J3311">
            <v>160</v>
          </cell>
          <cell r="K3311">
            <v>0</v>
          </cell>
          <cell r="L3311">
            <v>0.45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2.8125</v>
          </cell>
          <cell r="S3311">
            <v>0</v>
          </cell>
        </row>
        <row r="3312">
          <cell r="A3312" t="str">
            <v>Y050-030</v>
          </cell>
          <cell r="B3312">
            <v>0</v>
          </cell>
          <cell r="C3312" t="str">
            <v>Y050</v>
          </cell>
          <cell r="D3312" t="str">
            <v xml:space="preserve">POLY </v>
          </cell>
          <cell r="E3312">
            <v>0</v>
          </cell>
          <cell r="F3312" t="str">
            <v>1310*10*9</v>
          </cell>
          <cell r="G3312">
            <v>1310</v>
          </cell>
          <cell r="H3312">
            <v>10</v>
          </cell>
          <cell r="I3312">
            <v>9</v>
          </cell>
          <cell r="J3312">
            <v>175</v>
          </cell>
          <cell r="K3312">
            <v>0</v>
          </cell>
          <cell r="L3312">
            <v>0.61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3.4857142857142858</v>
          </cell>
          <cell r="S3312">
            <v>0</v>
          </cell>
        </row>
        <row r="3313">
          <cell r="A3313" t="str">
            <v>Y050-031</v>
          </cell>
          <cell r="B3313">
            <v>0</v>
          </cell>
          <cell r="C3313" t="str">
            <v>Y050</v>
          </cell>
          <cell r="D3313" t="str">
            <v xml:space="preserve">POLY </v>
          </cell>
          <cell r="E3313">
            <v>0</v>
          </cell>
          <cell r="F3313" t="str">
            <v>292*32*12</v>
          </cell>
          <cell r="G3313">
            <v>292</v>
          </cell>
          <cell r="H3313">
            <v>32</v>
          </cell>
          <cell r="I3313">
            <v>12</v>
          </cell>
          <cell r="J3313">
            <v>140</v>
          </cell>
          <cell r="K3313">
            <v>0</v>
          </cell>
          <cell r="L3313">
            <v>0.39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2.7857142857142856</v>
          </cell>
          <cell r="S3313">
            <v>0</v>
          </cell>
        </row>
        <row r="3314">
          <cell r="A3314" t="str">
            <v>Y050-032</v>
          </cell>
          <cell r="B3314">
            <v>0</v>
          </cell>
          <cell r="C3314" t="str">
            <v>Y050</v>
          </cell>
          <cell r="D3314" t="str">
            <v xml:space="preserve">POLY </v>
          </cell>
          <cell r="E3314">
            <v>0</v>
          </cell>
          <cell r="F3314" t="str">
            <v>398*10*9</v>
          </cell>
          <cell r="G3314">
            <v>398</v>
          </cell>
          <cell r="H3314">
            <v>10</v>
          </cell>
          <cell r="I3314">
            <v>9</v>
          </cell>
          <cell r="J3314">
            <v>80</v>
          </cell>
          <cell r="K3314">
            <v>0</v>
          </cell>
          <cell r="L3314">
            <v>0.2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2.5</v>
          </cell>
          <cell r="S3314">
            <v>0</v>
          </cell>
        </row>
        <row r="3315">
          <cell r="A3315" t="str">
            <v>Y050-033</v>
          </cell>
          <cell r="B3315">
            <v>0</v>
          </cell>
          <cell r="C3315" t="str">
            <v>Y050</v>
          </cell>
          <cell r="D3315" t="str">
            <v xml:space="preserve">POLY </v>
          </cell>
          <cell r="E3315">
            <v>0</v>
          </cell>
          <cell r="F3315" t="str">
            <v>535*10*9</v>
          </cell>
          <cell r="G3315">
            <v>535</v>
          </cell>
          <cell r="H3315">
            <v>10</v>
          </cell>
          <cell r="I3315">
            <v>9</v>
          </cell>
          <cell r="J3315">
            <v>100</v>
          </cell>
          <cell r="K3315">
            <v>0</v>
          </cell>
          <cell r="L3315">
            <v>0.26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2.6</v>
          </cell>
          <cell r="S3315">
            <v>0</v>
          </cell>
        </row>
        <row r="3316">
          <cell r="A3316" t="str">
            <v>Y050-034</v>
          </cell>
          <cell r="B3316">
            <v>0</v>
          </cell>
          <cell r="C3316" t="str">
            <v>Y050</v>
          </cell>
          <cell r="D3316" t="str">
            <v xml:space="preserve">POLY </v>
          </cell>
          <cell r="E3316">
            <v>0</v>
          </cell>
          <cell r="F3316" t="str">
            <v>444*32*12</v>
          </cell>
          <cell r="G3316">
            <v>444</v>
          </cell>
          <cell r="H3316">
            <v>32</v>
          </cell>
          <cell r="I3316">
            <v>12</v>
          </cell>
          <cell r="J3316">
            <v>200</v>
          </cell>
          <cell r="K3316">
            <v>0</v>
          </cell>
          <cell r="L3316">
            <v>0.62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3.0999999999999996</v>
          </cell>
          <cell r="S3316">
            <v>0</v>
          </cell>
        </row>
        <row r="3317">
          <cell r="A3317" t="str">
            <v>Y050-035</v>
          </cell>
          <cell r="B3317">
            <v>0</v>
          </cell>
          <cell r="C3317" t="str">
            <v>Y050</v>
          </cell>
          <cell r="D3317" t="str">
            <v xml:space="preserve">POLY </v>
          </cell>
          <cell r="E3317">
            <v>0</v>
          </cell>
          <cell r="F3317" t="str">
            <v>670*32*12</v>
          </cell>
          <cell r="G3317">
            <v>670</v>
          </cell>
          <cell r="H3317">
            <v>32</v>
          </cell>
          <cell r="I3317">
            <v>12</v>
          </cell>
          <cell r="J3317">
            <v>260</v>
          </cell>
          <cell r="K3317">
            <v>0</v>
          </cell>
          <cell r="L3317">
            <v>0.6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2.3076923076923075</v>
          </cell>
          <cell r="S3317">
            <v>0</v>
          </cell>
        </row>
        <row r="3318">
          <cell r="A3318" t="str">
            <v>Y050-036</v>
          </cell>
          <cell r="B3318">
            <v>0</v>
          </cell>
          <cell r="C3318" t="str">
            <v>Y050</v>
          </cell>
          <cell r="D3318" t="str">
            <v xml:space="preserve">POLY </v>
          </cell>
          <cell r="E3318">
            <v>0</v>
          </cell>
          <cell r="F3318" t="str">
            <v>491*143*8</v>
          </cell>
          <cell r="G3318">
            <v>491</v>
          </cell>
          <cell r="H3318">
            <v>143</v>
          </cell>
          <cell r="I3318">
            <v>8</v>
          </cell>
          <cell r="J3318">
            <v>270</v>
          </cell>
          <cell r="K3318">
            <v>0</v>
          </cell>
          <cell r="L3318">
            <v>0.76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2.8148148148148149</v>
          </cell>
          <cell r="S3318">
            <v>0</v>
          </cell>
        </row>
        <row r="3319">
          <cell r="A3319" t="str">
            <v>Y050-037</v>
          </cell>
          <cell r="B3319">
            <v>0</v>
          </cell>
          <cell r="C3319" t="str">
            <v>Y050</v>
          </cell>
          <cell r="D3319" t="str">
            <v xml:space="preserve">POLY </v>
          </cell>
          <cell r="E3319">
            <v>0</v>
          </cell>
          <cell r="F3319" t="str">
            <v>500*10*8</v>
          </cell>
          <cell r="G3319">
            <v>500</v>
          </cell>
          <cell r="H3319">
            <v>10</v>
          </cell>
          <cell r="I3319">
            <v>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 t="e">
            <v>#DIV/0!</v>
          </cell>
          <cell r="S3319">
            <v>0</v>
          </cell>
        </row>
        <row r="3320">
          <cell r="A3320" t="str">
            <v>Y050-038</v>
          </cell>
          <cell r="B3320">
            <v>0</v>
          </cell>
          <cell r="C3320" t="str">
            <v>Y050</v>
          </cell>
          <cell r="D3320" t="str">
            <v xml:space="preserve">POLY </v>
          </cell>
          <cell r="E3320">
            <v>0</v>
          </cell>
          <cell r="F3320" t="str">
            <v>820*10*8</v>
          </cell>
          <cell r="G3320">
            <v>820</v>
          </cell>
          <cell r="H3320">
            <v>10</v>
          </cell>
          <cell r="I3320">
            <v>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 t="e">
            <v>#DIV/0!</v>
          </cell>
          <cell r="S3320">
            <v>0</v>
          </cell>
        </row>
        <row r="3321">
          <cell r="A3321" t="str">
            <v>Y050-039</v>
          </cell>
          <cell r="B3321">
            <v>0</v>
          </cell>
          <cell r="C3321" t="str">
            <v>Y050</v>
          </cell>
          <cell r="D3321" t="str">
            <v xml:space="preserve">POLY </v>
          </cell>
          <cell r="E3321">
            <v>0</v>
          </cell>
          <cell r="F3321" t="str">
            <v>880*10*8</v>
          </cell>
          <cell r="G3321">
            <v>880</v>
          </cell>
          <cell r="H3321">
            <v>10</v>
          </cell>
          <cell r="I3321">
            <v>8</v>
          </cell>
          <cell r="J3321">
            <v>0</v>
          </cell>
          <cell r="K3321">
            <v>0</v>
          </cell>
          <cell r="L3321">
            <v>0.32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 t="e">
            <v>#DIV/0!</v>
          </cell>
          <cell r="S3321">
            <v>0</v>
          </cell>
        </row>
        <row r="3322">
          <cell r="A3322" t="str">
            <v>Y050-040</v>
          </cell>
          <cell r="B3322">
            <v>0</v>
          </cell>
          <cell r="C3322" t="str">
            <v>Y050</v>
          </cell>
          <cell r="D3322" t="str">
            <v xml:space="preserve">POLY </v>
          </cell>
          <cell r="E3322">
            <v>0</v>
          </cell>
          <cell r="F3322" t="str">
            <v>810*553*7</v>
          </cell>
          <cell r="G3322">
            <v>810</v>
          </cell>
          <cell r="H3322">
            <v>553</v>
          </cell>
          <cell r="I3322">
            <v>7</v>
          </cell>
          <cell r="J3322">
            <v>659</v>
          </cell>
          <cell r="K3322">
            <v>0</v>
          </cell>
          <cell r="L3322">
            <v>1.58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2.3975720789074355</v>
          </cell>
          <cell r="S3322">
            <v>0</v>
          </cell>
        </row>
        <row r="3323">
          <cell r="A3323" t="str">
            <v>Y050-041</v>
          </cell>
          <cell r="B3323">
            <v>0</v>
          </cell>
          <cell r="C3323" t="str">
            <v>Y050</v>
          </cell>
          <cell r="D3323" t="str">
            <v xml:space="preserve">POLY </v>
          </cell>
          <cell r="E3323">
            <v>0</v>
          </cell>
          <cell r="F3323" t="str">
            <v>870*15*9</v>
          </cell>
          <cell r="G3323">
            <v>870</v>
          </cell>
          <cell r="H3323">
            <v>15</v>
          </cell>
          <cell r="I3323">
            <v>9</v>
          </cell>
          <cell r="J3323">
            <v>0</v>
          </cell>
          <cell r="K3323">
            <v>0</v>
          </cell>
          <cell r="L3323">
            <v>0.36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 t="e">
            <v>#DIV/0!</v>
          </cell>
          <cell r="S3323">
            <v>0</v>
          </cell>
        </row>
        <row r="3324">
          <cell r="A3324" t="str">
            <v>Y050-042</v>
          </cell>
          <cell r="B3324">
            <v>0</v>
          </cell>
          <cell r="C3324" t="str">
            <v>Y050</v>
          </cell>
          <cell r="D3324" t="str">
            <v>POLY 7152</v>
          </cell>
          <cell r="E3324" t="str">
            <v>嬰兒床-圓珠飾條</v>
          </cell>
          <cell r="F3324" t="str">
            <v>1300*10*8</v>
          </cell>
          <cell r="G3324">
            <v>1300</v>
          </cell>
          <cell r="H3324">
            <v>10</v>
          </cell>
          <cell r="I3324">
            <v>8</v>
          </cell>
          <cell r="J3324">
            <v>0</v>
          </cell>
          <cell r="K3324">
            <v>0</v>
          </cell>
          <cell r="L3324">
            <v>0.52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 t="e">
            <v>#DIV/0!</v>
          </cell>
          <cell r="S3324">
            <v>0</v>
          </cell>
        </row>
        <row r="3325">
          <cell r="A3325" t="str">
            <v>Y050-043</v>
          </cell>
          <cell r="B3325">
            <v>0</v>
          </cell>
          <cell r="C3325" t="str">
            <v>Y050</v>
          </cell>
          <cell r="D3325" t="str">
            <v>POLY 7152</v>
          </cell>
          <cell r="E3325" t="str">
            <v>嬰兒床-圓珠飾條</v>
          </cell>
          <cell r="F3325" t="str">
            <v>720*10*8</v>
          </cell>
          <cell r="G3325">
            <v>720</v>
          </cell>
          <cell r="H3325">
            <v>10</v>
          </cell>
          <cell r="I3325">
            <v>8</v>
          </cell>
          <cell r="J3325">
            <v>0</v>
          </cell>
          <cell r="K3325">
            <v>0</v>
          </cell>
          <cell r="L3325">
            <v>0.28999999999999998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 t="e">
            <v>#DIV/0!</v>
          </cell>
          <cell r="S3325">
            <v>0</v>
          </cell>
        </row>
        <row r="3326">
          <cell r="A3326" t="str">
            <v>Y050-044</v>
          </cell>
          <cell r="B3326">
            <v>0</v>
          </cell>
          <cell r="C3326" t="str">
            <v>Y050</v>
          </cell>
          <cell r="D3326" t="str">
            <v>538270-108</v>
          </cell>
          <cell r="E3326" t="str">
            <v>POLY饰条</v>
          </cell>
          <cell r="F3326" t="str">
            <v>1000*10*7</v>
          </cell>
          <cell r="G3326">
            <v>1000</v>
          </cell>
          <cell r="H3326">
            <v>10</v>
          </cell>
          <cell r="I3326">
            <v>7</v>
          </cell>
          <cell r="J3326">
            <v>127</v>
          </cell>
          <cell r="K3326">
            <v>72</v>
          </cell>
          <cell r="L3326">
            <v>0.4</v>
          </cell>
          <cell r="M3326">
            <v>0</v>
          </cell>
          <cell r="N3326">
            <v>0</v>
          </cell>
          <cell r="O3326">
            <v>0</v>
          </cell>
          <cell r="P3326" t="str">
            <v>1080</v>
          </cell>
          <cell r="Q3326">
            <v>0</v>
          </cell>
          <cell r="R3326">
            <v>3.1496062992125986</v>
          </cell>
          <cell r="S3326">
            <v>0</v>
          </cell>
        </row>
        <row r="3327">
          <cell r="A3327" t="str">
            <v>Y050-045</v>
          </cell>
          <cell r="B3327">
            <v>0</v>
          </cell>
          <cell r="C3327" t="str">
            <v>Y050</v>
          </cell>
          <cell r="D3327" t="str">
            <v>538270-108</v>
          </cell>
          <cell r="E3327" t="str">
            <v>POLY饰条</v>
          </cell>
          <cell r="F3327" t="str">
            <v>960*10*7</v>
          </cell>
          <cell r="G3327">
            <v>960</v>
          </cell>
          <cell r="H3327">
            <v>10</v>
          </cell>
          <cell r="I3327">
            <v>7</v>
          </cell>
          <cell r="J3327">
            <v>122</v>
          </cell>
          <cell r="K3327">
            <v>0</v>
          </cell>
          <cell r="L3327">
            <v>0.38</v>
          </cell>
          <cell r="M3327">
            <v>0</v>
          </cell>
          <cell r="N3327">
            <v>0</v>
          </cell>
          <cell r="O3327">
            <v>0</v>
          </cell>
          <cell r="P3327" t="str">
            <v>1080</v>
          </cell>
          <cell r="Q3327">
            <v>0</v>
          </cell>
          <cell r="R3327">
            <v>3.1147540983606556</v>
          </cell>
          <cell r="S3327">
            <v>0</v>
          </cell>
        </row>
        <row r="3328">
          <cell r="A3328" t="str">
            <v>Y050-046</v>
          </cell>
          <cell r="B3328">
            <v>0</v>
          </cell>
          <cell r="C3328" t="str">
            <v>Y050</v>
          </cell>
          <cell r="D3328" t="str">
            <v>538270-108</v>
          </cell>
          <cell r="E3328" t="str">
            <v>POLY饰条</v>
          </cell>
          <cell r="F3328" t="str">
            <v>920*10*7</v>
          </cell>
          <cell r="G3328">
            <v>920</v>
          </cell>
          <cell r="H3328">
            <v>10</v>
          </cell>
          <cell r="I3328">
            <v>7</v>
          </cell>
          <cell r="J3328">
            <v>117</v>
          </cell>
          <cell r="K3328">
            <v>0</v>
          </cell>
          <cell r="L3328">
            <v>0.37</v>
          </cell>
          <cell r="M3328">
            <v>0</v>
          </cell>
          <cell r="N3328">
            <v>0</v>
          </cell>
          <cell r="O3328">
            <v>0</v>
          </cell>
          <cell r="P3328" t="str">
            <v>1080</v>
          </cell>
          <cell r="Q3328">
            <v>0</v>
          </cell>
          <cell r="R3328">
            <v>3.1623931623931623</v>
          </cell>
          <cell r="S3328">
            <v>0</v>
          </cell>
        </row>
        <row r="3329">
          <cell r="A3329" t="str">
            <v>Y050-047</v>
          </cell>
          <cell r="B3329">
            <v>0</v>
          </cell>
          <cell r="C3329" t="str">
            <v>Y050</v>
          </cell>
          <cell r="D3329" t="str">
            <v>538280-108</v>
          </cell>
          <cell r="E3329" t="str">
            <v>POLY饰条</v>
          </cell>
          <cell r="F3329" t="str">
            <v>1330*10*7</v>
          </cell>
          <cell r="G3329">
            <v>1330</v>
          </cell>
          <cell r="H3329">
            <v>10</v>
          </cell>
          <cell r="I3329">
            <v>7</v>
          </cell>
          <cell r="J3329">
            <v>169</v>
          </cell>
          <cell r="K3329">
            <v>96</v>
          </cell>
          <cell r="L3329">
            <v>0.53</v>
          </cell>
          <cell r="M3329">
            <v>0</v>
          </cell>
          <cell r="N3329">
            <v>0</v>
          </cell>
          <cell r="O3329">
            <v>0</v>
          </cell>
          <cell r="P3329" t="str">
            <v>1080</v>
          </cell>
          <cell r="Q3329">
            <v>0</v>
          </cell>
          <cell r="R3329">
            <v>3.136094674556213</v>
          </cell>
          <cell r="S3329">
            <v>0</v>
          </cell>
        </row>
        <row r="3330">
          <cell r="A3330" t="str">
            <v>Y050-048</v>
          </cell>
          <cell r="B3330">
            <v>0</v>
          </cell>
          <cell r="C3330" t="str">
            <v>Y050</v>
          </cell>
          <cell r="D3330" t="str">
            <v>538260-108</v>
          </cell>
          <cell r="E3330" t="str">
            <v>POLY饰条</v>
          </cell>
          <cell r="F3330" t="str">
            <v>1000*10*7</v>
          </cell>
          <cell r="G3330">
            <v>1000</v>
          </cell>
          <cell r="H3330">
            <v>10</v>
          </cell>
          <cell r="I3330">
            <v>7</v>
          </cell>
          <cell r="J3330">
            <v>127</v>
          </cell>
          <cell r="K3330">
            <v>72</v>
          </cell>
          <cell r="L3330">
            <v>0.4</v>
          </cell>
          <cell r="M3330">
            <v>0</v>
          </cell>
          <cell r="N3330">
            <v>0</v>
          </cell>
          <cell r="O3330">
            <v>0</v>
          </cell>
          <cell r="P3330" t="str">
            <v>1080</v>
          </cell>
          <cell r="Q3330">
            <v>0</v>
          </cell>
          <cell r="R3330">
            <v>3.1496062992125986</v>
          </cell>
          <cell r="S3330">
            <v>0</v>
          </cell>
        </row>
        <row r="3331">
          <cell r="A3331" t="str">
            <v>Y050-049</v>
          </cell>
          <cell r="B3331">
            <v>0</v>
          </cell>
          <cell r="C3331" t="str">
            <v>Y050</v>
          </cell>
          <cell r="D3331" t="str">
            <v>538290-108</v>
          </cell>
          <cell r="E3331" t="str">
            <v>POLY饰条</v>
          </cell>
          <cell r="F3331" t="str">
            <v>1322*10*7</v>
          </cell>
          <cell r="G3331">
            <v>1322</v>
          </cell>
          <cell r="H3331">
            <v>10</v>
          </cell>
          <cell r="I3331">
            <v>7</v>
          </cell>
          <cell r="J3331">
            <v>168</v>
          </cell>
          <cell r="K3331">
            <v>96</v>
          </cell>
          <cell r="L3331">
            <v>0.53</v>
          </cell>
          <cell r="M3331">
            <v>0</v>
          </cell>
          <cell r="N3331">
            <v>0</v>
          </cell>
          <cell r="O3331">
            <v>0</v>
          </cell>
          <cell r="P3331" t="str">
            <v>1080</v>
          </cell>
          <cell r="Q3331">
            <v>0</v>
          </cell>
          <cell r="R3331">
            <v>3.1547619047619047</v>
          </cell>
          <cell r="S3331">
            <v>0</v>
          </cell>
        </row>
        <row r="3332">
          <cell r="A3332" t="str">
            <v>Y050-050</v>
          </cell>
          <cell r="B3332">
            <v>0</v>
          </cell>
          <cell r="C3332" t="str">
            <v>Y050</v>
          </cell>
          <cell r="D3332" t="str">
            <v>538290-108</v>
          </cell>
          <cell r="E3332" t="str">
            <v>POLY饰条</v>
          </cell>
          <cell r="F3332" t="str">
            <v>1302*10*7</v>
          </cell>
          <cell r="G3332">
            <v>1302</v>
          </cell>
          <cell r="H3332">
            <v>10</v>
          </cell>
          <cell r="I3332">
            <v>7</v>
          </cell>
          <cell r="J3332">
            <v>165</v>
          </cell>
          <cell r="K3332">
            <v>95</v>
          </cell>
          <cell r="L3332">
            <v>0.52</v>
          </cell>
          <cell r="M3332">
            <v>0</v>
          </cell>
          <cell r="N3332">
            <v>0</v>
          </cell>
          <cell r="O3332">
            <v>0</v>
          </cell>
          <cell r="P3332" t="str">
            <v>1080</v>
          </cell>
          <cell r="Q3332">
            <v>0</v>
          </cell>
          <cell r="R3332">
            <v>3.1515151515151514</v>
          </cell>
          <cell r="S3332">
            <v>0</v>
          </cell>
        </row>
        <row r="3333">
          <cell r="A3333" t="str">
            <v>Y050-051</v>
          </cell>
          <cell r="B3333">
            <v>0</v>
          </cell>
          <cell r="C3333" t="str">
            <v>Y050</v>
          </cell>
          <cell r="D3333" t="str">
            <v>538290-108</v>
          </cell>
          <cell r="E3333" t="str">
            <v>POLY饰条</v>
          </cell>
          <cell r="F3333" t="str">
            <v>1282*10*7</v>
          </cell>
          <cell r="G3333">
            <v>1282</v>
          </cell>
          <cell r="H3333">
            <v>10</v>
          </cell>
          <cell r="I3333">
            <v>7</v>
          </cell>
          <cell r="J3333">
            <v>163</v>
          </cell>
          <cell r="K3333">
            <v>91</v>
          </cell>
          <cell r="L3333">
            <v>0.51</v>
          </cell>
          <cell r="M3333">
            <v>0</v>
          </cell>
          <cell r="N3333">
            <v>0</v>
          </cell>
          <cell r="O3333">
            <v>0</v>
          </cell>
          <cell r="P3333" t="str">
            <v>1080</v>
          </cell>
          <cell r="Q3333">
            <v>0</v>
          </cell>
          <cell r="R3333">
            <v>3.128834355828221</v>
          </cell>
          <cell r="S3333">
            <v>0</v>
          </cell>
        </row>
        <row r="3334">
          <cell r="A3334" t="str">
            <v>Y050-052</v>
          </cell>
          <cell r="B3334">
            <v>0</v>
          </cell>
          <cell r="C3334" t="str">
            <v>Y050</v>
          </cell>
          <cell r="D3334" t="str">
            <v>538020-108</v>
          </cell>
          <cell r="E3334" t="str">
            <v>POLY框</v>
          </cell>
          <cell r="F3334" t="str">
            <v>470*191*6</v>
          </cell>
          <cell r="G3334">
            <v>470</v>
          </cell>
          <cell r="H3334">
            <v>191</v>
          </cell>
          <cell r="I3334">
            <v>6</v>
          </cell>
          <cell r="J3334">
            <v>320</v>
          </cell>
          <cell r="K3334">
            <v>299</v>
          </cell>
          <cell r="L3334">
            <v>0.91</v>
          </cell>
          <cell r="M3334">
            <v>0</v>
          </cell>
          <cell r="N3334">
            <v>0</v>
          </cell>
          <cell r="O3334">
            <v>0</v>
          </cell>
          <cell r="P3334" t="str">
            <v>1080</v>
          </cell>
          <cell r="Q3334">
            <v>0</v>
          </cell>
          <cell r="R3334">
            <v>2.84375</v>
          </cell>
          <cell r="S3334">
            <v>0</v>
          </cell>
        </row>
        <row r="3335">
          <cell r="A3335" t="str">
            <v>Y050-053</v>
          </cell>
          <cell r="B3335">
            <v>0</v>
          </cell>
          <cell r="C3335" t="str">
            <v>Y050</v>
          </cell>
          <cell r="D3335" t="str">
            <v>538020-108</v>
          </cell>
          <cell r="E3335" t="str">
            <v>POLY饰条</v>
          </cell>
          <cell r="F3335" t="str">
            <v>496*10*7</v>
          </cell>
          <cell r="G3335">
            <v>496</v>
          </cell>
          <cell r="H3335">
            <v>10</v>
          </cell>
          <cell r="I3335">
            <v>7</v>
          </cell>
          <cell r="J3335">
            <v>60</v>
          </cell>
          <cell r="K3335">
            <v>0</v>
          </cell>
          <cell r="L3335">
            <v>0.2</v>
          </cell>
          <cell r="M3335">
            <v>0</v>
          </cell>
          <cell r="N3335">
            <v>0</v>
          </cell>
          <cell r="O3335">
            <v>0</v>
          </cell>
          <cell r="P3335" t="str">
            <v>1080</v>
          </cell>
          <cell r="Q3335">
            <v>0</v>
          </cell>
          <cell r="R3335">
            <v>3.3333333333333335</v>
          </cell>
          <cell r="S3335">
            <v>0</v>
          </cell>
        </row>
        <row r="3336">
          <cell r="A3336" t="str">
            <v>Y050-054</v>
          </cell>
          <cell r="B3336">
            <v>0</v>
          </cell>
          <cell r="C3336" t="str">
            <v>Y050</v>
          </cell>
          <cell r="D3336" t="str">
            <v>538040-108</v>
          </cell>
          <cell r="E3336" t="str">
            <v>POLY框</v>
          </cell>
          <cell r="F3336" t="str">
            <v>784*220*6</v>
          </cell>
          <cell r="G3336">
            <v>784</v>
          </cell>
          <cell r="H3336">
            <v>220</v>
          </cell>
          <cell r="I3336">
            <v>6</v>
          </cell>
          <cell r="J3336">
            <v>508</v>
          </cell>
          <cell r="K3336">
            <v>475</v>
          </cell>
          <cell r="L3336">
            <v>1.44</v>
          </cell>
          <cell r="M3336">
            <v>0</v>
          </cell>
          <cell r="N3336">
            <v>0</v>
          </cell>
          <cell r="O3336">
            <v>0</v>
          </cell>
          <cell r="P3336" t="str">
            <v>1080</v>
          </cell>
          <cell r="Q3336">
            <v>0</v>
          </cell>
          <cell r="R3336">
            <v>2.8346456692913384</v>
          </cell>
          <cell r="S3336">
            <v>0</v>
          </cell>
        </row>
        <row r="3337">
          <cell r="A3337" t="str">
            <v>Y050-055</v>
          </cell>
          <cell r="B3337">
            <v>0</v>
          </cell>
          <cell r="C3337" t="str">
            <v>Y050</v>
          </cell>
          <cell r="D3337" t="str">
            <v>538040-108</v>
          </cell>
          <cell r="E3337" t="str">
            <v>POLY饰条</v>
          </cell>
          <cell r="F3337" t="str">
            <v>810*10*7</v>
          </cell>
          <cell r="G3337">
            <v>810</v>
          </cell>
          <cell r="H3337">
            <v>10</v>
          </cell>
          <cell r="I3337">
            <v>7</v>
          </cell>
          <cell r="J3337">
            <v>103</v>
          </cell>
          <cell r="K3337">
            <v>55</v>
          </cell>
          <cell r="L3337">
            <v>0.32</v>
          </cell>
          <cell r="M3337">
            <v>0</v>
          </cell>
          <cell r="N3337">
            <v>0</v>
          </cell>
          <cell r="O3337">
            <v>0</v>
          </cell>
          <cell r="P3337" t="str">
            <v>1080</v>
          </cell>
          <cell r="Q3337">
            <v>0</v>
          </cell>
          <cell r="R3337">
            <v>3.1067961165048548</v>
          </cell>
          <cell r="S3337">
            <v>0</v>
          </cell>
        </row>
        <row r="3338">
          <cell r="A3338" t="str">
            <v>Y050-056</v>
          </cell>
          <cell r="B3338">
            <v>0</v>
          </cell>
          <cell r="C3338" t="str">
            <v>Y050</v>
          </cell>
          <cell r="D3338" t="str">
            <v>538060-108</v>
          </cell>
          <cell r="E3338" t="str">
            <v>POLY框</v>
          </cell>
          <cell r="F3338" t="str">
            <v>533*225*6</v>
          </cell>
          <cell r="G3338">
            <v>533</v>
          </cell>
          <cell r="H3338">
            <v>225</v>
          </cell>
          <cell r="I3338">
            <v>6</v>
          </cell>
          <cell r="J3338">
            <v>368</v>
          </cell>
          <cell r="K3338">
            <v>344</v>
          </cell>
          <cell r="L3338">
            <v>1.04</v>
          </cell>
          <cell r="M3338">
            <v>0</v>
          </cell>
          <cell r="N3338">
            <v>0</v>
          </cell>
          <cell r="O3338">
            <v>0</v>
          </cell>
          <cell r="P3338" t="str">
            <v>1080</v>
          </cell>
          <cell r="Q3338">
            <v>0</v>
          </cell>
          <cell r="R3338">
            <v>2.8260869565217392</v>
          </cell>
          <cell r="S3338">
            <v>0</v>
          </cell>
        </row>
        <row r="3339">
          <cell r="A3339" t="str">
            <v>Y050-057</v>
          </cell>
          <cell r="B3339">
            <v>0</v>
          </cell>
          <cell r="C3339" t="str">
            <v>Y050</v>
          </cell>
          <cell r="D3339" t="str">
            <v>538060-108</v>
          </cell>
          <cell r="E3339" t="str">
            <v>POLY饰条</v>
          </cell>
          <cell r="F3339" t="str">
            <v>1100*10*7</v>
          </cell>
          <cell r="G3339">
            <v>1100</v>
          </cell>
          <cell r="H3339">
            <v>10</v>
          </cell>
          <cell r="I3339">
            <v>7</v>
          </cell>
          <cell r="J3339">
            <v>140</v>
          </cell>
          <cell r="K3339">
            <v>75</v>
          </cell>
          <cell r="L3339">
            <v>0.44</v>
          </cell>
          <cell r="M3339">
            <v>0</v>
          </cell>
          <cell r="N3339">
            <v>0</v>
          </cell>
          <cell r="O3339">
            <v>0</v>
          </cell>
          <cell r="P3339" t="str">
            <v>1080</v>
          </cell>
          <cell r="Q3339">
            <v>0</v>
          </cell>
          <cell r="R3339">
            <v>3.1428571428571428</v>
          </cell>
          <cell r="S3339">
            <v>0</v>
          </cell>
        </row>
        <row r="3340">
          <cell r="A3340" t="str">
            <v>Y050-058</v>
          </cell>
          <cell r="B3340">
            <v>0</v>
          </cell>
          <cell r="C3340" t="str">
            <v>Y050</v>
          </cell>
          <cell r="D3340" t="str">
            <v>538450-108</v>
          </cell>
          <cell r="E3340" t="str">
            <v>POLY饰条</v>
          </cell>
          <cell r="F3340" t="str">
            <v>370*193*6</v>
          </cell>
          <cell r="G3340">
            <v>370</v>
          </cell>
          <cell r="H3340">
            <v>193</v>
          </cell>
          <cell r="I3340">
            <v>6</v>
          </cell>
          <cell r="J3340">
            <v>260</v>
          </cell>
          <cell r="K3340">
            <v>242</v>
          </cell>
          <cell r="L3340">
            <v>0.74</v>
          </cell>
          <cell r="M3340">
            <v>0</v>
          </cell>
          <cell r="N3340">
            <v>0</v>
          </cell>
          <cell r="O3340">
            <v>0</v>
          </cell>
          <cell r="P3340" t="str">
            <v>1080</v>
          </cell>
          <cell r="Q3340">
            <v>0</v>
          </cell>
          <cell r="R3340">
            <v>2.8461538461538458</v>
          </cell>
          <cell r="S3340">
            <v>0</v>
          </cell>
        </row>
        <row r="3341">
          <cell r="A3341" t="str">
            <v>Y050-059</v>
          </cell>
          <cell r="B3341">
            <v>0</v>
          </cell>
          <cell r="C3341" t="str">
            <v>Y050</v>
          </cell>
          <cell r="D3341" t="str">
            <v>538450-108</v>
          </cell>
          <cell r="E3341" t="str">
            <v>POLY饰条</v>
          </cell>
          <cell r="F3341" t="str">
            <v>1076*10*7</v>
          </cell>
          <cell r="G3341">
            <v>1076</v>
          </cell>
          <cell r="H3341">
            <v>10</v>
          </cell>
          <cell r="I3341">
            <v>7</v>
          </cell>
          <cell r="J3341">
            <v>137</v>
          </cell>
          <cell r="K3341">
            <v>74</v>
          </cell>
          <cell r="L3341">
            <v>0.43</v>
          </cell>
          <cell r="M3341">
            <v>0</v>
          </cell>
          <cell r="N3341">
            <v>0</v>
          </cell>
          <cell r="O3341">
            <v>0</v>
          </cell>
          <cell r="P3341" t="str">
            <v>1080</v>
          </cell>
          <cell r="Q3341">
            <v>0</v>
          </cell>
          <cell r="R3341">
            <v>3.1386861313868608</v>
          </cell>
          <cell r="S3341">
            <v>0</v>
          </cell>
        </row>
        <row r="3342">
          <cell r="A3342" t="str">
            <v>Y050-060</v>
          </cell>
          <cell r="B3342">
            <v>0</v>
          </cell>
          <cell r="C3342" t="str">
            <v>Y050</v>
          </cell>
          <cell r="D3342" t="str">
            <v>POLY 7152-</v>
          </cell>
          <cell r="E3342" t="str">
            <v>圓珠飾條-圓</v>
          </cell>
          <cell r="F3342" t="str">
            <v>60*60*12</v>
          </cell>
          <cell r="G3342">
            <v>60</v>
          </cell>
          <cell r="H3342">
            <v>60</v>
          </cell>
          <cell r="I3342">
            <v>12</v>
          </cell>
          <cell r="J3342">
            <v>40</v>
          </cell>
          <cell r="K3342">
            <v>0</v>
          </cell>
          <cell r="L3342">
            <v>0.14000000000000001</v>
          </cell>
          <cell r="M3342">
            <v>0</v>
          </cell>
          <cell r="N3342">
            <v>0</v>
          </cell>
          <cell r="O3342">
            <v>0</v>
          </cell>
          <cell r="P3342" t="str">
            <v>1010</v>
          </cell>
          <cell r="Q3342">
            <v>0</v>
          </cell>
          <cell r="R3342">
            <v>3.5000000000000004</v>
          </cell>
          <cell r="S3342">
            <v>0</v>
          </cell>
        </row>
        <row r="3343">
          <cell r="A3343" t="str">
            <v>Y050-061</v>
          </cell>
          <cell r="B3343">
            <v>0</v>
          </cell>
          <cell r="C3343" t="str">
            <v>Y050</v>
          </cell>
          <cell r="D3343" t="str">
            <v>Nút poly</v>
          </cell>
          <cell r="E3343">
            <v>0</v>
          </cell>
          <cell r="F3343" t="str">
            <v>17.5*9*9</v>
          </cell>
          <cell r="G3343">
            <v>17.5</v>
          </cell>
          <cell r="H3343">
            <v>9</v>
          </cell>
          <cell r="I3343">
            <v>9</v>
          </cell>
          <cell r="J3343">
            <v>0</v>
          </cell>
          <cell r="K3343">
            <v>0</v>
          </cell>
          <cell r="L3343">
            <v>0.03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</row>
        <row r="3344">
          <cell r="A3344" t="str">
            <v>Y050-062</v>
          </cell>
          <cell r="B3344">
            <v>0</v>
          </cell>
          <cell r="C3344" t="str">
            <v>Y050</v>
          </cell>
          <cell r="D3344" t="str">
            <v>POLY 337060</v>
          </cell>
          <cell r="E3344">
            <v>0</v>
          </cell>
          <cell r="F3344" t="str">
            <v>1074*25*8</v>
          </cell>
          <cell r="G3344">
            <v>1074</v>
          </cell>
          <cell r="H3344">
            <v>25</v>
          </cell>
          <cell r="I3344">
            <v>8</v>
          </cell>
          <cell r="J3344">
            <v>0</v>
          </cell>
          <cell r="K3344">
            <v>0</v>
          </cell>
          <cell r="L3344">
            <v>0.9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</row>
        <row r="3345">
          <cell r="A3345" t="str">
            <v>Y050-063</v>
          </cell>
          <cell r="B3345">
            <v>0</v>
          </cell>
          <cell r="C3345" t="str">
            <v>Y050</v>
          </cell>
          <cell r="D3345" t="str">
            <v>POLY 337150</v>
          </cell>
          <cell r="E3345">
            <v>0</v>
          </cell>
          <cell r="F3345" t="str">
            <v>1300*25*8</v>
          </cell>
          <cell r="G3345">
            <v>1300</v>
          </cell>
          <cell r="H3345">
            <v>25</v>
          </cell>
          <cell r="I3345">
            <v>8</v>
          </cell>
          <cell r="J3345">
            <v>0</v>
          </cell>
          <cell r="K3345">
            <v>0</v>
          </cell>
          <cell r="L3345">
            <v>1.1000000000000001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</row>
        <row r="3346">
          <cell r="A3346" t="str">
            <v>Y050-064</v>
          </cell>
          <cell r="B3346">
            <v>0</v>
          </cell>
          <cell r="C3346" t="str">
            <v>Y050</v>
          </cell>
          <cell r="D3346">
            <v>0</v>
          </cell>
          <cell r="E3346" t="str">
            <v>POLY饰条</v>
          </cell>
          <cell r="F3346" t="str">
            <v>800*14.5*4.5</v>
          </cell>
          <cell r="G3346">
            <v>800</v>
          </cell>
          <cell r="H3346">
            <v>14.5</v>
          </cell>
          <cell r="I3346">
            <v>4.5</v>
          </cell>
          <cell r="J3346">
            <v>0</v>
          </cell>
          <cell r="K3346">
            <v>0</v>
          </cell>
          <cell r="L3346">
            <v>0.2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</row>
        <row r="3347">
          <cell r="A3347" t="str">
            <v>Y050-2001</v>
          </cell>
          <cell r="B3347">
            <v>0</v>
          </cell>
          <cell r="C3347" t="str">
            <v>Y050</v>
          </cell>
          <cell r="D3347">
            <v>0</v>
          </cell>
          <cell r="E3347" t="str">
            <v>木帽</v>
          </cell>
          <cell r="F3347">
            <v>0</v>
          </cell>
          <cell r="G3347">
            <v>15.5</v>
          </cell>
          <cell r="H3347">
            <v>15.5</v>
          </cell>
          <cell r="I3347">
            <v>3</v>
          </cell>
          <cell r="J3347">
            <v>3</v>
          </cell>
          <cell r="K3347">
            <v>0</v>
          </cell>
          <cell r="L3347">
            <v>3.5000000000000003E-2</v>
          </cell>
          <cell r="M3347">
            <v>0</v>
          </cell>
          <cell r="N3347">
            <v>0</v>
          </cell>
          <cell r="O3347">
            <v>0</v>
          </cell>
          <cell r="P3347" t="str">
            <v>1010</v>
          </cell>
          <cell r="Q3347">
            <v>0</v>
          </cell>
          <cell r="R3347">
            <v>11.666666666666668</v>
          </cell>
          <cell r="S3347">
            <v>0</v>
          </cell>
        </row>
        <row r="3348">
          <cell r="A3348" t="str">
            <v>Y051-001</v>
          </cell>
          <cell r="B3348">
            <v>0</v>
          </cell>
          <cell r="C3348" t="str">
            <v>Y051</v>
          </cell>
          <cell r="D3348" t="str">
            <v>圓珠飾條</v>
          </cell>
          <cell r="E3348" t="str">
            <v>圓珠飾條</v>
          </cell>
          <cell r="F3348">
            <v>0</v>
          </cell>
          <cell r="G3348">
            <v>800</v>
          </cell>
          <cell r="H3348">
            <v>10</v>
          </cell>
          <cell r="I3348">
            <v>5</v>
          </cell>
          <cell r="J3348">
            <v>0</v>
          </cell>
          <cell r="K3348">
            <v>0</v>
          </cell>
          <cell r="L3348">
            <v>0.21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 t="e">
            <v>#DIV/0!</v>
          </cell>
          <cell r="S3348">
            <v>0</v>
          </cell>
        </row>
        <row r="3349">
          <cell r="A3349" t="str">
            <v>Y051-002</v>
          </cell>
          <cell r="B3349">
            <v>0</v>
          </cell>
          <cell r="C3349" t="str">
            <v>Y051</v>
          </cell>
          <cell r="D3349" t="str">
            <v>麻花飾條</v>
          </cell>
          <cell r="E3349" t="str">
            <v>麻花飾條</v>
          </cell>
          <cell r="F3349">
            <v>0</v>
          </cell>
          <cell r="G3349">
            <v>1000</v>
          </cell>
          <cell r="H3349">
            <v>10</v>
          </cell>
          <cell r="I3349">
            <v>5</v>
          </cell>
          <cell r="J3349">
            <v>0</v>
          </cell>
          <cell r="K3349">
            <v>0</v>
          </cell>
          <cell r="L3349">
            <v>0.25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 t="e">
            <v>#DIV/0!</v>
          </cell>
          <cell r="S3349">
            <v>0</v>
          </cell>
        </row>
        <row r="3350">
          <cell r="A3350" t="str">
            <v>Y051-003</v>
          </cell>
          <cell r="B3350">
            <v>0</v>
          </cell>
          <cell r="C3350" t="str">
            <v>Y051</v>
          </cell>
          <cell r="D3350">
            <v>0</v>
          </cell>
          <cell r="E3350" t="str">
            <v>半圓飾條</v>
          </cell>
          <cell r="F3350">
            <v>0</v>
          </cell>
          <cell r="G3350">
            <v>1000</v>
          </cell>
          <cell r="H3350">
            <v>8</v>
          </cell>
          <cell r="I3350">
            <v>6</v>
          </cell>
          <cell r="J3350">
            <v>0</v>
          </cell>
          <cell r="K3350">
            <v>0</v>
          </cell>
          <cell r="L3350">
            <v>0.25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 t="e">
            <v>#DIV/0!</v>
          </cell>
          <cell r="S3350">
            <v>0</v>
          </cell>
        </row>
        <row r="3351">
          <cell r="A3351" t="str">
            <v>Y051-004</v>
          </cell>
          <cell r="B3351">
            <v>0</v>
          </cell>
          <cell r="C3351" t="str">
            <v>Y051</v>
          </cell>
          <cell r="D3351" t="str">
            <v>DA7608-1</v>
          </cell>
          <cell r="E3351" t="str">
            <v>饰条</v>
          </cell>
          <cell r="F3351" t="str">
            <v>6*25*1100</v>
          </cell>
          <cell r="G3351">
            <v>6</v>
          </cell>
          <cell r="H3351">
            <v>25</v>
          </cell>
          <cell r="I3351">
            <v>1100</v>
          </cell>
          <cell r="J3351">
            <v>302</v>
          </cell>
          <cell r="K3351">
            <v>0</v>
          </cell>
          <cell r="L3351">
            <v>0.94699999999999995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 t="str">
            <v>1010</v>
          </cell>
          <cell r="R3351">
            <v>3.1357615894039736</v>
          </cell>
          <cell r="S3351">
            <v>0</v>
          </cell>
        </row>
        <row r="3352">
          <cell r="A3352" t="str">
            <v>Y051-005</v>
          </cell>
          <cell r="B3352">
            <v>0</v>
          </cell>
          <cell r="C3352" t="str">
            <v>Y051</v>
          </cell>
          <cell r="D3352" t="str">
            <v>DA7608-1</v>
          </cell>
          <cell r="E3352">
            <v>0</v>
          </cell>
          <cell r="F3352" t="str">
            <v>6*129*395</v>
          </cell>
          <cell r="G3352">
            <v>6</v>
          </cell>
          <cell r="H3352">
            <v>129</v>
          </cell>
          <cell r="I3352">
            <v>395</v>
          </cell>
          <cell r="J3352">
            <v>111</v>
          </cell>
          <cell r="K3352">
            <v>0</v>
          </cell>
          <cell r="L3352">
            <v>0.39200000000000002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 t="str">
            <v>1010</v>
          </cell>
          <cell r="R3352">
            <v>3.5315315315315314</v>
          </cell>
          <cell r="S3352">
            <v>0</v>
          </cell>
        </row>
        <row r="3353">
          <cell r="A3353" t="str">
            <v>Y051-006</v>
          </cell>
          <cell r="B3353">
            <v>0</v>
          </cell>
          <cell r="C3353" t="str">
            <v>Y051</v>
          </cell>
          <cell r="D3353">
            <v>0</v>
          </cell>
          <cell r="E3353" t="str">
            <v>POLY饰花</v>
          </cell>
          <cell r="F3353" t="str">
            <v>5*75*240</v>
          </cell>
          <cell r="G3353">
            <v>5</v>
          </cell>
          <cell r="H3353">
            <v>75</v>
          </cell>
          <cell r="I3353">
            <v>240</v>
          </cell>
          <cell r="J3353">
            <v>0</v>
          </cell>
          <cell r="K3353">
            <v>0</v>
          </cell>
          <cell r="L3353">
            <v>0.2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</row>
        <row r="3354">
          <cell r="A3354" t="str">
            <v>Y051-007</v>
          </cell>
          <cell r="B3354">
            <v>0</v>
          </cell>
          <cell r="C3354" t="str">
            <v>Y051</v>
          </cell>
          <cell r="D3354">
            <v>0</v>
          </cell>
          <cell r="E3354" t="str">
            <v>POLY CHỮ U TRÁI -L</v>
          </cell>
          <cell r="F3354" t="str">
            <v>56*106*166</v>
          </cell>
          <cell r="G3354">
            <v>56</v>
          </cell>
          <cell r="H3354">
            <v>106</v>
          </cell>
          <cell r="I3354">
            <v>166</v>
          </cell>
          <cell r="J3354">
            <v>0</v>
          </cell>
          <cell r="K3354">
            <v>0</v>
          </cell>
          <cell r="L3354">
            <v>1.66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</row>
        <row r="3355">
          <cell r="A3355" t="str">
            <v>Y051-008</v>
          </cell>
          <cell r="B3355">
            <v>0</v>
          </cell>
          <cell r="C3355" t="str">
            <v>Y051</v>
          </cell>
          <cell r="D3355">
            <v>0</v>
          </cell>
          <cell r="E3355" t="str">
            <v>POLY CHỮ U PHẢI-R</v>
          </cell>
          <cell r="F3355" t="str">
            <v>56*106*166</v>
          </cell>
          <cell r="G3355">
            <v>56</v>
          </cell>
          <cell r="H3355">
            <v>106</v>
          </cell>
          <cell r="I3355">
            <v>166</v>
          </cell>
          <cell r="J3355">
            <v>0</v>
          </cell>
          <cell r="K3355">
            <v>0</v>
          </cell>
          <cell r="L3355">
            <v>1.66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</row>
        <row r="3356">
          <cell r="A3356" t="str">
            <v>Y051-009</v>
          </cell>
          <cell r="B3356">
            <v>0</v>
          </cell>
          <cell r="C3356" t="str">
            <v>Y051</v>
          </cell>
          <cell r="D3356">
            <v>0</v>
          </cell>
          <cell r="E3356" t="str">
            <v>饰框</v>
          </cell>
          <cell r="F3356" t="str">
            <v>4*140.8*660</v>
          </cell>
          <cell r="G3356">
            <v>4</v>
          </cell>
          <cell r="H3356">
            <v>140.80000000000001</v>
          </cell>
          <cell r="I3356">
            <v>660</v>
          </cell>
          <cell r="J3356">
            <v>0</v>
          </cell>
          <cell r="K3356">
            <v>0</v>
          </cell>
          <cell r="L3356">
            <v>0.6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</row>
        <row r="3357">
          <cell r="A3357" t="str">
            <v>Y051-010</v>
          </cell>
          <cell r="B3357">
            <v>0</v>
          </cell>
          <cell r="C3357" t="str">
            <v>Y051</v>
          </cell>
          <cell r="D3357">
            <v>0</v>
          </cell>
          <cell r="E3357" t="str">
            <v>饰條</v>
          </cell>
          <cell r="F3357" t="str">
            <v>6*12*1187</v>
          </cell>
          <cell r="G3357">
            <v>6</v>
          </cell>
          <cell r="H3357">
            <v>12</v>
          </cell>
          <cell r="I3357">
            <v>1187</v>
          </cell>
          <cell r="J3357">
            <v>0</v>
          </cell>
          <cell r="K3357">
            <v>0</v>
          </cell>
          <cell r="L3357">
            <v>0.68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</row>
        <row r="3358">
          <cell r="A3358" t="str">
            <v>Y051-011</v>
          </cell>
          <cell r="B3358">
            <v>0</v>
          </cell>
          <cell r="C3358" t="str">
            <v>Y051</v>
          </cell>
          <cell r="D3358">
            <v>0</v>
          </cell>
          <cell r="E3358" t="str">
            <v>饰條</v>
          </cell>
          <cell r="F3358" t="str">
            <v>6*12*595</v>
          </cell>
          <cell r="G3358">
            <v>6</v>
          </cell>
          <cell r="H3358">
            <v>12</v>
          </cell>
          <cell r="I3358">
            <v>595</v>
          </cell>
          <cell r="J3358">
            <v>0</v>
          </cell>
          <cell r="K3358">
            <v>0</v>
          </cell>
          <cell r="L3358">
            <v>0.54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</row>
        <row r="3359">
          <cell r="A3359" t="str">
            <v>Y052-001</v>
          </cell>
          <cell r="B3359" t="str">
            <v>5.6-宏森說6.11</v>
          </cell>
          <cell r="C3359" t="str">
            <v>Y052</v>
          </cell>
          <cell r="D3359" t="str">
            <v>Chân trụ giường trái</v>
          </cell>
          <cell r="E3359" t="str">
            <v>左床头脚柱</v>
          </cell>
          <cell r="F3359" t="str">
            <v>1160*71*71</v>
          </cell>
          <cell r="G3359">
            <v>0</v>
          </cell>
          <cell r="H3359">
            <v>71</v>
          </cell>
          <cell r="I3359">
            <v>71</v>
          </cell>
          <cell r="J3359">
            <v>0</v>
          </cell>
          <cell r="K3359">
            <v>0</v>
          </cell>
          <cell r="L3359">
            <v>6.11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 t="e">
            <v>#DIV/0!</v>
          </cell>
          <cell r="S3359">
            <v>0</v>
          </cell>
        </row>
        <row r="3360">
          <cell r="A3360" t="str">
            <v>Y052-002</v>
          </cell>
          <cell r="B3360" t="str">
            <v>5.6-宏森說6.11</v>
          </cell>
          <cell r="C3360" t="str">
            <v>Y052</v>
          </cell>
          <cell r="D3360" t="str">
            <v>Chân trụ giường phải</v>
          </cell>
          <cell r="E3360" t="str">
            <v>右床头脚柱</v>
          </cell>
          <cell r="F3360" t="str">
            <v>1160*71*71</v>
          </cell>
          <cell r="G3360">
            <v>1167</v>
          </cell>
          <cell r="H3360">
            <v>71</v>
          </cell>
          <cell r="I3360">
            <v>71</v>
          </cell>
          <cell r="J3360">
            <v>0</v>
          </cell>
          <cell r="K3360">
            <v>0</v>
          </cell>
          <cell r="L3360">
            <v>6.11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 t="e">
            <v>#DIV/0!</v>
          </cell>
          <cell r="S3360">
            <v>0</v>
          </cell>
        </row>
        <row r="3361">
          <cell r="A3361" t="str">
            <v>Y052-003</v>
          </cell>
          <cell r="B3361">
            <v>0</v>
          </cell>
          <cell r="C3361" t="str">
            <v>Y052</v>
          </cell>
          <cell r="D3361" t="str">
            <v>Chỉ hoa đầu giường</v>
          </cell>
          <cell r="E3361" t="str">
            <v>床头饰花</v>
          </cell>
          <cell r="F3361" t="str">
            <v>570*170*10</v>
          </cell>
          <cell r="G3361">
            <v>570</v>
          </cell>
          <cell r="H3361">
            <v>170</v>
          </cell>
          <cell r="I3361">
            <v>10</v>
          </cell>
          <cell r="J3361">
            <v>0</v>
          </cell>
          <cell r="K3361">
            <v>0</v>
          </cell>
          <cell r="L3361">
            <v>0.92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 t="e">
            <v>#DIV/0!</v>
          </cell>
          <cell r="S3361">
            <v>0</v>
          </cell>
        </row>
        <row r="3362">
          <cell r="A3362" t="str">
            <v>Y052-004</v>
          </cell>
          <cell r="B3362">
            <v>0</v>
          </cell>
          <cell r="C3362" t="str">
            <v>Y052</v>
          </cell>
          <cell r="D3362" t="str">
            <v>Chân trụ giường trái</v>
          </cell>
          <cell r="E3362" t="str">
            <v>左床尾脚柱</v>
          </cell>
          <cell r="F3362" t="str">
            <v>864*71*71</v>
          </cell>
          <cell r="G3362">
            <v>864</v>
          </cell>
          <cell r="H3362">
            <v>71</v>
          </cell>
          <cell r="I3362">
            <v>71</v>
          </cell>
          <cell r="J3362">
            <v>0</v>
          </cell>
          <cell r="K3362">
            <v>0</v>
          </cell>
          <cell r="L3362">
            <v>4.5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 t="e">
            <v>#DIV/0!</v>
          </cell>
          <cell r="S3362">
            <v>0</v>
          </cell>
        </row>
        <row r="3363">
          <cell r="A3363" t="str">
            <v>Y052-005</v>
          </cell>
          <cell r="B3363">
            <v>0</v>
          </cell>
          <cell r="C3363" t="str">
            <v>Y052</v>
          </cell>
          <cell r="D3363" t="str">
            <v>Chân trụ giường phải</v>
          </cell>
          <cell r="E3363" t="str">
            <v>右床尾脚柱</v>
          </cell>
          <cell r="F3363" t="str">
            <v>864*71*71</v>
          </cell>
          <cell r="G3363">
            <v>864</v>
          </cell>
          <cell r="H3363">
            <v>71</v>
          </cell>
          <cell r="I3363">
            <v>71</v>
          </cell>
          <cell r="J3363">
            <v>0</v>
          </cell>
          <cell r="K3363">
            <v>0</v>
          </cell>
          <cell r="L3363">
            <v>4.5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 t="e">
            <v>#DIV/0!</v>
          </cell>
          <cell r="S3363">
            <v>0</v>
          </cell>
        </row>
        <row r="3364">
          <cell r="A3364" t="str">
            <v>Y052-006</v>
          </cell>
          <cell r="B3364">
            <v>0</v>
          </cell>
          <cell r="C3364" t="str">
            <v>Y052</v>
          </cell>
          <cell r="D3364">
            <v>0</v>
          </cell>
          <cell r="E3364" t="str">
            <v>床尾上横饰花</v>
          </cell>
          <cell r="F3364" t="str">
            <v>370*65*5</v>
          </cell>
          <cell r="G3364">
            <v>370</v>
          </cell>
          <cell r="H3364">
            <v>65</v>
          </cell>
          <cell r="I3364">
            <v>5</v>
          </cell>
          <cell r="J3364">
            <v>0</v>
          </cell>
          <cell r="K3364">
            <v>0</v>
          </cell>
          <cell r="L3364">
            <v>0.35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 t="e">
            <v>#DIV/0!</v>
          </cell>
          <cell r="S3364">
            <v>0</v>
          </cell>
        </row>
        <row r="3365">
          <cell r="A3365" t="str">
            <v>Y052-007</v>
          </cell>
          <cell r="B3365">
            <v>0</v>
          </cell>
          <cell r="C3365" t="str">
            <v>Y052</v>
          </cell>
          <cell r="D3365">
            <v>0</v>
          </cell>
          <cell r="E3365" t="str">
            <v>床尾立水饰花</v>
          </cell>
          <cell r="F3365" t="str">
            <v>278*60*5</v>
          </cell>
          <cell r="G3365">
            <v>278</v>
          </cell>
          <cell r="H3365">
            <v>60</v>
          </cell>
          <cell r="I3365">
            <v>8</v>
          </cell>
          <cell r="J3365">
            <v>0</v>
          </cell>
          <cell r="K3365">
            <v>0</v>
          </cell>
          <cell r="L3365">
            <v>0.25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 t="e">
            <v>#DIV/0!</v>
          </cell>
          <cell r="S3365">
            <v>0</v>
          </cell>
        </row>
        <row r="3366">
          <cell r="A3366" t="str">
            <v>Y052-008</v>
          </cell>
          <cell r="B3366">
            <v>0</v>
          </cell>
          <cell r="C3366" t="str">
            <v>Y052</v>
          </cell>
          <cell r="D3366" t="str">
            <v>640-1</v>
          </cell>
          <cell r="E3366" t="str">
            <v>前立水饰条-Thanh ngang trước</v>
          </cell>
          <cell r="F3366" t="str">
            <v>230*53*7</v>
          </cell>
          <cell r="G3366">
            <v>230</v>
          </cell>
          <cell r="H3366">
            <v>53</v>
          </cell>
          <cell r="I3366">
            <v>7</v>
          </cell>
          <cell r="J3366">
            <v>0</v>
          </cell>
          <cell r="K3366">
            <v>0</v>
          </cell>
          <cell r="L3366">
            <v>0.15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 t="e">
            <v>#DIV/0!</v>
          </cell>
          <cell r="S3366">
            <v>0</v>
          </cell>
        </row>
        <row r="3367">
          <cell r="A3367" t="str">
            <v>Y052-009</v>
          </cell>
          <cell r="B3367">
            <v>0</v>
          </cell>
          <cell r="C3367" t="str">
            <v>Y052</v>
          </cell>
          <cell r="D3367" t="str">
            <v>640-1</v>
          </cell>
          <cell r="E3367" t="str">
            <v xml:space="preserve">左下脚-Chân đế trái </v>
          </cell>
          <cell r="F3367" t="str">
            <v>223*71*71</v>
          </cell>
          <cell r="G3367">
            <v>223</v>
          </cell>
          <cell r="H3367">
            <v>71</v>
          </cell>
          <cell r="I3367">
            <v>71</v>
          </cell>
          <cell r="J3367">
            <v>0</v>
          </cell>
          <cell r="K3367">
            <v>0</v>
          </cell>
          <cell r="L3367">
            <v>1.1000000000000001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 t="e">
            <v>#DIV/0!</v>
          </cell>
          <cell r="S3367">
            <v>0</v>
          </cell>
        </row>
        <row r="3368">
          <cell r="A3368" t="str">
            <v>Y052-010</v>
          </cell>
          <cell r="B3368">
            <v>0</v>
          </cell>
          <cell r="C3368" t="str">
            <v>Y052</v>
          </cell>
          <cell r="D3368" t="str">
            <v>640-1</v>
          </cell>
          <cell r="E3368" t="str">
            <v>右下脚-Chân đếphải</v>
          </cell>
          <cell r="F3368" t="str">
            <v>223*71*71</v>
          </cell>
          <cell r="G3368">
            <v>223</v>
          </cell>
          <cell r="H3368">
            <v>71</v>
          </cell>
          <cell r="I3368">
            <v>71</v>
          </cell>
          <cell r="J3368">
            <v>0</v>
          </cell>
          <cell r="K3368">
            <v>0</v>
          </cell>
          <cell r="L3368">
            <v>1.1000000000000001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 t="e">
            <v>#DIV/0!</v>
          </cell>
          <cell r="S3368">
            <v>0</v>
          </cell>
        </row>
        <row r="3369">
          <cell r="A3369" t="str">
            <v>Y052-011</v>
          </cell>
          <cell r="B3369">
            <v>0</v>
          </cell>
          <cell r="C3369" t="str">
            <v>Y052</v>
          </cell>
          <cell r="D3369" t="str">
            <v>640-2</v>
          </cell>
          <cell r="E3369" t="str">
            <v>前立水饰条-Thanh ngang trước</v>
          </cell>
          <cell r="F3369" t="str">
            <v>278*60*8</v>
          </cell>
          <cell r="G3369">
            <v>278</v>
          </cell>
          <cell r="H3369">
            <v>60</v>
          </cell>
          <cell r="I3369">
            <v>8</v>
          </cell>
          <cell r="J3369">
            <v>0</v>
          </cell>
          <cell r="K3369">
            <v>0</v>
          </cell>
          <cell r="L3369">
            <v>0.25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 t="e">
            <v>#DIV/0!</v>
          </cell>
          <cell r="S3369">
            <v>0</v>
          </cell>
        </row>
        <row r="3370">
          <cell r="A3370" t="str">
            <v>Y052-012</v>
          </cell>
          <cell r="B3370">
            <v>0</v>
          </cell>
          <cell r="C3370" t="str">
            <v>Y052</v>
          </cell>
          <cell r="D3370" t="str">
            <v>640-2</v>
          </cell>
          <cell r="E3370" t="str">
            <v xml:space="preserve">左下脚-Chân đế trái </v>
          </cell>
          <cell r="F3370" t="str">
            <v>223*71*71</v>
          </cell>
          <cell r="G3370">
            <v>223</v>
          </cell>
          <cell r="H3370">
            <v>71</v>
          </cell>
          <cell r="I3370">
            <v>71</v>
          </cell>
          <cell r="J3370">
            <v>0</v>
          </cell>
          <cell r="K3370">
            <v>0</v>
          </cell>
          <cell r="L3370">
            <v>1.1000000000000001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 t="e">
            <v>#DIV/0!</v>
          </cell>
          <cell r="S3370">
            <v>0</v>
          </cell>
        </row>
        <row r="3371">
          <cell r="A3371" t="str">
            <v>Y052-013</v>
          </cell>
          <cell r="B3371">
            <v>0</v>
          </cell>
          <cell r="C3371" t="str">
            <v>Y052</v>
          </cell>
          <cell r="D3371" t="str">
            <v>640-2</v>
          </cell>
          <cell r="E3371" t="str">
            <v>右下脚-Chân đếphải</v>
          </cell>
          <cell r="F3371" t="str">
            <v>223*71*71</v>
          </cell>
          <cell r="G3371">
            <v>223</v>
          </cell>
          <cell r="H3371">
            <v>71</v>
          </cell>
          <cell r="I3371">
            <v>71</v>
          </cell>
          <cell r="J3371">
            <v>0</v>
          </cell>
          <cell r="K3371">
            <v>0</v>
          </cell>
          <cell r="L3371">
            <v>1.1000000000000001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 t="e">
            <v>#DIV/0!</v>
          </cell>
          <cell r="S3371">
            <v>0</v>
          </cell>
        </row>
        <row r="3372">
          <cell r="A3372" t="str">
            <v>Y052-014</v>
          </cell>
          <cell r="B3372">
            <v>0</v>
          </cell>
          <cell r="C3372" t="str">
            <v>Y052</v>
          </cell>
          <cell r="D3372" t="str">
            <v>640-2</v>
          </cell>
          <cell r="E3372" t="str">
            <v xml:space="preserve">抽面饰条-Thanh chỉ mặt kéo </v>
          </cell>
          <cell r="F3372" t="str">
            <v>256*55*5</v>
          </cell>
          <cell r="G3372">
            <v>256</v>
          </cell>
          <cell r="H3372">
            <v>55</v>
          </cell>
          <cell r="I3372">
            <v>5</v>
          </cell>
          <cell r="J3372">
            <v>0</v>
          </cell>
          <cell r="K3372">
            <v>0</v>
          </cell>
          <cell r="L3372">
            <v>0.16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 t="e">
            <v>#DIV/0!</v>
          </cell>
          <cell r="S3372">
            <v>0</v>
          </cell>
        </row>
        <row r="3373">
          <cell r="A3373" t="str">
            <v>Y052-015</v>
          </cell>
          <cell r="B3373">
            <v>0</v>
          </cell>
          <cell r="C3373" t="str">
            <v>Y052</v>
          </cell>
          <cell r="D3373" t="str">
            <v>640-12</v>
          </cell>
          <cell r="E3373" t="str">
            <v>床头上横-Thanh ngang trên</v>
          </cell>
          <cell r="F3373" t="str">
            <v>791*186*50</v>
          </cell>
          <cell r="G3373">
            <v>791</v>
          </cell>
          <cell r="H3373">
            <v>186</v>
          </cell>
          <cell r="I3373">
            <v>50</v>
          </cell>
          <cell r="J3373">
            <v>0</v>
          </cell>
          <cell r="K3373">
            <v>0</v>
          </cell>
          <cell r="L3373">
            <v>6.5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 t="e">
            <v>#DIV/0!</v>
          </cell>
          <cell r="S3373">
            <v>0</v>
          </cell>
        </row>
        <row r="3374">
          <cell r="A3374" t="str">
            <v>Y052-016</v>
          </cell>
          <cell r="B3374">
            <v>0</v>
          </cell>
          <cell r="C3374" t="str">
            <v>Y052</v>
          </cell>
          <cell r="D3374" t="str">
            <v>640-12</v>
          </cell>
          <cell r="E3374" t="str">
            <v>左脚柱-Chân  trái</v>
          </cell>
          <cell r="F3374" t="str">
            <v>1036*71*71</v>
          </cell>
          <cell r="G3374">
            <v>1036</v>
          </cell>
          <cell r="H3374">
            <v>71</v>
          </cell>
          <cell r="I3374">
            <v>71</v>
          </cell>
          <cell r="J3374">
            <v>0</v>
          </cell>
          <cell r="K3374">
            <v>0</v>
          </cell>
          <cell r="L3374">
            <v>5.5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 t="e">
            <v>#DIV/0!</v>
          </cell>
          <cell r="S3374">
            <v>0</v>
          </cell>
        </row>
        <row r="3375">
          <cell r="A3375" t="str">
            <v>Y052-017</v>
          </cell>
          <cell r="B3375">
            <v>0</v>
          </cell>
          <cell r="C3375" t="str">
            <v>Y052</v>
          </cell>
          <cell r="D3375" t="str">
            <v>640-12</v>
          </cell>
          <cell r="E3375" t="str">
            <v>右脚柱-Chân phải</v>
          </cell>
          <cell r="F3375" t="str">
            <v>1036*71*71</v>
          </cell>
          <cell r="G3375">
            <v>1036</v>
          </cell>
          <cell r="H3375">
            <v>71</v>
          </cell>
          <cell r="I3375">
            <v>71</v>
          </cell>
          <cell r="J3375">
            <v>0</v>
          </cell>
          <cell r="K3375">
            <v>0</v>
          </cell>
          <cell r="L3375">
            <v>5.5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 t="e">
            <v>#DIV/0!</v>
          </cell>
          <cell r="S3375">
            <v>0</v>
          </cell>
        </row>
        <row r="3376">
          <cell r="A3376" t="str">
            <v>Y052-018</v>
          </cell>
          <cell r="B3376">
            <v>0</v>
          </cell>
          <cell r="C3376" t="str">
            <v>Y052</v>
          </cell>
          <cell r="D3376" t="str">
            <v>640-4</v>
          </cell>
          <cell r="E3376" t="str">
            <v>鏡櫃上橫-Thanh ngang khung guong</v>
          </cell>
          <cell r="F3376" t="str">
            <v>791*206*45</v>
          </cell>
          <cell r="G3376">
            <v>791</v>
          </cell>
          <cell r="H3376">
            <v>206</v>
          </cell>
          <cell r="I3376">
            <v>35</v>
          </cell>
          <cell r="J3376">
            <v>0</v>
          </cell>
          <cell r="K3376">
            <v>0</v>
          </cell>
          <cell r="L3376">
            <v>4.3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 t="e">
            <v>#DIV/0!</v>
          </cell>
          <cell r="S3376">
            <v>0</v>
          </cell>
        </row>
        <row r="3377">
          <cell r="A3377" t="str">
            <v>Y052-019</v>
          </cell>
          <cell r="B3377">
            <v>0</v>
          </cell>
          <cell r="C3377" t="str">
            <v>Y052</v>
          </cell>
          <cell r="D3377" t="str">
            <v>640-5</v>
          </cell>
          <cell r="E3377" t="str">
            <v>前立水饰条-Thanh ngang trước</v>
          </cell>
          <cell r="F3377" t="str">
            <v>278*60*8</v>
          </cell>
          <cell r="G3377">
            <v>278</v>
          </cell>
          <cell r="H3377">
            <v>60</v>
          </cell>
          <cell r="I3377">
            <v>8</v>
          </cell>
          <cell r="J3377">
            <v>0</v>
          </cell>
          <cell r="K3377">
            <v>0</v>
          </cell>
          <cell r="L3377">
            <v>0.25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 t="e">
            <v>#DIV/0!</v>
          </cell>
          <cell r="S3377">
            <v>0</v>
          </cell>
        </row>
        <row r="3378">
          <cell r="A3378" t="str">
            <v>Y052-020</v>
          </cell>
          <cell r="B3378">
            <v>0</v>
          </cell>
          <cell r="C3378" t="str">
            <v>Y052</v>
          </cell>
          <cell r="D3378" t="str">
            <v>640-5</v>
          </cell>
          <cell r="E3378" t="str">
            <v xml:space="preserve">左下脚-Chân đế trái </v>
          </cell>
          <cell r="F3378" t="str">
            <v>223*71*71</v>
          </cell>
          <cell r="G3378">
            <v>223</v>
          </cell>
          <cell r="H3378">
            <v>71</v>
          </cell>
          <cell r="I3378">
            <v>71</v>
          </cell>
          <cell r="J3378">
            <v>0</v>
          </cell>
          <cell r="K3378">
            <v>0</v>
          </cell>
          <cell r="L3378">
            <v>1.1000000000000001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 t="e">
            <v>#DIV/0!</v>
          </cell>
          <cell r="S3378">
            <v>0</v>
          </cell>
        </row>
        <row r="3379">
          <cell r="A3379" t="str">
            <v>Y052-021</v>
          </cell>
          <cell r="B3379">
            <v>0</v>
          </cell>
          <cell r="C3379" t="str">
            <v>Y052</v>
          </cell>
          <cell r="D3379" t="str">
            <v>640-5</v>
          </cell>
          <cell r="E3379" t="str">
            <v>右下脚-Chân đếphải</v>
          </cell>
          <cell r="F3379" t="str">
            <v>223*71*71</v>
          </cell>
          <cell r="G3379">
            <v>223</v>
          </cell>
          <cell r="H3379">
            <v>71</v>
          </cell>
          <cell r="I3379">
            <v>71</v>
          </cell>
          <cell r="J3379">
            <v>0</v>
          </cell>
          <cell r="K3379">
            <v>0</v>
          </cell>
          <cell r="L3379">
            <v>1.1000000000000001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 t="e">
            <v>#DIV/0!</v>
          </cell>
          <cell r="S3379">
            <v>0</v>
          </cell>
        </row>
        <row r="3380">
          <cell r="A3380" t="str">
            <v>Y052-022</v>
          </cell>
          <cell r="B3380">
            <v>0</v>
          </cell>
          <cell r="C3380" t="str">
            <v>Y052</v>
          </cell>
          <cell r="D3380" t="str">
            <v>640-5</v>
          </cell>
          <cell r="E3380" t="str">
            <v xml:space="preserve">1/2抽面饰条-Thanh chỉ mặt kéo </v>
          </cell>
          <cell r="F3380" t="str">
            <v>256*55*5</v>
          </cell>
          <cell r="G3380">
            <v>256</v>
          </cell>
          <cell r="H3380">
            <v>55</v>
          </cell>
          <cell r="I3380">
            <v>7</v>
          </cell>
          <cell r="J3380">
            <v>0</v>
          </cell>
          <cell r="K3380">
            <v>0</v>
          </cell>
          <cell r="L3380">
            <v>0.16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 t="e">
            <v>#DIV/0!</v>
          </cell>
          <cell r="S3380">
            <v>0</v>
          </cell>
        </row>
        <row r="3381">
          <cell r="A3381" t="str">
            <v>Y052-023</v>
          </cell>
          <cell r="B3381">
            <v>0</v>
          </cell>
          <cell r="C3381" t="str">
            <v>Y052</v>
          </cell>
          <cell r="D3381" t="str">
            <v>640-10</v>
          </cell>
          <cell r="E3381" t="str">
            <v>前框上橫</v>
          </cell>
          <cell r="F3381" t="str">
            <v>1016*50*50(43)</v>
          </cell>
          <cell r="G3381">
            <v>1016</v>
          </cell>
          <cell r="H3381">
            <v>50</v>
          </cell>
          <cell r="I3381" t="str">
            <v>50(43)</v>
          </cell>
          <cell r="J3381">
            <v>0</v>
          </cell>
          <cell r="K3381">
            <v>0</v>
          </cell>
          <cell r="L3381">
            <v>7.1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 t="e">
            <v>#DIV/0!</v>
          </cell>
          <cell r="S3381">
            <v>0</v>
          </cell>
        </row>
        <row r="3382">
          <cell r="A3382" t="str">
            <v>Y052-024</v>
          </cell>
          <cell r="B3382">
            <v>0</v>
          </cell>
          <cell r="C3382" t="str">
            <v>Y052</v>
          </cell>
          <cell r="D3382" t="str">
            <v>640-10</v>
          </cell>
          <cell r="E3382" t="str">
            <v>前立水饰条-Thanh ngang trước</v>
          </cell>
          <cell r="F3382" t="str">
            <v>278*60*8</v>
          </cell>
          <cell r="G3382">
            <v>278</v>
          </cell>
          <cell r="H3382">
            <v>60</v>
          </cell>
          <cell r="I3382">
            <v>8</v>
          </cell>
          <cell r="J3382">
            <v>0</v>
          </cell>
          <cell r="K3382">
            <v>0</v>
          </cell>
          <cell r="L3382">
            <v>0.25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 t="e">
            <v>#DIV/0!</v>
          </cell>
          <cell r="S3382">
            <v>0</v>
          </cell>
        </row>
        <row r="3383">
          <cell r="A3383" t="str">
            <v>Y052-025</v>
          </cell>
          <cell r="B3383">
            <v>0</v>
          </cell>
          <cell r="C3383" t="str">
            <v>Y052</v>
          </cell>
          <cell r="D3383" t="str">
            <v>640-10</v>
          </cell>
          <cell r="E3383" t="str">
            <v xml:space="preserve">左下脚-Chân đế trái </v>
          </cell>
          <cell r="F3383" t="str">
            <v>223*71*71</v>
          </cell>
          <cell r="G3383">
            <v>223</v>
          </cell>
          <cell r="H3383">
            <v>71</v>
          </cell>
          <cell r="I3383">
            <v>71</v>
          </cell>
          <cell r="J3383">
            <v>0</v>
          </cell>
          <cell r="K3383">
            <v>0</v>
          </cell>
          <cell r="L3383">
            <v>1.1000000000000001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 t="e">
            <v>#DIV/0!</v>
          </cell>
          <cell r="S3383">
            <v>0</v>
          </cell>
        </row>
        <row r="3384">
          <cell r="A3384" t="str">
            <v>Y052-026</v>
          </cell>
          <cell r="B3384">
            <v>0</v>
          </cell>
          <cell r="C3384" t="str">
            <v>Y052</v>
          </cell>
          <cell r="D3384" t="str">
            <v>640-10</v>
          </cell>
          <cell r="E3384" t="str">
            <v>右下脚-Chân đếphải</v>
          </cell>
          <cell r="F3384" t="str">
            <v>223*71*71</v>
          </cell>
          <cell r="G3384">
            <v>223</v>
          </cell>
          <cell r="H3384">
            <v>71</v>
          </cell>
          <cell r="I3384">
            <v>71</v>
          </cell>
          <cell r="J3384">
            <v>0</v>
          </cell>
          <cell r="K3384">
            <v>0</v>
          </cell>
          <cell r="L3384">
            <v>1.1000000000000001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 t="e">
            <v>#DIV/0!</v>
          </cell>
          <cell r="S3384">
            <v>0</v>
          </cell>
        </row>
        <row r="3385">
          <cell r="A3385" t="str">
            <v>Y052-027</v>
          </cell>
          <cell r="B3385">
            <v>0</v>
          </cell>
          <cell r="C3385" t="str">
            <v>Y052</v>
          </cell>
          <cell r="D3385" t="str">
            <v>640-10</v>
          </cell>
          <cell r="E3385" t="str">
            <v>左門飾花</v>
          </cell>
          <cell r="F3385" t="str">
            <v>342*70*7</v>
          </cell>
          <cell r="G3385">
            <v>342</v>
          </cell>
          <cell r="H3385">
            <v>70</v>
          </cell>
          <cell r="I3385">
            <v>7</v>
          </cell>
          <cell r="J3385">
            <v>0</v>
          </cell>
          <cell r="K3385">
            <v>0</v>
          </cell>
          <cell r="L3385">
            <v>0.28000000000000003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 t="e">
            <v>#DIV/0!</v>
          </cell>
          <cell r="S3385">
            <v>0</v>
          </cell>
        </row>
        <row r="3386">
          <cell r="A3386" t="str">
            <v>Y052-028</v>
          </cell>
          <cell r="B3386">
            <v>0</v>
          </cell>
          <cell r="C3386" t="str">
            <v>Y052</v>
          </cell>
          <cell r="D3386" t="str">
            <v>640-10</v>
          </cell>
          <cell r="E3386" t="str">
            <v>右門飾花</v>
          </cell>
          <cell r="F3386" t="str">
            <v>342*70*7</v>
          </cell>
          <cell r="G3386">
            <v>342</v>
          </cell>
          <cell r="H3386">
            <v>70</v>
          </cell>
          <cell r="I3386">
            <v>7</v>
          </cell>
          <cell r="J3386">
            <v>0</v>
          </cell>
          <cell r="K3386">
            <v>0</v>
          </cell>
          <cell r="L3386">
            <v>0.28000000000000003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 t="e">
            <v>#DIV/0!</v>
          </cell>
          <cell r="S3386">
            <v>0</v>
          </cell>
        </row>
        <row r="3387">
          <cell r="A3387" t="str">
            <v>Y052-029</v>
          </cell>
          <cell r="B3387">
            <v>0</v>
          </cell>
          <cell r="C3387" t="str">
            <v>Y052</v>
          </cell>
          <cell r="D3387" t="str">
            <v>640-11</v>
          </cell>
          <cell r="E3387" t="str">
            <v>前框上橫</v>
          </cell>
          <cell r="F3387" t="str">
            <v>1016*50*50(33)</v>
          </cell>
          <cell r="G3387">
            <v>1016</v>
          </cell>
          <cell r="H3387">
            <v>50</v>
          </cell>
          <cell r="I3387" t="str">
            <v>50(33)</v>
          </cell>
          <cell r="J3387">
            <v>0</v>
          </cell>
          <cell r="K3387">
            <v>0</v>
          </cell>
          <cell r="L3387">
            <v>7.7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 t="e">
            <v>#DIV/0!</v>
          </cell>
          <cell r="S3387">
            <v>0</v>
          </cell>
        </row>
        <row r="3388">
          <cell r="A3388" t="str">
            <v>Y052-030</v>
          </cell>
          <cell r="B3388">
            <v>0</v>
          </cell>
          <cell r="C3388" t="str">
            <v>Y052</v>
          </cell>
          <cell r="D3388" t="str">
            <v>640-11</v>
          </cell>
          <cell r="E3388" t="str">
            <v>前立水饰条-Thanh ngang trước</v>
          </cell>
          <cell r="F3388" t="str">
            <v>278*60*8</v>
          </cell>
          <cell r="G3388">
            <v>278</v>
          </cell>
          <cell r="H3388">
            <v>60</v>
          </cell>
          <cell r="I3388">
            <v>8</v>
          </cell>
          <cell r="J3388">
            <v>0</v>
          </cell>
          <cell r="K3388">
            <v>0</v>
          </cell>
          <cell r="L3388">
            <v>0.25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 t="e">
            <v>#DIV/0!</v>
          </cell>
          <cell r="S3388">
            <v>0</v>
          </cell>
        </row>
        <row r="3389">
          <cell r="A3389" t="str">
            <v>Y052-031</v>
          </cell>
          <cell r="B3389">
            <v>0</v>
          </cell>
          <cell r="C3389" t="str">
            <v>Y052</v>
          </cell>
          <cell r="D3389" t="str">
            <v>640-11</v>
          </cell>
          <cell r="E3389" t="str">
            <v xml:space="preserve">左下脚-Chân đế trái </v>
          </cell>
          <cell r="F3389" t="str">
            <v>223*71*71</v>
          </cell>
          <cell r="G3389">
            <v>223</v>
          </cell>
          <cell r="H3389">
            <v>71</v>
          </cell>
          <cell r="I3389">
            <v>71</v>
          </cell>
          <cell r="J3389">
            <v>0</v>
          </cell>
          <cell r="K3389">
            <v>0</v>
          </cell>
          <cell r="L3389">
            <v>1.1000000000000001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 t="e">
            <v>#DIV/0!</v>
          </cell>
          <cell r="S3389">
            <v>0</v>
          </cell>
        </row>
        <row r="3390">
          <cell r="A3390" t="str">
            <v>Y052-032</v>
          </cell>
          <cell r="B3390">
            <v>0</v>
          </cell>
          <cell r="C3390" t="str">
            <v>Y052</v>
          </cell>
          <cell r="D3390" t="str">
            <v>640-11</v>
          </cell>
          <cell r="E3390" t="str">
            <v>右下脚-Chân đếphải</v>
          </cell>
          <cell r="F3390" t="str">
            <v>223*71*71</v>
          </cell>
          <cell r="G3390">
            <v>223</v>
          </cell>
          <cell r="H3390">
            <v>71</v>
          </cell>
          <cell r="I3390">
            <v>71</v>
          </cell>
          <cell r="J3390">
            <v>0</v>
          </cell>
          <cell r="K3390">
            <v>0</v>
          </cell>
          <cell r="L3390">
            <v>1.1000000000000001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 t="e">
            <v>#DIV/0!</v>
          </cell>
          <cell r="S3390">
            <v>0</v>
          </cell>
        </row>
        <row r="3391">
          <cell r="A3391" t="str">
            <v>Y052-033</v>
          </cell>
          <cell r="B3391">
            <v>0</v>
          </cell>
          <cell r="C3391" t="str">
            <v>Y052</v>
          </cell>
          <cell r="D3391" t="str">
            <v>640-9</v>
          </cell>
          <cell r="E3391" t="str">
            <v>前上橫飾花</v>
          </cell>
          <cell r="F3391" t="str">
            <v>355*76*7</v>
          </cell>
          <cell r="G3391">
            <v>355</v>
          </cell>
          <cell r="H3391">
            <v>76</v>
          </cell>
          <cell r="I3391">
            <v>7</v>
          </cell>
          <cell r="J3391">
            <v>0</v>
          </cell>
          <cell r="K3391">
            <v>0</v>
          </cell>
          <cell r="L3391">
            <v>0.38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 t="e">
            <v>#DIV/0!</v>
          </cell>
          <cell r="S3391">
            <v>0</v>
          </cell>
        </row>
        <row r="3392">
          <cell r="A3392" t="str">
            <v>Y052-034</v>
          </cell>
          <cell r="B3392">
            <v>0</v>
          </cell>
          <cell r="C3392" t="str">
            <v>Y052</v>
          </cell>
          <cell r="D3392" t="str">
            <v>640-6</v>
          </cell>
          <cell r="E3392" t="str">
            <v>左脚柱-Chân  trái</v>
          </cell>
          <cell r="F3392" t="str">
            <v>729*71*71</v>
          </cell>
          <cell r="G3392">
            <v>729</v>
          </cell>
          <cell r="H3392">
            <v>71</v>
          </cell>
          <cell r="I3392">
            <v>71</v>
          </cell>
          <cell r="J3392">
            <v>0</v>
          </cell>
          <cell r="K3392">
            <v>0</v>
          </cell>
          <cell r="L3392">
            <v>3.5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 t="e">
            <v>#DIV/0!</v>
          </cell>
          <cell r="S3392">
            <v>0</v>
          </cell>
        </row>
        <row r="3393">
          <cell r="A3393" t="str">
            <v>Y052-035</v>
          </cell>
          <cell r="B3393">
            <v>0</v>
          </cell>
          <cell r="C3393" t="str">
            <v>Y052</v>
          </cell>
          <cell r="D3393" t="str">
            <v>640-6</v>
          </cell>
          <cell r="E3393" t="str">
            <v>右脚柱-Chân phải</v>
          </cell>
          <cell r="F3393" t="str">
            <v>729*71*71</v>
          </cell>
          <cell r="G3393">
            <v>729</v>
          </cell>
          <cell r="H3393">
            <v>71</v>
          </cell>
          <cell r="I3393">
            <v>71</v>
          </cell>
          <cell r="J3393">
            <v>0</v>
          </cell>
          <cell r="K3393">
            <v>0</v>
          </cell>
          <cell r="L3393">
            <v>3.5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 t="e">
            <v>#DIV/0!</v>
          </cell>
          <cell r="S3393">
            <v>0</v>
          </cell>
        </row>
        <row r="3394">
          <cell r="A3394" t="str">
            <v>Y052-036</v>
          </cell>
          <cell r="B3394">
            <v>0</v>
          </cell>
          <cell r="C3394" t="str">
            <v>Y052</v>
          </cell>
          <cell r="D3394" t="str">
            <v>640-6</v>
          </cell>
          <cell r="E3394" t="str">
            <v>良好抽面饰条</v>
          </cell>
          <cell r="F3394" t="str">
            <v>159*44*6</v>
          </cell>
          <cell r="G3394">
            <v>159</v>
          </cell>
          <cell r="H3394">
            <v>44</v>
          </cell>
          <cell r="I3394">
            <v>6</v>
          </cell>
          <cell r="J3394">
            <v>0</v>
          </cell>
          <cell r="K3394">
            <v>0</v>
          </cell>
          <cell r="L3394">
            <v>0.08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 t="e">
            <v>#DIV/0!</v>
          </cell>
          <cell r="S3394">
            <v>0</v>
          </cell>
        </row>
        <row r="3395">
          <cell r="A3395" t="str">
            <v>Y052-037</v>
          </cell>
          <cell r="B3395" t="str">
            <v>需加大內木差85g</v>
          </cell>
          <cell r="C3395" t="str">
            <v>Y052</v>
          </cell>
          <cell r="D3395" t="str">
            <v>640-6</v>
          </cell>
          <cell r="E3395" t="str">
            <v>中鏡框上橫</v>
          </cell>
          <cell r="F3395" t="str">
            <v>347*101*29</v>
          </cell>
          <cell r="G3395">
            <v>379</v>
          </cell>
          <cell r="H3395">
            <v>113</v>
          </cell>
          <cell r="I3395">
            <v>29</v>
          </cell>
          <cell r="J3395">
            <v>370</v>
          </cell>
          <cell r="K3395">
            <v>0</v>
          </cell>
          <cell r="L3395">
            <v>0.83</v>
          </cell>
          <cell r="M3395">
            <v>0</v>
          </cell>
          <cell r="N3395">
            <v>54</v>
          </cell>
          <cell r="O3395">
            <v>0</v>
          </cell>
          <cell r="P3395">
            <v>0</v>
          </cell>
          <cell r="Q3395">
            <v>0</v>
          </cell>
          <cell r="R3395">
            <v>2.243243243243243</v>
          </cell>
          <cell r="S3395">
            <v>0</v>
          </cell>
        </row>
        <row r="3396">
          <cell r="A3396" t="str">
            <v>Y052-038</v>
          </cell>
          <cell r="B3396">
            <v>0</v>
          </cell>
          <cell r="C3396" t="str">
            <v>Y052</v>
          </cell>
          <cell r="D3396" t="str">
            <v>640-14</v>
          </cell>
          <cell r="E3396" t="str">
            <v>床头脚柱左 Chân đầu giường trái</v>
          </cell>
          <cell r="F3396" t="str">
            <v>1045*71*71</v>
          </cell>
          <cell r="G3396">
            <v>1045</v>
          </cell>
          <cell r="H3396">
            <v>71</v>
          </cell>
          <cell r="I3396">
            <v>71</v>
          </cell>
          <cell r="J3396">
            <v>0</v>
          </cell>
          <cell r="K3396">
            <v>0</v>
          </cell>
          <cell r="L3396">
            <v>5.0999999999999996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 t="e">
            <v>#DIV/0!</v>
          </cell>
          <cell r="S3396">
            <v>0</v>
          </cell>
        </row>
        <row r="3397">
          <cell r="A3397" t="str">
            <v>Y052-039</v>
          </cell>
          <cell r="B3397">
            <v>0</v>
          </cell>
          <cell r="C3397" t="str">
            <v>Y052</v>
          </cell>
          <cell r="D3397" t="str">
            <v>640-14</v>
          </cell>
          <cell r="E3397" t="str">
            <v>床头脚柱右Chân đầu giường phài</v>
          </cell>
          <cell r="F3397" t="str">
            <v>1045*71*71</v>
          </cell>
          <cell r="G3397">
            <v>1045</v>
          </cell>
          <cell r="H3397">
            <v>71</v>
          </cell>
          <cell r="I3397">
            <v>71</v>
          </cell>
          <cell r="J3397">
            <v>0</v>
          </cell>
          <cell r="K3397">
            <v>0</v>
          </cell>
          <cell r="L3397">
            <v>5.0999999999999996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 t="e">
            <v>#DIV/0!</v>
          </cell>
          <cell r="S3397">
            <v>0</v>
          </cell>
        </row>
        <row r="3398">
          <cell r="A3398" t="str">
            <v>Y052-040</v>
          </cell>
          <cell r="B3398">
            <v>0</v>
          </cell>
          <cell r="C3398" t="str">
            <v>Y052</v>
          </cell>
          <cell r="D3398" t="str">
            <v>640-14</v>
          </cell>
          <cell r="E3398" t="str">
            <v>床头饰花  ChìHoa đầu giường</v>
          </cell>
          <cell r="F3398" t="str">
            <v>578*170*10</v>
          </cell>
          <cell r="G3398">
            <v>578</v>
          </cell>
          <cell r="H3398">
            <v>170</v>
          </cell>
          <cell r="I3398">
            <v>10</v>
          </cell>
          <cell r="J3398">
            <v>0</v>
          </cell>
          <cell r="K3398">
            <v>0</v>
          </cell>
          <cell r="L3398">
            <v>0.92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 t="e">
            <v>#DIV/0!</v>
          </cell>
          <cell r="S3398">
            <v>0</v>
          </cell>
        </row>
        <row r="3399">
          <cell r="A3399" t="str">
            <v>Y052-041</v>
          </cell>
          <cell r="B3399">
            <v>0</v>
          </cell>
          <cell r="C3399" t="str">
            <v>Y052</v>
          </cell>
          <cell r="D3399" t="str">
            <v>640-14</v>
          </cell>
          <cell r="E3399" t="str">
            <v>床尾脚柱 左 Chân đuôi giường trái</v>
          </cell>
          <cell r="F3399" t="str">
            <v>568*71*71</v>
          </cell>
          <cell r="G3399">
            <v>568</v>
          </cell>
          <cell r="H3399">
            <v>71</v>
          </cell>
          <cell r="I3399">
            <v>71</v>
          </cell>
          <cell r="J3399">
            <v>0</v>
          </cell>
          <cell r="K3399">
            <v>0</v>
          </cell>
          <cell r="L3399">
            <v>3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 t="e">
            <v>#DIV/0!</v>
          </cell>
          <cell r="S3399">
            <v>0</v>
          </cell>
        </row>
        <row r="3400">
          <cell r="A3400" t="str">
            <v>Y052-042</v>
          </cell>
          <cell r="B3400">
            <v>0</v>
          </cell>
          <cell r="C3400" t="str">
            <v>Y052</v>
          </cell>
          <cell r="D3400" t="str">
            <v>640-14</v>
          </cell>
          <cell r="E3400" t="str">
            <v>床尾脚柱 右Chân đuôi giường phai</v>
          </cell>
          <cell r="F3400" t="str">
            <v>568*71*71</v>
          </cell>
          <cell r="G3400">
            <v>568</v>
          </cell>
          <cell r="H3400">
            <v>71</v>
          </cell>
          <cell r="I3400">
            <v>71</v>
          </cell>
          <cell r="J3400">
            <v>0</v>
          </cell>
          <cell r="K3400">
            <v>0</v>
          </cell>
          <cell r="L3400">
            <v>3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 t="e">
            <v>#DIV/0!</v>
          </cell>
          <cell r="S3400">
            <v>0</v>
          </cell>
        </row>
        <row r="3401">
          <cell r="A3401" t="str">
            <v>Y052-043</v>
          </cell>
          <cell r="B3401">
            <v>0</v>
          </cell>
          <cell r="C3401" t="str">
            <v>Y052</v>
          </cell>
          <cell r="D3401" t="str">
            <v>640-15</v>
          </cell>
          <cell r="E3401" t="str">
            <v>床头脚柱左 Chân đầu giường trái</v>
          </cell>
          <cell r="F3401" t="str">
            <v>992*71*71</v>
          </cell>
          <cell r="G3401">
            <v>992</v>
          </cell>
          <cell r="H3401">
            <v>71</v>
          </cell>
          <cell r="I3401">
            <v>71</v>
          </cell>
          <cell r="J3401">
            <v>0</v>
          </cell>
          <cell r="K3401">
            <v>0</v>
          </cell>
          <cell r="L3401">
            <v>5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 t="e">
            <v>#DIV/0!</v>
          </cell>
          <cell r="S3401">
            <v>0</v>
          </cell>
        </row>
        <row r="3402">
          <cell r="A3402" t="str">
            <v>Y052-044</v>
          </cell>
          <cell r="B3402">
            <v>0</v>
          </cell>
          <cell r="C3402" t="str">
            <v>Y052</v>
          </cell>
          <cell r="D3402" t="str">
            <v>640-15</v>
          </cell>
          <cell r="E3402" t="str">
            <v>床头脚柱右Chân đầu giường phài</v>
          </cell>
          <cell r="F3402" t="str">
            <v>992*71*71</v>
          </cell>
          <cell r="G3402">
            <v>992</v>
          </cell>
          <cell r="H3402">
            <v>71</v>
          </cell>
          <cell r="I3402">
            <v>71</v>
          </cell>
          <cell r="J3402">
            <v>0</v>
          </cell>
          <cell r="K3402">
            <v>0</v>
          </cell>
          <cell r="L3402">
            <v>5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 t="e">
            <v>#DIV/0!</v>
          </cell>
          <cell r="S3402">
            <v>0</v>
          </cell>
        </row>
        <row r="3403">
          <cell r="A3403" t="str">
            <v>Y052-045</v>
          </cell>
          <cell r="B3403">
            <v>0</v>
          </cell>
          <cell r="C3403" t="str">
            <v>Y052</v>
          </cell>
          <cell r="D3403" t="str">
            <v>640-15</v>
          </cell>
          <cell r="E3403" t="str">
            <v>床头饰花  ChìHoa đầu giường</v>
          </cell>
          <cell r="F3403" t="str">
            <v>578*170*10</v>
          </cell>
          <cell r="G3403">
            <v>578</v>
          </cell>
          <cell r="H3403">
            <v>170</v>
          </cell>
          <cell r="I3403">
            <v>10</v>
          </cell>
          <cell r="J3403">
            <v>0</v>
          </cell>
          <cell r="K3403">
            <v>0</v>
          </cell>
          <cell r="L3403">
            <v>0.92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 t="e">
            <v>#DIV/0!</v>
          </cell>
          <cell r="S3403">
            <v>0</v>
          </cell>
        </row>
        <row r="3404">
          <cell r="A3404" t="str">
            <v>Y052-046</v>
          </cell>
          <cell r="B3404">
            <v>0</v>
          </cell>
          <cell r="C3404" t="str">
            <v>Y052</v>
          </cell>
          <cell r="D3404" t="str">
            <v>640-15</v>
          </cell>
          <cell r="E3404" t="str">
            <v>床尾脚柱 左 Chân đuôi giường trái</v>
          </cell>
          <cell r="F3404" t="str">
            <v>568*71*71</v>
          </cell>
          <cell r="G3404">
            <v>568</v>
          </cell>
          <cell r="H3404">
            <v>71</v>
          </cell>
          <cell r="I3404">
            <v>71</v>
          </cell>
          <cell r="J3404">
            <v>0</v>
          </cell>
          <cell r="K3404">
            <v>0</v>
          </cell>
          <cell r="L3404">
            <v>3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 t="e">
            <v>#DIV/0!</v>
          </cell>
          <cell r="S3404">
            <v>0</v>
          </cell>
        </row>
        <row r="3405">
          <cell r="A3405" t="str">
            <v>Y052-047</v>
          </cell>
          <cell r="B3405">
            <v>0</v>
          </cell>
          <cell r="C3405" t="str">
            <v>Y052</v>
          </cell>
          <cell r="D3405" t="str">
            <v>640-15</v>
          </cell>
          <cell r="E3405" t="str">
            <v>床尾脚柱 右Chân đuôi giường phai</v>
          </cell>
          <cell r="F3405" t="str">
            <v>568*71*71</v>
          </cell>
          <cell r="G3405">
            <v>568</v>
          </cell>
          <cell r="H3405">
            <v>71</v>
          </cell>
          <cell r="I3405">
            <v>71</v>
          </cell>
          <cell r="J3405">
            <v>0</v>
          </cell>
          <cell r="K3405">
            <v>0</v>
          </cell>
          <cell r="L3405">
            <v>3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 t="e">
            <v>#DIV/0!</v>
          </cell>
          <cell r="S3405">
            <v>0</v>
          </cell>
        </row>
        <row r="3406">
          <cell r="A3406" t="str">
            <v>Y052-048</v>
          </cell>
          <cell r="B3406">
            <v>0</v>
          </cell>
          <cell r="C3406" t="str">
            <v>Y052</v>
          </cell>
          <cell r="D3406" t="str">
            <v>660-3</v>
          </cell>
          <cell r="E3406" t="str">
            <v>后横贴條 Chỉ ngang</v>
          </cell>
          <cell r="F3406" t="str">
            <v>1302*93*6</v>
          </cell>
          <cell r="G3406">
            <v>1302</v>
          </cell>
          <cell r="H3406">
            <v>93</v>
          </cell>
          <cell r="I3406">
            <v>6</v>
          </cell>
          <cell r="J3406">
            <v>376</v>
          </cell>
          <cell r="K3406">
            <v>334</v>
          </cell>
          <cell r="L3406">
            <v>0.98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2.6063829787234041</v>
          </cell>
          <cell r="S3406">
            <v>0</v>
          </cell>
        </row>
        <row r="3407">
          <cell r="A3407" t="str">
            <v>Y052-049</v>
          </cell>
          <cell r="B3407">
            <v>0</v>
          </cell>
          <cell r="C3407" t="str">
            <v>Y052</v>
          </cell>
          <cell r="D3407" t="str">
            <v>660-12</v>
          </cell>
          <cell r="E3407" t="str">
            <v>床头内框组合 Tổ hợp khung đầu giường</v>
          </cell>
          <cell r="F3407" t="str">
            <v>703*1099*41.5</v>
          </cell>
          <cell r="G3407">
            <v>703</v>
          </cell>
          <cell r="H3407">
            <v>1099</v>
          </cell>
          <cell r="I3407">
            <v>41.5</v>
          </cell>
          <cell r="J3407">
            <v>2500</v>
          </cell>
          <cell r="K3407">
            <v>0</v>
          </cell>
          <cell r="L3407">
            <v>11.5</v>
          </cell>
          <cell r="M3407">
            <v>0</v>
          </cell>
          <cell r="N3407">
            <v>7600</v>
          </cell>
          <cell r="O3407">
            <v>0</v>
          </cell>
          <cell r="P3407">
            <v>0</v>
          </cell>
          <cell r="Q3407">
            <v>0</v>
          </cell>
          <cell r="R3407">
            <v>4.5999999999999996</v>
          </cell>
          <cell r="S3407">
            <v>0</v>
          </cell>
        </row>
        <row r="3408">
          <cell r="A3408" t="str">
            <v>Y052-050</v>
          </cell>
          <cell r="B3408">
            <v>0</v>
          </cell>
          <cell r="C3408" t="str">
            <v>Y052</v>
          </cell>
          <cell r="D3408" t="str">
            <v>660-13</v>
          </cell>
          <cell r="E3408" t="str">
            <v>床头饰花 Bông trang trí đầu giường</v>
          </cell>
          <cell r="F3408" t="str">
            <v>1336*228*13</v>
          </cell>
          <cell r="G3408">
            <v>1336</v>
          </cell>
          <cell r="H3408">
            <v>228</v>
          </cell>
          <cell r="I3408">
            <v>13</v>
          </cell>
          <cell r="J3408">
            <v>1676</v>
          </cell>
          <cell r="K3408">
            <v>1550</v>
          </cell>
          <cell r="L3408">
            <v>4.4000000000000004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2.6252983293556089</v>
          </cell>
          <cell r="S3408">
            <v>0</v>
          </cell>
        </row>
        <row r="3409">
          <cell r="A3409" t="str">
            <v>Y052-051</v>
          </cell>
          <cell r="B3409">
            <v>0</v>
          </cell>
          <cell r="C3409" t="str">
            <v>Y052</v>
          </cell>
          <cell r="D3409" t="str">
            <v>660-13</v>
          </cell>
          <cell r="E3409" t="str">
            <v>床尾上横饰花Bông trang trí đuôi giường</v>
          </cell>
          <cell r="F3409" t="str">
            <v>1336*82*13</v>
          </cell>
          <cell r="G3409">
            <v>1336</v>
          </cell>
          <cell r="H3409">
            <v>82</v>
          </cell>
          <cell r="I3409">
            <v>13</v>
          </cell>
          <cell r="J3409">
            <v>1340</v>
          </cell>
          <cell r="K3409">
            <v>0</v>
          </cell>
          <cell r="L3409">
            <v>3.52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2.6268656716417911</v>
          </cell>
          <cell r="S3409">
            <v>0</v>
          </cell>
        </row>
        <row r="3410">
          <cell r="A3410" t="str">
            <v>Y052-052</v>
          </cell>
          <cell r="B3410" t="str">
            <v>改PU</v>
          </cell>
          <cell r="C3410" t="str">
            <v>Y052</v>
          </cell>
          <cell r="D3410" t="str">
            <v>660-3-SG</v>
          </cell>
          <cell r="E3410" t="str">
            <v>后上頂線 Thanh ngang trên</v>
          </cell>
          <cell r="F3410" t="str">
            <v>1370*88*42</v>
          </cell>
          <cell r="G3410">
            <v>1370</v>
          </cell>
          <cell r="H3410">
            <v>88</v>
          </cell>
          <cell r="I3410">
            <v>42</v>
          </cell>
          <cell r="J3410">
            <v>0</v>
          </cell>
          <cell r="K3410">
            <v>0</v>
          </cell>
          <cell r="L3410">
            <v>3.4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 t="e">
            <v>#DIV/0!</v>
          </cell>
          <cell r="S3410">
            <v>0</v>
          </cell>
        </row>
        <row r="3411">
          <cell r="A3411" t="str">
            <v>Y052-053</v>
          </cell>
          <cell r="B3411" t="str">
            <v>16-10改py</v>
          </cell>
          <cell r="C3411" t="str">
            <v>Y052</v>
          </cell>
          <cell r="D3411" t="str">
            <v>660-13 A-1 内理木 Gỗ</v>
          </cell>
          <cell r="E3411" t="str">
            <v>床頭上橫 Thanh ngang trên</v>
          </cell>
          <cell r="F3411" t="str">
            <v>1523*220*95</v>
          </cell>
          <cell r="G3411">
            <v>1523</v>
          </cell>
          <cell r="H3411">
            <v>220</v>
          </cell>
          <cell r="I3411">
            <v>95</v>
          </cell>
          <cell r="J3411">
            <v>4454</v>
          </cell>
          <cell r="K3411">
            <v>3950</v>
          </cell>
          <cell r="L3411">
            <v>12</v>
          </cell>
          <cell r="M3411">
            <v>0</v>
          </cell>
          <cell r="N3411">
            <v>2146</v>
          </cell>
          <cell r="O3411">
            <v>0</v>
          </cell>
          <cell r="P3411">
            <v>0</v>
          </cell>
          <cell r="Q3411">
            <v>0</v>
          </cell>
          <cell r="R3411">
            <v>2.6942074539739562</v>
          </cell>
          <cell r="S3411">
            <v>0</v>
          </cell>
        </row>
        <row r="3412">
          <cell r="A3412" t="str">
            <v>Y052-054</v>
          </cell>
          <cell r="B3412" t="str">
            <v>16-10改py</v>
          </cell>
          <cell r="C3412" t="str">
            <v>Y052</v>
          </cell>
          <cell r="D3412" t="str">
            <v>660-13 B-1 内理木 Gỗ</v>
          </cell>
          <cell r="E3412" t="str">
            <v>床尾上蓋 Thanh ngang trên</v>
          </cell>
          <cell r="F3412" t="str">
            <v>1523*74*95</v>
          </cell>
          <cell r="G3412">
            <v>1523</v>
          </cell>
          <cell r="H3412">
            <v>74</v>
          </cell>
          <cell r="I3412">
            <v>95</v>
          </cell>
          <cell r="J3412">
            <v>4348</v>
          </cell>
          <cell r="K3412">
            <v>4030</v>
          </cell>
          <cell r="L3412">
            <v>11</v>
          </cell>
          <cell r="M3412">
            <v>0</v>
          </cell>
          <cell r="N3412">
            <v>1852</v>
          </cell>
          <cell r="O3412">
            <v>0</v>
          </cell>
          <cell r="P3412">
            <v>0</v>
          </cell>
          <cell r="Q3412">
            <v>0</v>
          </cell>
          <cell r="R3412">
            <v>2.5298988040478383</v>
          </cell>
          <cell r="S3412">
            <v>0</v>
          </cell>
        </row>
        <row r="3413">
          <cell r="A3413" t="str">
            <v>Y052-055</v>
          </cell>
          <cell r="B3413">
            <v>0</v>
          </cell>
          <cell r="C3413" t="str">
            <v>Y052</v>
          </cell>
          <cell r="D3413" t="str">
            <v>1381 N</v>
          </cell>
          <cell r="E3413" t="str">
            <v>脚柱 Chân</v>
          </cell>
          <cell r="F3413" t="str">
            <v>244*55*55</v>
          </cell>
          <cell r="G3413">
            <v>244</v>
          </cell>
          <cell r="H3413">
            <v>55</v>
          </cell>
          <cell r="I3413">
            <v>55</v>
          </cell>
          <cell r="J3413">
            <v>287</v>
          </cell>
          <cell r="K3413">
            <v>0</v>
          </cell>
          <cell r="L3413">
            <v>0.9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3.1358885017421607</v>
          </cell>
          <cell r="S3413">
            <v>0</v>
          </cell>
        </row>
        <row r="3414">
          <cell r="A3414" t="str">
            <v>Y052-056</v>
          </cell>
          <cell r="B3414">
            <v>0</v>
          </cell>
          <cell r="C3414" t="str">
            <v>Y052</v>
          </cell>
          <cell r="D3414" t="str">
            <v>1381 U</v>
          </cell>
          <cell r="E3414" t="str">
            <v>脚柱饰瑰 Poly trang trí</v>
          </cell>
          <cell r="F3414" t="str">
            <v>60*31*8.5</v>
          </cell>
          <cell r="G3414">
            <v>60</v>
          </cell>
          <cell r="H3414">
            <v>31</v>
          </cell>
          <cell r="I3414">
            <v>8.5</v>
          </cell>
          <cell r="J3414">
            <v>18</v>
          </cell>
          <cell r="K3414">
            <v>0</v>
          </cell>
          <cell r="L3414">
            <v>0.06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3.3333333333333335</v>
          </cell>
          <cell r="S3414">
            <v>0</v>
          </cell>
        </row>
        <row r="3415">
          <cell r="A3415" t="str">
            <v>Y052-057</v>
          </cell>
          <cell r="B3415">
            <v>0</v>
          </cell>
          <cell r="C3415" t="str">
            <v>Y052</v>
          </cell>
          <cell r="D3415" t="str">
            <v>1386 S</v>
          </cell>
          <cell r="E3415" t="str">
            <v>脚柱 Chân</v>
          </cell>
          <cell r="F3415" t="str">
            <v>244*55*55</v>
          </cell>
          <cell r="G3415">
            <v>244</v>
          </cell>
          <cell r="H3415">
            <v>55</v>
          </cell>
          <cell r="I3415">
            <v>55</v>
          </cell>
          <cell r="J3415">
            <v>287</v>
          </cell>
          <cell r="K3415">
            <v>0</v>
          </cell>
          <cell r="L3415">
            <v>0.9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3.1358885017421607</v>
          </cell>
          <cell r="S3415">
            <v>0</v>
          </cell>
        </row>
        <row r="3416">
          <cell r="A3416" t="str">
            <v>Y052-058</v>
          </cell>
          <cell r="B3416">
            <v>0</v>
          </cell>
          <cell r="C3416" t="str">
            <v>Y052</v>
          </cell>
          <cell r="D3416" t="str">
            <v>1386 Z</v>
          </cell>
          <cell r="E3416" t="str">
            <v>脚柱饰瑰 Poly trang trí</v>
          </cell>
          <cell r="F3416" t="str">
            <v>60*31*8.5</v>
          </cell>
          <cell r="G3416">
            <v>60</v>
          </cell>
          <cell r="H3416">
            <v>31</v>
          </cell>
          <cell r="I3416">
            <v>8.5</v>
          </cell>
          <cell r="J3416">
            <v>18</v>
          </cell>
          <cell r="K3416">
            <v>0</v>
          </cell>
          <cell r="L3416">
            <v>0.06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3.3333333333333335</v>
          </cell>
          <cell r="S3416">
            <v>0</v>
          </cell>
        </row>
        <row r="3417">
          <cell r="A3417" t="str">
            <v>Y052-059</v>
          </cell>
          <cell r="B3417">
            <v>0</v>
          </cell>
          <cell r="C3417" t="str">
            <v>Y052</v>
          </cell>
          <cell r="D3417" t="str">
            <v>1383 A1-3</v>
          </cell>
          <cell r="E3417" t="str">
            <v>左脚柱下飾 Chân dưới (trái)</v>
          </cell>
          <cell r="F3417" t="str">
            <v>283*55*55</v>
          </cell>
          <cell r="G3417">
            <v>283</v>
          </cell>
          <cell r="H3417">
            <v>55</v>
          </cell>
          <cell r="I3417">
            <v>55</v>
          </cell>
          <cell r="J3417">
            <v>435</v>
          </cell>
          <cell r="K3417">
            <v>0</v>
          </cell>
          <cell r="L3417">
            <v>1.34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3.0804597701149428</v>
          </cell>
          <cell r="S3417">
            <v>0</v>
          </cell>
        </row>
        <row r="3418">
          <cell r="A3418" t="str">
            <v>Y052-060</v>
          </cell>
          <cell r="B3418">
            <v>0</v>
          </cell>
          <cell r="C3418" t="str">
            <v>Y052</v>
          </cell>
          <cell r="D3418" t="str">
            <v>1383 A2-3</v>
          </cell>
          <cell r="E3418" t="str">
            <v>右左脚柱下飾 Chân dưới (phải)</v>
          </cell>
          <cell r="F3418" t="str">
            <v>283*55*55</v>
          </cell>
          <cell r="G3418">
            <v>283</v>
          </cell>
          <cell r="H3418">
            <v>55</v>
          </cell>
          <cell r="I3418">
            <v>55</v>
          </cell>
          <cell r="J3418">
            <v>435</v>
          </cell>
          <cell r="K3418">
            <v>0</v>
          </cell>
          <cell r="L3418">
            <v>1.34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3.0804597701149428</v>
          </cell>
          <cell r="S3418">
            <v>0</v>
          </cell>
        </row>
        <row r="3419">
          <cell r="A3419" t="str">
            <v>Y052-061</v>
          </cell>
          <cell r="B3419">
            <v>0</v>
          </cell>
          <cell r="C3419" t="str">
            <v>Y052</v>
          </cell>
          <cell r="D3419" t="str">
            <v>1383-C</v>
          </cell>
          <cell r="E3419" t="str">
            <v>固定飾瑰 Miếng poly cố</v>
          </cell>
          <cell r="F3419" t="str">
            <v>60*31*8.5</v>
          </cell>
          <cell r="G3419">
            <v>60</v>
          </cell>
          <cell r="H3419">
            <v>31</v>
          </cell>
          <cell r="I3419">
            <v>8.5</v>
          </cell>
          <cell r="J3419">
            <v>18</v>
          </cell>
          <cell r="K3419">
            <v>0</v>
          </cell>
          <cell r="L3419">
            <v>0.06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3.3333333333333335</v>
          </cell>
          <cell r="S3419">
            <v>0</v>
          </cell>
        </row>
        <row r="3420">
          <cell r="A3420" t="str">
            <v>Y052-062</v>
          </cell>
          <cell r="B3420">
            <v>0</v>
          </cell>
          <cell r="C3420" t="str">
            <v>Y052</v>
          </cell>
          <cell r="D3420" t="str">
            <v>1383-O （放铁 Có sắt)</v>
          </cell>
          <cell r="E3420" t="str">
            <v xml:space="preserve">活動飾瑰 miếng poly di động </v>
          </cell>
          <cell r="F3420" t="str">
            <v>60*31*8.5</v>
          </cell>
          <cell r="G3420">
            <v>60</v>
          </cell>
          <cell r="H3420">
            <v>31</v>
          </cell>
          <cell r="I3420">
            <v>8.5</v>
          </cell>
          <cell r="J3420">
            <v>18</v>
          </cell>
          <cell r="K3420">
            <v>0</v>
          </cell>
          <cell r="L3420">
            <v>7.0000000000000007E-2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3.8888888888888897</v>
          </cell>
          <cell r="S3420">
            <v>0</v>
          </cell>
        </row>
        <row r="3421">
          <cell r="A3421" t="str">
            <v>Y052-063</v>
          </cell>
          <cell r="B3421">
            <v>0</v>
          </cell>
          <cell r="C3421" t="str">
            <v>Y052</v>
          </cell>
          <cell r="D3421">
            <v>660</v>
          </cell>
          <cell r="E3421" t="str">
            <v>饰条 Dây Poly</v>
          </cell>
          <cell r="F3421" t="str">
            <v>611*40*13</v>
          </cell>
          <cell r="G3421">
            <v>611</v>
          </cell>
          <cell r="H3421">
            <v>40</v>
          </cell>
          <cell r="I3421">
            <v>13</v>
          </cell>
          <cell r="J3421">
            <v>320</v>
          </cell>
          <cell r="K3421">
            <v>0</v>
          </cell>
          <cell r="L3421">
            <v>0.9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2.8125</v>
          </cell>
          <cell r="S3421">
            <v>0</v>
          </cell>
        </row>
        <row r="3422">
          <cell r="A3422" t="str">
            <v>Y052-064</v>
          </cell>
          <cell r="B3422">
            <v>0</v>
          </cell>
          <cell r="C3422" t="str">
            <v>Y052</v>
          </cell>
          <cell r="D3422">
            <v>660</v>
          </cell>
          <cell r="E3422" t="str">
            <v>饰条 Dây Poly</v>
          </cell>
          <cell r="F3422" t="str">
            <v>206*40*13</v>
          </cell>
          <cell r="G3422">
            <v>206</v>
          </cell>
          <cell r="H3422">
            <v>40</v>
          </cell>
          <cell r="I3422">
            <v>13</v>
          </cell>
          <cell r="J3422">
            <v>110</v>
          </cell>
          <cell r="K3422">
            <v>0</v>
          </cell>
          <cell r="L3422">
            <v>0.31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2.8181818181818183</v>
          </cell>
          <cell r="S3422">
            <v>0</v>
          </cell>
        </row>
        <row r="3423">
          <cell r="A3423" t="str">
            <v>Y052-065</v>
          </cell>
          <cell r="B3423">
            <v>0</v>
          </cell>
          <cell r="C3423" t="str">
            <v>Y052</v>
          </cell>
          <cell r="D3423">
            <v>660</v>
          </cell>
          <cell r="E3423" t="str">
            <v>饰条 Dây Poly</v>
          </cell>
          <cell r="F3423" t="str">
            <v>432*40*13</v>
          </cell>
          <cell r="G3423">
            <v>432</v>
          </cell>
          <cell r="H3423">
            <v>40</v>
          </cell>
          <cell r="I3423">
            <v>13</v>
          </cell>
          <cell r="J3423">
            <v>230</v>
          </cell>
          <cell r="K3423">
            <v>0</v>
          </cell>
          <cell r="L3423">
            <v>0.65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2.8260869565217392</v>
          </cell>
          <cell r="S3423">
            <v>0</v>
          </cell>
        </row>
        <row r="3424">
          <cell r="A3424" t="str">
            <v>Y052-066</v>
          </cell>
          <cell r="B3424">
            <v>0</v>
          </cell>
          <cell r="C3424" t="str">
            <v>Y052</v>
          </cell>
          <cell r="D3424">
            <v>660</v>
          </cell>
          <cell r="E3424" t="str">
            <v>饰条 Dây Poly</v>
          </cell>
          <cell r="F3424" t="str">
            <v>221*40*13</v>
          </cell>
          <cell r="G3424">
            <v>221</v>
          </cell>
          <cell r="H3424">
            <v>40</v>
          </cell>
          <cell r="I3424">
            <v>13</v>
          </cell>
          <cell r="J3424">
            <v>110</v>
          </cell>
          <cell r="K3424">
            <v>0</v>
          </cell>
          <cell r="L3424">
            <v>0.31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2.8181818181818183</v>
          </cell>
          <cell r="S3424">
            <v>0</v>
          </cell>
        </row>
        <row r="3425">
          <cell r="A3425" t="str">
            <v>Y052-067</v>
          </cell>
          <cell r="B3425">
            <v>0</v>
          </cell>
          <cell r="C3425" t="str">
            <v>Y052</v>
          </cell>
          <cell r="D3425">
            <v>660</v>
          </cell>
          <cell r="E3425" t="str">
            <v>饰条 Dây Poly</v>
          </cell>
          <cell r="F3425" t="str">
            <v>863*40*13</v>
          </cell>
          <cell r="G3425">
            <v>863</v>
          </cell>
          <cell r="H3425">
            <v>40</v>
          </cell>
          <cell r="I3425">
            <v>13</v>
          </cell>
          <cell r="J3425">
            <v>450</v>
          </cell>
          <cell r="K3425">
            <v>0</v>
          </cell>
          <cell r="L3425">
            <v>1.3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2.8888888888888888</v>
          </cell>
          <cell r="S3425">
            <v>0</v>
          </cell>
        </row>
        <row r="3426">
          <cell r="A3426" t="str">
            <v>Y052-068</v>
          </cell>
          <cell r="B3426">
            <v>0</v>
          </cell>
          <cell r="C3426" t="str">
            <v>Y052</v>
          </cell>
          <cell r="D3426" t="str">
            <v>1267FM</v>
          </cell>
          <cell r="E3426" t="str">
            <v>上饰柱 Poly trang trí</v>
          </cell>
          <cell r="F3426" t="str">
            <v>68*33*33</v>
          </cell>
          <cell r="G3426">
            <v>68</v>
          </cell>
          <cell r="H3426">
            <v>33</v>
          </cell>
          <cell r="I3426">
            <v>33</v>
          </cell>
          <cell r="J3426">
            <v>58</v>
          </cell>
          <cell r="K3426">
            <v>0</v>
          </cell>
          <cell r="L3426">
            <v>0.3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5.1724137931034475</v>
          </cell>
          <cell r="S3426">
            <v>0</v>
          </cell>
        </row>
        <row r="3427">
          <cell r="A3427" t="str">
            <v>Y052-069</v>
          </cell>
          <cell r="B3427">
            <v>0</v>
          </cell>
          <cell r="C3427" t="str">
            <v>Y052</v>
          </cell>
          <cell r="D3427" t="str">
            <v>1267FM 内里铁片 Có sắt</v>
          </cell>
          <cell r="E3427" t="str">
            <v xml:space="preserve">活動飾瑰 miếng poly di động </v>
          </cell>
          <cell r="F3427" t="str">
            <v>39*24*6</v>
          </cell>
          <cell r="G3427">
            <v>39</v>
          </cell>
          <cell r="H3427">
            <v>24</v>
          </cell>
          <cell r="I3427">
            <v>6</v>
          </cell>
          <cell r="J3427">
            <v>8</v>
          </cell>
          <cell r="K3427">
            <v>0</v>
          </cell>
          <cell r="L3427">
            <v>0.05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6.25</v>
          </cell>
          <cell r="S3427">
            <v>0</v>
          </cell>
        </row>
        <row r="3428">
          <cell r="A3428" t="str">
            <v>Y052-070</v>
          </cell>
          <cell r="B3428">
            <v>0</v>
          </cell>
          <cell r="C3428" t="str">
            <v>Y052</v>
          </cell>
          <cell r="D3428" t="str">
            <v>1267FM</v>
          </cell>
          <cell r="E3428" t="str">
            <v>固定飾瑰 Miếng poly cố</v>
          </cell>
          <cell r="F3428" t="str">
            <v>39*24*6</v>
          </cell>
          <cell r="G3428">
            <v>39</v>
          </cell>
          <cell r="H3428">
            <v>24</v>
          </cell>
          <cell r="I3428">
            <v>6</v>
          </cell>
          <cell r="J3428">
            <v>8</v>
          </cell>
          <cell r="K3428">
            <v>0</v>
          </cell>
          <cell r="L3428">
            <v>0.04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5</v>
          </cell>
          <cell r="S3428">
            <v>0</v>
          </cell>
        </row>
        <row r="3429">
          <cell r="A3429" t="str">
            <v>Y052-071</v>
          </cell>
          <cell r="B3429">
            <v>0</v>
          </cell>
          <cell r="C3429" t="str">
            <v>Y052</v>
          </cell>
          <cell r="D3429" t="str">
            <v>472-1</v>
          </cell>
          <cell r="E3429" t="str">
            <v>镜框饰条</v>
          </cell>
          <cell r="F3429" t="str">
            <v>6*13*743</v>
          </cell>
          <cell r="G3429">
            <v>6</v>
          </cell>
          <cell r="H3429">
            <v>13</v>
          </cell>
          <cell r="I3429">
            <v>743</v>
          </cell>
          <cell r="J3429">
            <v>0</v>
          </cell>
          <cell r="K3429">
            <v>0</v>
          </cell>
          <cell r="L3429">
            <v>0.34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 t="e">
            <v>#DIV/0!</v>
          </cell>
          <cell r="S3429">
            <v>0</v>
          </cell>
        </row>
        <row r="3430">
          <cell r="A3430" t="str">
            <v>Y052-072</v>
          </cell>
          <cell r="B3430">
            <v>0</v>
          </cell>
          <cell r="C3430" t="str">
            <v>Y052</v>
          </cell>
          <cell r="D3430" t="str">
            <v>1264TB-HB/FB</v>
          </cell>
          <cell r="E3430" t="str">
            <v>床头上盖1 Thanh ngang đầu giường 1</v>
          </cell>
          <cell r="F3430" t="str">
            <v>571*38*9</v>
          </cell>
          <cell r="G3430">
            <v>571</v>
          </cell>
          <cell r="H3430">
            <v>38</v>
          </cell>
          <cell r="I3430">
            <v>9</v>
          </cell>
          <cell r="J3430">
            <v>0</v>
          </cell>
          <cell r="K3430">
            <v>0</v>
          </cell>
          <cell r="L3430">
            <v>0.65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 t="e">
            <v>#DIV/0!</v>
          </cell>
        </row>
        <row r="3431">
          <cell r="A3431" t="str">
            <v>Y052-073</v>
          </cell>
          <cell r="B3431">
            <v>0</v>
          </cell>
          <cell r="C3431" t="str">
            <v>Y052</v>
          </cell>
          <cell r="D3431" t="str">
            <v>1264TB-HB/FB có gỗ</v>
          </cell>
          <cell r="E3431" t="str">
            <v>床头上盖2 thanh ngang đầu giường 2</v>
          </cell>
          <cell r="F3431" t="str">
            <v>658*60*46</v>
          </cell>
          <cell r="G3431">
            <v>658</v>
          </cell>
          <cell r="H3431">
            <v>60</v>
          </cell>
          <cell r="I3431">
            <v>46</v>
          </cell>
          <cell r="J3431">
            <v>0</v>
          </cell>
          <cell r="K3431">
            <v>0</v>
          </cell>
          <cell r="L3431">
            <v>2.12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 t="e">
            <v>#DIV/0!</v>
          </cell>
        </row>
        <row r="3432">
          <cell r="A3432" t="str">
            <v>Y052-074</v>
          </cell>
          <cell r="B3432">
            <v>0</v>
          </cell>
          <cell r="C3432" t="str">
            <v>Y052</v>
          </cell>
          <cell r="D3432" t="str">
            <v>1264TB-HB/FB</v>
          </cell>
          <cell r="E3432" t="str">
            <v>床尾上盖1 thanh ngang đuôi giường 1</v>
          </cell>
          <cell r="F3432" t="str">
            <v>571*38*9</v>
          </cell>
          <cell r="G3432">
            <v>571</v>
          </cell>
          <cell r="H3432">
            <v>38</v>
          </cell>
          <cell r="I3432">
            <v>9</v>
          </cell>
          <cell r="J3432">
            <v>0</v>
          </cell>
          <cell r="K3432">
            <v>0</v>
          </cell>
          <cell r="L3432">
            <v>0.65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 t="e">
            <v>#DIV/0!</v>
          </cell>
        </row>
        <row r="3433">
          <cell r="A3433" t="str">
            <v>Y052-075</v>
          </cell>
          <cell r="B3433">
            <v>0</v>
          </cell>
          <cell r="C3433" t="str">
            <v>Y052</v>
          </cell>
          <cell r="D3433" t="str">
            <v>1264TB-HB/FB có gỗ</v>
          </cell>
          <cell r="E3433" t="str">
            <v>床尾上盖2 thanh ngang đuôi giường2</v>
          </cell>
          <cell r="F3433" t="str">
            <v>658*60*46</v>
          </cell>
          <cell r="G3433">
            <v>658</v>
          </cell>
          <cell r="H3433">
            <v>60</v>
          </cell>
          <cell r="I3433">
            <v>46</v>
          </cell>
          <cell r="J3433">
            <v>0</v>
          </cell>
          <cell r="K3433">
            <v>0</v>
          </cell>
          <cell r="L3433">
            <v>2.12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 t="e">
            <v>#DIV/0!</v>
          </cell>
        </row>
        <row r="3434">
          <cell r="A3434" t="str">
            <v>Y052-076</v>
          </cell>
          <cell r="B3434">
            <v>0</v>
          </cell>
          <cell r="C3434" t="str">
            <v>Y052</v>
          </cell>
          <cell r="D3434" t="str">
            <v>1264TB-HB/FB có gỗ</v>
          </cell>
          <cell r="E3434" t="str">
            <v>上饰块 Poly trang trí</v>
          </cell>
          <cell r="F3434" t="str">
            <v>86*42*42</v>
          </cell>
          <cell r="G3434">
            <v>86</v>
          </cell>
          <cell r="H3434">
            <v>42</v>
          </cell>
          <cell r="I3434">
            <v>42</v>
          </cell>
          <cell r="J3434">
            <v>0</v>
          </cell>
          <cell r="K3434">
            <v>0</v>
          </cell>
          <cell r="L3434">
            <v>0.35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 t="e">
            <v>#DIV/0!</v>
          </cell>
        </row>
        <row r="3435">
          <cell r="A3435" t="str">
            <v>Y052-077</v>
          </cell>
          <cell r="B3435">
            <v>0</v>
          </cell>
          <cell r="C3435" t="str">
            <v>Y052</v>
          </cell>
          <cell r="D3435" t="str">
            <v>1264TB-HB/FB</v>
          </cell>
          <cell r="E3435" t="str">
            <v>脚柱饰块 miếng poly chân</v>
          </cell>
          <cell r="F3435" t="str">
            <v>52*31*8</v>
          </cell>
          <cell r="G3435">
            <v>52</v>
          </cell>
          <cell r="H3435">
            <v>31</v>
          </cell>
          <cell r="I3435">
            <v>8</v>
          </cell>
          <cell r="J3435">
            <v>18</v>
          </cell>
          <cell r="K3435">
            <v>0</v>
          </cell>
          <cell r="L3435">
            <v>0.05</v>
          </cell>
          <cell r="M3435">
            <v>0</v>
          </cell>
          <cell r="N3435">
            <v>0</v>
          </cell>
          <cell r="O3435">
            <v>0</v>
          </cell>
          <cell r="P3435" t="str">
            <v>1010</v>
          </cell>
          <cell r="Q3435" t="str">
            <v>1010</v>
          </cell>
          <cell r="R3435">
            <v>2.7777777777777781</v>
          </cell>
        </row>
        <row r="3436">
          <cell r="A3436" t="str">
            <v>Y052-078</v>
          </cell>
          <cell r="B3436">
            <v>0</v>
          </cell>
          <cell r="C3436" t="str">
            <v>Y052</v>
          </cell>
          <cell r="D3436" t="str">
            <v>1264TB-HB/FB</v>
          </cell>
          <cell r="E3436" t="str">
            <v>床头上盖1 Thanh ngang đầu giường 1</v>
          </cell>
          <cell r="F3436" t="str">
            <v>956*38*9</v>
          </cell>
          <cell r="G3436">
            <v>956</v>
          </cell>
          <cell r="H3436">
            <v>38</v>
          </cell>
          <cell r="I3436">
            <v>9</v>
          </cell>
          <cell r="J3436">
            <v>0</v>
          </cell>
          <cell r="K3436">
            <v>0</v>
          </cell>
          <cell r="L3436">
            <v>1.07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 t="e">
            <v>#DIV/0!</v>
          </cell>
        </row>
        <row r="3437">
          <cell r="A3437" t="str">
            <v>Y052-079</v>
          </cell>
          <cell r="B3437">
            <v>0</v>
          </cell>
          <cell r="C3437" t="str">
            <v>Y052</v>
          </cell>
          <cell r="D3437" t="str">
            <v>1264TB-HB/FB có gỗ</v>
          </cell>
          <cell r="E3437" t="str">
            <v>床头上盖2 thanh ngang đầu giường 2</v>
          </cell>
          <cell r="F3437" t="str">
            <v>1048*79*60</v>
          </cell>
          <cell r="G3437">
            <v>1048</v>
          </cell>
          <cell r="H3437">
            <v>79</v>
          </cell>
          <cell r="I3437">
            <v>60</v>
          </cell>
          <cell r="J3437">
            <v>0</v>
          </cell>
          <cell r="K3437">
            <v>0</v>
          </cell>
          <cell r="L3437">
            <v>3.5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 t="e">
            <v>#DIV/0!</v>
          </cell>
        </row>
        <row r="3438">
          <cell r="A3438" t="str">
            <v>Y052-080</v>
          </cell>
          <cell r="B3438">
            <v>0</v>
          </cell>
          <cell r="C3438" t="str">
            <v>Y052</v>
          </cell>
          <cell r="D3438" t="str">
            <v>1264TB-HB/FB</v>
          </cell>
          <cell r="E3438" t="str">
            <v>床尾上盖1 thanh ngang đuôi giường 1</v>
          </cell>
          <cell r="F3438" t="str">
            <v>956*38*9</v>
          </cell>
          <cell r="G3438">
            <v>956</v>
          </cell>
          <cell r="H3438">
            <v>38</v>
          </cell>
          <cell r="I3438">
            <v>9</v>
          </cell>
          <cell r="J3438">
            <v>0</v>
          </cell>
          <cell r="K3438">
            <v>0</v>
          </cell>
          <cell r="L3438">
            <v>1.07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 t="e">
            <v>#DIV/0!</v>
          </cell>
        </row>
        <row r="3439">
          <cell r="A3439" t="str">
            <v>Y052-081</v>
          </cell>
          <cell r="B3439">
            <v>0</v>
          </cell>
          <cell r="C3439" t="str">
            <v>Y052</v>
          </cell>
          <cell r="D3439" t="str">
            <v>1264TB-HB/FB có gỗ</v>
          </cell>
          <cell r="E3439" t="str">
            <v>床尾上盖2 thanh ngang đuôi giường2</v>
          </cell>
          <cell r="F3439" t="str">
            <v>1048*79*60</v>
          </cell>
          <cell r="G3439">
            <v>1048</v>
          </cell>
          <cell r="H3439">
            <v>79</v>
          </cell>
          <cell r="I3439">
            <v>60</v>
          </cell>
          <cell r="J3439">
            <v>0</v>
          </cell>
          <cell r="K3439">
            <v>0</v>
          </cell>
          <cell r="L3439">
            <v>3.5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 t="e">
            <v>#DIV/0!</v>
          </cell>
        </row>
        <row r="3440">
          <cell r="A3440" t="str">
            <v>Y052-082</v>
          </cell>
          <cell r="B3440">
            <v>0</v>
          </cell>
          <cell r="C3440" t="str">
            <v>Y052</v>
          </cell>
          <cell r="D3440" t="str">
            <v>1264TB-HB/FB có gỗ</v>
          </cell>
          <cell r="E3440" t="str">
            <v>上饰块 Poly trang trí</v>
          </cell>
          <cell r="F3440" t="str">
            <v>86*42*42</v>
          </cell>
          <cell r="G3440">
            <v>86</v>
          </cell>
          <cell r="H3440">
            <v>42</v>
          </cell>
          <cell r="I3440">
            <v>42</v>
          </cell>
          <cell r="J3440">
            <v>0</v>
          </cell>
          <cell r="K3440">
            <v>0</v>
          </cell>
          <cell r="L3440">
            <v>0.35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 t="e">
            <v>#DIV/0!</v>
          </cell>
        </row>
        <row r="3441">
          <cell r="A3441" t="str">
            <v>Y052-083</v>
          </cell>
          <cell r="B3441">
            <v>0</v>
          </cell>
          <cell r="C3441" t="str">
            <v>Y052</v>
          </cell>
          <cell r="D3441" t="str">
            <v>1264TB-HB/FB</v>
          </cell>
          <cell r="E3441" t="str">
            <v>脚柱饰块 miếng poly chân</v>
          </cell>
          <cell r="F3441" t="str">
            <v>52*31*8</v>
          </cell>
          <cell r="G3441">
            <v>52</v>
          </cell>
          <cell r="H3441">
            <v>31</v>
          </cell>
          <cell r="I3441">
            <v>8</v>
          </cell>
          <cell r="J3441">
            <v>18</v>
          </cell>
          <cell r="K3441">
            <v>0</v>
          </cell>
          <cell r="L3441">
            <v>0.05</v>
          </cell>
          <cell r="M3441">
            <v>0</v>
          </cell>
          <cell r="N3441">
            <v>0</v>
          </cell>
          <cell r="O3441">
            <v>0</v>
          </cell>
          <cell r="P3441" t="str">
            <v>1010</v>
          </cell>
          <cell r="Q3441" t="str">
            <v>1010</v>
          </cell>
          <cell r="R3441">
            <v>2.7777777777777781</v>
          </cell>
        </row>
        <row r="3442">
          <cell r="A3442" t="str">
            <v>Y052-084</v>
          </cell>
          <cell r="B3442">
            <v>0</v>
          </cell>
          <cell r="C3442" t="str">
            <v>Y052</v>
          </cell>
          <cell r="D3442" t="str">
            <v>33500TR</v>
          </cell>
          <cell r="E3442" t="str">
            <v>前板侧饰条 chỉ poly</v>
          </cell>
          <cell r="F3442" t="str">
            <v>140*35*5 (改框)</v>
          </cell>
          <cell r="G3442">
            <v>872</v>
          </cell>
          <cell r="H3442">
            <v>128</v>
          </cell>
          <cell r="I3442">
            <v>5</v>
          </cell>
          <cell r="J3442">
            <v>0</v>
          </cell>
          <cell r="K3442" t="str">
            <v>"</v>
          </cell>
          <cell r="L3442">
            <v>0.45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 t="e">
            <v>#DIV/0!</v>
          </cell>
        </row>
        <row r="3443">
          <cell r="A3443" t="str">
            <v>Y052-085</v>
          </cell>
          <cell r="B3443">
            <v>0</v>
          </cell>
          <cell r="C3443" t="str">
            <v>Y052</v>
          </cell>
          <cell r="D3443" t="str">
            <v>1264CTB-HB/FB</v>
          </cell>
          <cell r="E3443" t="str">
            <v>上饰柱 Poly trang trí</v>
          </cell>
          <cell r="F3443" t="str">
            <v>86*42*42</v>
          </cell>
          <cell r="G3443">
            <v>86</v>
          </cell>
          <cell r="H3443">
            <v>42</v>
          </cell>
          <cell r="I3443">
            <v>42</v>
          </cell>
          <cell r="J3443">
            <v>100</v>
          </cell>
          <cell r="K3443">
            <v>0</v>
          </cell>
          <cell r="L3443">
            <v>0.35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3.4999999999999996</v>
          </cell>
          <cell r="S3443">
            <v>0</v>
          </cell>
        </row>
        <row r="3444">
          <cell r="A3444" t="str">
            <v>Y052-086</v>
          </cell>
          <cell r="B3444">
            <v>0</v>
          </cell>
          <cell r="C3444" t="str">
            <v>Y052</v>
          </cell>
          <cell r="D3444" t="str">
            <v>1264CTB-HB/FB</v>
          </cell>
          <cell r="E3444" t="str">
            <v>床尾上poly饰条 Poly đuôi giường</v>
          </cell>
          <cell r="F3444" t="str">
            <v>648*57*14</v>
          </cell>
          <cell r="G3444">
            <v>648</v>
          </cell>
          <cell r="H3444">
            <v>57</v>
          </cell>
          <cell r="I3444">
            <v>14</v>
          </cell>
          <cell r="J3444">
            <v>0</v>
          </cell>
          <cell r="K3444">
            <v>0</v>
          </cell>
          <cell r="L3444">
            <v>0.48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 t="e">
            <v>#DIV/0!</v>
          </cell>
          <cell r="S3444">
            <v>0</v>
          </cell>
        </row>
        <row r="3445">
          <cell r="A3445" t="str">
            <v>Y052-087</v>
          </cell>
          <cell r="B3445">
            <v>0</v>
          </cell>
          <cell r="C3445" t="str">
            <v>Y052</v>
          </cell>
          <cell r="D3445" t="str">
            <v>1264CTB-GR/SR/SL</v>
          </cell>
          <cell r="E3445" t="str">
            <v>護欄上Poly饰条 Poly lan can giường</v>
          </cell>
          <cell r="F3445" t="str">
            <v>1305*103*14</v>
          </cell>
          <cell r="G3445">
            <v>1305</v>
          </cell>
          <cell r="H3445">
            <v>103</v>
          </cell>
          <cell r="I3445">
            <v>14</v>
          </cell>
          <cell r="J3445">
            <v>0</v>
          </cell>
          <cell r="K3445">
            <v>0</v>
          </cell>
          <cell r="L3445">
            <v>1.05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 t="e">
            <v>#DIV/0!</v>
          </cell>
          <cell r="S3445">
            <v>0</v>
          </cell>
        </row>
        <row r="3446">
          <cell r="A3446" t="str">
            <v>Y052-088</v>
          </cell>
          <cell r="B3446">
            <v>0</v>
          </cell>
          <cell r="C3446" t="str">
            <v>Y052</v>
          </cell>
          <cell r="D3446" t="str">
            <v>1264CFB-HB/FB</v>
          </cell>
          <cell r="E3446" t="str">
            <v>上饰柱 Poly trang trí</v>
          </cell>
          <cell r="F3446" t="str">
            <v>86*42*42</v>
          </cell>
          <cell r="G3446">
            <v>86</v>
          </cell>
          <cell r="H3446">
            <v>42</v>
          </cell>
          <cell r="I3446">
            <v>42</v>
          </cell>
          <cell r="J3446">
            <v>100</v>
          </cell>
          <cell r="K3446">
            <v>0</v>
          </cell>
          <cell r="L3446">
            <v>0.35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3.4999999999999996</v>
          </cell>
          <cell r="S3446">
            <v>0</v>
          </cell>
        </row>
        <row r="3447">
          <cell r="A3447" t="str">
            <v>Y052-089</v>
          </cell>
          <cell r="B3447">
            <v>0</v>
          </cell>
          <cell r="C3447" t="str">
            <v>Y052</v>
          </cell>
          <cell r="D3447" t="str">
            <v>1264CFB-HB/FB</v>
          </cell>
          <cell r="E3447" t="str">
            <v>床尾上poly饰条 Poly đuôi giường</v>
          </cell>
          <cell r="F3447" t="str">
            <v>1036*88*14</v>
          </cell>
          <cell r="G3447">
            <v>1036</v>
          </cell>
          <cell r="H3447">
            <v>88</v>
          </cell>
          <cell r="I3447">
            <v>14</v>
          </cell>
          <cell r="J3447">
            <v>0</v>
          </cell>
          <cell r="K3447">
            <v>0</v>
          </cell>
          <cell r="L3447">
            <v>0.8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 t="e">
            <v>#DIV/0!</v>
          </cell>
          <cell r="S3447">
            <v>0</v>
          </cell>
        </row>
        <row r="3448">
          <cell r="A3448" t="str">
            <v>Y052-090</v>
          </cell>
          <cell r="B3448">
            <v>0</v>
          </cell>
          <cell r="C3448" t="str">
            <v>Y052</v>
          </cell>
          <cell r="D3448" t="str">
            <v>1264CFB-GR/SR/SL</v>
          </cell>
          <cell r="E3448" t="str">
            <v>護欄上Poly饰条 Poly lan can giường</v>
          </cell>
          <cell r="F3448" t="str">
            <v>1305*103*14</v>
          </cell>
          <cell r="G3448">
            <v>1305</v>
          </cell>
          <cell r="H3448">
            <v>103</v>
          </cell>
          <cell r="I3448">
            <v>14</v>
          </cell>
          <cell r="J3448">
            <v>0</v>
          </cell>
          <cell r="K3448">
            <v>0</v>
          </cell>
          <cell r="L3448">
            <v>1.05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 t="e">
            <v>#DIV/0!</v>
          </cell>
          <cell r="S3448">
            <v>0</v>
          </cell>
        </row>
        <row r="3449">
          <cell r="A3449" t="str">
            <v>Y052-091</v>
          </cell>
          <cell r="B3449">
            <v>0</v>
          </cell>
          <cell r="C3449" t="str">
            <v>Y052</v>
          </cell>
          <cell r="D3449" t="str">
            <v>1382 M</v>
          </cell>
          <cell r="E3449" t="str">
            <v>脚柱 Chân</v>
          </cell>
          <cell r="F3449" t="str">
            <v>244*55*55</v>
          </cell>
          <cell r="G3449">
            <v>244</v>
          </cell>
          <cell r="H3449">
            <v>55</v>
          </cell>
          <cell r="I3449">
            <v>55</v>
          </cell>
          <cell r="J3449">
            <v>287</v>
          </cell>
          <cell r="K3449">
            <v>0</v>
          </cell>
          <cell r="L3449">
            <v>0.9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3.1358885017421607</v>
          </cell>
          <cell r="S3449">
            <v>0</v>
          </cell>
        </row>
        <row r="3450">
          <cell r="A3450" t="str">
            <v>Y052-092</v>
          </cell>
          <cell r="B3450">
            <v>0</v>
          </cell>
          <cell r="C3450" t="str">
            <v>Y052</v>
          </cell>
          <cell r="D3450">
            <v>0</v>
          </cell>
          <cell r="E3450" t="str">
            <v>脚柱饰瑰 Poly trang trí</v>
          </cell>
          <cell r="F3450" t="str">
            <v>60*31*8.5</v>
          </cell>
          <cell r="G3450">
            <v>60</v>
          </cell>
          <cell r="H3450">
            <v>31</v>
          </cell>
          <cell r="I3450">
            <v>8.5</v>
          </cell>
          <cell r="J3450">
            <v>23</v>
          </cell>
          <cell r="K3450">
            <v>0</v>
          </cell>
          <cell r="L3450">
            <v>0.06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2.6086956521739131</v>
          </cell>
          <cell r="S3450">
            <v>0</v>
          </cell>
        </row>
        <row r="3451">
          <cell r="A3451" t="str">
            <v>Y052-093</v>
          </cell>
          <cell r="B3451">
            <v>0</v>
          </cell>
          <cell r="C3451" t="str">
            <v>Y052</v>
          </cell>
          <cell r="D3451" t="str">
            <v>1264QB-HB/FB</v>
          </cell>
          <cell r="E3451" t="str">
            <v>床头上盖1 Thanh ngang đầu giường 1</v>
          </cell>
          <cell r="F3451" t="str">
            <v>956*38*9</v>
          </cell>
          <cell r="G3451">
            <v>956</v>
          </cell>
          <cell r="H3451">
            <v>38</v>
          </cell>
          <cell r="I3451">
            <v>9</v>
          </cell>
          <cell r="J3451">
            <v>0</v>
          </cell>
          <cell r="K3451">
            <v>0</v>
          </cell>
          <cell r="L3451">
            <v>1.07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 t="e">
            <v>#DIV/0!</v>
          </cell>
          <cell r="S3451">
            <v>0</v>
          </cell>
        </row>
        <row r="3452">
          <cell r="A3452" t="str">
            <v>Y052-094</v>
          </cell>
          <cell r="B3452">
            <v>0</v>
          </cell>
          <cell r="C3452" t="str">
            <v>Y052</v>
          </cell>
          <cell r="D3452" t="str">
            <v>1264QB-HB/FB内理木Có gỗ</v>
          </cell>
          <cell r="E3452" t="str">
            <v>床头上盖2 thanh ngang đầu giường 2</v>
          </cell>
          <cell r="F3452" t="str">
            <v>1048*79*60</v>
          </cell>
          <cell r="G3452">
            <v>1048</v>
          </cell>
          <cell r="H3452">
            <v>79</v>
          </cell>
          <cell r="I3452">
            <v>60</v>
          </cell>
          <cell r="J3452">
            <v>0</v>
          </cell>
          <cell r="K3452">
            <v>0</v>
          </cell>
          <cell r="L3452">
            <v>3.5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 t="e">
            <v>#DIV/0!</v>
          </cell>
          <cell r="S3452">
            <v>0</v>
          </cell>
        </row>
        <row r="3453">
          <cell r="A3453" t="str">
            <v>Y052-095</v>
          </cell>
          <cell r="B3453">
            <v>0</v>
          </cell>
          <cell r="C3453" t="str">
            <v>Y052</v>
          </cell>
          <cell r="D3453" t="str">
            <v>1264QB-HB/FB</v>
          </cell>
          <cell r="E3453" t="str">
            <v>床尾上盖1 thanh ngang đuôi giường 1</v>
          </cell>
          <cell r="F3453" t="str">
            <v>956*38*9</v>
          </cell>
          <cell r="G3453">
            <v>956</v>
          </cell>
          <cell r="H3453">
            <v>38</v>
          </cell>
          <cell r="I3453">
            <v>9</v>
          </cell>
          <cell r="J3453">
            <v>0</v>
          </cell>
          <cell r="K3453">
            <v>0</v>
          </cell>
          <cell r="L3453">
            <v>1.07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 t="e">
            <v>#DIV/0!</v>
          </cell>
          <cell r="S3453">
            <v>0</v>
          </cell>
        </row>
        <row r="3454">
          <cell r="A3454" t="str">
            <v>Y052-096</v>
          </cell>
          <cell r="B3454">
            <v>0</v>
          </cell>
          <cell r="C3454" t="str">
            <v>Y052</v>
          </cell>
          <cell r="D3454" t="str">
            <v>1264QB-HB/FB 内理木Có gỗ</v>
          </cell>
          <cell r="E3454" t="str">
            <v>床尾上盖2 thanh ngang đuôi giường2</v>
          </cell>
          <cell r="F3454" t="str">
            <v>1048*79*60</v>
          </cell>
          <cell r="G3454">
            <v>1048</v>
          </cell>
          <cell r="H3454">
            <v>79</v>
          </cell>
          <cell r="I3454">
            <v>60</v>
          </cell>
          <cell r="J3454">
            <v>0</v>
          </cell>
          <cell r="K3454">
            <v>0</v>
          </cell>
          <cell r="L3454">
            <v>3.5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 t="e">
            <v>#DIV/0!</v>
          </cell>
          <cell r="S3454">
            <v>0</v>
          </cell>
        </row>
        <row r="3455">
          <cell r="A3455" t="str">
            <v>Y052-097</v>
          </cell>
          <cell r="B3455">
            <v>0</v>
          </cell>
          <cell r="C3455" t="str">
            <v>Y052</v>
          </cell>
          <cell r="D3455" t="str">
            <v>1264QB-HB/FB内理木Có gỗ</v>
          </cell>
          <cell r="E3455" t="str">
            <v>上饰块 Poly trang trí</v>
          </cell>
          <cell r="F3455" t="str">
            <v>86*42*42</v>
          </cell>
          <cell r="G3455">
            <v>86</v>
          </cell>
          <cell r="H3455">
            <v>42</v>
          </cell>
          <cell r="I3455">
            <v>42</v>
          </cell>
          <cell r="J3455">
            <v>100</v>
          </cell>
          <cell r="K3455">
            <v>0</v>
          </cell>
          <cell r="L3455">
            <v>0.35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3.4999999999999996</v>
          </cell>
          <cell r="S3455">
            <v>0</v>
          </cell>
        </row>
        <row r="3456">
          <cell r="A3456" t="str">
            <v>Y052-098</v>
          </cell>
          <cell r="B3456">
            <v>0</v>
          </cell>
          <cell r="C3456" t="str">
            <v>Y052</v>
          </cell>
          <cell r="D3456" t="str">
            <v>1264QB-HB/FB</v>
          </cell>
          <cell r="E3456" t="str">
            <v>脚柱饰块 miếng poly chân</v>
          </cell>
          <cell r="F3456" t="str">
            <v>52*31*8</v>
          </cell>
          <cell r="G3456">
            <v>52</v>
          </cell>
          <cell r="H3456">
            <v>31</v>
          </cell>
          <cell r="I3456">
            <v>8</v>
          </cell>
          <cell r="J3456">
            <v>18</v>
          </cell>
          <cell r="K3456">
            <v>0</v>
          </cell>
          <cell r="L3456">
            <v>0.05</v>
          </cell>
          <cell r="M3456">
            <v>0</v>
          </cell>
          <cell r="N3456">
            <v>0</v>
          </cell>
          <cell r="O3456">
            <v>0</v>
          </cell>
          <cell r="P3456" t="str">
            <v>1010</v>
          </cell>
          <cell r="Q3456" t="str">
            <v>1010</v>
          </cell>
          <cell r="R3456">
            <v>2.7777777777777781</v>
          </cell>
          <cell r="S3456">
            <v>0</v>
          </cell>
        </row>
        <row r="3457">
          <cell r="A3457" t="str">
            <v>Y052-099</v>
          </cell>
          <cell r="B3457">
            <v>0</v>
          </cell>
          <cell r="C3457" t="str">
            <v>Y052</v>
          </cell>
          <cell r="D3457" t="str">
            <v>1264KB-HB/FB</v>
          </cell>
          <cell r="E3457" t="str">
            <v>床头上盖1 Thanh ngang đầu giường 1</v>
          </cell>
          <cell r="F3457" t="str">
            <v>571*38*8</v>
          </cell>
          <cell r="G3457">
            <v>571</v>
          </cell>
          <cell r="H3457">
            <v>38</v>
          </cell>
          <cell r="I3457">
            <v>8</v>
          </cell>
          <cell r="J3457">
            <v>0</v>
          </cell>
          <cell r="K3457">
            <v>0</v>
          </cell>
          <cell r="L3457">
            <v>0.65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 t="e">
            <v>#DIV/0!</v>
          </cell>
          <cell r="S3457">
            <v>0</v>
          </cell>
        </row>
        <row r="3458">
          <cell r="A3458" t="str">
            <v>Y052-100</v>
          </cell>
          <cell r="B3458">
            <v>0</v>
          </cell>
          <cell r="C3458" t="str">
            <v>Y052</v>
          </cell>
          <cell r="D3458" t="str">
            <v>1264KB-HB/FB内理木 Có gỗ</v>
          </cell>
          <cell r="E3458" t="str">
            <v>床头上盖2 thanh ngang đầu giường 2</v>
          </cell>
          <cell r="F3458" t="str">
            <v>658*60*46</v>
          </cell>
          <cell r="G3458">
            <v>658</v>
          </cell>
          <cell r="H3458">
            <v>60</v>
          </cell>
          <cell r="I3458">
            <v>46</v>
          </cell>
          <cell r="J3458">
            <v>0</v>
          </cell>
          <cell r="K3458">
            <v>0</v>
          </cell>
          <cell r="L3458">
            <v>2.12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 t="e">
            <v>#DIV/0!</v>
          </cell>
          <cell r="S3458">
            <v>0</v>
          </cell>
        </row>
        <row r="3459">
          <cell r="A3459" t="str">
            <v>Y052-101</v>
          </cell>
          <cell r="B3459">
            <v>0</v>
          </cell>
          <cell r="C3459" t="str">
            <v>Y052</v>
          </cell>
          <cell r="D3459" t="str">
            <v>1264KB-HB/FB</v>
          </cell>
          <cell r="E3459" t="str">
            <v>床头上盖1 Thanh ngang đầu giường 1</v>
          </cell>
          <cell r="F3459" t="str">
            <v>571*38*8</v>
          </cell>
          <cell r="G3459">
            <v>571</v>
          </cell>
          <cell r="H3459">
            <v>38</v>
          </cell>
          <cell r="I3459">
            <v>8</v>
          </cell>
          <cell r="J3459">
            <v>0</v>
          </cell>
          <cell r="K3459">
            <v>0</v>
          </cell>
          <cell r="L3459">
            <v>0.65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 t="e">
            <v>#DIV/0!</v>
          </cell>
          <cell r="S3459">
            <v>0</v>
          </cell>
        </row>
        <row r="3460">
          <cell r="A3460" t="str">
            <v>Y052-102</v>
          </cell>
          <cell r="B3460">
            <v>0</v>
          </cell>
          <cell r="C3460" t="str">
            <v>Y052</v>
          </cell>
          <cell r="D3460" t="str">
            <v>1264KB-HB/FB 内理木Có gỗ</v>
          </cell>
          <cell r="E3460" t="str">
            <v>床头上盖2 thanh ngang đầu giường 2</v>
          </cell>
          <cell r="F3460" t="str">
            <v>658*60*46</v>
          </cell>
          <cell r="G3460">
            <v>658</v>
          </cell>
          <cell r="H3460">
            <v>60</v>
          </cell>
          <cell r="I3460">
            <v>46</v>
          </cell>
          <cell r="J3460">
            <v>0</v>
          </cell>
          <cell r="K3460">
            <v>0</v>
          </cell>
          <cell r="L3460">
            <v>2.12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 t="e">
            <v>#DIV/0!</v>
          </cell>
          <cell r="S3460">
            <v>0</v>
          </cell>
        </row>
        <row r="3461">
          <cell r="A3461" t="str">
            <v>Y052-103</v>
          </cell>
          <cell r="B3461">
            <v>0</v>
          </cell>
          <cell r="C3461" t="str">
            <v>Y052</v>
          </cell>
          <cell r="D3461" t="str">
            <v>1264KB-HB/FB内理木Có gỗ</v>
          </cell>
          <cell r="E3461" t="str">
            <v>上饰柱 Poly trang trí</v>
          </cell>
          <cell r="F3461" t="str">
            <v>86*42*42</v>
          </cell>
          <cell r="G3461">
            <v>86</v>
          </cell>
          <cell r="H3461">
            <v>42</v>
          </cell>
          <cell r="I3461">
            <v>42</v>
          </cell>
          <cell r="J3461">
            <v>0</v>
          </cell>
          <cell r="K3461">
            <v>0</v>
          </cell>
          <cell r="L3461">
            <v>0.35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 t="e">
            <v>#DIV/0!</v>
          </cell>
          <cell r="S3461">
            <v>0</v>
          </cell>
        </row>
        <row r="3462">
          <cell r="A3462" t="str">
            <v>Y052-104</v>
          </cell>
          <cell r="B3462">
            <v>0</v>
          </cell>
          <cell r="C3462" t="str">
            <v>Y052</v>
          </cell>
          <cell r="D3462" t="str">
            <v>1264KB-HB/FB</v>
          </cell>
          <cell r="E3462" t="str">
            <v>脚柱饰块 miếng poly chân</v>
          </cell>
          <cell r="F3462" t="str">
            <v>52*31*8</v>
          </cell>
          <cell r="G3462">
            <v>52</v>
          </cell>
          <cell r="H3462">
            <v>31</v>
          </cell>
          <cell r="I3462">
            <v>8</v>
          </cell>
          <cell r="J3462">
            <v>18</v>
          </cell>
          <cell r="K3462">
            <v>0</v>
          </cell>
          <cell r="L3462">
            <v>0.05</v>
          </cell>
          <cell r="M3462">
            <v>0</v>
          </cell>
          <cell r="N3462">
            <v>0</v>
          </cell>
          <cell r="O3462">
            <v>0</v>
          </cell>
          <cell r="P3462" t="str">
            <v>1010</v>
          </cell>
          <cell r="Q3462" t="str">
            <v>1010</v>
          </cell>
          <cell r="R3462">
            <v>2.7777777777777781</v>
          </cell>
          <cell r="S3462">
            <v>0</v>
          </cell>
        </row>
        <row r="3463">
          <cell r="A3463" t="str">
            <v>Y052-105</v>
          </cell>
          <cell r="B3463">
            <v>0</v>
          </cell>
          <cell r="C3463" t="str">
            <v>Y052</v>
          </cell>
          <cell r="D3463" t="str">
            <v>1267CB 内理木Có gỗ</v>
          </cell>
          <cell r="E3463" t="str">
            <v>褂衣悍企柱 trụ đứng</v>
          </cell>
          <cell r="F3463" t="str">
            <v>1157*43*43</v>
          </cell>
          <cell r="G3463">
            <v>1157</v>
          </cell>
          <cell r="H3463">
            <v>43</v>
          </cell>
          <cell r="I3463">
            <v>43</v>
          </cell>
          <cell r="J3463">
            <v>1012</v>
          </cell>
          <cell r="K3463">
            <v>0</v>
          </cell>
          <cell r="L3463">
            <v>2.74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2.7075098814229253</v>
          </cell>
          <cell r="S3463">
            <v>0</v>
          </cell>
        </row>
        <row r="3464">
          <cell r="A3464" t="str">
            <v>Y052-106</v>
          </cell>
          <cell r="B3464">
            <v>0</v>
          </cell>
          <cell r="C3464" t="str">
            <v>Y052</v>
          </cell>
          <cell r="D3464" t="str">
            <v>1267CB内理木Có gỗ</v>
          </cell>
          <cell r="E3464" t="str">
            <v>上饰柱 Poly trang trí</v>
          </cell>
          <cell r="F3464" t="str">
            <v>68*33*33</v>
          </cell>
          <cell r="G3464">
            <v>68</v>
          </cell>
          <cell r="H3464">
            <v>33</v>
          </cell>
          <cell r="I3464">
            <v>33</v>
          </cell>
          <cell r="J3464">
            <v>0</v>
          </cell>
          <cell r="K3464">
            <v>0</v>
          </cell>
          <cell r="L3464">
            <v>0.3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 t="e">
            <v>#DIV/0!</v>
          </cell>
          <cell r="S3464">
            <v>0</v>
          </cell>
        </row>
        <row r="3465">
          <cell r="A3465" t="str">
            <v>Y052-107</v>
          </cell>
          <cell r="B3465">
            <v>0</v>
          </cell>
          <cell r="C3465" t="str">
            <v>Y052</v>
          </cell>
          <cell r="D3465" t="str">
            <v>1264DB-HB/FB内理木Có gỗ</v>
          </cell>
          <cell r="E3465" t="str">
            <v>上饰柱 Poly trang trí</v>
          </cell>
          <cell r="F3465" t="str">
            <v>86*42*42</v>
          </cell>
          <cell r="G3465">
            <v>86</v>
          </cell>
          <cell r="H3465">
            <v>42</v>
          </cell>
          <cell r="I3465">
            <v>42</v>
          </cell>
          <cell r="J3465">
            <v>0</v>
          </cell>
          <cell r="K3465">
            <v>0</v>
          </cell>
          <cell r="L3465">
            <v>0.35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 t="e">
            <v>#DIV/0!</v>
          </cell>
          <cell r="S3465">
            <v>0</v>
          </cell>
        </row>
        <row r="3466">
          <cell r="A3466" t="str">
            <v>Y052-108</v>
          </cell>
          <cell r="B3466">
            <v>0</v>
          </cell>
          <cell r="C3466" t="str">
            <v>Y052</v>
          </cell>
          <cell r="D3466" t="str">
            <v>1264DB-HB/FB</v>
          </cell>
          <cell r="E3466" t="str">
            <v>前脚柱饰条 Poly chân trụ trước</v>
          </cell>
          <cell r="F3466" t="str">
            <v>52*31*8</v>
          </cell>
          <cell r="G3466">
            <v>52</v>
          </cell>
          <cell r="H3466">
            <v>31</v>
          </cell>
          <cell r="I3466">
            <v>8</v>
          </cell>
          <cell r="J3466">
            <v>18</v>
          </cell>
          <cell r="K3466">
            <v>0</v>
          </cell>
          <cell r="L3466">
            <v>0.05</v>
          </cell>
          <cell r="M3466">
            <v>0</v>
          </cell>
          <cell r="N3466">
            <v>0</v>
          </cell>
          <cell r="O3466">
            <v>0</v>
          </cell>
          <cell r="P3466" t="str">
            <v>1010</v>
          </cell>
          <cell r="Q3466" t="str">
            <v>1010</v>
          </cell>
          <cell r="R3466">
            <v>2.7777777777777781</v>
          </cell>
          <cell r="S3466">
            <v>0</v>
          </cell>
        </row>
        <row r="3467">
          <cell r="A3467" t="str">
            <v>Y052-109</v>
          </cell>
          <cell r="B3467">
            <v>0</v>
          </cell>
          <cell r="C3467" t="str">
            <v>Y052</v>
          </cell>
          <cell r="D3467" t="str">
            <v>1264DB-HB/FB</v>
          </cell>
          <cell r="E3467" t="str">
            <v>侧框上饰条（分左右)chỉ panel trên(phân trái phải)</v>
          </cell>
          <cell r="F3467" t="str">
            <v>1000*40*12</v>
          </cell>
          <cell r="G3467">
            <v>1000</v>
          </cell>
          <cell r="H3467">
            <v>40</v>
          </cell>
          <cell r="I3467">
            <v>12</v>
          </cell>
          <cell r="J3467">
            <v>0</v>
          </cell>
          <cell r="K3467">
            <v>0</v>
          </cell>
          <cell r="L3467">
            <v>1.88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 t="e">
            <v>#DIV/0!</v>
          </cell>
          <cell r="S3467">
            <v>0</v>
          </cell>
        </row>
        <row r="3468">
          <cell r="A3468" t="str">
            <v>Y052-110</v>
          </cell>
          <cell r="B3468">
            <v>0</v>
          </cell>
          <cell r="C3468" t="str">
            <v>Y052</v>
          </cell>
          <cell r="D3468" t="str">
            <v>1264-SR/SL</v>
          </cell>
          <cell r="E3468" t="str">
            <v>靠背上盖thanh ngang trên 1</v>
          </cell>
          <cell r="F3468" t="str">
            <v>1340*119*53</v>
          </cell>
          <cell r="G3468">
            <v>1340</v>
          </cell>
          <cell r="H3468">
            <v>119</v>
          </cell>
          <cell r="I3468">
            <v>53</v>
          </cell>
          <cell r="J3468">
            <v>0</v>
          </cell>
          <cell r="K3468">
            <v>0</v>
          </cell>
          <cell r="L3468">
            <v>4.5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 t="e">
            <v>#DIV/0!</v>
          </cell>
          <cell r="S3468">
            <v>0</v>
          </cell>
        </row>
        <row r="3469">
          <cell r="A3469" t="str">
            <v>Y052-110-1</v>
          </cell>
          <cell r="B3469">
            <v>0</v>
          </cell>
          <cell r="C3469" t="str">
            <v>Y052</v>
          </cell>
          <cell r="D3469" t="str">
            <v>1264-SR/SL</v>
          </cell>
          <cell r="E3469" t="str">
            <v>上盖貼條</v>
          </cell>
          <cell r="F3469" t="str">
            <v>1312*38*9</v>
          </cell>
          <cell r="G3469">
            <v>1312</v>
          </cell>
          <cell r="H3469">
            <v>38</v>
          </cell>
          <cell r="I3469">
            <v>9</v>
          </cell>
          <cell r="J3469">
            <v>0</v>
          </cell>
          <cell r="K3469">
            <v>0</v>
          </cell>
          <cell r="L3469">
            <v>1.3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 t="e">
            <v>#DIV/0!</v>
          </cell>
          <cell r="S3469">
            <v>0</v>
          </cell>
        </row>
        <row r="3470">
          <cell r="A3470" t="str">
            <v>Y052-111</v>
          </cell>
          <cell r="B3470">
            <v>0</v>
          </cell>
          <cell r="C3470" t="str">
            <v>Y052</v>
          </cell>
          <cell r="D3470" t="str">
            <v>1263内理木Có gỗ</v>
          </cell>
          <cell r="E3470" t="str">
            <v>床头尾上盖thanh ngang trên 1</v>
          </cell>
          <cell r="F3470" t="str">
            <v>404*53*38</v>
          </cell>
          <cell r="G3470">
            <v>404</v>
          </cell>
          <cell r="H3470">
            <v>53</v>
          </cell>
          <cell r="I3470">
            <v>38</v>
          </cell>
          <cell r="J3470">
            <v>410</v>
          </cell>
          <cell r="K3470">
            <v>0</v>
          </cell>
          <cell r="L3470">
            <v>1.2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2.9268292682926829</v>
          </cell>
          <cell r="S3470">
            <v>0</v>
          </cell>
        </row>
        <row r="3471">
          <cell r="A3471" t="str">
            <v>Y052-112</v>
          </cell>
          <cell r="B3471">
            <v>0</v>
          </cell>
          <cell r="C3471" t="str">
            <v>Y052</v>
          </cell>
          <cell r="D3471" t="str">
            <v>1263内理铁铁片 Có sắt</v>
          </cell>
          <cell r="E3471" t="str">
            <v xml:space="preserve">活動飾瑰 miếng poly di động </v>
          </cell>
          <cell r="F3471" t="str">
            <v>52*31*8</v>
          </cell>
          <cell r="G3471">
            <v>52</v>
          </cell>
          <cell r="H3471">
            <v>31</v>
          </cell>
          <cell r="I3471">
            <v>8</v>
          </cell>
          <cell r="J3471">
            <v>17</v>
          </cell>
          <cell r="K3471">
            <v>0</v>
          </cell>
          <cell r="L3471">
            <v>0.06</v>
          </cell>
          <cell r="M3471">
            <v>0</v>
          </cell>
          <cell r="N3471" t="str">
            <v>SAT</v>
          </cell>
          <cell r="O3471">
            <v>0</v>
          </cell>
          <cell r="P3471" t="str">
            <v>1010</v>
          </cell>
          <cell r="Q3471" t="str">
            <v>1010</v>
          </cell>
          <cell r="R3471">
            <v>3.5294117647058818</v>
          </cell>
          <cell r="S3471">
            <v>0</v>
          </cell>
        </row>
        <row r="3472">
          <cell r="A3472" t="str">
            <v>Y052-113</v>
          </cell>
          <cell r="B3472">
            <v>0</v>
          </cell>
          <cell r="C3472" t="str">
            <v>Y052</v>
          </cell>
          <cell r="D3472">
            <v>1263</v>
          </cell>
          <cell r="E3472" t="str">
            <v>固定飾瑰 Miếng poly cố định</v>
          </cell>
          <cell r="F3472" t="str">
            <v>52*31*8</v>
          </cell>
          <cell r="G3472">
            <v>52</v>
          </cell>
          <cell r="H3472">
            <v>31</v>
          </cell>
          <cell r="I3472">
            <v>8</v>
          </cell>
          <cell r="J3472">
            <v>18</v>
          </cell>
          <cell r="K3472">
            <v>0</v>
          </cell>
          <cell r="L3472">
            <v>0.05</v>
          </cell>
          <cell r="M3472">
            <v>0</v>
          </cell>
          <cell r="N3472">
            <v>0</v>
          </cell>
          <cell r="O3472">
            <v>0</v>
          </cell>
          <cell r="P3472" t="str">
            <v>1010</v>
          </cell>
          <cell r="Q3472" t="str">
            <v>1010</v>
          </cell>
          <cell r="R3472">
            <v>2.7777777777777781</v>
          </cell>
          <cell r="S3472">
            <v>0</v>
          </cell>
        </row>
        <row r="3473">
          <cell r="A3473" t="str">
            <v>Y052-114</v>
          </cell>
          <cell r="B3473">
            <v>0</v>
          </cell>
          <cell r="C3473" t="str">
            <v>Y052</v>
          </cell>
          <cell r="D3473" t="str">
            <v>1263AUS</v>
          </cell>
          <cell r="E3473" t="str">
            <v>床头尾下内贴块 Bộ thanh ngang đuôi</v>
          </cell>
          <cell r="F3473" t="str">
            <v>485*8*6</v>
          </cell>
          <cell r="G3473">
            <v>485</v>
          </cell>
          <cell r="H3473">
            <v>8</v>
          </cell>
          <cell r="I3473">
            <v>6</v>
          </cell>
          <cell r="J3473">
            <v>28</v>
          </cell>
          <cell r="K3473">
            <v>0</v>
          </cell>
          <cell r="L3473">
            <v>0.14000000000000001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1010</v>
          </cell>
          <cell r="R3473">
            <v>5</v>
          </cell>
          <cell r="S3473">
            <v>0</v>
          </cell>
        </row>
        <row r="3474">
          <cell r="A3474" t="str">
            <v>Y052-115</v>
          </cell>
          <cell r="B3474">
            <v>0</v>
          </cell>
          <cell r="C3474" t="str">
            <v>Y052</v>
          </cell>
          <cell r="D3474" t="str">
            <v>33512N-1HB/FB</v>
          </cell>
          <cell r="E3474" t="str">
            <v>床头轉角饰条（左）chỉ panel cong trái</v>
          </cell>
          <cell r="F3474" t="str">
            <v>242*50*5</v>
          </cell>
          <cell r="G3474">
            <v>242</v>
          </cell>
          <cell r="H3474">
            <v>50</v>
          </cell>
          <cell r="I3474">
            <v>5</v>
          </cell>
          <cell r="J3474">
            <v>56</v>
          </cell>
          <cell r="K3474">
            <v>0</v>
          </cell>
          <cell r="L3474">
            <v>0.16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2.8571428571428572</v>
          </cell>
          <cell r="S3474">
            <v>0</v>
          </cell>
        </row>
        <row r="3475">
          <cell r="A3475" t="str">
            <v>Y052-116</v>
          </cell>
          <cell r="B3475">
            <v>0</v>
          </cell>
          <cell r="C3475" t="str">
            <v>Y052</v>
          </cell>
          <cell r="D3475" t="str">
            <v>33512N-1HB/FB</v>
          </cell>
          <cell r="E3475" t="str">
            <v>床头轉角饰条（右）chỉ panel cong phải</v>
          </cell>
          <cell r="F3475" t="str">
            <v>242*50*5</v>
          </cell>
          <cell r="G3475">
            <v>242</v>
          </cell>
          <cell r="H3475">
            <v>50</v>
          </cell>
          <cell r="I3475">
            <v>5</v>
          </cell>
          <cell r="J3475">
            <v>0</v>
          </cell>
          <cell r="K3475">
            <v>0</v>
          </cell>
          <cell r="L3475">
            <v>0.16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 t="e">
            <v>#DIV/0!</v>
          </cell>
          <cell r="S3475">
            <v>0</v>
          </cell>
        </row>
        <row r="3476">
          <cell r="A3476" t="str">
            <v>Y052-117</v>
          </cell>
          <cell r="B3476">
            <v>0</v>
          </cell>
          <cell r="C3476" t="str">
            <v>Y052</v>
          </cell>
          <cell r="D3476" t="str">
            <v>33512N-2-SR/SL</v>
          </cell>
          <cell r="E3476" t="str">
            <v>靠背轉脚饰条 chĩ panel cong</v>
          </cell>
          <cell r="F3476" t="str">
            <v>242*50*5</v>
          </cell>
          <cell r="G3476">
            <v>242</v>
          </cell>
          <cell r="H3476">
            <v>50</v>
          </cell>
          <cell r="I3476">
            <v>5</v>
          </cell>
          <cell r="J3476">
            <v>0</v>
          </cell>
          <cell r="K3476">
            <v>0</v>
          </cell>
          <cell r="L3476">
            <v>0.16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 t="e">
            <v>#DIV/0!</v>
          </cell>
          <cell r="S3476">
            <v>0</v>
          </cell>
        </row>
        <row r="3477">
          <cell r="A3477" t="str">
            <v>Y052-118</v>
          </cell>
          <cell r="B3477">
            <v>0</v>
          </cell>
          <cell r="C3477" t="str">
            <v>Y052</v>
          </cell>
          <cell r="D3477" t="str">
            <v>33508-HB/FB</v>
          </cell>
          <cell r="E3477" t="str">
            <v>上床头轉角饰条 chỉ panel trên (cong)</v>
          </cell>
          <cell r="F3477" t="str">
            <v>244*58*5</v>
          </cell>
          <cell r="G3477">
            <v>244</v>
          </cell>
          <cell r="H3477">
            <v>58</v>
          </cell>
          <cell r="I3477">
            <v>5</v>
          </cell>
          <cell r="J3477">
            <v>58</v>
          </cell>
          <cell r="K3477">
            <v>0</v>
          </cell>
          <cell r="L3477">
            <v>0.18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1010</v>
          </cell>
          <cell r="R3477">
            <v>3.1034482758620685</v>
          </cell>
          <cell r="S3477">
            <v>0</v>
          </cell>
        </row>
        <row r="3478">
          <cell r="A3478" t="str">
            <v>Y052-119</v>
          </cell>
          <cell r="B3478">
            <v>0</v>
          </cell>
          <cell r="C3478" t="str">
            <v>Y052</v>
          </cell>
          <cell r="D3478" t="str">
            <v>33508-HB/FB</v>
          </cell>
          <cell r="E3478" t="str">
            <v>下床头轉角饰条 chỉ panel dưới (cong)</v>
          </cell>
          <cell r="F3478" t="str">
            <v>244*58*5</v>
          </cell>
          <cell r="G3478">
            <v>244</v>
          </cell>
          <cell r="H3478">
            <v>58</v>
          </cell>
          <cell r="I3478">
            <v>5</v>
          </cell>
          <cell r="J3478">
            <v>58</v>
          </cell>
          <cell r="K3478">
            <v>0</v>
          </cell>
          <cell r="L3478">
            <v>0.18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1010</v>
          </cell>
          <cell r="R3478">
            <v>3.1034482758620685</v>
          </cell>
          <cell r="S3478">
            <v>0</v>
          </cell>
        </row>
        <row r="3479">
          <cell r="A3479" t="str">
            <v>Y052-120</v>
          </cell>
          <cell r="B3479">
            <v>0</v>
          </cell>
          <cell r="C3479" t="str">
            <v>Y052</v>
          </cell>
          <cell r="D3479" t="str">
            <v>476-1饰条</v>
          </cell>
          <cell r="E3479" t="str">
            <v>8109-組合鏡+8109-2鏡框</v>
          </cell>
          <cell r="F3479" t="str">
            <v>23*25*800</v>
          </cell>
          <cell r="G3479">
            <v>23</v>
          </cell>
          <cell r="H3479">
            <v>25</v>
          </cell>
          <cell r="I3479">
            <v>800</v>
          </cell>
          <cell r="J3479">
            <v>0</v>
          </cell>
          <cell r="K3479">
            <v>0</v>
          </cell>
          <cell r="L3479">
            <v>1.3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 t="e">
            <v>#DIV/0!</v>
          </cell>
          <cell r="S3479">
            <v>0</v>
          </cell>
        </row>
        <row r="3480">
          <cell r="A3480" t="str">
            <v>Y052-121</v>
          </cell>
          <cell r="B3480">
            <v>0</v>
          </cell>
          <cell r="C3480" t="str">
            <v>Y052</v>
          </cell>
          <cell r="D3480" t="str">
            <v>8901-1</v>
          </cell>
          <cell r="E3480" t="str">
            <v>飾條</v>
          </cell>
          <cell r="F3480" t="str">
            <v>1384*25*13</v>
          </cell>
          <cell r="G3480">
            <v>1384</v>
          </cell>
          <cell r="H3480">
            <v>25</v>
          </cell>
          <cell r="I3480">
            <v>13</v>
          </cell>
          <cell r="J3480">
            <v>0</v>
          </cell>
          <cell r="K3480">
            <v>0</v>
          </cell>
          <cell r="L3480">
            <v>1.5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 t="e">
            <v>#DIV/0!</v>
          </cell>
          <cell r="S3480">
            <v>0</v>
          </cell>
        </row>
        <row r="3481">
          <cell r="A3481" t="str">
            <v>Y052-122</v>
          </cell>
          <cell r="B3481">
            <v>0</v>
          </cell>
          <cell r="C3481" t="str">
            <v>Y052</v>
          </cell>
          <cell r="D3481" t="str">
            <v>8901-1</v>
          </cell>
          <cell r="E3481" t="str">
            <v>飾條</v>
          </cell>
          <cell r="F3481" t="str">
            <v>1207*30*10</v>
          </cell>
          <cell r="G3481">
            <v>1207</v>
          </cell>
          <cell r="H3481">
            <v>30</v>
          </cell>
          <cell r="I3481">
            <v>10</v>
          </cell>
          <cell r="J3481">
            <v>0</v>
          </cell>
          <cell r="K3481">
            <v>0</v>
          </cell>
          <cell r="L3481">
            <v>1.32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 t="e">
            <v>#DIV/0!</v>
          </cell>
          <cell r="S3481">
            <v>0</v>
          </cell>
        </row>
        <row r="3482">
          <cell r="A3482" t="str">
            <v>Y052-123</v>
          </cell>
          <cell r="B3482">
            <v>0</v>
          </cell>
          <cell r="C3482" t="str">
            <v>Y052</v>
          </cell>
          <cell r="D3482" t="str">
            <v>1267CB 內理鐵管 Có cây sắt</v>
          </cell>
          <cell r="E3482" t="str">
            <v>褂衣悍企柱 trụ đứng</v>
          </cell>
          <cell r="F3482" t="str">
            <v>1157*43*43</v>
          </cell>
          <cell r="G3482">
            <v>1157</v>
          </cell>
          <cell r="H3482">
            <v>43</v>
          </cell>
          <cell r="I3482">
            <v>43</v>
          </cell>
          <cell r="J3482">
            <v>0</v>
          </cell>
          <cell r="K3482">
            <v>0</v>
          </cell>
          <cell r="L3482">
            <v>2.74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 t="e">
            <v>#DIV/0!</v>
          </cell>
          <cell r="S3482">
            <v>0</v>
          </cell>
        </row>
        <row r="3483">
          <cell r="A3483" t="str">
            <v>Y052-124</v>
          </cell>
          <cell r="B3483">
            <v>0</v>
          </cell>
          <cell r="C3483" t="str">
            <v>Y052</v>
          </cell>
          <cell r="D3483" t="str">
            <v>5102 小木快 Có gỗ</v>
          </cell>
          <cell r="E3483" t="str">
            <v xml:space="preserve">下腳柱 chân dưới </v>
          </cell>
          <cell r="F3483" t="str">
            <v>272*60*60</v>
          </cell>
          <cell r="G3483">
            <v>272</v>
          </cell>
          <cell r="H3483">
            <v>60</v>
          </cell>
          <cell r="I3483">
            <v>60</v>
          </cell>
          <cell r="J3483">
            <v>459</v>
          </cell>
          <cell r="K3483">
            <v>0</v>
          </cell>
          <cell r="L3483">
            <v>1.32</v>
          </cell>
          <cell r="M3483">
            <v>0</v>
          </cell>
          <cell r="N3483">
            <v>238</v>
          </cell>
          <cell r="O3483">
            <v>0</v>
          </cell>
          <cell r="P3483">
            <v>0</v>
          </cell>
          <cell r="Q3483">
            <v>0</v>
          </cell>
          <cell r="R3483">
            <v>2.8758169934640523</v>
          </cell>
          <cell r="S3483">
            <v>0</v>
          </cell>
        </row>
        <row r="3484">
          <cell r="A3484" t="str">
            <v>Y052-125</v>
          </cell>
          <cell r="B3484">
            <v>0</v>
          </cell>
          <cell r="C3484" t="str">
            <v>Y052</v>
          </cell>
          <cell r="D3484" t="str">
            <v>5103 小木快 Có gỗ</v>
          </cell>
          <cell r="E3484" t="str">
            <v xml:space="preserve">下腳柱 chân dưới </v>
          </cell>
          <cell r="F3484" t="str">
            <v>140*60*60</v>
          </cell>
          <cell r="G3484">
            <v>140</v>
          </cell>
          <cell r="H3484">
            <v>60</v>
          </cell>
          <cell r="I3484">
            <v>60</v>
          </cell>
          <cell r="J3484">
            <v>284</v>
          </cell>
          <cell r="K3484">
            <v>0</v>
          </cell>
          <cell r="L3484">
            <v>0.8</v>
          </cell>
          <cell r="M3484">
            <v>0</v>
          </cell>
          <cell r="N3484">
            <v>112</v>
          </cell>
          <cell r="O3484">
            <v>0</v>
          </cell>
          <cell r="P3484">
            <v>0</v>
          </cell>
          <cell r="Q3484">
            <v>0</v>
          </cell>
          <cell r="R3484">
            <v>2.8169014084507045</v>
          </cell>
          <cell r="S3484">
            <v>0</v>
          </cell>
        </row>
        <row r="3485">
          <cell r="A3485" t="str">
            <v>Y052-126</v>
          </cell>
          <cell r="B3485">
            <v>0</v>
          </cell>
          <cell r="C3485" t="str">
            <v>Y052</v>
          </cell>
          <cell r="D3485" t="str">
            <v>5106 小木快 Có gỗ</v>
          </cell>
          <cell r="E3485" t="str">
            <v xml:space="preserve">下腳柱 chân dưới </v>
          </cell>
          <cell r="F3485" t="str">
            <v>140*60*60</v>
          </cell>
          <cell r="G3485">
            <v>140</v>
          </cell>
          <cell r="H3485">
            <v>60</v>
          </cell>
          <cell r="I3485">
            <v>60</v>
          </cell>
          <cell r="J3485">
            <v>284</v>
          </cell>
          <cell r="K3485">
            <v>0</v>
          </cell>
          <cell r="L3485">
            <v>0.8</v>
          </cell>
          <cell r="M3485">
            <v>0</v>
          </cell>
          <cell r="N3485">
            <v>112</v>
          </cell>
          <cell r="O3485">
            <v>0</v>
          </cell>
          <cell r="P3485">
            <v>0</v>
          </cell>
          <cell r="Q3485">
            <v>0</v>
          </cell>
          <cell r="R3485">
            <v>2.8169014084507045</v>
          </cell>
          <cell r="S3485">
            <v>0</v>
          </cell>
        </row>
        <row r="3486">
          <cell r="A3486" t="str">
            <v>Y052-127</v>
          </cell>
          <cell r="B3486">
            <v>0</v>
          </cell>
          <cell r="C3486" t="str">
            <v>Y052</v>
          </cell>
          <cell r="D3486" t="str">
            <v>33500TB-HB/FB内理木Có gỗ</v>
          </cell>
          <cell r="E3486" t="str">
            <v>床頭床尾上飾條 poly bông trụ giường</v>
          </cell>
          <cell r="F3486" t="str">
            <v>91*49*49</v>
          </cell>
          <cell r="G3486">
            <v>91</v>
          </cell>
          <cell r="H3486">
            <v>49</v>
          </cell>
          <cell r="I3486">
            <v>49</v>
          </cell>
          <cell r="J3486">
            <v>0</v>
          </cell>
          <cell r="K3486">
            <v>0</v>
          </cell>
          <cell r="L3486">
            <v>0.45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 t="e">
            <v>#DIV/0!</v>
          </cell>
          <cell r="S3486">
            <v>0</v>
          </cell>
        </row>
        <row r="3487">
          <cell r="A3487" t="str">
            <v>Y052-128</v>
          </cell>
          <cell r="B3487">
            <v>0</v>
          </cell>
          <cell r="C3487" t="str">
            <v>Y052</v>
          </cell>
          <cell r="D3487">
            <v>1217</v>
          </cell>
          <cell r="E3487" t="str">
            <v xml:space="preserve">床頭床尾上飾條 chỉ poly trên </v>
          </cell>
          <cell r="F3487" t="str">
            <v>684*25*12</v>
          </cell>
          <cell r="G3487">
            <v>684</v>
          </cell>
          <cell r="H3487">
            <v>25</v>
          </cell>
          <cell r="I3487">
            <v>12</v>
          </cell>
          <cell r="J3487">
            <v>255</v>
          </cell>
          <cell r="K3487">
            <v>0</v>
          </cell>
          <cell r="L3487">
            <v>0.72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2.8235294117647056</v>
          </cell>
          <cell r="S3487">
            <v>0</v>
          </cell>
        </row>
        <row r="3488">
          <cell r="A3488" t="str">
            <v>Y052-129</v>
          </cell>
          <cell r="B3488">
            <v>0</v>
          </cell>
          <cell r="C3488" t="str">
            <v>Y052</v>
          </cell>
          <cell r="D3488">
            <v>1217</v>
          </cell>
          <cell r="E3488" t="str">
            <v>床頭床尾飾瑰miếng poly trang trí</v>
          </cell>
          <cell r="F3488" t="str">
            <v>50*46*12</v>
          </cell>
          <cell r="G3488">
            <v>50</v>
          </cell>
          <cell r="H3488">
            <v>46</v>
          </cell>
          <cell r="I3488">
            <v>12</v>
          </cell>
          <cell r="J3488">
            <v>35</v>
          </cell>
          <cell r="K3488">
            <v>0</v>
          </cell>
          <cell r="L3488">
            <v>0.1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2.8571428571428572</v>
          </cell>
          <cell r="S3488">
            <v>0</v>
          </cell>
        </row>
        <row r="3489">
          <cell r="A3489" t="str">
            <v>Y052-130</v>
          </cell>
          <cell r="B3489">
            <v>0</v>
          </cell>
          <cell r="C3489" t="str">
            <v>Y052</v>
          </cell>
          <cell r="D3489" t="str">
            <v>1370-06</v>
          </cell>
          <cell r="E3489" t="str">
            <v xml:space="preserve">前柜上饰条 chỉ trước ngang </v>
          </cell>
          <cell r="F3489" t="str">
            <v>1483*25*16</v>
          </cell>
          <cell r="G3489">
            <v>1483</v>
          </cell>
          <cell r="H3489">
            <v>25</v>
          </cell>
          <cell r="I3489">
            <v>16</v>
          </cell>
          <cell r="J3489">
            <v>0</v>
          </cell>
          <cell r="K3489">
            <v>0</v>
          </cell>
          <cell r="L3489">
            <v>1.95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 t="e">
            <v>#DIV/0!</v>
          </cell>
          <cell r="S3489">
            <v>0</v>
          </cell>
        </row>
        <row r="3490">
          <cell r="A3490" t="str">
            <v>Y052-131</v>
          </cell>
          <cell r="B3490">
            <v>0</v>
          </cell>
          <cell r="C3490" t="str">
            <v>Y052</v>
          </cell>
          <cell r="D3490" t="str">
            <v>1370-31</v>
          </cell>
          <cell r="E3490" t="str">
            <v>镜框上池板 panel trên</v>
          </cell>
          <cell r="F3490" t="str">
            <v>665*242*9</v>
          </cell>
          <cell r="G3490">
            <v>665</v>
          </cell>
          <cell r="H3490">
            <v>242</v>
          </cell>
          <cell r="I3490">
            <v>9</v>
          </cell>
          <cell r="J3490">
            <v>0</v>
          </cell>
          <cell r="K3490">
            <v>0</v>
          </cell>
          <cell r="L3490">
            <v>2.33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 t="e">
            <v>#DIV/0!</v>
          </cell>
          <cell r="S3490">
            <v>0</v>
          </cell>
        </row>
        <row r="3491">
          <cell r="A3491" t="str">
            <v>Y052-132</v>
          </cell>
          <cell r="B3491">
            <v>0</v>
          </cell>
          <cell r="C3491" t="str">
            <v>Y052</v>
          </cell>
          <cell r="D3491" t="str">
            <v>1370-80</v>
          </cell>
          <cell r="E3491" t="str">
            <v>上饰条 chỉ trướ ngang</v>
          </cell>
          <cell r="F3491" t="str">
            <v>669*25*16</v>
          </cell>
          <cell r="G3491">
            <v>669</v>
          </cell>
          <cell r="H3491">
            <v>25</v>
          </cell>
          <cell r="I3491">
            <v>16</v>
          </cell>
          <cell r="J3491">
            <v>0</v>
          </cell>
          <cell r="K3491">
            <v>0</v>
          </cell>
          <cell r="L3491">
            <v>0.95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 t="e">
            <v>#DIV/0!</v>
          </cell>
          <cell r="S3491">
            <v>0</v>
          </cell>
        </row>
        <row r="3492">
          <cell r="A3492" t="str">
            <v>Y052-133</v>
          </cell>
          <cell r="B3492">
            <v>0</v>
          </cell>
          <cell r="C3492" t="str">
            <v>Y052</v>
          </cell>
          <cell r="D3492" t="str">
            <v>812-1</v>
          </cell>
          <cell r="E3492" t="str">
            <v>mặt ngăn kéo L+R</v>
          </cell>
          <cell r="F3492" t="str">
            <v>520*313*5.5</v>
          </cell>
          <cell r="G3492">
            <v>520</v>
          </cell>
          <cell r="H3492">
            <v>313</v>
          </cell>
          <cell r="I3492">
            <v>5.5</v>
          </cell>
          <cell r="J3492">
            <v>0</v>
          </cell>
          <cell r="K3492">
            <v>0</v>
          </cell>
          <cell r="L3492">
            <v>2.46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 t="e">
            <v>#DIV/0!</v>
          </cell>
          <cell r="S3492">
            <v>0</v>
          </cell>
        </row>
        <row r="3493">
          <cell r="A3493" t="str">
            <v>Y052-134</v>
          </cell>
          <cell r="B3493">
            <v>0</v>
          </cell>
          <cell r="C3493" t="str">
            <v>Y052</v>
          </cell>
          <cell r="D3493" t="str">
            <v>812-4</v>
          </cell>
          <cell r="E3493" t="str">
            <v xml:space="preserve">mặt ngăn kéo </v>
          </cell>
          <cell r="F3493" t="str">
            <v>523*284*5.5</v>
          </cell>
          <cell r="G3493">
            <v>523</v>
          </cell>
          <cell r="H3493">
            <v>284</v>
          </cell>
          <cell r="I3493">
            <v>5.5</v>
          </cell>
          <cell r="J3493">
            <v>0</v>
          </cell>
          <cell r="K3493">
            <v>0</v>
          </cell>
          <cell r="L3493">
            <v>2.37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 t="e">
            <v>#DIV/0!</v>
          </cell>
          <cell r="S3493">
            <v>0</v>
          </cell>
        </row>
        <row r="3494">
          <cell r="A3494" t="str">
            <v>Y052-135</v>
          </cell>
          <cell r="B3494">
            <v>0</v>
          </cell>
          <cell r="C3494" t="str">
            <v>Y052</v>
          </cell>
          <cell r="D3494" t="str">
            <v>812-8T-HB</v>
          </cell>
          <cell r="E3494" t="str">
            <v>mặt ngăn kéo L+R</v>
          </cell>
          <cell r="F3494" t="str">
            <v>1140*220*5.5</v>
          </cell>
          <cell r="G3494">
            <v>1140</v>
          </cell>
          <cell r="H3494">
            <v>220</v>
          </cell>
          <cell r="I3494">
            <v>5.5</v>
          </cell>
          <cell r="J3494">
            <v>0</v>
          </cell>
          <cell r="K3494">
            <v>0</v>
          </cell>
          <cell r="L3494">
            <v>5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 t="e">
            <v>#DIV/0!</v>
          </cell>
          <cell r="S3494">
            <v>0</v>
          </cell>
        </row>
        <row r="3495">
          <cell r="A3495" t="str">
            <v>Y052-136</v>
          </cell>
          <cell r="B3495">
            <v>0</v>
          </cell>
          <cell r="C3495" t="str">
            <v>Y052</v>
          </cell>
          <cell r="D3495" t="str">
            <v>812-10-F-HB</v>
          </cell>
          <cell r="E3495" t="str">
            <v>mặt ngăn kéo L+R</v>
          </cell>
          <cell r="F3495" t="str">
            <v>1128*325*5.5</v>
          </cell>
          <cell r="G3495">
            <v>1128</v>
          </cell>
          <cell r="H3495">
            <v>325</v>
          </cell>
          <cell r="I3495">
            <v>5.5</v>
          </cell>
          <cell r="J3495">
            <v>2906</v>
          </cell>
          <cell r="K3495">
            <v>0</v>
          </cell>
          <cell r="L3495">
            <v>8.1999999999999993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2.821748107364074</v>
          </cell>
          <cell r="S3495">
            <v>0</v>
          </cell>
        </row>
        <row r="3496">
          <cell r="A3496" t="str">
            <v>Y052-137</v>
          </cell>
          <cell r="B3496">
            <v>0</v>
          </cell>
          <cell r="C3496" t="str">
            <v>Y052</v>
          </cell>
          <cell r="D3496" t="str">
            <v>812-8&amp;9-FB&amp;SL</v>
          </cell>
          <cell r="E3496" t="str">
            <v>Trang trií đầu giường L+R</v>
          </cell>
          <cell r="F3496" t="str">
            <v>565*220*5.5</v>
          </cell>
          <cell r="G3496">
            <v>565</v>
          </cell>
          <cell r="H3496">
            <v>220</v>
          </cell>
          <cell r="I3496">
            <v>5.5</v>
          </cell>
          <cell r="J3496">
            <v>0</v>
          </cell>
          <cell r="K3496">
            <v>0</v>
          </cell>
          <cell r="L3496">
            <v>2.2400000000000002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 t="e">
            <v>#DIV/0!</v>
          </cell>
          <cell r="S3496">
            <v>0</v>
          </cell>
        </row>
        <row r="3497">
          <cell r="A3497" t="str">
            <v>Y052-138</v>
          </cell>
          <cell r="B3497">
            <v>0</v>
          </cell>
          <cell r="C3497" t="str">
            <v>Y052</v>
          </cell>
          <cell r="D3497" t="str">
            <v>812-8&amp;9-FB&amp;SL</v>
          </cell>
          <cell r="E3497" t="str">
            <v>Trang trií đuôi giường L+R</v>
          </cell>
          <cell r="F3497" t="str">
            <v>191*116*5.5</v>
          </cell>
          <cell r="G3497">
            <v>191</v>
          </cell>
          <cell r="H3497">
            <v>116</v>
          </cell>
          <cell r="I3497">
            <v>5.5</v>
          </cell>
          <cell r="J3497">
            <v>0</v>
          </cell>
          <cell r="K3497">
            <v>0</v>
          </cell>
          <cell r="L3497">
            <v>0.37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 t="e">
            <v>#DIV/0!</v>
          </cell>
          <cell r="S3497">
            <v>0</v>
          </cell>
        </row>
        <row r="3498">
          <cell r="A3498" t="str">
            <v>Y052-139</v>
          </cell>
          <cell r="B3498">
            <v>0</v>
          </cell>
          <cell r="C3498" t="str">
            <v>Y052</v>
          </cell>
          <cell r="D3498" t="str">
            <v>812-10&amp;13-FB&amp;SL</v>
          </cell>
          <cell r="E3498" t="str">
            <v>Viền hình Oval giữa đuôi giường</v>
          </cell>
          <cell r="F3498" t="str">
            <v>559*325*5.5</v>
          </cell>
          <cell r="G3498">
            <v>559</v>
          </cell>
          <cell r="H3498">
            <v>325</v>
          </cell>
          <cell r="I3498">
            <v>5.5</v>
          </cell>
          <cell r="J3498">
            <v>0</v>
          </cell>
          <cell r="K3498">
            <v>0</v>
          </cell>
          <cell r="L3498">
            <v>3.2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 t="e">
            <v>#DIV/0!</v>
          </cell>
          <cell r="S3498">
            <v>0</v>
          </cell>
        </row>
        <row r="3499">
          <cell r="A3499" t="str">
            <v>Y052-140</v>
          </cell>
          <cell r="B3499">
            <v>0</v>
          </cell>
          <cell r="C3499" t="str">
            <v>Y052</v>
          </cell>
          <cell r="D3499" t="str">
            <v>812-10&amp;13-FB&amp;SL</v>
          </cell>
          <cell r="E3499" t="str">
            <v>Trang trí đuôi giường L+R</v>
          </cell>
          <cell r="F3499" t="str">
            <v>191*116*5.5</v>
          </cell>
          <cell r="G3499">
            <v>191</v>
          </cell>
          <cell r="H3499">
            <v>116</v>
          </cell>
          <cell r="I3499">
            <v>5.5</v>
          </cell>
          <cell r="J3499">
            <v>0</v>
          </cell>
          <cell r="K3499">
            <v>0</v>
          </cell>
          <cell r="L3499">
            <v>0.37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 t="e">
            <v>#DIV/0!</v>
          </cell>
          <cell r="S3499">
            <v>0</v>
          </cell>
        </row>
        <row r="3500">
          <cell r="A3500" t="str">
            <v>Y052-141</v>
          </cell>
          <cell r="B3500">
            <v>0</v>
          </cell>
          <cell r="C3500" t="str">
            <v>Y052</v>
          </cell>
          <cell r="D3500" t="str">
            <v>812-14</v>
          </cell>
          <cell r="E3500" t="str">
            <v>Trang trí mặt ngăn kéo L+R</v>
          </cell>
          <cell r="F3500" t="str">
            <v>780*205*5.5</v>
          </cell>
          <cell r="G3500">
            <v>780</v>
          </cell>
          <cell r="H3500">
            <v>205</v>
          </cell>
          <cell r="I3500">
            <v>5.5</v>
          </cell>
          <cell r="J3500">
            <v>1325</v>
          </cell>
          <cell r="K3500">
            <v>0</v>
          </cell>
          <cell r="L3500">
            <v>3.73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2.8150943396226418</v>
          </cell>
          <cell r="S3500">
            <v>0</v>
          </cell>
        </row>
        <row r="3501">
          <cell r="A3501" t="str">
            <v>Y052-142</v>
          </cell>
          <cell r="B3501">
            <v>0</v>
          </cell>
          <cell r="C3501" t="str">
            <v>Y052</v>
          </cell>
          <cell r="D3501" t="str">
            <v>812-15</v>
          </cell>
          <cell r="E3501" t="str">
            <v>măt ngăn kéo giữa đuôi L+R</v>
          </cell>
          <cell r="F3501" t="str">
            <v>388*296*5.5</v>
          </cell>
          <cell r="G3501">
            <v>388</v>
          </cell>
          <cell r="H3501">
            <v>296</v>
          </cell>
          <cell r="I3501">
            <v>5.5</v>
          </cell>
          <cell r="J3501">
            <v>729</v>
          </cell>
          <cell r="K3501">
            <v>0</v>
          </cell>
          <cell r="L3501">
            <v>1.98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2.7160493827160495</v>
          </cell>
          <cell r="S3501">
            <v>0</v>
          </cell>
        </row>
        <row r="3502">
          <cell r="A3502" t="str">
            <v>Y052-143</v>
          </cell>
          <cell r="B3502">
            <v>0</v>
          </cell>
          <cell r="C3502" t="str">
            <v>Y052</v>
          </cell>
          <cell r="D3502" t="str">
            <v>812-16</v>
          </cell>
          <cell r="E3502" t="str">
            <v xml:space="preserve">Trang trí tủ đầu  giường </v>
          </cell>
          <cell r="F3502" t="str">
            <v>143*84*5.5</v>
          </cell>
          <cell r="G3502">
            <v>143</v>
          </cell>
          <cell r="H3502">
            <v>84</v>
          </cell>
          <cell r="I3502">
            <v>5.5</v>
          </cell>
          <cell r="J3502">
            <v>0</v>
          </cell>
          <cell r="K3502">
            <v>0</v>
          </cell>
          <cell r="L3502">
            <v>0.26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 t="e">
            <v>#DIV/0!</v>
          </cell>
          <cell r="S3502">
            <v>0</v>
          </cell>
        </row>
        <row r="3503">
          <cell r="A3503" t="str">
            <v>Y052-144</v>
          </cell>
          <cell r="B3503">
            <v>0</v>
          </cell>
          <cell r="C3503" t="str">
            <v>Y052</v>
          </cell>
          <cell r="D3503" t="str">
            <v>812-23</v>
          </cell>
          <cell r="E3503" t="str">
            <v xml:space="preserve">门饰块Trang trí cửa tủ </v>
          </cell>
          <cell r="F3503" t="str">
            <v>204*351*5.5</v>
          </cell>
          <cell r="G3503">
            <v>204</v>
          </cell>
          <cell r="H3503">
            <v>351</v>
          </cell>
          <cell r="I3503">
            <v>5.5</v>
          </cell>
          <cell r="J3503">
            <v>0</v>
          </cell>
          <cell r="K3503">
            <v>0</v>
          </cell>
          <cell r="L3503">
            <v>1.28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 t="e">
            <v>#DIV/0!</v>
          </cell>
          <cell r="S3503">
            <v>0</v>
          </cell>
        </row>
        <row r="3504">
          <cell r="A3504" t="str">
            <v>Y052-145</v>
          </cell>
          <cell r="B3504">
            <v>0</v>
          </cell>
          <cell r="C3504" t="str">
            <v>Y052</v>
          </cell>
          <cell r="D3504" t="str">
            <v>812-24-HB</v>
          </cell>
          <cell r="E3504" t="str">
            <v xml:space="preserve">门饰块Trang trí cửa tủ </v>
          </cell>
          <cell r="F3504" t="str">
            <v>204*351*5.5</v>
          </cell>
          <cell r="G3504">
            <v>204</v>
          </cell>
          <cell r="H3504">
            <v>351</v>
          </cell>
          <cell r="I3504">
            <v>5.5</v>
          </cell>
          <cell r="J3504">
            <v>0</v>
          </cell>
          <cell r="K3504">
            <v>0</v>
          </cell>
          <cell r="L3504">
            <v>1.28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 t="e">
            <v>#DIV/0!</v>
          </cell>
          <cell r="S3504">
            <v>0</v>
          </cell>
        </row>
        <row r="3505">
          <cell r="A3505" t="str">
            <v>Y052-146</v>
          </cell>
          <cell r="B3505">
            <v>0</v>
          </cell>
          <cell r="C3505" t="str">
            <v>Y052</v>
          </cell>
          <cell r="D3505" t="str">
            <v>812-25-SR</v>
          </cell>
          <cell r="E3505" t="str">
            <v xml:space="preserve">门饰块Trang trí cửa tủ </v>
          </cell>
          <cell r="F3505" t="str">
            <v>204*351*5.5</v>
          </cell>
          <cell r="G3505">
            <v>204</v>
          </cell>
          <cell r="H3505">
            <v>351</v>
          </cell>
          <cell r="I3505">
            <v>5.5</v>
          </cell>
          <cell r="J3505">
            <v>0</v>
          </cell>
          <cell r="K3505">
            <v>0</v>
          </cell>
          <cell r="L3505">
            <v>1.28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 t="e">
            <v>#DIV/0!</v>
          </cell>
          <cell r="S3505">
            <v>0</v>
          </cell>
        </row>
        <row r="3506">
          <cell r="A3506" t="str">
            <v>Y052-147</v>
          </cell>
          <cell r="B3506">
            <v>0</v>
          </cell>
          <cell r="C3506" t="str">
            <v>Y052</v>
          </cell>
          <cell r="D3506" t="str">
            <v>660-13</v>
          </cell>
          <cell r="E3506" t="str">
            <v>床头脚柱 chân trụ</v>
          </cell>
          <cell r="F3506" t="str">
            <v>1080*67*67</v>
          </cell>
          <cell r="G3506">
            <v>1080</v>
          </cell>
          <cell r="H3506">
            <v>67</v>
          </cell>
          <cell r="I3506">
            <v>67</v>
          </cell>
          <cell r="J3506">
            <v>0</v>
          </cell>
          <cell r="K3506">
            <v>0</v>
          </cell>
          <cell r="L3506">
            <v>4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 t="e">
            <v>#DIV/0!</v>
          </cell>
          <cell r="S3506">
            <v>0</v>
          </cell>
        </row>
        <row r="3507">
          <cell r="A3507" t="str">
            <v>Y052-148</v>
          </cell>
          <cell r="B3507">
            <v>0</v>
          </cell>
          <cell r="C3507" t="str">
            <v>Y052</v>
          </cell>
          <cell r="D3507" t="str">
            <v>660-13</v>
          </cell>
          <cell r="E3507" t="str">
            <v>床头上饰条 chỉ ngang đầu giường</v>
          </cell>
          <cell r="F3507" t="str">
            <v>1236*197*15</v>
          </cell>
          <cell r="G3507">
            <v>1236</v>
          </cell>
          <cell r="H3507">
            <v>197</v>
          </cell>
          <cell r="I3507">
            <v>15</v>
          </cell>
          <cell r="J3507">
            <v>0</v>
          </cell>
          <cell r="K3507">
            <v>0</v>
          </cell>
          <cell r="L3507">
            <v>3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 t="e">
            <v>#DIV/0!</v>
          </cell>
          <cell r="S3507">
            <v>0</v>
          </cell>
        </row>
        <row r="3508">
          <cell r="A3508" t="str">
            <v>Y052-149</v>
          </cell>
          <cell r="B3508">
            <v>0</v>
          </cell>
          <cell r="C3508" t="str">
            <v>Y052</v>
          </cell>
          <cell r="D3508" t="str">
            <v>660-13</v>
          </cell>
          <cell r="E3508" t="str">
            <v>床尾下立水贴條 chỉ đuôi giường</v>
          </cell>
          <cell r="F3508" t="str">
            <v>1336*90*9</v>
          </cell>
          <cell r="G3508">
            <v>1336</v>
          </cell>
          <cell r="H3508">
            <v>90</v>
          </cell>
          <cell r="I3508">
            <v>9</v>
          </cell>
          <cell r="J3508">
            <v>0</v>
          </cell>
          <cell r="K3508">
            <v>0</v>
          </cell>
          <cell r="L3508">
            <v>1.67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 t="e">
            <v>#DIV/0!</v>
          </cell>
          <cell r="S3508">
            <v>0</v>
          </cell>
        </row>
        <row r="3509">
          <cell r="A3509" t="str">
            <v>Y052-150</v>
          </cell>
          <cell r="B3509">
            <v>0</v>
          </cell>
          <cell r="C3509" t="str">
            <v>Y052</v>
          </cell>
          <cell r="D3509" t="str">
            <v>660-13</v>
          </cell>
          <cell r="E3509" t="str">
            <v>床尾脚柱 chân trụ</v>
          </cell>
          <cell r="F3509" t="str">
            <v>872*67*67</v>
          </cell>
          <cell r="G3509">
            <v>872</v>
          </cell>
          <cell r="H3509">
            <v>67</v>
          </cell>
          <cell r="I3509">
            <v>67</v>
          </cell>
          <cell r="J3509">
            <v>1308</v>
          </cell>
          <cell r="K3509">
            <v>0</v>
          </cell>
          <cell r="L3509">
            <v>3.74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2.8593272171253825</v>
          </cell>
          <cell r="S3509">
            <v>0</v>
          </cell>
        </row>
        <row r="3510">
          <cell r="A3510" t="str">
            <v>Y052-151</v>
          </cell>
          <cell r="B3510">
            <v>0</v>
          </cell>
          <cell r="C3510" t="str">
            <v>Y052</v>
          </cell>
          <cell r="D3510">
            <v>33504</v>
          </cell>
          <cell r="E3510" t="str">
            <v>2号抽头面饰条 chỉ poly mặt học kéo</v>
          </cell>
          <cell r="F3510" t="str">
            <v>830*158*5 (框)</v>
          </cell>
          <cell r="G3510">
            <v>830</v>
          </cell>
          <cell r="H3510">
            <v>158</v>
          </cell>
          <cell r="I3510">
            <v>5</v>
          </cell>
          <cell r="J3510">
            <v>0</v>
          </cell>
          <cell r="K3510">
            <v>0</v>
          </cell>
          <cell r="L3510">
            <v>0.44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 t="e">
            <v>#DIV/0!</v>
          </cell>
          <cell r="S3510">
            <v>0</v>
          </cell>
        </row>
        <row r="3511">
          <cell r="A3511" t="str">
            <v>Y052-152</v>
          </cell>
          <cell r="B3511">
            <v>0</v>
          </cell>
          <cell r="C3511" t="str">
            <v>Y052</v>
          </cell>
          <cell r="D3511">
            <v>33506</v>
          </cell>
          <cell r="E3511" t="str">
            <v>2号抽头面饰条 chỉ poly mặt học kéo</v>
          </cell>
          <cell r="F3511" t="str">
            <v>768*146*5 (框)</v>
          </cell>
          <cell r="G3511">
            <v>768</v>
          </cell>
          <cell r="H3511">
            <v>146</v>
          </cell>
          <cell r="I3511">
            <v>5</v>
          </cell>
          <cell r="J3511">
            <v>0</v>
          </cell>
          <cell r="K3511">
            <v>0</v>
          </cell>
          <cell r="L3511">
            <v>0.41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 t="e">
            <v>#DIV/0!</v>
          </cell>
          <cell r="S3511">
            <v>0</v>
          </cell>
        </row>
        <row r="3512">
          <cell r="A3512" t="str">
            <v>Y052-153</v>
          </cell>
          <cell r="B3512">
            <v>0</v>
          </cell>
          <cell r="C3512" t="str">
            <v>Y052</v>
          </cell>
          <cell r="D3512" t="str">
            <v>1267CB-方铁 Có Sắt</v>
          </cell>
          <cell r="E3512" t="str">
            <v xml:space="preserve">活動飾瑰 miếng poly di động </v>
          </cell>
          <cell r="F3512" t="str">
            <v>39*24*6</v>
          </cell>
          <cell r="G3512">
            <v>39</v>
          </cell>
          <cell r="H3512">
            <v>24</v>
          </cell>
          <cell r="I3512">
            <v>6</v>
          </cell>
          <cell r="J3512">
            <v>0</v>
          </cell>
          <cell r="K3512">
            <v>0</v>
          </cell>
          <cell r="L3512">
            <v>0.05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 t="e">
            <v>#DIV/0!</v>
          </cell>
          <cell r="S3512">
            <v>0</v>
          </cell>
        </row>
        <row r="3513">
          <cell r="A3513" t="str">
            <v>Y052-154</v>
          </cell>
          <cell r="B3513">
            <v>0</v>
          </cell>
          <cell r="C3513" t="str">
            <v>Y052</v>
          </cell>
          <cell r="D3513" t="str">
            <v>1267CB</v>
          </cell>
          <cell r="E3513" t="str">
            <v>固定飾瑰 Miếng poly cố</v>
          </cell>
          <cell r="F3513" t="str">
            <v>39*24*6</v>
          </cell>
          <cell r="G3513">
            <v>39</v>
          </cell>
          <cell r="H3513">
            <v>24</v>
          </cell>
          <cell r="I3513">
            <v>6</v>
          </cell>
          <cell r="J3513">
            <v>0</v>
          </cell>
          <cell r="K3513">
            <v>0</v>
          </cell>
          <cell r="L3513">
            <v>0.04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 t="e">
            <v>#DIV/0!</v>
          </cell>
          <cell r="S3513">
            <v>0</v>
          </cell>
        </row>
        <row r="3514">
          <cell r="A3514" t="str">
            <v>Y052-155</v>
          </cell>
          <cell r="B3514">
            <v>0</v>
          </cell>
          <cell r="C3514" t="str">
            <v>Y052</v>
          </cell>
          <cell r="D3514" t="str">
            <v>33500QB-HB/FB</v>
          </cell>
          <cell r="E3514" t="str">
            <v>床头轉角饰条 Chỉ Poly panel đầu giường</v>
          </cell>
          <cell r="F3514" t="str">
            <v>244*58*5</v>
          </cell>
          <cell r="G3514">
            <v>244</v>
          </cell>
          <cell r="H3514">
            <v>58</v>
          </cell>
          <cell r="I3514">
            <v>5</v>
          </cell>
          <cell r="J3514">
            <v>58</v>
          </cell>
          <cell r="K3514">
            <v>0</v>
          </cell>
          <cell r="L3514">
            <v>0.18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1010</v>
          </cell>
          <cell r="R3514">
            <v>3.1034482758620685</v>
          </cell>
          <cell r="S3514">
            <v>0</v>
          </cell>
        </row>
        <row r="3515">
          <cell r="A3515" t="str">
            <v>Y052-156</v>
          </cell>
          <cell r="B3515">
            <v>0</v>
          </cell>
          <cell r="C3515" t="str">
            <v>Y052</v>
          </cell>
          <cell r="D3515" t="str">
            <v>33500QB-HB/FB</v>
          </cell>
          <cell r="E3515" t="str">
            <v>床尾轉角饰条Chỉ Poly panel đuôi giường</v>
          </cell>
          <cell r="F3515" t="str">
            <v>244*58*5</v>
          </cell>
          <cell r="G3515">
            <v>244</v>
          </cell>
          <cell r="H3515">
            <v>58</v>
          </cell>
          <cell r="I3515">
            <v>5</v>
          </cell>
          <cell r="J3515">
            <v>58</v>
          </cell>
          <cell r="K3515">
            <v>0</v>
          </cell>
          <cell r="L3515">
            <v>0.18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1010</v>
          </cell>
          <cell r="R3515">
            <v>3.1034482758620685</v>
          </cell>
          <cell r="S3515">
            <v>0</v>
          </cell>
        </row>
        <row r="3516">
          <cell r="A3516" t="str">
            <v>Y052-157</v>
          </cell>
          <cell r="B3516">
            <v>0</v>
          </cell>
          <cell r="C3516" t="str">
            <v>Y052</v>
          </cell>
          <cell r="D3516" t="str">
            <v>33500QB-HB/FB 方内理木 Có Gỗ</v>
          </cell>
          <cell r="E3516" t="str">
            <v>床头床尾上饰条 Poly bông trụ giường</v>
          </cell>
          <cell r="F3516" t="str">
            <v>91*49*49</v>
          </cell>
          <cell r="G3516">
            <v>91</v>
          </cell>
          <cell r="H3516">
            <v>49</v>
          </cell>
          <cell r="I3516">
            <v>49</v>
          </cell>
          <cell r="J3516">
            <v>0</v>
          </cell>
          <cell r="K3516">
            <v>0</v>
          </cell>
          <cell r="L3516">
            <v>0.45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 t="e">
            <v>#DIV/0!</v>
          </cell>
          <cell r="S3516">
            <v>0</v>
          </cell>
        </row>
        <row r="3517">
          <cell r="A3517" t="str">
            <v>Y052-158</v>
          </cell>
          <cell r="B3517">
            <v>0</v>
          </cell>
          <cell r="C3517" t="str">
            <v>Y052</v>
          </cell>
          <cell r="D3517" t="str">
            <v>33511N-1</v>
          </cell>
          <cell r="E3517" t="str">
            <v>床头尾板轉角饰条Chỉ ngang trên 2</v>
          </cell>
          <cell r="F3517" t="str">
            <v>155*48*5</v>
          </cell>
          <cell r="G3517">
            <v>155</v>
          </cell>
          <cell r="H3517">
            <v>48</v>
          </cell>
          <cell r="I3517">
            <v>5</v>
          </cell>
          <cell r="J3517">
            <v>0</v>
          </cell>
          <cell r="K3517">
            <v>0</v>
          </cell>
          <cell r="L3517">
            <v>0.12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 t="e">
            <v>#DIV/0!</v>
          </cell>
          <cell r="S3517">
            <v>0</v>
          </cell>
        </row>
        <row r="3518">
          <cell r="A3518" t="str">
            <v>Y052-159</v>
          </cell>
          <cell r="B3518">
            <v>0</v>
          </cell>
          <cell r="C3518" t="str">
            <v>Y052</v>
          </cell>
          <cell r="D3518" t="str">
            <v>33511N-TR</v>
          </cell>
          <cell r="E3518" t="str">
            <v>前板饰框 Chỉ Poly</v>
          </cell>
          <cell r="F3518" t="str">
            <v>585*120*5(框)</v>
          </cell>
          <cell r="G3518">
            <v>585</v>
          </cell>
          <cell r="H3518">
            <v>120</v>
          </cell>
          <cell r="I3518">
            <v>5</v>
          </cell>
          <cell r="J3518">
            <v>110</v>
          </cell>
          <cell r="K3518">
            <v>0</v>
          </cell>
          <cell r="L3518">
            <v>0.32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2.9090909090909092</v>
          </cell>
          <cell r="S3518">
            <v>0</v>
          </cell>
        </row>
        <row r="3519">
          <cell r="A3519" t="str">
            <v>Y052-160</v>
          </cell>
          <cell r="B3519">
            <v>0</v>
          </cell>
          <cell r="C3519" t="str">
            <v>Y052</v>
          </cell>
          <cell r="D3519" t="str">
            <v>1329ST F-3</v>
          </cell>
          <cell r="E3519" t="str">
            <v>POLY</v>
          </cell>
          <cell r="F3519" t="str">
            <v>20*12*12</v>
          </cell>
          <cell r="G3519">
            <v>20</v>
          </cell>
          <cell r="H3519">
            <v>12</v>
          </cell>
          <cell r="I3519">
            <v>12</v>
          </cell>
          <cell r="J3519">
            <v>3</v>
          </cell>
          <cell r="K3519">
            <v>0</v>
          </cell>
          <cell r="L3519">
            <v>0.04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13.333333333333334</v>
          </cell>
          <cell r="S3519">
            <v>0</v>
          </cell>
        </row>
        <row r="3520">
          <cell r="A3520" t="str">
            <v>Y052-161</v>
          </cell>
          <cell r="B3520">
            <v>0</v>
          </cell>
          <cell r="C3520" t="str">
            <v>Y052</v>
          </cell>
          <cell r="D3520" t="str">
            <v>1329ST-G</v>
          </cell>
          <cell r="E3520" t="str">
            <v>前脚瑰2 Ppoly tranh trí 2</v>
          </cell>
          <cell r="F3520" t="str">
            <v>128*128*5</v>
          </cell>
          <cell r="G3520">
            <v>128</v>
          </cell>
          <cell r="H3520">
            <v>128</v>
          </cell>
          <cell r="I3520">
            <v>5</v>
          </cell>
          <cell r="J3520">
            <v>43</v>
          </cell>
          <cell r="K3520">
            <v>0</v>
          </cell>
          <cell r="L3520">
            <v>0.13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1010</v>
          </cell>
          <cell r="R3520">
            <v>3.0232558139534889</v>
          </cell>
          <cell r="S3520">
            <v>0</v>
          </cell>
        </row>
        <row r="3521">
          <cell r="A3521" t="str">
            <v>Y052-162</v>
          </cell>
          <cell r="B3521">
            <v>0</v>
          </cell>
          <cell r="C3521" t="str">
            <v>Y052</v>
          </cell>
          <cell r="D3521" t="str">
            <v>1329ST-H</v>
          </cell>
          <cell r="E3521" t="str">
            <v>前脚瑰3 Ppoly tranh trí 3</v>
          </cell>
          <cell r="F3521" t="str">
            <v>114*57*5</v>
          </cell>
          <cell r="G3521">
            <v>114</v>
          </cell>
          <cell r="H3521">
            <v>57</v>
          </cell>
          <cell r="I3521">
            <v>5</v>
          </cell>
          <cell r="J3521">
            <v>35</v>
          </cell>
          <cell r="K3521">
            <v>0</v>
          </cell>
          <cell r="L3521">
            <v>0.09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1010</v>
          </cell>
          <cell r="R3521">
            <v>2.5714285714285712</v>
          </cell>
          <cell r="S3521">
            <v>0</v>
          </cell>
        </row>
        <row r="3522">
          <cell r="A3522" t="str">
            <v>Y052-163</v>
          </cell>
          <cell r="B3522">
            <v>0</v>
          </cell>
          <cell r="C3522" t="str">
            <v>Y052</v>
          </cell>
          <cell r="D3522" t="str">
            <v>660-13</v>
          </cell>
          <cell r="E3522" t="str">
            <v>chi trên lan can</v>
          </cell>
          <cell r="F3522" t="str">
            <v>702*89*9</v>
          </cell>
          <cell r="G3522">
            <v>702</v>
          </cell>
          <cell r="H3522">
            <v>89</v>
          </cell>
          <cell r="I3522">
            <v>9</v>
          </cell>
          <cell r="J3522">
            <v>0</v>
          </cell>
          <cell r="K3522">
            <v>0</v>
          </cell>
          <cell r="L3522">
            <v>0.86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 t="e">
            <v>#DIV/0!</v>
          </cell>
          <cell r="S3522">
            <v>0</v>
          </cell>
        </row>
        <row r="3523">
          <cell r="A3523" t="str">
            <v>Y052-164</v>
          </cell>
          <cell r="B3523">
            <v>0</v>
          </cell>
          <cell r="C3523" t="str">
            <v>Y052</v>
          </cell>
          <cell r="D3523">
            <v>1329</v>
          </cell>
          <cell r="E3523" t="str">
            <v>車枳 1 Chân tiện 1</v>
          </cell>
          <cell r="F3523" t="str">
            <v>197*56*34</v>
          </cell>
          <cell r="G3523">
            <v>197</v>
          </cell>
          <cell r="H3523">
            <v>56</v>
          </cell>
          <cell r="I3523">
            <v>34</v>
          </cell>
          <cell r="J3523">
            <v>156</v>
          </cell>
          <cell r="K3523">
            <v>0</v>
          </cell>
          <cell r="L3523">
            <v>0.45</v>
          </cell>
          <cell r="M3523">
            <v>0</v>
          </cell>
          <cell r="N3523" t="str">
            <v>SAT 139</v>
          </cell>
          <cell r="O3523">
            <v>0</v>
          </cell>
          <cell r="P3523">
            <v>0</v>
          </cell>
          <cell r="Q3523">
            <v>0</v>
          </cell>
          <cell r="R3523">
            <v>2.8846153846153846</v>
          </cell>
          <cell r="S3523">
            <v>0</v>
          </cell>
        </row>
        <row r="3524">
          <cell r="A3524" t="str">
            <v>Y052-165</v>
          </cell>
          <cell r="B3524">
            <v>0</v>
          </cell>
          <cell r="C3524" t="str">
            <v>Y052</v>
          </cell>
          <cell r="D3524">
            <v>1329</v>
          </cell>
          <cell r="E3524" t="str">
            <v>車枳 2 Chân tiện 2</v>
          </cell>
          <cell r="F3524" t="str">
            <v>582*70*57</v>
          </cell>
          <cell r="G3524">
            <v>582</v>
          </cell>
          <cell r="H3524">
            <v>70</v>
          </cell>
          <cell r="I3524">
            <v>57</v>
          </cell>
          <cell r="J3524">
            <v>520</v>
          </cell>
          <cell r="K3524">
            <v>0</v>
          </cell>
          <cell r="L3524">
            <v>1.5</v>
          </cell>
          <cell r="M3524">
            <v>0</v>
          </cell>
          <cell r="N3524" t="str">
            <v>SAT 499</v>
          </cell>
          <cell r="O3524">
            <v>0</v>
          </cell>
          <cell r="P3524">
            <v>0</v>
          </cell>
          <cell r="Q3524">
            <v>0</v>
          </cell>
          <cell r="R3524">
            <v>2.8846153846153846</v>
          </cell>
          <cell r="S3524">
            <v>0</v>
          </cell>
        </row>
        <row r="3525">
          <cell r="A3525" t="str">
            <v>Y052-166</v>
          </cell>
          <cell r="B3525">
            <v>0</v>
          </cell>
          <cell r="C3525" t="str">
            <v>Y052</v>
          </cell>
          <cell r="D3525">
            <v>1329</v>
          </cell>
          <cell r="E3525" t="str">
            <v>車枳 3 Chân tiện 3</v>
          </cell>
          <cell r="F3525" t="str">
            <v>135*174</v>
          </cell>
          <cell r="G3525">
            <v>135</v>
          </cell>
          <cell r="H3525">
            <v>174</v>
          </cell>
          <cell r="I3525">
            <v>0</v>
          </cell>
          <cell r="J3525">
            <v>2525</v>
          </cell>
          <cell r="K3525">
            <v>0</v>
          </cell>
          <cell r="L3525">
            <v>8.4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3.326732673267327</v>
          </cell>
          <cell r="S3525">
            <v>0</v>
          </cell>
        </row>
        <row r="3526">
          <cell r="A3526" t="str">
            <v>Y052-167</v>
          </cell>
          <cell r="B3526">
            <v>0</v>
          </cell>
          <cell r="C3526" t="str">
            <v>Y052</v>
          </cell>
          <cell r="D3526">
            <v>1329</v>
          </cell>
          <cell r="E3526" t="str">
            <v>前蓋前板贴瑰 poly trang trí hộp trước</v>
          </cell>
          <cell r="F3526" t="str">
            <v>343*92*47</v>
          </cell>
          <cell r="G3526">
            <v>343</v>
          </cell>
          <cell r="H3526">
            <v>92</v>
          </cell>
          <cell r="I3526">
            <v>47</v>
          </cell>
          <cell r="J3526">
            <v>687</v>
          </cell>
          <cell r="K3526">
            <v>0</v>
          </cell>
          <cell r="L3526">
            <v>2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2.9112081513828238</v>
          </cell>
          <cell r="S3526">
            <v>0</v>
          </cell>
        </row>
        <row r="3527">
          <cell r="A3527" t="str">
            <v>Y052-168</v>
          </cell>
          <cell r="B3527">
            <v>0</v>
          </cell>
          <cell r="C3527" t="str">
            <v>Y052</v>
          </cell>
          <cell r="D3527">
            <v>1329</v>
          </cell>
          <cell r="E3527" t="str">
            <v>前脚饰瑰 1Miếng poly trang trí chấn trước1</v>
          </cell>
          <cell r="F3527" t="str">
            <v>198*18</v>
          </cell>
          <cell r="G3527">
            <v>198</v>
          </cell>
          <cell r="H3527">
            <v>18</v>
          </cell>
          <cell r="I3527">
            <v>0</v>
          </cell>
          <cell r="J3527">
            <v>388</v>
          </cell>
          <cell r="K3527">
            <v>0</v>
          </cell>
          <cell r="L3527">
            <v>1.1000000000000001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2.8350515463917527</v>
          </cell>
          <cell r="S3527">
            <v>0</v>
          </cell>
        </row>
        <row r="3528">
          <cell r="A3528" t="str">
            <v>Y052-169</v>
          </cell>
          <cell r="B3528">
            <v>0</v>
          </cell>
          <cell r="C3528" t="str">
            <v>Y052</v>
          </cell>
          <cell r="D3528">
            <v>1329</v>
          </cell>
          <cell r="E3528" t="str">
            <v>前脚饰瑰 2 Miếng poly trang trí chấn trước 2</v>
          </cell>
          <cell r="F3528" t="str">
            <v>150*24</v>
          </cell>
          <cell r="G3528">
            <v>150</v>
          </cell>
          <cell r="H3528">
            <v>24</v>
          </cell>
          <cell r="I3528">
            <v>0</v>
          </cell>
          <cell r="J3528">
            <v>326</v>
          </cell>
          <cell r="K3528">
            <v>0</v>
          </cell>
          <cell r="L3528">
            <v>0.94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2.8834355828220857</v>
          </cell>
          <cell r="S3528">
            <v>0</v>
          </cell>
        </row>
        <row r="3529">
          <cell r="A3529" t="str">
            <v>Y052-170</v>
          </cell>
          <cell r="B3529">
            <v>0</v>
          </cell>
          <cell r="C3529" t="str">
            <v>Y052</v>
          </cell>
          <cell r="D3529">
            <v>1329</v>
          </cell>
          <cell r="E3529" t="str">
            <v>前脚饰瑰 3 Miếng poly trang trí chấn trước 3</v>
          </cell>
          <cell r="F3529" t="str">
            <v>254*127*65</v>
          </cell>
          <cell r="G3529">
            <v>254</v>
          </cell>
          <cell r="H3529">
            <v>127</v>
          </cell>
          <cell r="I3529">
            <v>65</v>
          </cell>
          <cell r="J3529">
            <v>320</v>
          </cell>
          <cell r="K3529">
            <v>0</v>
          </cell>
          <cell r="L3529">
            <v>0.96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3</v>
          </cell>
          <cell r="S3529">
            <v>0</v>
          </cell>
        </row>
        <row r="3530">
          <cell r="A3530" t="str">
            <v>Y052-171</v>
          </cell>
          <cell r="B3530">
            <v>0</v>
          </cell>
          <cell r="C3530" t="str">
            <v>Y052</v>
          </cell>
          <cell r="D3530">
            <v>1329</v>
          </cell>
          <cell r="E3530" t="str">
            <v>前脚饰瑰 4 Miếng poly trang trí chấn trước 4</v>
          </cell>
          <cell r="F3530" t="str">
            <v>254*127*26</v>
          </cell>
          <cell r="G3530">
            <v>254</v>
          </cell>
          <cell r="H3530">
            <v>127</v>
          </cell>
          <cell r="I3530">
            <v>26</v>
          </cell>
          <cell r="J3530">
            <v>329</v>
          </cell>
          <cell r="K3530">
            <v>0</v>
          </cell>
          <cell r="L3530">
            <v>0.96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2.9179331306990881</v>
          </cell>
          <cell r="S3530">
            <v>0</v>
          </cell>
        </row>
        <row r="3531">
          <cell r="A3531" t="str">
            <v>Y052-172</v>
          </cell>
          <cell r="B3531">
            <v>0</v>
          </cell>
          <cell r="C3531" t="str">
            <v>Y052</v>
          </cell>
          <cell r="D3531">
            <v>1329</v>
          </cell>
          <cell r="E3531" t="str">
            <v>前脚執 Đệm chân trước</v>
          </cell>
          <cell r="F3531" t="str">
            <v>332*332*103</v>
          </cell>
          <cell r="G3531">
            <v>332</v>
          </cell>
          <cell r="H3531">
            <v>332</v>
          </cell>
          <cell r="I3531">
            <v>103</v>
          </cell>
          <cell r="J3531">
            <v>3443</v>
          </cell>
          <cell r="K3531">
            <v>0</v>
          </cell>
          <cell r="L3531">
            <v>12.5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3.6305547487656114</v>
          </cell>
          <cell r="S3531">
            <v>0</v>
          </cell>
        </row>
        <row r="3532">
          <cell r="A3532" t="str">
            <v>Y052-173</v>
          </cell>
          <cell r="B3532">
            <v>0</v>
          </cell>
          <cell r="C3532" t="str">
            <v>Y052</v>
          </cell>
          <cell r="D3532">
            <v>1329</v>
          </cell>
          <cell r="E3532" t="str">
            <v>左前脚 Chân trước Trái</v>
          </cell>
          <cell r="F3532" t="str">
            <v>933*390*150</v>
          </cell>
          <cell r="G3532">
            <v>933</v>
          </cell>
          <cell r="H3532">
            <v>390</v>
          </cell>
          <cell r="I3532">
            <v>150</v>
          </cell>
          <cell r="J3532">
            <v>4000</v>
          </cell>
          <cell r="K3532">
            <v>0</v>
          </cell>
          <cell r="L3532">
            <v>14.3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3.5750000000000002</v>
          </cell>
          <cell r="S3532">
            <v>0</v>
          </cell>
        </row>
        <row r="3533">
          <cell r="A3533" t="str">
            <v>Y052-174</v>
          </cell>
          <cell r="B3533">
            <v>0</v>
          </cell>
          <cell r="C3533" t="str">
            <v>Y052</v>
          </cell>
          <cell r="D3533">
            <v>1329</v>
          </cell>
          <cell r="E3533" t="str">
            <v>右前脚 Chân trước Phải</v>
          </cell>
          <cell r="F3533" t="str">
            <v>933*422*150</v>
          </cell>
          <cell r="G3533">
            <v>933</v>
          </cell>
          <cell r="H3533">
            <v>422</v>
          </cell>
          <cell r="I3533">
            <v>150</v>
          </cell>
          <cell r="J3533">
            <v>4100</v>
          </cell>
          <cell r="K3533">
            <v>0</v>
          </cell>
          <cell r="L3533">
            <v>14.6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3.5609756097560976</v>
          </cell>
          <cell r="S3533">
            <v>0</v>
          </cell>
        </row>
        <row r="3534">
          <cell r="A3534" t="str">
            <v>Y052-175</v>
          </cell>
          <cell r="B3534">
            <v>0</v>
          </cell>
          <cell r="C3534" t="str">
            <v>Y052</v>
          </cell>
          <cell r="D3534">
            <v>1329</v>
          </cell>
          <cell r="E3534" t="str">
            <v>左后脚 Chân sau Trái</v>
          </cell>
          <cell r="F3534" t="str">
            <v>933*422*126</v>
          </cell>
          <cell r="G3534">
            <v>933</v>
          </cell>
          <cell r="H3534">
            <v>422</v>
          </cell>
          <cell r="I3534">
            <v>126</v>
          </cell>
          <cell r="J3534">
            <v>4000</v>
          </cell>
          <cell r="K3534">
            <v>0</v>
          </cell>
          <cell r="L3534">
            <v>14.3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3.5750000000000002</v>
          </cell>
          <cell r="S3534">
            <v>0</v>
          </cell>
        </row>
        <row r="3535">
          <cell r="A3535" t="str">
            <v>Y052-176</v>
          </cell>
          <cell r="B3535">
            <v>0</v>
          </cell>
          <cell r="C3535" t="str">
            <v>Y052</v>
          </cell>
          <cell r="D3535">
            <v>1329</v>
          </cell>
          <cell r="E3535" t="str">
            <v>右后脚 Chân sau phải</v>
          </cell>
          <cell r="F3535" t="str">
            <v>933*390*126</v>
          </cell>
          <cell r="G3535">
            <v>933</v>
          </cell>
          <cell r="H3535">
            <v>390</v>
          </cell>
          <cell r="I3535">
            <v>126</v>
          </cell>
          <cell r="J3535">
            <v>3700</v>
          </cell>
          <cell r="K3535">
            <v>0</v>
          </cell>
          <cell r="L3535">
            <v>13.74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3.7135135135135133</v>
          </cell>
          <cell r="S3535">
            <v>0</v>
          </cell>
        </row>
        <row r="3536">
          <cell r="A3536" t="str">
            <v>Y052-177</v>
          </cell>
          <cell r="B3536">
            <v>0</v>
          </cell>
          <cell r="C3536" t="str">
            <v>Y052</v>
          </cell>
          <cell r="D3536">
            <v>1329</v>
          </cell>
          <cell r="E3536" t="str">
            <v>后脚執 Đệm chân sau</v>
          </cell>
          <cell r="F3536" t="str">
            <v>332*217*103</v>
          </cell>
          <cell r="G3536">
            <v>332</v>
          </cell>
          <cell r="H3536">
            <v>217</v>
          </cell>
          <cell r="I3536">
            <v>103</v>
          </cell>
          <cell r="J3536">
            <v>2595</v>
          </cell>
          <cell r="K3536">
            <v>0</v>
          </cell>
          <cell r="L3536">
            <v>9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3.4682080924855487</v>
          </cell>
          <cell r="S3536">
            <v>0</v>
          </cell>
        </row>
        <row r="3537">
          <cell r="A3537" t="str">
            <v>Y052-178</v>
          </cell>
          <cell r="B3537">
            <v>0</v>
          </cell>
          <cell r="C3537" t="str">
            <v>Y052</v>
          </cell>
          <cell r="D3537" t="str">
            <v>1370-06</v>
          </cell>
          <cell r="E3537" t="str">
            <v xml:space="preserve">前框上饰条 Chỉ trước ngang </v>
          </cell>
          <cell r="F3537" t="str">
            <v>1483*25*16</v>
          </cell>
          <cell r="G3537">
            <v>1483</v>
          </cell>
          <cell r="H3537">
            <v>25</v>
          </cell>
          <cell r="I3537">
            <v>16</v>
          </cell>
          <cell r="J3537">
            <v>0</v>
          </cell>
          <cell r="K3537">
            <v>0</v>
          </cell>
          <cell r="L3537">
            <v>1.95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 t="e">
            <v>#DIV/0!</v>
          </cell>
          <cell r="S3537">
            <v>0</v>
          </cell>
        </row>
        <row r="3538">
          <cell r="A3538" t="str">
            <v>Y052-179</v>
          </cell>
          <cell r="B3538">
            <v>0</v>
          </cell>
          <cell r="C3538" t="str">
            <v>Y052</v>
          </cell>
          <cell r="D3538" t="str">
            <v>1370-31</v>
          </cell>
          <cell r="E3538" t="str">
            <v>镜框上池板 panel trên</v>
          </cell>
          <cell r="F3538" t="str">
            <v>665*242**9</v>
          </cell>
          <cell r="G3538">
            <v>665</v>
          </cell>
          <cell r="H3538">
            <v>242</v>
          </cell>
          <cell r="I3538">
            <v>9</v>
          </cell>
          <cell r="J3538">
            <v>0</v>
          </cell>
          <cell r="K3538">
            <v>0</v>
          </cell>
          <cell r="L3538">
            <v>2.33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 t="e">
            <v>#DIV/0!</v>
          </cell>
          <cell r="S3538">
            <v>0</v>
          </cell>
        </row>
        <row r="3539">
          <cell r="A3539" t="str">
            <v>Y052-180</v>
          </cell>
          <cell r="B3539">
            <v>0</v>
          </cell>
          <cell r="C3539" t="str">
            <v>Y052</v>
          </cell>
          <cell r="D3539" t="str">
            <v>1370*80</v>
          </cell>
          <cell r="E3539" t="str">
            <v>上饰條Chỉ trước ngang</v>
          </cell>
          <cell r="F3539" t="str">
            <v>669*25*16</v>
          </cell>
          <cell r="G3539">
            <v>669</v>
          </cell>
          <cell r="H3539">
            <v>25</v>
          </cell>
          <cell r="I3539">
            <v>16</v>
          </cell>
          <cell r="J3539">
            <v>0</v>
          </cell>
          <cell r="K3539">
            <v>0</v>
          </cell>
          <cell r="L3539">
            <v>0.95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 t="e">
            <v>#DIV/0!</v>
          </cell>
          <cell r="S3539">
            <v>0</v>
          </cell>
        </row>
        <row r="3540">
          <cell r="A3540" t="str">
            <v>Y052-181</v>
          </cell>
          <cell r="B3540">
            <v>0</v>
          </cell>
          <cell r="C3540" t="str">
            <v>Y052</v>
          </cell>
          <cell r="D3540" t="str">
            <v>670-13-W/G</v>
          </cell>
          <cell r="E3540" t="str">
            <v>床头芯板饰瑰</v>
          </cell>
          <cell r="F3540" t="str">
            <v>933*210*8</v>
          </cell>
          <cell r="G3540">
            <v>933</v>
          </cell>
          <cell r="H3540">
            <v>210</v>
          </cell>
          <cell r="I3540">
            <v>8</v>
          </cell>
          <cell r="J3540">
            <v>690</v>
          </cell>
          <cell r="K3540">
            <v>0</v>
          </cell>
          <cell r="L3540">
            <v>1.96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2.8405797101449277</v>
          </cell>
          <cell r="S3540">
            <v>0</v>
          </cell>
        </row>
        <row r="3541">
          <cell r="A3541" t="str">
            <v>Y052-182</v>
          </cell>
          <cell r="B3541" t="str">
            <v>一體成型</v>
          </cell>
          <cell r="C3541" t="str">
            <v>Y052</v>
          </cell>
          <cell r="D3541" t="str">
            <v>1267FM</v>
          </cell>
          <cell r="E3541" t="str">
            <v>上饰柱poly trang trí</v>
          </cell>
          <cell r="F3541" t="str">
            <v>150*37*37</v>
          </cell>
          <cell r="G3541">
            <v>150</v>
          </cell>
          <cell r="H3541">
            <v>37</v>
          </cell>
          <cell r="I3541">
            <v>37</v>
          </cell>
          <cell r="J3541">
            <v>139</v>
          </cell>
          <cell r="K3541">
            <v>0</v>
          </cell>
          <cell r="L3541">
            <v>0.4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2.8776978417266186</v>
          </cell>
          <cell r="S3541">
            <v>0</v>
          </cell>
        </row>
        <row r="3542">
          <cell r="A3542" t="str">
            <v>Y052-183</v>
          </cell>
          <cell r="B3542">
            <v>0</v>
          </cell>
          <cell r="C3542" t="str">
            <v>Y052</v>
          </cell>
          <cell r="D3542" t="str">
            <v>1214FB-HB/FB</v>
          </cell>
          <cell r="E3542" t="str">
            <v>床头上饰条poly đầu giường</v>
          </cell>
          <cell r="F3542" t="str">
            <v>1356*25*12</v>
          </cell>
          <cell r="G3542">
            <v>1350</v>
          </cell>
          <cell r="H3542">
            <v>25</v>
          </cell>
          <cell r="I3542">
            <v>12</v>
          </cell>
          <cell r="J3542">
            <v>456</v>
          </cell>
          <cell r="K3542">
            <v>0</v>
          </cell>
          <cell r="L3542">
            <v>1.43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3.1359649122807016</v>
          </cell>
          <cell r="S3542">
            <v>0</v>
          </cell>
        </row>
        <row r="3543">
          <cell r="A3543" t="str">
            <v>Y052-184</v>
          </cell>
          <cell r="B3543">
            <v>0</v>
          </cell>
          <cell r="C3543" t="str">
            <v>Y052</v>
          </cell>
          <cell r="D3543" t="str">
            <v>1214FB-HB/FB</v>
          </cell>
          <cell r="E3543" t="str">
            <v>床头饰块Miếng poly trang trí đầu giường</v>
          </cell>
          <cell r="F3543" t="str">
            <v>50*46*12</v>
          </cell>
          <cell r="G3543">
            <v>50</v>
          </cell>
          <cell r="H3543">
            <v>46</v>
          </cell>
          <cell r="I3543">
            <v>12</v>
          </cell>
          <cell r="J3543">
            <v>35</v>
          </cell>
          <cell r="K3543">
            <v>0</v>
          </cell>
          <cell r="L3543">
            <v>0.1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2.8571428571428572</v>
          </cell>
          <cell r="S3543">
            <v>0</v>
          </cell>
        </row>
        <row r="3544">
          <cell r="A3544" t="str">
            <v>Y052-185</v>
          </cell>
          <cell r="B3544">
            <v>0</v>
          </cell>
          <cell r="C3544" t="str">
            <v>Y052</v>
          </cell>
          <cell r="D3544" t="str">
            <v>1214FB-HB/FB</v>
          </cell>
          <cell r="E3544" t="str">
            <v>床尾上饰条poly đuôi giường</v>
          </cell>
          <cell r="F3544" t="str">
            <v>1356*25*12</v>
          </cell>
          <cell r="G3544">
            <v>1350</v>
          </cell>
          <cell r="H3544">
            <v>25</v>
          </cell>
          <cell r="I3544">
            <v>12</v>
          </cell>
          <cell r="J3544">
            <v>456</v>
          </cell>
          <cell r="K3544">
            <v>0</v>
          </cell>
          <cell r="L3544">
            <v>1.43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3.1359649122807016</v>
          </cell>
          <cell r="S3544">
            <v>0</v>
          </cell>
        </row>
        <row r="3545">
          <cell r="A3545" t="str">
            <v>Y052-186</v>
          </cell>
          <cell r="B3545">
            <v>0</v>
          </cell>
          <cell r="C3545" t="str">
            <v>Y052</v>
          </cell>
          <cell r="D3545" t="str">
            <v>1214FB-HB/FB</v>
          </cell>
          <cell r="E3545" t="str">
            <v>床尾饰块Miềng poly trang trí đuôi giường</v>
          </cell>
          <cell r="F3545" t="str">
            <v>50*46*12</v>
          </cell>
          <cell r="G3545">
            <v>50</v>
          </cell>
          <cell r="H3545">
            <v>46</v>
          </cell>
          <cell r="I3545">
            <v>12</v>
          </cell>
          <cell r="J3545">
            <v>35</v>
          </cell>
          <cell r="K3545">
            <v>0</v>
          </cell>
          <cell r="L3545">
            <v>0.1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2.8571428571428572</v>
          </cell>
          <cell r="S3545">
            <v>0</v>
          </cell>
        </row>
        <row r="3546">
          <cell r="A3546" t="str">
            <v>Y052-187</v>
          </cell>
          <cell r="B3546">
            <v>0</v>
          </cell>
          <cell r="C3546" t="str">
            <v>Y052</v>
          </cell>
          <cell r="D3546" t="str">
            <v>1264QB-CK</v>
          </cell>
          <cell r="E3546" t="str">
            <v>固定飾瑰 Miếng poly cốđịnh</v>
          </cell>
          <cell r="F3546" t="str">
            <v>52*31*8</v>
          </cell>
          <cell r="G3546">
            <v>52</v>
          </cell>
          <cell r="H3546">
            <v>31</v>
          </cell>
          <cell r="I3546">
            <v>8</v>
          </cell>
          <cell r="J3546">
            <v>18</v>
          </cell>
          <cell r="K3546">
            <v>0</v>
          </cell>
          <cell r="L3546">
            <v>0.05</v>
          </cell>
          <cell r="M3546">
            <v>0</v>
          </cell>
          <cell r="N3546">
            <v>0</v>
          </cell>
          <cell r="O3546">
            <v>0</v>
          </cell>
          <cell r="P3546" t="str">
            <v>1010</v>
          </cell>
          <cell r="Q3546" t="str">
            <v>1010</v>
          </cell>
          <cell r="R3546">
            <v>2.7777777777777781</v>
          </cell>
          <cell r="S3546">
            <v>0</v>
          </cell>
        </row>
        <row r="3547">
          <cell r="A3547" t="str">
            <v>Y052-188</v>
          </cell>
          <cell r="B3547">
            <v>0</v>
          </cell>
          <cell r="C3547" t="str">
            <v>Y052</v>
          </cell>
          <cell r="D3547" t="str">
            <v>1264QB-CK 内理铁片 CÓ SẮT</v>
          </cell>
          <cell r="E3547" t="str">
            <v>活动饰瑰miếng poly di động</v>
          </cell>
          <cell r="F3547" t="str">
            <v>52*31*8</v>
          </cell>
          <cell r="G3547">
            <v>52</v>
          </cell>
          <cell r="H3547">
            <v>31</v>
          </cell>
          <cell r="I3547">
            <v>8</v>
          </cell>
          <cell r="J3547">
            <v>17</v>
          </cell>
          <cell r="K3547">
            <v>0</v>
          </cell>
          <cell r="L3547">
            <v>0.06</v>
          </cell>
          <cell r="M3547">
            <v>0</v>
          </cell>
          <cell r="N3547" t="str">
            <v>SAT</v>
          </cell>
          <cell r="O3547">
            <v>0</v>
          </cell>
          <cell r="P3547" t="str">
            <v>1010</v>
          </cell>
          <cell r="Q3547" t="str">
            <v>1010</v>
          </cell>
          <cell r="R3547">
            <v>3.5294117647058818</v>
          </cell>
          <cell r="S3547">
            <v>0</v>
          </cell>
        </row>
        <row r="3548">
          <cell r="A3548" t="str">
            <v>Y052-189</v>
          </cell>
          <cell r="B3548">
            <v>0</v>
          </cell>
          <cell r="C3548" t="str">
            <v>Y052</v>
          </cell>
          <cell r="D3548" t="str">
            <v>1264-FB-CK</v>
          </cell>
          <cell r="E3548" t="str">
            <v>固定飾瑰 Miếng poly cốđịnh</v>
          </cell>
          <cell r="F3548" t="str">
            <v>52*31*8</v>
          </cell>
          <cell r="G3548">
            <v>52</v>
          </cell>
          <cell r="H3548">
            <v>31</v>
          </cell>
          <cell r="I3548">
            <v>8</v>
          </cell>
          <cell r="J3548">
            <v>18</v>
          </cell>
          <cell r="K3548">
            <v>0</v>
          </cell>
          <cell r="L3548">
            <v>0.05</v>
          </cell>
          <cell r="M3548">
            <v>0</v>
          </cell>
          <cell r="N3548">
            <v>0</v>
          </cell>
          <cell r="O3548">
            <v>0</v>
          </cell>
          <cell r="P3548" t="str">
            <v>1010</v>
          </cell>
          <cell r="Q3548" t="str">
            <v>1010</v>
          </cell>
          <cell r="R3548">
            <v>2.7777777777777781</v>
          </cell>
          <cell r="S3548">
            <v>0</v>
          </cell>
        </row>
        <row r="3549">
          <cell r="A3549" t="str">
            <v>Y052-190</v>
          </cell>
          <cell r="B3549">
            <v>0</v>
          </cell>
          <cell r="C3549" t="str">
            <v>Y052</v>
          </cell>
          <cell r="D3549" t="str">
            <v>1264-FB-CK内理铁片 CÓ SẮT</v>
          </cell>
          <cell r="E3549" t="str">
            <v>活动饰瑰miếng poly di động</v>
          </cell>
          <cell r="F3549" t="str">
            <v>52*31*8</v>
          </cell>
          <cell r="G3549">
            <v>52</v>
          </cell>
          <cell r="H3549">
            <v>31</v>
          </cell>
          <cell r="I3549">
            <v>8</v>
          </cell>
          <cell r="J3549">
            <v>17</v>
          </cell>
          <cell r="K3549">
            <v>0</v>
          </cell>
          <cell r="L3549">
            <v>0.06</v>
          </cell>
          <cell r="M3549">
            <v>0</v>
          </cell>
          <cell r="N3549" t="str">
            <v>SAT</v>
          </cell>
          <cell r="O3549">
            <v>0</v>
          </cell>
          <cell r="P3549" t="str">
            <v>1010</v>
          </cell>
          <cell r="Q3549" t="str">
            <v>1010</v>
          </cell>
          <cell r="R3549">
            <v>3.5294117647058818</v>
          </cell>
          <cell r="S3549">
            <v>0</v>
          </cell>
        </row>
        <row r="3550">
          <cell r="A3550" t="str">
            <v>Y052-191</v>
          </cell>
          <cell r="B3550">
            <v>0</v>
          </cell>
          <cell r="C3550" t="str">
            <v>Y052</v>
          </cell>
          <cell r="D3550" t="str">
            <v>33505 M-1-1</v>
          </cell>
          <cell r="E3550" t="str">
            <v>下抽面板飾框</v>
          </cell>
          <cell r="F3550" t="str">
            <v>569*158*5</v>
          </cell>
          <cell r="G3550">
            <v>569</v>
          </cell>
          <cell r="H3550">
            <v>158</v>
          </cell>
          <cell r="I3550">
            <v>5</v>
          </cell>
          <cell r="J3550">
            <v>0</v>
          </cell>
          <cell r="K3550">
            <v>0</v>
          </cell>
          <cell r="L3550">
            <v>0.33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 t="e">
            <v>#DIV/0!</v>
          </cell>
          <cell r="S3550">
            <v>0</v>
          </cell>
        </row>
        <row r="3551">
          <cell r="A3551" t="str">
            <v>Y052-192</v>
          </cell>
          <cell r="B3551">
            <v>0</v>
          </cell>
          <cell r="C3551" t="str">
            <v>Y052</v>
          </cell>
          <cell r="D3551" t="str">
            <v>33500FB-HB/FB</v>
          </cell>
          <cell r="E3551" t="str">
            <v>床頭床尾上飾條</v>
          </cell>
          <cell r="F3551" t="str">
            <v>91*49*49</v>
          </cell>
          <cell r="G3551">
            <v>91</v>
          </cell>
          <cell r="H3551">
            <v>49</v>
          </cell>
          <cell r="I3551">
            <v>49</v>
          </cell>
          <cell r="J3551">
            <v>188</v>
          </cell>
          <cell r="K3551">
            <v>0</v>
          </cell>
          <cell r="L3551">
            <v>0.45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2.3936170212765959</v>
          </cell>
          <cell r="S3551">
            <v>0</v>
          </cell>
        </row>
        <row r="3552">
          <cell r="A3552" t="str">
            <v>Y052-193</v>
          </cell>
          <cell r="B3552">
            <v>0</v>
          </cell>
          <cell r="C3552" t="str">
            <v>Y052</v>
          </cell>
          <cell r="D3552" t="str">
            <v>1214FB-HB/FB A-3</v>
          </cell>
          <cell r="E3552" t="str">
            <v>床头上饰条 Poly đầu giường</v>
          </cell>
          <cell r="F3552" t="str">
            <v>1350*25*12</v>
          </cell>
          <cell r="G3552">
            <v>1350</v>
          </cell>
          <cell r="H3552">
            <v>25</v>
          </cell>
          <cell r="I3552">
            <v>12</v>
          </cell>
          <cell r="J3552">
            <v>456</v>
          </cell>
          <cell r="K3552">
            <v>0</v>
          </cell>
          <cell r="L3552">
            <v>1.43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3.1359649122807016</v>
          </cell>
          <cell r="S3552">
            <v>0</v>
          </cell>
        </row>
        <row r="3553">
          <cell r="A3553" t="str">
            <v>Y052-194</v>
          </cell>
          <cell r="B3553">
            <v>0</v>
          </cell>
          <cell r="C3553" t="str">
            <v>Y052</v>
          </cell>
          <cell r="D3553" t="str">
            <v>1214FB-HB/FB B-3</v>
          </cell>
          <cell r="E3553" t="str">
            <v>床尾上饰条poly đuôi giường</v>
          </cell>
          <cell r="F3553" t="str">
            <v>1350*25*12</v>
          </cell>
          <cell r="G3553">
            <v>1350</v>
          </cell>
          <cell r="H3553">
            <v>25</v>
          </cell>
          <cell r="I3553">
            <v>12</v>
          </cell>
          <cell r="J3553">
            <v>456</v>
          </cell>
          <cell r="K3553">
            <v>0</v>
          </cell>
          <cell r="L3553">
            <v>1.43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3.1359649122807016</v>
          </cell>
          <cell r="S3553">
            <v>0</v>
          </cell>
        </row>
        <row r="3554">
          <cell r="A3554" t="str">
            <v>Y052-195</v>
          </cell>
          <cell r="B3554">
            <v>0</v>
          </cell>
          <cell r="C3554" t="str">
            <v>Y052</v>
          </cell>
          <cell r="D3554" t="str">
            <v>1214TB-HB/FB A-3</v>
          </cell>
          <cell r="E3554" t="str">
            <v>床头上饰条 Poly đầu giường</v>
          </cell>
          <cell r="F3554" t="str">
            <v>972*25*12</v>
          </cell>
          <cell r="G3554">
            <v>972</v>
          </cell>
          <cell r="H3554">
            <v>25</v>
          </cell>
          <cell r="I3554">
            <v>12</v>
          </cell>
          <cell r="J3554">
            <v>0</v>
          </cell>
          <cell r="K3554">
            <v>0</v>
          </cell>
          <cell r="L3554">
            <v>0.95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 t="e">
            <v>#DIV/0!</v>
          </cell>
          <cell r="S3554">
            <v>0</v>
          </cell>
        </row>
        <row r="3555">
          <cell r="A3555" t="str">
            <v>Y052-196</v>
          </cell>
          <cell r="B3555">
            <v>0</v>
          </cell>
          <cell r="C3555" t="str">
            <v>Y052</v>
          </cell>
          <cell r="D3555" t="str">
            <v>1214TB-HB/FB A-5</v>
          </cell>
          <cell r="E3555" t="str">
            <v>床头饰块Miếng poly trang trí đầu giường</v>
          </cell>
          <cell r="F3555" t="str">
            <v>50*46*12</v>
          </cell>
          <cell r="G3555">
            <v>50</v>
          </cell>
          <cell r="H3555">
            <v>46</v>
          </cell>
          <cell r="I3555">
            <v>12</v>
          </cell>
          <cell r="J3555">
            <v>35</v>
          </cell>
          <cell r="K3555">
            <v>0</v>
          </cell>
          <cell r="L3555">
            <v>0.1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2.8571428571428572</v>
          </cell>
          <cell r="S3555">
            <v>0</v>
          </cell>
        </row>
        <row r="3556">
          <cell r="A3556" t="str">
            <v>Y052-197</v>
          </cell>
          <cell r="B3556">
            <v>0</v>
          </cell>
          <cell r="C3556" t="str">
            <v>Y052</v>
          </cell>
          <cell r="D3556" t="str">
            <v>1214TB-HB/FB B-3</v>
          </cell>
          <cell r="E3556" t="str">
            <v>床尾上饰条poly đuôi giường</v>
          </cell>
          <cell r="F3556" t="str">
            <v>972*25*12</v>
          </cell>
          <cell r="G3556">
            <v>972</v>
          </cell>
          <cell r="H3556">
            <v>25</v>
          </cell>
          <cell r="I3556">
            <v>12</v>
          </cell>
          <cell r="J3556">
            <v>0</v>
          </cell>
          <cell r="K3556">
            <v>0</v>
          </cell>
          <cell r="L3556">
            <v>0.95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 t="e">
            <v>#DIV/0!</v>
          </cell>
          <cell r="S3556">
            <v>0</v>
          </cell>
        </row>
        <row r="3557">
          <cell r="A3557" t="str">
            <v>Y052-198</v>
          </cell>
          <cell r="B3557">
            <v>0</v>
          </cell>
          <cell r="C3557" t="str">
            <v>Y052</v>
          </cell>
          <cell r="D3557" t="str">
            <v>1214TB-HB/FB</v>
          </cell>
          <cell r="E3557" t="str">
            <v>床尾饰块Miềng poly trang trí đuôi giường</v>
          </cell>
          <cell r="F3557" t="str">
            <v>50*46*12</v>
          </cell>
          <cell r="G3557">
            <v>50</v>
          </cell>
          <cell r="H3557">
            <v>46</v>
          </cell>
          <cell r="I3557">
            <v>12</v>
          </cell>
          <cell r="J3557">
            <v>35</v>
          </cell>
          <cell r="K3557">
            <v>0</v>
          </cell>
          <cell r="L3557">
            <v>0.1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2.8571428571428572</v>
          </cell>
          <cell r="S3557">
            <v>0</v>
          </cell>
        </row>
        <row r="3558">
          <cell r="A3558" t="str">
            <v>Y052-199</v>
          </cell>
          <cell r="B3558">
            <v>0</v>
          </cell>
          <cell r="C3558" t="str">
            <v>Y052</v>
          </cell>
          <cell r="D3558" t="str">
            <v>1263GR</v>
          </cell>
          <cell r="E3558" t="str">
            <v>固定饰 Miếng poly cố định</v>
          </cell>
          <cell r="F3558" t="str">
            <v>52*31*9</v>
          </cell>
          <cell r="G3558">
            <v>52</v>
          </cell>
          <cell r="H3558">
            <v>31</v>
          </cell>
          <cell r="I3558">
            <v>9</v>
          </cell>
          <cell r="J3558">
            <v>18</v>
          </cell>
          <cell r="K3558">
            <v>0</v>
          </cell>
          <cell r="L3558">
            <v>0.05</v>
          </cell>
          <cell r="M3558">
            <v>0</v>
          </cell>
          <cell r="N3558">
            <v>0</v>
          </cell>
          <cell r="O3558">
            <v>0</v>
          </cell>
          <cell r="P3558" t="str">
            <v>1010</v>
          </cell>
          <cell r="Q3558" t="str">
            <v>1010</v>
          </cell>
          <cell r="R3558">
            <v>2.7777777777777781</v>
          </cell>
          <cell r="S3558">
            <v>0</v>
          </cell>
        </row>
        <row r="3559">
          <cell r="A3559" t="str">
            <v>Y052-200</v>
          </cell>
          <cell r="B3559">
            <v>0</v>
          </cell>
          <cell r="C3559" t="str">
            <v>Y052</v>
          </cell>
          <cell r="D3559" t="str">
            <v>1264FB-HB/FB A-2-1</v>
          </cell>
          <cell r="E3559" t="str">
            <v>床头上盖1 Thanh ngang đầu giường 1</v>
          </cell>
          <cell r="F3559" t="str">
            <v>956*38*9</v>
          </cell>
          <cell r="G3559">
            <v>956</v>
          </cell>
          <cell r="H3559">
            <v>38</v>
          </cell>
          <cell r="I3559">
            <v>9</v>
          </cell>
          <cell r="J3559">
            <v>0</v>
          </cell>
          <cell r="K3559">
            <v>0</v>
          </cell>
          <cell r="L3559">
            <v>1.07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 t="e">
            <v>#DIV/0!</v>
          </cell>
          <cell r="S3559">
            <v>0</v>
          </cell>
        </row>
        <row r="3560">
          <cell r="A3560" t="str">
            <v>Y052-201</v>
          </cell>
          <cell r="B3560">
            <v>0</v>
          </cell>
          <cell r="C3560" t="str">
            <v>Y052</v>
          </cell>
          <cell r="D3560" t="str">
            <v>1264FB-HB/FB A-2-2</v>
          </cell>
          <cell r="E3560" t="str">
            <v>床头上盖2 thanh ngang đầu giường 2</v>
          </cell>
          <cell r="F3560" t="str">
            <v>1048*79*60</v>
          </cell>
          <cell r="G3560">
            <v>1048</v>
          </cell>
          <cell r="H3560">
            <v>79</v>
          </cell>
          <cell r="I3560">
            <v>60</v>
          </cell>
          <cell r="J3560">
            <v>0</v>
          </cell>
          <cell r="K3560">
            <v>0</v>
          </cell>
          <cell r="L3560">
            <v>3.5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 t="e">
            <v>#DIV/0!</v>
          </cell>
          <cell r="S3560">
            <v>0</v>
          </cell>
        </row>
        <row r="3561">
          <cell r="A3561" t="str">
            <v>Y052-202</v>
          </cell>
          <cell r="B3561">
            <v>0</v>
          </cell>
          <cell r="C3561" t="str">
            <v>Y052</v>
          </cell>
          <cell r="D3561" t="str">
            <v xml:space="preserve">1264FB-HB/FB </v>
          </cell>
          <cell r="E3561" t="str">
            <v>床尾上盖1 thanh ngang đuôi giường 1</v>
          </cell>
          <cell r="F3561" t="str">
            <v>956*38*9</v>
          </cell>
          <cell r="G3561">
            <v>956</v>
          </cell>
          <cell r="H3561">
            <v>38</v>
          </cell>
          <cell r="I3561">
            <v>9</v>
          </cell>
          <cell r="J3561">
            <v>0</v>
          </cell>
          <cell r="K3561">
            <v>0</v>
          </cell>
          <cell r="L3561">
            <v>1.07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 t="e">
            <v>#DIV/0!</v>
          </cell>
          <cell r="S3561">
            <v>0</v>
          </cell>
        </row>
        <row r="3562">
          <cell r="A3562" t="str">
            <v>Y052-203</v>
          </cell>
          <cell r="B3562">
            <v>0</v>
          </cell>
          <cell r="C3562" t="str">
            <v>Y052</v>
          </cell>
          <cell r="D3562" t="str">
            <v>1264FB-HB/FB B-2</v>
          </cell>
          <cell r="E3562" t="str">
            <v>床尾上盖2 thanh ngang đuôi giường2</v>
          </cell>
          <cell r="F3562" t="str">
            <v>1048*79*60</v>
          </cell>
          <cell r="G3562">
            <v>1048</v>
          </cell>
          <cell r="H3562">
            <v>79</v>
          </cell>
          <cell r="I3562">
            <v>60</v>
          </cell>
          <cell r="J3562">
            <v>0</v>
          </cell>
          <cell r="K3562">
            <v>0</v>
          </cell>
          <cell r="L3562">
            <v>3.5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 t="e">
            <v>#DIV/0!</v>
          </cell>
          <cell r="S3562">
            <v>0</v>
          </cell>
        </row>
        <row r="3563">
          <cell r="A3563" t="str">
            <v>Y052-204</v>
          </cell>
          <cell r="B3563">
            <v>0</v>
          </cell>
          <cell r="C3563" t="str">
            <v>Y052</v>
          </cell>
          <cell r="D3563" t="str">
            <v>1264FB-HB/FB E</v>
          </cell>
          <cell r="E3563" t="str">
            <v>脚柱饰块 miếng poly chân</v>
          </cell>
          <cell r="F3563" t="str">
            <v>52*31*8</v>
          </cell>
          <cell r="G3563">
            <v>52</v>
          </cell>
          <cell r="H3563">
            <v>31</v>
          </cell>
          <cell r="I3563">
            <v>8</v>
          </cell>
          <cell r="J3563">
            <v>18</v>
          </cell>
          <cell r="K3563">
            <v>0</v>
          </cell>
          <cell r="L3563">
            <v>0.05</v>
          </cell>
          <cell r="M3563">
            <v>0</v>
          </cell>
          <cell r="N3563">
            <v>0</v>
          </cell>
          <cell r="O3563">
            <v>0</v>
          </cell>
          <cell r="P3563" t="str">
            <v>1010</v>
          </cell>
          <cell r="Q3563" t="str">
            <v>1010</v>
          </cell>
          <cell r="R3563">
            <v>2.7777777777777781</v>
          </cell>
          <cell r="S3563">
            <v>0</v>
          </cell>
        </row>
        <row r="3564">
          <cell r="A3564" t="str">
            <v>Y052-205</v>
          </cell>
          <cell r="B3564">
            <v>0</v>
          </cell>
          <cell r="C3564" t="str">
            <v>Y052</v>
          </cell>
          <cell r="D3564" t="str">
            <v>33500TB-HB/FB A-8</v>
          </cell>
          <cell r="E3564" t="str">
            <v>床头转角饰条Chỉ Poly panel đầu giường</v>
          </cell>
          <cell r="F3564" t="str">
            <v>244*58*5</v>
          </cell>
          <cell r="G3564">
            <v>244</v>
          </cell>
          <cell r="H3564">
            <v>58</v>
          </cell>
          <cell r="I3564">
            <v>5</v>
          </cell>
          <cell r="J3564">
            <v>58</v>
          </cell>
          <cell r="K3564">
            <v>0</v>
          </cell>
          <cell r="L3564">
            <v>0.18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1010</v>
          </cell>
          <cell r="R3564">
            <v>3.1034482758620685</v>
          </cell>
          <cell r="S3564">
            <v>0</v>
          </cell>
        </row>
        <row r="3565">
          <cell r="A3565" t="str">
            <v>Y052-206</v>
          </cell>
          <cell r="B3565">
            <v>0</v>
          </cell>
          <cell r="C3565" t="str">
            <v>Y052</v>
          </cell>
          <cell r="D3565" t="str">
            <v>3500TB-HB/FB B-8</v>
          </cell>
          <cell r="E3565" t="str">
            <v>床尾转角饰条Chỉ Poly panel đuôi giường</v>
          </cell>
          <cell r="F3565" t="str">
            <v>244*58*5</v>
          </cell>
          <cell r="G3565">
            <v>244</v>
          </cell>
          <cell r="H3565">
            <v>58</v>
          </cell>
          <cell r="I3565">
            <v>5</v>
          </cell>
          <cell r="J3565">
            <v>58</v>
          </cell>
          <cell r="K3565">
            <v>0</v>
          </cell>
          <cell r="L3565">
            <v>0.18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1010</v>
          </cell>
          <cell r="R3565">
            <v>3.1034482758620685</v>
          </cell>
          <cell r="S3565">
            <v>0</v>
          </cell>
        </row>
        <row r="3566">
          <cell r="A3566" t="str">
            <v>Y052-207</v>
          </cell>
          <cell r="B3566">
            <v>0</v>
          </cell>
          <cell r="C3566" t="str">
            <v>Y052</v>
          </cell>
          <cell r="D3566" t="str">
            <v>1263-3 A-3</v>
          </cell>
          <cell r="E3566" t="str">
            <v>床头 尾下横饰条 Dây poly trang trí đầu đuôi giường</v>
          </cell>
          <cell r="F3566" t="str">
            <v>870*26*6</v>
          </cell>
          <cell r="G3566">
            <v>870</v>
          </cell>
          <cell r="H3566">
            <v>26</v>
          </cell>
          <cell r="I3566">
            <v>6</v>
          </cell>
          <cell r="J3566">
            <v>240</v>
          </cell>
          <cell r="K3566">
            <v>0</v>
          </cell>
          <cell r="L3566">
            <v>0.7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2.9166666666666665</v>
          </cell>
          <cell r="S3566">
            <v>0</v>
          </cell>
        </row>
        <row r="3567">
          <cell r="A3567" t="str">
            <v>Y052-208</v>
          </cell>
          <cell r="B3567">
            <v>0</v>
          </cell>
          <cell r="C3567" t="str">
            <v>Y052</v>
          </cell>
          <cell r="D3567" t="str">
            <v>1263-3  C-3</v>
          </cell>
          <cell r="E3567" t="str">
            <v xml:space="preserve">護欗下横饰条 Dây poly trang trí lan can </v>
          </cell>
          <cell r="F3567" t="str">
            <v>740*26*6</v>
          </cell>
          <cell r="G3567">
            <v>740</v>
          </cell>
          <cell r="H3567">
            <v>26</v>
          </cell>
          <cell r="I3567">
            <v>6</v>
          </cell>
          <cell r="J3567">
            <v>233</v>
          </cell>
          <cell r="K3567">
            <v>0</v>
          </cell>
          <cell r="L3567">
            <v>0.66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2.8326180257510729</v>
          </cell>
          <cell r="S3567">
            <v>0</v>
          </cell>
        </row>
        <row r="3568">
          <cell r="A3568" t="str">
            <v>Y052-209</v>
          </cell>
          <cell r="B3568">
            <v>0</v>
          </cell>
          <cell r="C3568" t="str">
            <v>Y052</v>
          </cell>
          <cell r="D3568" t="str">
            <v>1263-3  E</v>
          </cell>
          <cell r="E3568" t="str">
            <v>企柱上饰瑰Miếng Poly trang trí thanh đứng trên</v>
          </cell>
          <cell r="F3568" t="str">
            <v>52*31*8</v>
          </cell>
          <cell r="G3568">
            <v>52</v>
          </cell>
          <cell r="H3568">
            <v>31</v>
          </cell>
          <cell r="I3568">
            <v>8</v>
          </cell>
          <cell r="J3568">
            <v>18</v>
          </cell>
          <cell r="K3568">
            <v>0</v>
          </cell>
          <cell r="L3568">
            <v>0.05</v>
          </cell>
          <cell r="M3568">
            <v>0</v>
          </cell>
          <cell r="N3568">
            <v>0</v>
          </cell>
          <cell r="O3568">
            <v>0</v>
          </cell>
          <cell r="P3568" t="str">
            <v>1010</v>
          </cell>
          <cell r="Q3568" t="str">
            <v>1010</v>
          </cell>
          <cell r="R3568">
            <v>2.7777777777777781</v>
          </cell>
          <cell r="S3568">
            <v>0</v>
          </cell>
        </row>
        <row r="3569">
          <cell r="A3569" t="str">
            <v>Y052-210</v>
          </cell>
          <cell r="B3569">
            <v>0</v>
          </cell>
          <cell r="C3569" t="str">
            <v>Y052</v>
          </cell>
          <cell r="D3569" t="str">
            <v>1263-3  F</v>
          </cell>
          <cell r="E3569" t="str">
            <v>企柱下饰瑰Miếng Poly trang trí thanh đứng  dưới</v>
          </cell>
          <cell r="F3569" t="str">
            <v>78*41*9</v>
          </cell>
          <cell r="G3569">
            <v>78</v>
          </cell>
          <cell r="H3569">
            <v>41</v>
          </cell>
          <cell r="I3569">
            <v>9</v>
          </cell>
          <cell r="J3569">
            <v>39</v>
          </cell>
          <cell r="K3569">
            <v>0</v>
          </cell>
          <cell r="L3569">
            <v>0.13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3.3333333333333335</v>
          </cell>
          <cell r="S3569">
            <v>0</v>
          </cell>
        </row>
        <row r="3570">
          <cell r="A3570" t="str">
            <v>Y052-211</v>
          </cell>
          <cell r="B3570" t="str">
            <v>有木紋</v>
          </cell>
          <cell r="C3570" t="str">
            <v>Y052</v>
          </cell>
          <cell r="D3570" t="str">
            <v>1384TR</v>
          </cell>
          <cell r="E3570" t="str">
            <v>前板上饰条 chỉ dài</v>
          </cell>
          <cell r="F3570" t="str">
            <v>1910*13*4</v>
          </cell>
          <cell r="G3570">
            <v>1910</v>
          </cell>
          <cell r="H3570">
            <v>13</v>
          </cell>
          <cell r="I3570">
            <v>4</v>
          </cell>
          <cell r="J3570">
            <v>210</v>
          </cell>
          <cell r="K3570">
            <v>0</v>
          </cell>
          <cell r="L3570">
            <v>0.6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2.8571428571428572</v>
          </cell>
          <cell r="S3570">
            <v>0</v>
          </cell>
        </row>
        <row r="3571">
          <cell r="A3571" t="str">
            <v>Y052-212</v>
          </cell>
          <cell r="B3571" t="str">
            <v>有木紋</v>
          </cell>
          <cell r="C3571" t="str">
            <v>Y052</v>
          </cell>
          <cell r="D3571" t="str">
            <v>1384TR</v>
          </cell>
          <cell r="E3571" t="str">
            <v>前板侧饰条 chỉ ngắn</v>
          </cell>
          <cell r="F3571" t="str">
            <v>205*13*4</v>
          </cell>
          <cell r="G3571">
            <v>205</v>
          </cell>
          <cell r="H3571">
            <v>13</v>
          </cell>
          <cell r="I3571">
            <v>4</v>
          </cell>
          <cell r="J3571">
            <v>25</v>
          </cell>
          <cell r="K3571">
            <v>0</v>
          </cell>
          <cell r="L3571">
            <v>7.0000000000000007E-2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2.8000000000000003</v>
          </cell>
          <cell r="S3571">
            <v>0</v>
          </cell>
        </row>
        <row r="3572">
          <cell r="A3572" t="str">
            <v>Y052-213</v>
          </cell>
          <cell r="B3572">
            <v>0</v>
          </cell>
          <cell r="C3572" t="str">
            <v>Y052</v>
          </cell>
          <cell r="D3572" t="str">
            <v>1384-TB-HB/FB  A-1-1 内理木 có gỗ</v>
          </cell>
          <cell r="E3572" t="str">
            <v>床头脚柱上企柱（左）Chân trái 1</v>
          </cell>
          <cell r="F3572" t="str">
            <v>87*55*55</v>
          </cell>
          <cell r="G3572">
            <v>87</v>
          </cell>
          <cell r="H3572">
            <v>55</v>
          </cell>
          <cell r="I3572">
            <v>55</v>
          </cell>
          <cell r="J3572">
            <v>152</v>
          </cell>
          <cell r="K3572">
            <v>0</v>
          </cell>
          <cell r="L3572">
            <v>0.5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3.2894736842105265</v>
          </cell>
          <cell r="S3572">
            <v>0</v>
          </cell>
        </row>
        <row r="3573">
          <cell r="A3573" t="str">
            <v>Y052-214</v>
          </cell>
          <cell r="B3573">
            <v>0</v>
          </cell>
          <cell r="C3573" t="str">
            <v>Y052</v>
          </cell>
          <cell r="D3573" t="str">
            <v>1384-TB-HB/FB  A-1-1内理木 có gỗ</v>
          </cell>
          <cell r="E3573" t="str">
            <v>床头脚柱上企柱（右）Chân phải 1</v>
          </cell>
          <cell r="F3573" t="str">
            <v>87*55*55</v>
          </cell>
          <cell r="G3573">
            <v>87</v>
          </cell>
          <cell r="H3573">
            <v>55</v>
          </cell>
          <cell r="I3573">
            <v>55</v>
          </cell>
          <cell r="J3573">
            <v>152</v>
          </cell>
          <cell r="K3573">
            <v>0</v>
          </cell>
          <cell r="L3573">
            <v>0.5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3.2894736842105265</v>
          </cell>
          <cell r="S3573">
            <v>0</v>
          </cell>
        </row>
        <row r="3574">
          <cell r="A3574" t="str">
            <v>Y052-215</v>
          </cell>
          <cell r="B3574">
            <v>0</v>
          </cell>
          <cell r="C3574" t="str">
            <v>Y052</v>
          </cell>
          <cell r="D3574" t="str">
            <v>1384-TB-HB/FB  A-1-3内理木 có gỗ</v>
          </cell>
          <cell r="E3574" t="str">
            <v>床头脚柱下企柱 chân trụ dưới</v>
          </cell>
          <cell r="F3574" t="str">
            <v>178*45*45</v>
          </cell>
          <cell r="G3574">
            <v>178</v>
          </cell>
          <cell r="H3574">
            <v>45</v>
          </cell>
          <cell r="I3574">
            <v>45</v>
          </cell>
          <cell r="J3574">
            <v>156</v>
          </cell>
          <cell r="K3574">
            <v>0</v>
          </cell>
          <cell r="L3574">
            <v>0.5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3.2051282051282053</v>
          </cell>
          <cell r="S3574">
            <v>0</v>
          </cell>
        </row>
        <row r="3575">
          <cell r="A3575" t="str">
            <v>Y052-216</v>
          </cell>
          <cell r="B3575">
            <v>0</v>
          </cell>
          <cell r="C3575" t="str">
            <v>Y052</v>
          </cell>
          <cell r="D3575" t="str">
            <v>1384-TB-HB/FB  A-8</v>
          </cell>
          <cell r="E3575" t="str">
            <v>床头脚柱饰瑰 Miếng poly trang trí</v>
          </cell>
          <cell r="F3575" t="str">
            <v>60*31*9</v>
          </cell>
          <cell r="G3575">
            <v>60</v>
          </cell>
          <cell r="H3575">
            <v>31</v>
          </cell>
          <cell r="I3575">
            <v>9</v>
          </cell>
          <cell r="J3575">
            <v>18</v>
          </cell>
          <cell r="K3575">
            <v>0</v>
          </cell>
          <cell r="L3575">
            <v>0.06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3.3333333333333335</v>
          </cell>
          <cell r="S3575">
            <v>0</v>
          </cell>
        </row>
        <row r="3576">
          <cell r="A3576" t="str">
            <v>Y052-217</v>
          </cell>
          <cell r="B3576">
            <v>0</v>
          </cell>
          <cell r="C3576" t="str">
            <v>Y052</v>
          </cell>
          <cell r="D3576" t="str">
            <v>1384-TB-HB/FB  B-1-1内理木 có gỗ</v>
          </cell>
          <cell r="E3576" t="str">
            <v>床尾脚柱上企柱（左）Chân trái 1</v>
          </cell>
          <cell r="F3576" t="str">
            <v>87*55*55</v>
          </cell>
          <cell r="G3576">
            <v>87</v>
          </cell>
          <cell r="H3576">
            <v>55</v>
          </cell>
          <cell r="I3576">
            <v>55</v>
          </cell>
          <cell r="J3576">
            <v>152</v>
          </cell>
          <cell r="K3576">
            <v>0</v>
          </cell>
          <cell r="L3576">
            <v>0.5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3.2894736842105265</v>
          </cell>
          <cell r="S3576">
            <v>0</v>
          </cell>
        </row>
        <row r="3577">
          <cell r="A3577" t="str">
            <v>Y052-218</v>
          </cell>
          <cell r="B3577">
            <v>0</v>
          </cell>
          <cell r="C3577" t="str">
            <v>Y052</v>
          </cell>
          <cell r="D3577" t="str">
            <v>1384-TB-HB/FB  B-1-1内理木 có gỗ</v>
          </cell>
          <cell r="E3577" t="str">
            <v>床尾脚柱上企柱(右）Chân phải 1</v>
          </cell>
          <cell r="F3577" t="str">
            <v>87*55*55</v>
          </cell>
          <cell r="G3577">
            <v>87</v>
          </cell>
          <cell r="H3577">
            <v>55</v>
          </cell>
          <cell r="I3577">
            <v>55</v>
          </cell>
          <cell r="J3577">
            <v>152</v>
          </cell>
          <cell r="K3577">
            <v>0</v>
          </cell>
          <cell r="L3577">
            <v>0.5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3.2894736842105265</v>
          </cell>
          <cell r="S3577">
            <v>0</v>
          </cell>
        </row>
        <row r="3578">
          <cell r="A3578" t="str">
            <v>Y052-219</v>
          </cell>
          <cell r="B3578">
            <v>0</v>
          </cell>
          <cell r="C3578" t="str">
            <v>Y052</v>
          </cell>
          <cell r="D3578" t="str">
            <v>1384-TB-HB/FB  B-1-3内理木 có gỗ</v>
          </cell>
          <cell r="E3578" t="str">
            <v>床尾脚柱下企柱 Chân trụ dưới</v>
          </cell>
          <cell r="F3578" t="str">
            <v>178*45*45</v>
          </cell>
          <cell r="G3578">
            <v>178</v>
          </cell>
          <cell r="H3578">
            <v>45</v>
          </cell>
          <cell r="I3578">
            <v>45</v>
          </cell>
          <cell r="J3578">
            <v>156</v>
          </cell>
          <cell r="K3578">
            <v>0</v>
          </cell>
          <cell r="L3578">
            <v>0.5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3.2051282051282053</v>
          </cell>
          <cell r="S3578">
            <v>0</v>
          </cell>
        </row>
        <row r="3579">
          <cell r="A3579" t="str">
            <v>Y052-220</v>
          </cell>
          <cell r="B3579">
            <v>0</v>
          </cell>
          <cell r="C3579" t="str">
            <v>Y052</v>
          </cell>
          <cell r="D3579" t="str">
            <v>1384-TB-HB/FB  B-8</v>
          </cell>
          <cell r="E3579" t="str">
            <v>床尾脚柱饰瑰 Miếng Poly  trang tri</v>
          </cell>
          <cell r="F3579" t="str">
            <v>60*31*9</v>
          </cell>
          <cell r="G3579">
            <v>60</v>
          </cell>
          <cell r="H3579">
            <v>31</v>
          </cell>
          <cell r="I3579">
            <v>9</v>
          </cell>
          <cell r="J3579">
            <v>18</v>
          </cell>
          <cell r="K3579">
            <v>0</v>
          </cell>
          <cell r="L3579">
            <v>0.06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3.3333333333333335</v>
          </cell>
          <cell r="S3579">
            <v>0</v>
          </cell>
        </row>
        <row r="3580">
          <cell r="A3580" t="str">
            <v>Y052-221</v>
          </cell>
          <cell r="B3580">
            <v>0</v>
          </cell>
          <cell r="C3580" t="str">
            <v>Y052</v>
          </cell>
          <cell r="D3580" t="str">
            <v>1384-TB-HB/FB  A-1-1内理木 có gỗ</v>
          </cell>
          <cell r="E3580" t="str">
            <v>床头脚柱上企柱（左）Chân trái 1</v>
          </cell>
          <cell r="F3580" t="str">
            <v>87*55*55</v>
          </cell>
          <cell r="G3580">
            <v>87</v>
          </cell>
          <cell r="H3580">
            <v>55</v>
          </cell>
          <cell r="I3580">
            <v>55</v>
          </cell>
          <cell r="J3580">
            <v>152</v>
          </cell>
          <cell r="K3580">
            <v>0</v>
          </cell>
          <cell r="L3580">
            <v>0.5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3.2894736842105265</v>
          </cell>
          <cell r="S3580">
            <v>0</v>
          </cell>
        </row>
        <row r="3581">
          <cell r="A3581" t="str">
            <v>Y052-222</v>
          </cell>
          <cell r="B3581">
            <v>0</v>
          </cell>
          <cell r="C3581" t="str">
            <v>Y052</v>
          </cell>
          <cell r="D3581" t="str">
            <v>1384-TB-HB/FB  A-1-1内理木 có gỗ</v>
          </cell>
          <cell r="E3581" t="str">
            <v>床头脚柱上企柱（左）Chân phài 1</v>
          </cell>
          <cell r="F3581" t="str">
            <v>87*55*55</v>
          </cell>
          <cell r="G3581">
            <v>87</v>
          </cell>
          <cell r="H3581">
            <v>55</v>
          </cell>
          <cell r="I3581">
            <v>55</v>
          </cell>
          <cell r="J3581">
            <v>152</v>
          </cell>
          <cell r="K3581">
            <v>0</v>
          </cell>
          <cell r="L3581">
            <v>0.5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3.2894736842105265</v>
          </cell>
          <cell r="S3581">
            <v>0</v>
          </cell>
        </row>
        <row r="3582">
          <cell r="A3582" t="str">
            <v>Y052-223</v>
          </cell>
          <cell r="B3582">
            <v>0</v>
          </cell>
          <cell r="C3582" t="str">
            <v>Y052</v>
          </cell>
          <cell r="D3582" t="str">
            <v>1384-TB-HB/FB  A-1-3内理木 có gỗ</v>
          </cell>
          <cell r="E3582" t="str">
            <v>床头脚柱下企 Chân trụ dưới</v>
          </cell>
          <cell r="F3582" t="str">
            <v>178*45*45</v>
          </cell>
          <cell r="G3582">
            <v>178</v>
          </cell>
          <cell r="H3582">
            <v>45</v>
          </cell>
          <cell r="I3582">
            <v>45</v>
          </cell>
          <cell r="J3582">
            <v>156</v>
          </cell>
          <cell r="K3582">
            <v>0</v>
          </cell>
          <cell r="L3582">
            <v>0.5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3.2051282051282053</v>
          </cell>
          <cell r="S3582">
            <v>0</v>
          </cell>
        </row>
        <row r="3583">
          <cell r="A3583" t="str">
            <v>Y052-224</v>
          </cell>
          <cell r="B3583">
            <v>0</v>
          </cell>
          <cell r="C3583" t="str">
            <v>Y052</v>
          </cell>
          <cell r="D3583" t="str">
            <v>1384-TB-HB/FB  A-8</v>
          </cell>
          <cell r="E3583" t="str">
            <v>床头脚柱饰瑰Miếng poly trang trí</v>
          </cell>
          <cell r="F3583" t="str">
            <v>60*31*9</v>
          </cell>
          <cell r="G3583">
            <v>60</v>
          </cell>
          <cell r="H3583">
            <v>31</v>
          </cell>
          <cell r="I3583">
            <v>9</v>
          </cell>
          <cell r="J3583">
            <v>18</v>
          </cell>
          <cell r="K3583">
            <v>0</v>
          </cell>
          <cell r="L3583">
            <v>0.06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3.3333333333333335</v>
          </cell>
          <cell r="S3583">
            <v>0</v>
          </cell>
        </row>
        <row r="3584">
          <cell r="A3584" t="str">
            <v>Y052-225</v>
          </cell>
          <cell r="B3584">
            <v>0</v>
          </cell>
          <cell r="C3584" t="str">
            <v>Y052</v>
          </cell>
          <cell r="D3584" t="str">
            <v>1384-TB-HB/FB  B-1-1内理木 có gỗ</v>
          </cell>
          <cell r="E3584" t="str">
            <v>床尾脚柱上企柱（左）Chân trái 1</v>
          </cell>
          <cell r="F3584" t="str">
            <v>87*55*55</v>
          </cell>
          <cell r="G3584">
            <v>87</v>
          </cell>
          <cell r="H3584">
            <v>55</v>
          </cell>
          <cell r="I3584">
            <v>55</v>
          </cell>
          <cell r="J3584">
            <v>152</v>
          </cell>
          <cell r="K3584">
            <v>0</v>
          </cell>
          <cell r="L3584">
            <v>0.5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3.2894736842105265</v>
          </cell>
          <cell r="S3584">
            <v>0</v>
          </cell>
        </row>
        <row r="3585">
          <cell r="A3585" t="str">
            <v>Y052-226</v>
          </cell>
          <cell r="B3585">
            <v>0</v>
          </cell>
          <cell r="C3585" t="str">
            <v>Y052</v>
          </cell>
          <cell r="D3585" t="str">
            <v>1384-TB-HB/FB  B-1-1内理木 có gỗ</v>
          </cell>
          <cell r="E3585" t="str">
            <v>床尾脚柱上企柱（右）Chân phải 1</v>
          </cell>
          <cell r="F3585" t="str">
            <v>87*55*55</v>
          </cell>
          <cell r="G3585">
            <v>87</v>
          </cell>
          <cell r="H3585">
            <v>55</v>
          </cell>
          <cell r="I3585">
            <v>55</v>
          </cell>
          <cell r="J3585">
            <v>152</v>
          </cell>
          <cell r="K3585">
            <v>0</v>
          </cell>
          <cell r="L3585">
            <v>0.5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3.2894736842105265</v>
          </cell>
          <cell r="S3585">
            <v>0</v>
          </cell>
        </row>
        <row r="3586">
          <cell r="A3586" t="str">
            <v>Y052-227</v>
          </cell>
          <cell r="B3586">
            <v>0</v>
          </cell>
          <cell r="C3586" t="str">
            <v>Y052</v>
          </cell>
          <cell r="D3586" t="str">
            <v>1384-TB-HB/FB  B-1-3内理木 có gỗ</v>
          </cell>
          <cell r="E3586" t="str">
            <v>床尾脚柱下企柱 Chân trụ dưới</v>
          </cell>
          <cell r="F3586" t="str">
            <v>178*45*45</v>
          </cell>
          <cell r="G3586">
            <v>178</v>
          </cell>
          <cell r="H3586">
            <v>45</v>
          </cell>
          <cell r="I3586">
            <v>45</v>
          </cell>
          <cell r="J3586">
            <v>156</v>
          </cell>
          <cell r="K3586">
            <v>0</v>
          </cell>
          <cell r="L3586">
            <v>0.5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3.2051282051282053</v>
          </cell>
          <cell r="S3586">
            <v>0</v>
          </cell>
        </row>
        <row r="3587">
          <cell r="A3587" t="str">
            <v>Y052-228</v>
          </cell>
          <cell r="B3587">
            <v>0</v>
          </cell>
          <cell r="C3587" t="str">
            <v>Y052</v>
          </cell>
          <cell r="D3587" t="str">
            <v>1384-TB-HB/FB  B-8</v>
          </cell>
          <cell r="E3587" t="str">
            <v>床尾脚柱饰瑰 Miếng Poly  trang tri</v>
          </cell>
          <cell r="F3587" t="str">
            <v>60*31*9</v>
          </cell>
          <cell r="G3587">
            <v>60</v>
          </cell>
          <cell r="H3587">
            <v>31</v>
          </cell>
          <cell r="I3587">
            <v>9</v>
          </cell>
          <cell r="J3587">
            <v>18</v>
          </cell>
          <cell r="K3587">
            <v>0</v>
          </cell>
          <cell r="L3587">
            <v>0.06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3.3333333333333335</v>
          </cell>
          <cell r="S3587">
            <v>0</v>
          </cell>
        </row>
        <row r="3588">
          <cell r="A3588" t="str">
            <v>Y052-229</v>
          </cell>
          <cell r="B3588" t="str">
            <v>掛衣桿身型</v>
          </cell>
          <cell r="C3588" t="str">
            <v>Y052</v>
          </cell>
          <cell r="D3588" t="str">
            <v>1265DT B-1 内理木 CÓ GỖ</v>
          </cell>
          <cell r="E3588" t="str">
            <v>下企柱 Trụ Đứng</v>
          </cell>
          <cell r="F3588" t="str">
            <v>303*43*43</v>
          </cell>
          <cell r="G3588">
            <v>303</v>
          </cell>
          <cell r="H3588">
            <v>43</v>
          </cell>
          <cell r="I3588">
            <v>43</v>
          </cell>
          <cell r="J3588">
            <v>334</v>
          </cell>
          <cell r="K3588">
            <v>0</v>
          </cell>
          <cell r="L3588">
            <v>1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2.9940119760479038</v>
          </cell>
          <cell r="S3588">
            <v>0</v>
          </cell>
        </row>
        <row r="3589">
          <cell r="A3589" t="str">
            <v>Y052-230</v>
          </cell>
          <cell r="B3589" t="str">
            <v>一體成型-二孔</v>
          </cell>
          <cell r="C3589" t="str">
            <v>Y052</v>
          </cell>
          <cell r="D3589" t="str">
            <v>1265DT B-3内理木 CÓ GỖ</v>
          </cell>
          <cell r="E3589" t="str">
            <v>上饰柱 Poly trang trí</v>
          </cell>
          <cell r="F3589" t="str">
            <v>150*37*37</v>
          </cell>
          <cell r="G3589">
            <v>150</v>
          </cell>
          <cell r="H3589">
            <v>37</v>
          </cell>
          <cell r="I3589">
            <v>37</v>
          </cell>
          <cell r="J3589">
            <v>139</v>
          </cell>
          <cell r="K3589">
            <v>0</v>
          </cell>
          <cell r="L3589">
            <v>0.4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2.8776978417266186</v>
          </cell>
          <cell r="S3589">
            <v>0</v>
          </cell>
        </row>
        <row r="3590">
          <cell r="A3590" t="str">
            <v>Y052-231</v>
          </cell>
          <cell r="B3590">
            <v>0</v>
          </cell>
          <cell r="C3590" t="str">
            <v>Y052</v>
          </cell>
          <cell r="D3590" t="str">
            <v>1265DT D-1内理铁片CÓ SẮT</v>
          </cell>
          <cell r="E3590" t="str">
            <v>活动饰瑰miếng poly di động</v>
          </cell>
          <cell r="F3590" t="str">
            <v>39*24*6</v>
          </cell>
          <cell r="G3590">
            <v>39</v>
          </cell>
          <cell r="H3590">
            <v>24</v>
          </cell>
          <cell r="I3590">
            <v>6</v>
          </cell>
          <cell r="J3590">
            <v>0</v>
          </cell>
          <cell r="K3590">
            <v>0</v>
          </cell>
          <cell r="L3590">
            <v>0.05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 t="e">
            <v>#DIV/0!</v>
          </cell>
          <cell r="S3590">
            <v>0</v>
          </cell>
        </row>
        <row r="3591">
          <cell r="A3591" t="str">
            <v>Y052-232</v>
          </cell>
          <cell r="B3591">
            <v>0</v>
          </cell>
          <cell r="C3591" t="str">
            <v>Y052</v>
          </cell>
          <cell r="D3591" t="str">
            <v>1265DT D-2</v>
          </cell>
          <cell r="E3591" t="str">
            <v>固定饰 miếng  poly cố định</v>
          </cell>
          <cell r="F3591" t="str">
            <v>39*24*6</v>
          </cell>
          <cell r="G3591">
            <v>39</v>
          </cell>
          <cell r="H3591">
            <v>24</v>
          </cell>
          <cell r="I3591">
            <v>6</v>
          </cell>
          <cell r="J3591">
            <v>0</v>
          </cell>
          <cell r="K3591">
            <v>0</v>
          </cell>
          <cell r="L3591">
            <v>0.04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 t="e">
            <v>#DIV/0!</v>
          </cell>
          <cell r="S3591">
            <v>0</v>
          </cell>
        </row>
        <row r="3592">
          <cell r="A3592" t="str">
            <v>Y052-233</v>
          </cell>
          <cell r="B3592">
            <v>0</v>
          </cell>
          <cell r="C3592" t="str">
            <v>Y052</v>
          </cell>
          <cell r="D3592" t="str">
            <v>1263-3GR</v>
          </cell>
          <cell r="E3592" t="str">
            <v xml:space="preserve">護欗下横饰条 Dây poly trang trí lan can </v>
          </cell>
          <cell r="F3592" t="str">
            <v>740*26*6</v>
          </cell>
          <cell r="G3592">
            <v>740</v>
          </cell>
          <cell r="H3592">
            <v>26</v>
          </cell>
          <cell r="I3592">
            <v>6</v>
          </cell>
          <cell r="J3592">
            <v>240</v>
          </cell>
          <cell r="K3592">
            <v>0</v>
          </cell>
          <cell r="L3592">
            <v>0.66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2.7500000000000004</v>
          </cell>
          <cell r="S3592">
            <v>0</v>
          </cell>
        </row>
        <row r="3593">
          <cell r="A3593" t="str">
            <v>Y052-234</v>
          </cell>
          <cell r="B3593">
            <v>0</v>
          </cell>
          <cell r="C3593" t="str">
            <v>Y052</v>
          </cell>
          <cell r="D3593" t="str">
            <v>1384-FB-HB/FB  A-1-1 内理木 có gỗ</v>
          </cell>
          <cell r="E3593" t="str">
            <v>床头脚柱上企柱（左）Chân trái 1</v>
          </cell>
          <cell r="F3593" t="str">
            <v>87*55*55</v>
          </cell>
          <cell r="G3593">
            <v>87</v>
          </cell>
          <cell r="H3593">
            <v>55</v>
          </cell>
          <cell r="I3593">
            <v>55</v>
          </cell>
          <cell r="J3593">
            <v>152</v>
          </cell>
          <cell r="K3593">
            <v>0</v>
          </cell>
          <cell r="L3593">
            <v>0.5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3.2894736842105265</v>
          </cell>
          <cell r="S3593">
            <v>0</v>
          </cell>
        </row>
        <row r="3594">
          <cell r="A3594" t="str">
            <v>Y052-235</v>
          </cell>
          <cell r="B3594">
            <v>0</v>
          </cell>
          <cell r="C3594" t="str">
            <v>Y052</v>
          </cell>
          <cell r="D3594" t="str">
            <v>1384-FB-HB/FB  A-1-1内理木 có gỗ</v>
          </cell>
          <cell r="E3594" t="str">
            <v>床头脚柱上企柱（右）Chân phải 1</v>
          </cell>
          <cell r="F3594" t="str">
            <v>87*55*55</v>
          </cell>
          <cell r="G3594">
            <v>87</v>
          </cell>
          <cell r="H3594">
            <v>55</v>
          </cell>
          <cell r="I3594">
            <v>55</v>
          </cell>
          <cell r="J3594">
            <v>152</v>
          </cell>
          <cell r="K3594">
            <v>0</v>
          </cell>
          <cell r="L3594">
            <v>0.5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3.2894736842105265</v>
          </cell>
          <cell r="S3594">
            <v>0</v>
          </cell>
        </row>
        <row r="3595">
          <cell r="A3595" t="str">
            <v>Y052-236</v>
          </cell>
          <cell r="B3595">
            <v>0</v>
          </cell>
          <cell r="C3595" t="str">
            <v>Y052</v>
          </cell>
          <cell r="D3595" t="str">
            <v>1384-FB-HB/FB  A-1-3内理木 có gỗ</v>
          </cell>
          <cell r="E3595" t="str">
            <v>床头脚柱下企柱 chân trụ dưới</v>
          </cell>
          <cell r="F3595" t="str">
            <v>178*45*45</v>
          </cell>
          <cell r="G3595">
            <v>178</v>
          </cell>
          <cell r="H3595">
            <v>45</v>
          </cell>
          <cell r="I3595">
            <v>45</v>
          </cell>
          <cell r="J3595">
            <v>156</v>
          </cell>
          <cell r="K3595">
            <v>0</v>
          </cell>
          <cell r="L3595">
            <v>0.5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3.2051282051282053</v>
          </cell>
          <cell r="S3595">
            <v>0</v>
          </cell>
        </row>
        <row r="3596">
          <cell r="A3596" t="str">
            <v>Y052-237</v>
          </cell>
          <cell r="B3596">
            <v>0</v>
          </cell>
          <cell r="C3596" t="str">
            <v>Y052</v>
          </cell>
          <cell r="D3596" t="str">
            <v>1384-FB-HB/FB  A-8</v>
          </cell>
          <cell r="E3596" t="str">
            <v>床头脚柱饰瑰 Miếng poly trang trí</v>
          </cell>
          <cell r="F3596" t="str">
            <v>60*31*9</v>
          </cell>
          <cell r="G3596">
            <v>60</v>
          </cell>
          <cell r="H3596">
            <v>31</v>
          </cell>
          <cell r="I3596">
            <v>9</v>
          </cell>
          <cell r="J3596">
            <v>18</v>
          </cell>
          <cell r="K3596">
            <v>0</v>
          </cell>
          <cell r="L3596">
            <v>0.06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3.3333333333333335</v>
          </cell>
          <cell r="S3596">
            <v>0</v>
          </cell>
        </row>
        <row r="3597">
          <cell r="A3597" t="str">
            <v>Y052-238</v>
          </cell>
          <cell r="B3597">
            <v>0</v>
          </cell>
          <cell r="C3597" t="str">
            <v>Y052</v>
          </cell>
          <cell r="D3597" t="str">
            <v>1384-FB-HB/FB  B-1-1内理木 có gỗ</v>
          </cell>
          <cell r="E3597" t="str">
            <v>床尾脚柱上企柱（左）Chân trái 1</v>
          </cell>
          <cell r="F3597" t="str">
            <v>87*55*55</v>
          </cell>
          <cell r="G3597">
            <v>87</v>
          </cell>
          <cell r="H3597">
            <v>55</v>
          </cell>
          <cell r="I3597">
            <v>55</v>
          </cell>
          <cell r="J3597">
            <v>0</v>
          </cell>
          <cell r="K3597">
            <v>0</v>
          </cell>
          <cell r="L3597">
            <v>0.5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 t="e">
            <v>#DIV/0!</v>
          </cell>
          <cell r="S3597">
            <v>0</v>
          </cell>
        </row>
        <row r="3598">
          <cell r="A3598" t="str">
            <v>Y052-239</v>
          </cell>
          <cell r="B3598">
            <v>0</v>
          </cell>
          <cell r="C3598" t="str">
            <v>Y052</v>
          </cell>
          <cell r="D3598" t="str">
            <v>1384-FB-HB/FB  B-1-1内理木 có gỗ</v>
          </cell>
          <cell r="E3598" t="str">
            <v>床尾脚柱上企柱(右）Chân phải 1</v>
          </cell>
          <cell r="F3598" t="str">
            <v>87*55*55</v>
          </cell>
          <cell r="G3598">
            <v>87</v>
          </cell>
          <cell r="H3598">
            <v>55</v>
          </cell>
          <cell r="I3598">
            <v>55</v>
          </cell>
          <cell r="J3598">
            <v>0</v>
          </cell>
          <cell r="K3598">
            <v>0</v>
          </cell>
          <cell r="L3598">
            <v>0.5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 t="e">
            <v>#DIV/0!</v>
          </cell>
          <cell r="S3598">
            <v>0</v>
          </cell>
        </row>
        <row r="3599">
          <cell r="A3599" t="str">
            <v>Y052-240</v>
          </cell>
          <cell r="B3599">
            <v>0</v>
          </cell>
          <cell r="C3599" t="str">
            <v>Y052</v>
          </cell>
          <cell r="D3599" t="str">
            <v>1384-FB-HB/FB  B-1-3内理木 có gỗ</v>
          </cell>
          <cell r="E3599" t="str">
            <v>床尾脚柱下企柱 Chân trụ dưới</v>
          </cell>
          <cell r="F3599" t="str">
            <v>178*45*45</v>
          </cell>
          <cell r="G3599">
            <v>178</v>
          </cell>
          <cell r="H3599">
            <v>45</v>
          </cell>
          <cell r="I3599">
            <v>45</v>
          </cell>
          <cell r="J3599">
            <v>0</v>
          </cell>
          <cell r="K3599">
            <v>0</v>
          </cell>
          <cell r="L3599">
            <v>0.5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 t="e">
            <v>#DIV/0!</v>
          </cell>
          <cell r="S3599">
            <v>0</v>
          </cell>
        </row>
        <row r="3600">
          <cell r="A3600" t="str">
            <v>Y052-241</v>
          </cell>
          <cell r="B3600">
            <v>0</v>
          </cell>
          <cell r="C3600" t="str">
            <v>Y052</v>
          </cell>
          <cell r="D3600" t="str">
            <v>1384-FB-HB/FB  B-8</v>
          </cell>
          <cell r="E3600" t="str">
            <v>床尾脚柱饰瑰 Miếng Poly  trang tri</v>
          </cell>
          <cell r="F3600" t="str">
            <v>60*31*9</v>
          </cell>
          <cell r="G3600">
            <v>60</v>
          </cell>
          <cell r="H3600">
            <v>31</v>
          </cell>
          <cell r="I3600">
            <v>9</v>
          </cell>
          <cell r="J3600">
            <v>18</v>
          </cell>
          <cell r="K3600">
            <v>0</v>
          </cell>
          <cell r="L3600">
            <v>0.06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3.3333333333333335</v>
          </cell>
          <cell r="S3600">
            <v>0</v>
          </cell>
        </row>
        <row r="3601">
          <cell r="A3601" t="str">
            <v>Y052-242</v>
          </cell>
          <cell r="B3601">
            <v>0</v>
          </cell>
          <cell r="C3601" t="str">
            <v>Y052</v>
          </cell>
          <cell r="D3601" t="str">
            <v>33500FB-HB/FB A-8</v>
          </cell>
          <cell r="E3601" t="str">
            <v>床头转角饰条Chỉ Poly panel đầu giường</v>
          </cell>
          <cell r="F3601" t="str">
            <v>244*58*5</v>
          </cell>
          <cell r="G3601">
            <v>244</v>
          </cell>
          <cell r="H3601">
            <v>58</v>
          </cell>
          <cell r="I3601">
            <v>5</v>
          </cell>
          <cell r="J3601">
            <v>58</v>
          </cell>
          <cell r="K3601">
            <v>0</v>
          </cell>
          <cell r="L3601">
            <v>0.18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1010</v>
          </cell>
          <cell r="R3601">
            <v>3.1034482758620685</v>
          </cell>
          <cell r="S3601">
            <v>0</v>
          </cell>
        </row>
        <row r="3602">
          <cell r="A3602" t="str">
            <v>Y052-243</v>
          </cell>
          <cell r="B3602">
            <v>0</v>
          </cell>
          <cell r="C3602" t="str">
            <v>Y052</v>
          </cell>
          <cell r="D3602" t="str">
            <v>3500FB-HB/FB B-8</v>
          </cell>
          <cell r="E3602" t="str">
            <v>床尾转角饰条Chỉ Poly panel đuôi giường</v>
          </cell>
          <cell r="F3602" t="str">
            <v>244*58*5</v>
          </cell>
          <cell r="G3602">
            <v>244</v>
          </cell>
          <cell r="H3602">
            <v>58</v>
          </cell>
          <cell r="I3602">
            <v>5</v>
          </cell>
          <cell r="J3602">
            <v>58</v>
          </cell>
          <cell r="K3602">
            <v>0</v>
          </cell>
          <cell r="L3602">
            <v>0.18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1010</v>
          </cell>
          <cell r="R3602">
            <v>3.1034482758620685</v>
          </cell>
          <cell r="S3602">
            <v>0</v>
          </cell>
        </row>
        <row r="3603">
          <cell r="A3603" t="str">
            <v>Y052-244</v>
          </cell>
          <cell r="B3603">
            <v>0</v>
          </cell>
          <cell r="C3603" t="str">
            <v>Y052</v>
          </cell>
          <cell r="D3603" t="str">
            <v>33500BTF-HB/FB A-8</v>
          </cell>
          <cell r="E3603" t="str">
            <v>床头转角饰条Chỉ Poly panel đầu giường</v>
          </cell>
          <cell r="F3603" t="str">
            <v>244*58*5</v>
          </cell>
          <cell r="G3603">
            <v>244</v>
          </cell>
          <cell r="H3603">
            <v>58</v>
          </cell>
          <cell r="I3603">
            <v>5</v>
          </cell>
          <cell r="J3603">
            <v>58</v>
          </cell>
          <cell r="K3603">
            <v>0</v>
          </cell>
          <cell r="L3603">
            <v>0.18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1010</v>
          </cell>
          <cell r="R3603">
            <v>3.1034482758620685</v>
          </cell>
          <cell r="S3603">
            <v>0</v>
          </cell>
        </row>
        <row r="3604">
          <cell r="A3604" t="str">
            <v>Y052-245</v>
          </cell>
          <cell r="B3604">
            <v>0</v>
          </cell>
          <cell r="C3604" t="str">
            <v>Y052</v>
          </cell>
          <cell r="D3604" t="str">
            <v>3500BTF-HB/FB B-8</v>
          </cell>
          <cell r="E3604" t="str">
            <v>床尾转角饰条Chỉ Poly panel đuôi giường</v>
          </cell>
          <cell r="F3604" t="str">
            <v>244*58*5</v>
          </cell>
          <cell r="G3604">
            <v>244</v>
          </cell>
          <cell r="H3604">
            <v>58</v>
          </cell>
          <cell r="I3604">
            <v>5</v>
          </cell>
          <cell r="J3604">
            <v>58</v>
          </cell>
          <cell r="K3604">
            <v>0</v>
          </cell>
          <cell r="L3604">
            <v>0.18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1010</v>
          </cell>
          <cell r="R3604">
            <v>3.1034482758620685</v>
          </cell>
          <cell r="S3604">
            <v>0</v>
          </cell>
        </row>
        <row r="3605">
          <cell r="A3605" t="str">
            <v>Y052-246</v>
          </cell>
          <cell r="B3605">
            <v>0</v>
          </cell>
          <cell r="C3605" t="str">
            <v>Y052</v>
          </cell>
          <cell r="D3605" t="str">
            <v>660-5  A</v>
          </cell>
          <cell r="E3605" t="str">
            <v>面板 Ván Mặt</v>
          </cell>
          <cell r="F3605" t="str">
            <v>1067*508*18</v>
          </cell>
          <cell r="G3605">
            <v>1067</v>
          </cell>
          <cell r="H3605">
            <v>508</v>
          </cell>
          <cell r="I3605">
            <v>18</v>
          </cell>
          <cell r="J3605">
            <v>712</v>
          </cell>
          <cell r="K3605">
            <v>0</v>
          </cell>
          <cell r="L3605">
            <v>2.5</v>
          </cell>
          <cell r="M3605">
            <v>0</v>
          </cell>
          <cell r="N3605">
            <v>6300</v>
          </cell>
          <cell r="O3605">
            <v>0</v>
          </cell>
          <cell r="P3605">
            <v>0</v>
          </cell>
          <cell r="Q3605">
            <v>0</v>
          </cell>
          <cell r="R3605">
            <v>3.51123595505618</v>
          </cell>
          <cell r="S3605">
            <v>0</v>
          </cell>
        </row>
        <row r="3606">
          <cell r="A3606" t="str">
            <v>Y052-247</v>
          </cell>
          <cell r="B3606">
            <v>0</v>
          </cell>
          <cell r="C3606" t="str">
            <v>Y052</v>
          </cell>
          <cell r="D3606" t="str">
            <v>660-5  B-1</v>
          </cell>
          <cell r="E3606" t="str">
            <v>前框脚柱 Chân Trụ</v>
          </cell>
          <cell r="F3606" t="str">
            <v>1338*67*67</v>
          </cell>
          <cell r="G3606">
            <v>1338</v>
          </cell>
          <cell r="H3606">
            <v>67</v>
          </cell>
          <cell r="I3606">
            <v>67</v>
          </cell>
          <cell r="J3606">
            <v>1896</v>
          </cell>
          <cell r="K3606">
            <v>0</v>
          </cell>
          <cell r="L3606">
            <v>4.5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2.3734177215189876</v>
          </cell>
          <cell r="S3606">
            <v>0</v>
          </cell>
        </row>
        <row r="3607">
          <cell r="A3607" t="str">
            <v>Y052-248</v>
          </cell>
          <cell r="B3607">
            <v>0</v>
          </cell>
          <cell r="C3607" t="str">
            <v>Y052</v>
          </cell>
          <cell r="D3607" t="str">
            <v>660-5  B-6</v>
          </cell>
          <cell r="E3607" t="str">
            <v>前框下横饰条 Chỉ khung trước dưới</v>
          </cell>
          <cell r="F3607" t="str">
            <v>875*70.5*9</v>
          </cell>
          <cell r="G3607">
            <v>875</v>
          </cell>
          <cell r="H3607">
            <v>70.5</v>
          </cell>
          <cell r="I3607">
            <v>9</v>
          </cell>
          <cell r="J3607">
            <v>0</v>
          </cell>
          <cell r="K3607">
            <v>0</v>
          </cell>
          <cell r="L3607">
            <v>1.02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 t="e">
            <v>#DIV/0!</v>
          </cell>
          <cell r="S3607">
            <v>0</v>
          </cell>
        </row>
        <row r="3608">
          <cell r="A3608" t="str">
            <v>Y052-249</v>
          </cell>
          <cell r="B3608">
            <v>0</v>
          </cell>
          <cell r="C3608" t="str">
            <v>Y052</v>
          </cell>
          <cell r="D3608" t="str">
            <v>660-5  C-1</v>
          </cell>
          <cell r="E3608" t="str">
            <v>后框脚柱（左）Chân trụ trái</v>
          </cell>
          <cell r="F3608" t="str">
            <v>1338*67*67</v>
          </cell>
          <cell r="G3608">
            <v>1338</v>
          </cell>
          <cell r="H3608">
            <v>67</v>
          </cell>
          <cell r="I3608">
            <v>67</v>
          </cell>
          <cell r="J3608">
            <v>1655</v>
          </cell>
          <cell r="K3608">
            <v>0</v>
          </cell>
          <cell r="L3608">
            <v>4.2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2.5377643504531724</v>
          </cell>
          <cell r="S3608">
            <v>0</v>
          </cell>
        </row>
        <row r="3609">
          <cell r="A3609" t="str">
            <v>Y052-250</v>
          </cell>
          <cell r="B3609">
            <v>0</v>
          </cell>
          <cell r="C3609" t="str">
            <v>Y052</v>
          </cell>
          <cell r="D3609" t="str">
            <v>660-5  C-1</v>
          </cell>
          <cell r="E3609" t="str">
            <v xml:space="preserve">后框脚柱（右）Chân trụ phải </v>
          </cell>
          <cell r="F3609" t="str">
            <v>1338*67*67</v>
          </cell>
          <cell r="G3609">
            <v>1338</v>
          </cell>
          <cell r="H3609">
            <v>67</v>
          </cell>
          <cell r="I3609">
            <v>67</v>
          </cell>
          <cell r="J3609">
            <v>1655</v>
          </cell>
          <cell r="K3609">
            <v>0</v>
          </cell>
          <cell r="L3609">
            <v>4.2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2.5377643504531724</v>
          </cell>
          <cell r="S3609">
            <v>0</v>
          </cell>
        </row>
        <row r="3610">
          <cell r="A3610" t="str">
            <v>Y052-251</v>
          </cell>
          <cell r="B3610">
            <v>0</v>
          </cell>
          <cell r="C3610" t="str">
            <v>Y052</v>
          </cell>
          <cell r="D3610" t="str">
            <v>660-5  D-4</v>
          </cell>
          <cell r="E3610" t="str">
            <v>侧板下贴条 Chỉ hong dưới</v>
          </cell>
          <cell r="F3610" t="str">
            <v>367*74*9</v>
          </cell>
          <cell r="G3610">
            <v>367</v>
          </cell>
          <cell r="H3610">
            <v>74</v>
          </cell>
          <cell r="I3610">
            <v>9</v>
          </cell>
          <cell r="J3610">
            <v>176</v>
          </cell>
          <cell r="K3610">
            <v>0</v>
          </cell>
          <cell r="L3610">
            <v>0.5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2.8409090909090913</v>
          </cell>
          <cell r="S3610">
            <v>0</v>
          </cell>
        </row>
        <row r="3611">
          <cell r="A3611" t="str">
            <v>Y052-252</v>
          </cell>
          <cell r="B3611">
            <v>0</v>
          </cell>
          <cell r="C3611" t="str">
            <v>Y052</v>
          </cell>
          <cell r="D3611" t="str">
            <v>1384-CHO 沒木紋</v>
          </cell>
          <cell r="E3611" t="str">
            <v>床头脚柱上企柱</v>
          </cell>
          <cell r="F3611" t="str">
            <v>87*55*55</v>
          </cell>
          <cell r="G3611">
            <v>87</v>
          </cell>
          <cell r="H3611">
            <v>55</v>
          </cell>
          <cell r="I3611">
            <v>55</v>
          </cell>
          <cell r="J3611">
            <v>159</v>
          </cell>
          <cell r="K3611">
            <v>0</v>
          </cell>
          <cell r="L3611">
            <v>0.55000000000000004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3.459119496855346</v>
          </cell>
          <cell r="S3611">
            <v>0</v>
          </cell>
        </row>
        <row r="3612">
          <cell r="A3612" t="str">
            <v>Y052-253</v>
          </cell>
          <cell r="B3612">
            <v>0</v>
          </cell>
          <cell r="C3612" t="str">
            <v>Y052</v>
          </cell>
          <cell r="D3612" t="str">
            <v>1384-CHO沒木紋</v>
          </cell>
          <cell r="E3612" t="str">
            <v>床头脚柱下企柱 chân trụ dưới</v>
          </cell>
          <cell r="F3612" t="str">
            <v>178*45*45</v>
          </cell>
          <cell r="G3612">
            <v>178</v>
          </cell>
          <cell r="H3612">
            <v>45</v>
          </cell>
          <cell r="I3612">
            <v>45</v>
          </cell>
          <cell r="J3612">
            <v>170</v>
          </cell>
          <cell r="K3612">
            <v>0</v>
          </cell>
          <cell r="L3612">
            <v>0.55000000000000004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3.2352941176470589</v>
          </cell>
          <cell r="S3612">
            <v>0</v>
          </cell>
        </row>
        <row r="3613">
          <cell r="A3613" t="str">
            <v>Y052-254</v>
          </cell>
          <cell r="B3613">
            <v>0</v>
          </cell>
          <cell r="C3613" t="str">
            <v>Y052</v>
          </cell>
          <cell r="D3613" t="str">
            <v>1384-CHO沒木紋</v>
          </cell>
          <cell r="E3613" t="str">
            <v>床头脚柱饰瑰 Miếng poly trang trí</v>
          </cell>
          <cell r="F3613" t="str">
            <v>60*31*9</v>
          </cell>
          <cell r="G3613">
            <v>60</v>
          </cell>
          <cell r="H3613">
            <v>31</v>
          </cell>
          <cell r="I3613">
            <v>9</v>
          </cell>
          <cell r="J3613">
            <v>23</v>
          </cell>
          <cell r="K3613">
            <v>0</v>
          </cell>
          <cell r="L3613">
            <v>6.8000000000000005E-2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2.956521739130435</v>
          </cell>
          <cell r="S3613">
            <v>0</v>
          </cell>
        </row>
        <row r="3614">
          <cell r="A3614" t="str">
            <v>Y052-255</v>
          </cell>
          <cell r="B3614">
            <v>0</v>
          </cell>
          <cell r="C3614" t="str">
            <v>Y052</v>
          </cell>
          <cell r="D3614" t="str">
            <v>1384-CHO沒木紋</v>
          </cell>
          <cell r="E3614" t="str">
            <v>床尾脚柱上企柱</v>
          </cell>
          <cell r="F3614" t="str">
            <v>87*55*55</v>
          </cell>
          <cell r="G3614">
            <v>87</v>
          </cell>
          <cell r="H3614">
            <v>55</v>
          </cell>
          <cell r="I3614">
            <v>55</v>
          </cell>
          <cell r="J3614">
            <v>159</v>
          </cell>
          <cell r="K3614">
            <v>0</v>
          </cell>
          <cell r="L3614">
            <v>0.55000000000000004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3.459119496855346</v>
          </cell>
          <cell r="S3614">
            <v>0</v>
          </cell>
        </row>
        <row r="3615">
          <cell r="A3615" t="str">
            <v>Y052-256</v>
          </cell>
          <cell r="B3615">
            <v>0</v>
          </cell>
          <cell r="C3615" t="str">
            <v>Y052</v>
          </cell>
          <cell r="D3615" t="str">
            <v>1384-CHO沒木紋</v>
          </cell>
          <cell r="E3615" t="str">
            <v>床尾脚柱下企柱 Chân trụ dưới</v>
          </cell>
          <cell r="F3615" t="str">
            <v>178*45*45</v>
          </cell>
          <cell r="G3615">
            <v>178</v>
          </cell>
          <cell r="H3615">
            <v>45</v>
          </cell>
          <cell r="I3615">
            <v>45</v>
          </cell>
          <cell r="J3615">
            <v>170</v>
          </cell>
          <cell r="K3615">
            <v>0</v>
          </cell>
          <cell r="L3615">
            <v>0.55000000000000004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3.2352941176470589</v>
          </cell>
          <cell r="S3615">
            <v>0</v>
          </cell>
        </row>
        <row r="3616">
          <cell r="A3616" t="str">
            <v>Y052-257</v>
          </cell>
          <cell r="B3616">
            <v>0</v>
          </cell>
          <cell r="C3616" t="str">
            <v>Y052</v>
          </cell>
          <cell r="D3616" t="str">
            <v>1384-CHO沒木紋</v>
          </cell>
          <cell r="E3616" t="str">
            <v>床尾脚柱饰瑰 Miếng Poly  trang tri</v>
          </cell>
          <cell r="F3616" t="str">
            <v>60*31*9</v>
          </cell>
          <cell r="G3616">
            <v>60</v>
          </cell>
          <cell r="H3616">
            <v>31</v>
          </cell>
          <cell r="I3616">
            <v>9</v>
          </cell>
          <cell r="J3616">
            <v>23</v>
          </cell>
          <cell r="K3616">
            <v>0</v>
          </cell>
          <cell r="L3616">
            <v>6.8000000000000005E-2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2.956521739130435</v>
          </cell>
          <cell r="S3616">
            <v>0</v>
          </cell>
        </row>
        <row r="3617">
          <cell r="A3617" t="str">
            <v>Y052-258</v>
          </cell>
          <cell r="B3617">
            <v>0</v>
          </cell>
          <cell r="C3617" t="str">
            <v>Y052</v>
          </cell>
          <cell r="D3617" t="str">
            <v>1381-CHO沒木紋</v>
          </cell>
          <cell r="E3617" t="str">
            <v>脚柱 Chân</v>
          </cell>
          <cell r="F3617" t="str">
            <v>244*55*55</v>
          </cell>
          <cell r="G3617">
            <v>244</v>
          </cell>
          <cell r="H3617">
            <v>55</v>
          </cell>
          <cell r="I3617">
            <v>55</v>
          </cell>
          <cell r="J3617">
            <v>338</v>
          </cell>
          <cell r="K3617">
            <v>0</v>
          </cell>
          <cell r="L3617">
            <v>1.05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3.1065088757396451</v>
          </cell>
          <cell r="S3617">
            <v>0</v>
          </cell>
        </row>
        <row r="3618">
          <cell r="A3618" t="str">
            <v>Y052-259</v>
          </cell>
          <cell r="B3618">
            <v>0</v>
          </cell>
          <cell r="C3618" t="str">
            <v>Y052</v>
          </cell>
          <cell r="D3618" t="str">
            <v>1381-CHO沒木紋</v>
          </cell>
          <cell r="E3618" t="str">
            <v>脚柱饰瑰 Poly trang trí</v>
          </cell>
          <cell r="F3618" t="str">
            <v>60*31*8.5</v>
          </cell>
          <cell r="G3618">
            <v>60</v>
          </cell>
          <cell r="H3618">
            <v>31</v>
          </cell>
          <cell r="I3618">
            <v>8.5</v>
          </cell>
          <cell r="J3618">
            <v>23</v>
          </cell>
          <cell r="K3618">
            <v>0</v>
          </cell>
          <cell r="L3618">
            <v>6.8000000000000005E-2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2.956521739130435</v>
          </cell>
          <cell r="S3618">
            <v>0</v>
          </cell>
        </row>
        <row r="3619">
          <cell r="A3619" t="str">
            <v>Y052-260</v>
          </cell>
          <cell r="B3619">
            <v>0</v>
          </cell>
          <cell r="C3619" t="str">
            <v>Y052</v>
          </cell>
          <cell r="D3619" t="str">
            <v>1381-CHO沒木紋</v>
          </cell>
          <cell r="E3619" t="str">
            <v>脚柱 Chân</v>
          </cell>
          <cell r="F3619" t="str">
            <v>244*55*55</v>
          </cell>
          <cell r="G3619">
            <v>244</v>
          </cell>
          <cell r="H3619">
            <v>55</v>
          </cell>
          <cell r="I3619">
            <v>55</v>
          </cell>
          <cell r="J3619">
            <v>338</v>
          </cell>
          <cell r="K3619">
            <v>0</v>
          </cell>
          <cell r="L3619">
            <v>1.05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3.1065088757396451</v>
          </cell>
          <cell r="S3619">
            <v>0</v>
          </cell>
        </row>
        <row r="3620">
          <cell r="A3620" t="str">
            <v>Y052-261</v>
          </cell>
          <cell r="B3620">
            <v>0</v>
          </cell>
          <cell r="C3620" t="str">
            <v>Y052</v>
          </cell>
          <cell r="D3620" t="str">
            <v>1381-CHO沒木紋</v>
          </cell>
          <cell r="E3620" t="str">
            <v>脚柱饰瑰 Poly trang trí</v>
          </cell>
          <cell r="F3620" t="str">
            <v>60*31*8.5</v>
          </cell>
          <cell r="G3620">
            <v>60</v>
          </cell>
          <cell r="H3620">
            <v>31</v>
          </cell>
          <cell r="I3620">
            <v>8.5</v>
          </cell>
          <cell r="J3620">
            <v>23</v>
          </cell>
          <cell r="K3620">
            <v>0</v>
          </cell>
          <cell r="L3620">
            <v>6.8000000000000005E-2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2.956521739130435</v>
          </cell>
          <cell r="S3620">
            <v>0</v>
          </cell>
        </row>
        <row r="3621">
          <cell r="A3621" t="str">
            <v>Y052-262</v>
          </cell>
          <cell r="B3621">
            <v>0</v>
          </cell>
          <cell r="C3621" t="str">
            <v>Y052</v>
          </cell>
          <cell r="D3621" t="str">
            <v>1383-A-1-1</v>
          </cell>
          <cell r="E3621" t="str">
            <v>右腳柱上飾Chân trên (trái)</v>
          </cell>
          <cell r="F3621" t="str">
            <v>84*55*55</v>
          </cell>
          <cell r="G3621">
            <v>88</v>
          </cell>
          <cell r="H3621">
            <v>55</v>
          </cell>
          <cell r="I3621">
            <v>55</v>
          </cell>
          <cell r="J3621">
            <v>145</v>
          </cell>
          <cell r="K3621">
            <v>0</v>
          </cell>
          <cell r="L3621">
            <v>0.62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4.2758620689655178</v>
          </cell>
          <cell r="S3621">
            <v>0</v>
          </cell>
        </row>
        <row r="3622">
          <cell r="A3622" t="str">
            <v>Y052-263</v>
          </cell>
          <cell r="B3622">
            <v>0</v>
          </cell>
          <cell r="C3622" t="str">
            <v>Y052</v>
          </cell>
          <cell r="D3622" t="str">
            <v>1383-A-2-1-1</v>
          </cell>
          <cell r="E3622" t="str">
            <v>左腳柱上飾Chân trên (phải)</v>
          </cell>
          <cell r="F3622" t="str">
            <v>84*55*55</v>
          </cell>
          <cell r="G3622">
            <v>88</v>
          </cell>
          <cell r="H3622">
            <v>55</v>
          </cell>
          <cell r="I3622">
            <v>55</v>
          </cell>
          <cell r="J3622">
            <v>145</v>
          </cell>
          <cell r="K3622">
            <v>0</v>
          </cell>
          <cell r="L3622">
            <v>0.62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4.2758620689655178</v>
          </cell>
          <cell r="S3622">
            <v>0</v>
          </cell>
        </row>
        <row r="3623">
          <cell r="A3623" t="str">
            <v>Y052-264</v>
          </cell>
          <cell r="B3623">
            <v>0</v>
          </cell>
          <cell r="C3623" t="str">
            <v>Y052</v>
          </cell>
          <cell r="D3623" t="str">
            <v>1265V A-1 （有内木）</v>
          </cell>
          <cell r="E3623" t="str">
            <v>中镜框上盖 thanh ngang trên 1</v>
          </cell>
          <cell r="F3623" t="str">
            <v>556*39*36</v>
          </cell>
          <cell r="G3623">
            <v>556</v>
          </cell>
          <cell r="H3623">
            <v>39</v>
          </cell>
          <cell r="I3623">
            <v>36</v>
          </cell>
          <cell r="J3623">
            <v>416</v>
          </cell>
          <cell r="K3623">
            <v>0</v>
          </cell>
          <cell r="L3623">
            <v>1.35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3.2451923076923079</v>
          </cell>
          <cell r="S3623">
            <v>0</v>
          </cell>
        </row>
        <row r="3624">
          <cell r="A3624" t="str">
            <v>Y052-265</v>
          </cell>
          <cell r="B3624">
            <v>0</v>
          </cell>
          <cell r="C3624" t="str">
            <v>Y052</v>
          </cell>
          <cell r="D3624" t="str">
            <v>680-13-WG/SW</v>
          </cell>
          <cell r="E3624" t="str">
            <v>床头上横-Thanh ngang trên</v>
          </cell>
          <cell r="F3624" t="str">
            <v>1557*268*68</v>
          </cell>
          <cell r="G3624">
            <v>1557</v>
          </cell>
          <cell r="H3624">
            <v>268</v>
          </cell>
          <cell r="I3624">
            <v>68</v>
          </cell>
          <cell r="J3624">
            <v>3400</v>
          </cell>
          <cell r="K3624">
            <v>0</v>
          </cell>
          <cell r="L3624">
            <v>9.3000000000000007</v>
          </cell>
          <cell r="M3624">
            <v>0</v>
          </cell>
          <cell r="N3624">
            <v>1800</v>
          </cell>
          <cell r="O3624" t="str">
            <v>T</v>
          </cell>
          <cell r="P3624" t="str">
            <v>1010</v>
          </cell>
          <cell r="Q3624" t="str">
            <v>1010</v>
          </cell>
          <cell r="R3624">
            <v>2.7352941176470593</v>
          </cell>
          <cell r="S3624">
            <v>0</v>
          </cell>
        </row>
        <row r="3625">
          <cell r="A3625" t="str">
            <v>Y052-266</v>
          </cell>
          <cell r="B3625">
            <v>0</v>
          </cell>
          <cell r="C3625" t="str">
            <v>Y052</v>
          </cell>
          <cell r="D3625" t="str">
            <v>680-13-WG/SW</v>
          </cell>
          <cell r="E3625" t="str">
            <v>床头芯板上贴条</v>
          </cell>
          <cell r="F3625" t="str">
            <v>1341*261*8</v>
          </cell>
          <cell r="G3625">
            <v>1341</v>
          </cell>
          <cell r="H3625">
            <v>261</v>
          </cell>
          <cell r="I3625">
            <v>8</v>
          </cell>
          <cell r="J3625">
            <v>1257</v>
          </cell>
          <cell r="K3625">
            <v>0</v>
          </cell>
          <cell r="L3625">
            <v>3.22</v>
          </cell>
          <cell r="M3625">
            <v>0</v>
          </cell>
          <cell r="N3625">
            <v>0</v>
          </cell>
          <cell r="O3625" t="str">
            <v>T</v>
          </cell>
          <cell r="P3625" t="str">
            <v>1010</v>
          </cell>
          <cell r="Q3625" t="str">
            <v>1010</v>
          </cell>
          <cell r="R3625">
            <v>2.5616547334924427</v>
          </cell>
          <cell r="S3625">
            <v>0</v>
          </cell>
        </row>
        <row r="3626">
          <cell r="A3626" t="str">
            <v>Y052-267</v>
          </cell>
          <cell r="B3626">
            <v>0</v>
          </cell>
          <cell r="C3626" t="str">
            <v>Y052</v>
          </cell>
          <cell r="D3626" t="str">
            <v>812-12F-HB</v>
          </cell>
          <cell r="E3626" t="str">
            <v>Trang trí đầu giường</v>
          </cell>
          <cell r="F3626" t="str">
            <v>1357*274*5.5</v>
          </cell>
          <cell r="G3626">
            <v>1357</v>
          </cell>
          <cell r="H3626">
            <v>274</v>
          </cell>
          <cell r="I3626">
            <v>5.5</v>
          </cell>
          <cell r="J3626">
            <v>2681</v>
          </cell>
          <cell r="K3626">
            <v>0</v>
          </cell>
          <cell r="L3626">
            <v>7.4</v>
          </cell>
          <cell r="M3626">
            <v>0</v>
          </cell>
          <cell r="N3626">
            <v>0</v>
          </cell>
          <cell r="O3626" t="str">
            <v>T</v>
          </cell>
          <cell r="P3626" t="str">
            <v>1010</v>
          </cell>
          <cell r="Q3626" t="str">
            <v>1010</v>
          </cell>
          <cell r="R3626">
            <v>2.7601641178664678</v>
          </cell>
          <cell r="S3626">
            <v>0</v>
          </cell>
        </row>
        <row r="3627">
          <cell r="A3627" t="str">
            <v>Y052-268</v>
          </cell>
          <cell r="B3627" t="str">
            <v>木紋</v>
          </cell>
          <cell r="C3627" t="str">
            <v>Y052</v>
          </cell>
          <cell r="D3627" t="str">
            <v>1561-HF S-4</v>
          </cell>
          <cell r="E3627" t="str">
            <v>1抽头板 Mặt ngăn kéo 1</v>
          </cell>
          <cell r="F3627" t="str">
            <v>549*144*9</v>
          </cell>
          <cell r="G3627">
            <v>549</v>
          </cell>
          <cell r="H3627">
            <v>144</v>
          </cell>
          <cell r="I3627">
            <v>9</v>
          </cell>
          <cell r="J3627">
            <v>1050</v>
          </cell>
          <cell r="K3627">
            <v>0</v>
          </cell>
          <cell r="L3627">
            <v>2.9</v>
          </cell>
          <cell r="M3627">
            <v>0</v>
          </cell>
          <cell r="N3627">
            <v>0</v>
          </cell>
          <cell r="O3627" t="str">
            <v>T</v>
          </cell>
          <cell r="P3627" t="str">
            <v>1010</v>
          </cell>
          <cell r="Q3627" t="str">
            <v>1010</v>
          </cell>
          <cell r="R3627">
            <v>2.7619047619047619</v>
          </cell>
          <cell r="S3627">
            <v>0</v>
          </cell>
        </row>
        <row r="3628">
          <cell r="A3628" t="str">
            <v>Y052-269</v>
          </cell>
          <cell r="B3628" t="str">
            <v>沒木紋</v>
          </cell>
          <cell r="C3628" t="str">
            <v>Y052</v>
          </cell>
          <cell r="D3628" t="str">
            <v>S1561-VSW S-4</v>
          </cell>
          <cell r="E3628" t="str">
            <v>1抽头板 Mặt ngăn kéo 1</v>
          </cell>
          <cell r="F3628" t="str">
            <v>549*144*9</v>
          </cell>
          <cell r="G3628">
            <v>549</v>
          </cell>
          <cell r="H3628">
            <v>144</v>
          </cell>
          <cell r="I3628">
            <v>9</v>
          </cell>
          <cell r="J3628">
            <v>1105</v>
          </cell>
          <cell r="K3628">
            <v>0</v>
          </cell>
          <cell r="L3628">
            <v>3.06</v>
          </cell>
          <cell r="M3628">
            <v>0</v>
          </cell>
          <cell r="N3628">
            <v>0</v>
          </cell>
          <cell r="O3628" t="str">
            <v>T</v>
          </cell>
          <cell r="P3628" t="str">
            <v>1010</v>
          </cell>
          <cell r="Q3628" t="str">
            <v>1010</v>
          </cell>
          <cell r="R3628">
            <v>2.7692307692307692</v>
          </cell>
          <cell r="S3628">
            <v>0</v>
          </cell>
        </row>
        <row r="3629">
          <cell r="A3629" t="str">
            <v>Y052-270</v>
          </cell>
          <cell r="B3629" t="str">
            <v>木紋</v>
          </cell>
          <cell r="C3629" t="str">
            <v>Y052</v>
          </cell>
          <cell r="D3629" t="str">
            <v>1562-HF J-4</v>
          </cell>
          <cell r="E3629" t="str">
            <v>1抽头板 Mặt ngăn kéo 1</v>
          </cell>
          <cell r="F3629" t="str">
            <v>443*106*9</v>
          </cell>
          <cell r="G3629">
            <v>443</v>
          </cell>
          <cell r="H3629">
            <v>106</v>
          </cell>
          <cell r="I3629">
            <v>9</v>
          </cell>
          <cell r="J3629">
            <v>612</v>
          </cell>
          <cell r="K3629">
            <v>0</v>
          </cell>
          <cell r="L3629">
            <v>1.69</v>
          </cell>
          <cell r="M3629">
            <v>0</v>
          </cell>
          <cell r="N3629">
            <v>0</v>
          </cell>
          <cell r="O3629" t="str">
            <v>T</v>
          </cell>
          <cell r="P3629" t="str">
            <v>1010</v>
          </cell>
          <cell r="Q3629" t="str">
            <v>1010</v>
          </cell>
          <cell r="R3629">
            <v>2.761437908496732</v>
          </cell>
          <cell r="S3629">
            <v>0</v>
          </cell>
        </row>
        <row r="3630">
          <cell r="A3630" t="str">
            <v>Y052-271</v>
          </cell>
          <cell r="B3630" t="str">
            <v>沒木紋</v>
          </cell>
          <cell r="C3630" t="str">
            <v>Y052</v>
          </cell>
          <cell r="D3630" t="str">
            <v>1562-VSW J-4</v>
          </cell>
          <cell r="E3630" t="str">
            <v>1抽头板 Mặt ngăn kéo 1</v>
          </cell>
          <cell r="F3630" t="str">
            <v>443*106*9</v>
          </cell>
          <cell r="G3630">
            <v>443</v>
          </cell>
          <cell r="H3630">
            <v>106</v>
          </cell>
          <cell r="I3630">
            <v>9</v>
          </cell>
          <cell r="J3630">
            <v>632</v>
          </cell>
          <cell r="K3630">
            <v>0</v>
          </cell>
          <cell r="L3630">
            <v>1.75</v>
          </cell>
          <cell r="M3630">
            <v>0</v>
          </cell>
          <cell r="N3630">
            <v>0</v>
          </cell>
          <cell r="O3630" t="str">
            <v>T</v>
          </cell>
          <cell r="P3630" t="str">
            <v>1010</v>
          </cell>
          <cell r="Q3630" t="str">
            <v>1010</v>
          </cell>
          <cell r="R3630">
            <v>2.768987341772152</v>
          </cell>
          <cell r="S3630">
            <v>0</v>
          </cell>
        </row>
        <row r="3631">
          <cell r="A3631" t="str">
            <v>Y052-272</v>
          </cell>
          <cell r="B3631" t="str">
            <v>木紋</v>
          </cell>
          <cell r="C3631" t="str">
            <v>Y052</v>
          </cell>
          <cell r="D3631" t="str">
            <v>1566-HF  U-4</v>
          </cell>
          <cell r="E3631" t="str">
            <v>1抽头板 Mặt ngăn kéo 1</v>
          </cell>
          <cell r="F3631" t="str">
            <v>440*144*9</v>
          </cell>
          <cell r="G3631">
            <v>440</v>
          </cell>
          <cell r="H3631">
            <v>144</v>
          </cell>
          <cell r="I3631">
            <v>9</v>
          </cell>
          <cell r="J3631">
            <v>845</v>
          </cell>
          <cell r="K3631">
            <v>0</v>
          </cell>
          <cell r="L3631">
            <v>2.34</v>
          </cell>
          <cell r="M3631">
            <v>0</v>
          </cell>
          <cell r="N3631">
            <v>0</v>
          </cell>
          <cell r="O3631" t="str">
            <v>T</v>
          </cell>
          <cell r="P3631" t="str">
            <v>1010</v>
          </cell>
          <cell r="Q3631" t="str">
            <v>1010</v>
          </cell>
          <cell r="R3631">
            <v>2.7692307692307692</v>
          </cell>
          <cell r="S3631">
            <v>0</v>
          </cell>
        </row>
        <row r="3632">
          <cell r="A3632" t="str">
            <v>Y052-273</v>
          </cell>
          <cell r="B3632" t="str">
            <v>沒木紋</v>
          </cell>
          <cell r="C3632" t="str">
            <v>Y052</v>
          </cell>
          <cell r="D3632" t="str">
            <v>1566-VSW  U-4</v>
          </cell>
          <cell r="E3632" t="str">
            <v>1抽头板 Mặt ngăn kéo 1</v>
          </cell>
          <cell r="F3632" t="str">
            <v>440*144*9</v>
          </cell>
          <cell r="G3632">
            <v>440</v>
          </cell>
          <cell r="H3632">
            <v>144</v>
          </cell>
          <cell r="I3632">
            <v>9</v>
          </cell>
          <cell r="J3632">
            <v>845</v>
          </cell>
          <cell r="K3632">
            <v>0</v>
          </cell>
          <cell r="L3632">
            <v>2.34</v>
          </cell>
          <cell r="M3632">
            <v>0</v>
          </cell>
          <cell r="N3632">
            <v>0</v>
          </cell>
          <cell r="O3632" t="str">
            <v>T</v>
          </cell>
          <cell r="P3632" t="str">
            <v>1010</v>
          </cell>
          <cell r="Q3632" t="str">
            <v>1010</v>
          </cell>
          <cell r="R3632">
            <v>2.7692307692307692</v>
          </cell>
          <cell r="S3632">
            <v>0</v>
          </cell>
        </row>
        <row r="3633">
          <cell r="A3633" t="str">
            <v>Y052-274</v>
          </cell>
          <cell r="B3633" t="str">
            <v>木紋</v>
          </cell>
          <cell r="C3633" t="str">
            <v>Y052</v>
          </cell>
          <cell r="D3633" t="str">
            <v>1564TB-HB/FB-HF</v>
          </cell>
          <cell r="E3633" t="str">
            <v>床头企柱饰条（左）thanh đứng đầu giường Trái</v>
          </cell>
          <cell r="F3633" t="str">
            <v>866*330*6</v>
          </cell>
          <cell r="G3633">
            <v>866</v>
          </cell>
          <cell r="H3633">
            <v>209</v>
          </cell>
          <cell r="I3633">
            <v>6</v>
          </cell>
          <cell r="J3633">
            <v>174</v>
          </cell>
          <cell r="K3633">
            <v>0</v>
          </cell>
          <cell r="L3633">
            <v>0.48</v>
          </cell>
          <cell r="M3633">
            <v>0</v>
          </cell>
          <cell r="N3633">
            <v>0</v>
          </cell>
          <cell r="O3633" t="str">
            <v>T</v>
          </cell>
          <cell r="P3633" t="str">
            <v>1010</v>
          </cell>
          <cell r="Q3633" t="str">
            <v>1010</v>
          </cell>
          <cell r="R3633">
            <v>2.7586206896551726</v>
          </cell>
          <cell r="S3633">
            <v>0</v>
          </cell>
        </row>
        <row r="3634">
          <cell r="A3634" t="str">
            <v>Y052-275</v>
          </cell>
          <cell r="B3634" t="str">
            <v>"</v>
          </cell>
          <cell r="C3634" t="str">
            <v>Y052</v>
          </cell>
          <cell r="D3634" t="str">
            <v>1564TB-HB/FB-HF</v>
          </cell>
          <cell r="E3634" t="str">
            <v>床头企柱饰条（右）thanh đứng đầu giường phải</v>
          </cell>
          <cell r="F3634" t="str">
            <v>866*330*6</v>
          </cell>
          <cell r="G3634">
            <v>866</v>
          </cell>
          <cell r="H3634">
            <v>209</v>
          </cell>
          <cell r="I3634">
            <v>6</v>
          </cell>
          <cell r="J3634">
            <v>174</v>
          </cell>
          <cell r="K3634">
            <v>0</v>
          </cell>
          <cell r="L3634">
            <v>0.48</v>
          </cell>
          <cell r="M3634">
            <v>0</v>
          </cell>
          <cell r="N3634">
            <v>0</v>
          </cell>
          <cell r="O3634" t="str">
            <v>T</v>
          </cell>
          <cell r="P3634" t="str">
            <v>1010</v>
          </cell>
          <cell r="Q3634" t="str">
            <v>1010</v>
          </cell>
          <cell r="R3634">
            <v>2.7586206896551726</v>
          </cell>
          <cell r="S3634">
            <v>0</v>
          </cell>
        </row>
        <row r="3635">
          <cell r="A3635" t="str">
            <v>Y052-276</v>
          </cell>
          <cell r="B3635" t="str">
            <v>"</v>
          </cell>
          <cell r="C3635" t="str">
            <v>Y052</v>
          </cell>
          <cell r="D3635" t="str">
            <v>1564TB-HB/FB-HF</v>
          </cell>
          <cell r="E3635" t="str">
            <v>床尾企柱饰条（左）thanh đứng đuôi giường Trái</v>
          </cell>
          <cell r="F3635" t="str">
            <v>377*339*6</v>
          </cell>
          <cell r="G3635">
            <v>377</v>
          </cell>
          <cell r="H3635">
            <v>211</v>
          </cell>
          <cell r="I3635">
            <v>6</v>
          </cell>
          <cell r="J3635">
            <v>87</v>
          </cell>
          <cell r="K3635">
            <v>0</v>
          </cell>
          <cell r="L3635">
            <v>0.24</v>
          </cell>
          <cell r="M3635">
            <v>0</v>
          </cell>
          <cell r="N3635">
            <v>0</v>
          </cell>
          <cell r="O3635" t="str">
            <v>T</v>
          </cell>
          <cell r="P3635" t="str">
            <v>1010</v>
          </cell>
          <cell r="Q3635" t="str">
            <v>1010</v>
          </cell>
          <cell r="R3635">
            <v>2.7586206896551726</v>
          </cell>
          <cell r="S3635">
            <v>0</v>
          </cell>
        </row>
        <row r="3636">
          <cell r="A3636" t="str">
            <v>Y052-277</v>
          </cell>
          <cell r="B3636" t="str">
            <v>"</v>
          </cell>
          <cell r="C3636" t="str">
            <v>Y052</v>
          </cell>
          <cell r="D3636" t="str">
            <v>1564TB-HB/FB-HF</v>
          </cell>
          <cell r="E3636" t="str">
            <v>床尾企柱饰条（右）thanh đứng đuôi giường phải</v>
          </cell>
          <cell r="F3636" t="str">
            <v>377*339*6</v>
          </cell>
          <cell r="G3636">
            <v>377</v>
          </cell>
          <cell r="H3636">
            <v>211</v>
          </cell>
          <cell r="I3636">
            <v>6</v>
          </cell>
          <cell r="J3636">
            <v>87</v>
          </cell>
          <cell r="K3636">
            <v>0</v>
          </cell>
          <cell r="L3636">
            <v>0.24</v>
          </cell>
          <cell r="M3636">
            <v>0</v>
          </cell>
          <cell r="N3636">
            <v>0</v>
          </cell>
          <cell r="O3636" t="str">
            <v>T</v>
          </cell>
          <cell r="P3636" t="str">
            <v>1010</v>
          </cell>
          <cell r="Q3636" t="str">
            <v>1010</v>
          </cell>
          <cell r="R3636">
            <v>2.7586206896551726</v>
          </cell>
          <cell r="S3636">
            <v>0</v>
          </cell>
        </row>
        <row r="3637">
          <cell r="A3637" t="str">
            <v>Y052-278</v>
          </cell>
          <cell r="B3637" t="str">
            <v>"</v>
          </cell>
          <cell r="C3637" t="str">
            <v>Y052</v>
          </cell>
          <cell r="D3637" t="str">
            <v>1564TB-HB/FB-HF</v>
          </cell>
          <cell r="E3637" t="str">
            <v>床头三角瑰饰条Miếng trang trí đẩu giường</v>
          </cell>
          <cell r="F3637" t="str">
            <v>700*8*6</v>
          </cell>
          <cell r="G3637">
            <v>700</v>
          </cell>
          <cell r="H3637">
            <v>8</v>
          </cell>
          <cell r="I3637">
            <v>6</v>
          </cell>
          <cell r="J3637">
            <v>70</v>
          </cell>
          <cell r="K3637">
            <v>0</v>
          </cell>
          <cell r="L3637">
            <v>0.2</v>
          </cell>
          <cell r="M3637">
            <v>0</v>
          </cell>
          <cell r="N3637">
            <v>0</v>
          </cell>
          <cell r="O3637" t="str">
            <v>T</v>
          </cell>
          <cell r="P3637" t="str">
            <v>1010</v>
          </cell>
          <cell r="Q3637" t="str">
            <v>1010</v>
          </cell>
          <cell r="R3637">
            <v>2.8571428571428572</v>
          </cell>
          <cell r="S3637">
            <v>0</v>
          </cell>
        </row>
        <row r="3638">
          <cell r="A3638" t="str">
            <v>Y052-279</v>
          </cell>
          <cell r="B3638" t="str">
            <v>"</v>
          </cell>
          <cell r="C3638" t="str">
            <v>Y052</v>
          </cell>
          <cell r="D3638" t="str">
            <v>1564TB-HB/FB-HF</v>
          </cell>
          <cell r="E3638" t="str">
            <v>床尾三角瑰饰条 Miếng trang trí đuôi giường</v>
          </cell>
          <cell r="F3638" t="str">
            <v>900*8*6</v>
          </cell>
          <cell r="G3638">
            <v>900</v>
          </cell>
          <cell r="H3638">
            <v>8</v>
          </cell>
          <cell r="I3638">
            <v>6</v>
          </cell>
          <cell r="J3638">
            <v>85</v>
          </cell>
          <cell r="K3638">
            <v>0</v>
          </cell>
          <cell r="L3638">
            <v>0.24</v>
          </cell>
          <cell r="M3638">
            <v>0</v>
          </cell>
          <cell r="N3638">
            <v>0</v>
          </cell>
          <cell r="O3638" t="str">
            <v>T</v>
          </cell>
          <cell r="P3638" t="str">
            <v>1010</v>
          </cell>
          <cell r="Q3638" t="str">
            <v>1010</v>
          </cell>
          <cell r="R3638">
            <v>2.8235294117647056</v>
          </cell>
          <cell r="S3638">
            <v>0</v>
          </cell>
        </row>
        <row r="3639">
          <cell r="A3639" t="str">
            <v>Y052-280</v>
          </cell>
          <cell r="B3639" t="str">
            <v>沒木紋</v>
          </cell>
          <cell r="C3639" t="str">
            <v>Y052</v>
          </cell>
          <cell r="D3639" t="str">
            <v>1564TB-HB/FB-VSW</v>
          </cell>
          <cell r="E3639" t="str">
            <v>床头企柱饰条（左）thanh đứng đầu giường Trái</v>
          </cell>
          <cell r="F3639" t="str">
            <v>866*330*6</v>
          </cell>
          <cell r="G3639">
            <v>866</v>
          </cell>
          <cell r="H3639">
            <v>209</v>
          </cell>
          <cell r="I3639">
            <v>6</v>
          </cell>
          <cell r="J3639">
            <v>174</v>
          </cell>
          <cell r="K3639">
            <v>0</v>
          </cell>
          <cell r="L3639">
            <v>0.48</v>
          </cell>
          <cell r="M3639">
            <v>0</v>
          </cell>
          <cell r="N3639">
            <v>0</v>
          </cell>
          <cell r="O3639" t="str">
            <v>T</v>
          </cell>
          <cell r="P3639" t="str">
            <v>1010</v>
          </cell>
          <cell r="Q3639" t="str">
            <v>1010</v>
          </cell>
          <cell r="R3639">
            <v>2.7586206896551726</v>
          </cell>
          <cell r="S3639">
            <v>0</v>
          </cell>
        </row>
        <row r="3640">
          <cell r="A3640" t="str">
            <v>Y052-281</v>
          </cell>
          <cell r="B3640" t="str">
            <v>"</v>
          </cell>
          <cell r="C3640" t="str">
            <v>Y052</v>
          </cell>
          <cell r="D3640" t="str">
            <v>1564TB-HB/FB-VSW</v>
          </cell>
          <cell r="E3640" t="str">
            <v>床头企柱饰条（右）thanh đứng đầu giường phải</v>
          </cell>
          <cell r="F3640" t="str">
            <v>866*330*6</v>
          </cell>
          <cell r="G3640">
            <v>866</v>
          </cell>
          <cell r="H3640">
            <v>209</v>
          </cell>
          <cell r="I3640">
            <v>6</v>
          </cell>
          <cell r="J3640">
            <v>174</v>
          </cell>
          <cell r="K3640">
            <v>0</v>
          </cell>
          <cell r="L3640">
            <v>0.48</v>
          </cell>
          <cell r="M3640">
            <v>0</v>
          </cell>
          <cell r="N3640">
            <v>0</v>
          </cell>
          <cell r="O3640" t="str">
            <v>T</v>
          </cell>
          <cell r="P3640" t="str">
            <v>1010</v>
          </cell>
          <cell r="Q3640" t="str">
            <v>1010</v>
          </cell>
          <cell r="R3640">
            <v>2.7586206896551726</v>
          </cell>
          <cell r="S3640">
            <v>0</v>
          </cell>
        </row>
        <row r="3641">
          <cell r="A3641" t="str">
            <v>Y052-282</v>
          </cell>
          <cell r="B3641" t="str">
            <v>"</v>
          </cell>
          <cell r="C3641" t="str">
            <v>Y052</v>
          </cell>
          <cell r="D3641" t="str">
            <v>1564TB-HB/FB-VSW</v>
          </cell>
          <cell r="E3641" t="str">
            <v>床尾企柱饰条（左）thanh đứng đuôi giường Trái</v>
          </cell>
          <cell r="F3641" t="str">
            <v>377*339*6</v>
          </cell>
          <cell r="G3641">
            <v>377</v>
          </cell>
          <cell r="H3641">
            <v>211</v>
          </cell>
          <cell r="I3641">
            <v>6</v>
          </cell>
          <cell r="J3641">
            <v>87</v>
          </cell>
          <cell r="K3641">
            <v>0</v>
          </cell>
          <cell r="L3641">
            <v>0.24</v>
          </cell>
          <cell r="M3641">
            <v>0</v>
          </cell>
          <cell r="N3641">
            <v>0</v>
          </cell>
          <cell r="O3641" t="str">
            <v>T</v>
          </cell>
          <cell r="P3641" t="str">
            <v>1010</v>
          </cell>
          <cell r="Q3641" t="str">
            <v>1010</v>
          </cell>
          <cell r="R3641">
            <v>2.7586206896551726</v>
          </cell>
          <cell r="S3641">
            <v>0</v>
          </cell>
        </row>
        <row r="3642">
          <cell r="A3642" t="str">
            <v>Y052-283</v>
          </cell>
          <cell r="B3642" t="str">
            <v>"</v>
          </cell>
          <cell r="C3642" t="str">
            <v>Y052</v>
          </cell>
          <cell r="D3642" t="str">
            <v>1564TB-HB/FB-VSW</v>
          </cell>
          <cell r="E3642" t="str">
            <v>床尾企柱饰条（右）thanh đứng đuôi giường phải</v>
          </cell>
          <cell r="F3642" t="str">
            <v>377*339*6</v>
          </cell>
          <cell r="G3642">
            <v>377</v>
          </cell>
          <cell r="H3642">
            <v>211</v>
          </cell>
          <cell r="I3642">
            <v>6</v>
          </cell>
          <cell r="J3642">
            <v>87</v>
          </cell>
          <cell r="K3642">
            <v>0</v>
          </cell>
          <cell r="L3642">
            <v>0.24</v>
          </cell>
          <cell r="M3642">
            <v>0</v>
          </cell>
          <cell r="N3642">
            <v>0</v>
          </cell>
          <cell r="O3642" t="str">
            <v>T</v>
          </cell>
          <cell r="P3642" t="str">
            <v>1010</v>
          </cell>
          <cell r="Q3642" t="str">
            <v>1010</v>
          </cell>
          <cell r="R3642">
            <v>2.7586206896551726</v>
          </cell>
          <cell r="S3642">
            <v>0</v>
          </cell>
        </row>
        <row r="3643">
          <cell r="A3643" t="str">
            <v>Y052-284</v>
          </cell>
          <cell r="B3643" t="str">
            <v>"</v>
          </cell>
          <cell r="C3643" t="str">
            <v>Y052</v>
          </cell>
          <cell r="D3643" t="str">
            <v>1564TB-HB/FB-VSW</v>
          </cell>
          <cell r="E3643" t="str">
            <v>床头三角瑰饰条Miếng trang trí đẩu giường</v>
          </cell>
          <cell r="F3643" t="str">
            <v>700*8*6</v>
          </cell>
          <cell r="G3643">
            <v>700</v>
          </cell>
          <cell r="H3643">
            <v>8</v>
          </cell>
          <cell r="I3643">
            <v>6</v>
          </cell>
          <cell r="J3643">
            <v>70</v>
          </cell>
          <cell r="K3643">
            <v>0</v>
          </cell>
          <cell r="L3643">
            <v>0.2</v>
          </cell>
          <cell r="M3643">
            <v>0</v>
          </cell>
          <cell r="N3643">
            <v>0</v>
          </cell>
          <cell r="O3643" t="str">
            <v>T</v>
          </cell>
          <cell r="P3643" t="str">
            <v>1010</v>
          </cell>
          <cell r="Q3643" t="str">
            <v>1010</v>
          </cell>
          <cell r="R3643">
            <v>2.8571428571428572</v>
          </cell>
          <cell r="S3643">
            <v>0</v>
          </cell>
        </row>
        <row r="3644">
          <cell r="A3644" t="str">
            <v>Y052-285</v>
          </cell>
          <cell r="B3644" t="str">
            <v>"</v>
          </cell>
          <cell r="C3644" t="str">
            <v>Y052</v>
          </cell>
          <cell r="D3644" t="str">
            <v>1564TB-HB/FB-VSW</v>
          </cell>
          <cell r="E3644" t="str">
            <v>床尾三角瑰饰条 Miếng trang trí đuôi giường</v>
          </cell>
          <cell r="F3644" t="str">
            <v>900*8*6</v>
          </cell>
          <cell r="G3644">
            <v>900</v>
          </cell>
          <cell r="H3644">
            <v>8</v>
          </cell>
          <cell r="I3644">
            <v>6</v>
          </cell>
          <cell r="J3644">
            <v>85</v>
          </cell>
          <cell r="K3644">
            <v>0</v>
          </cell>
          <cell r="L3644">
            <v>0.24</v>
          </cell>
          <cell r="M3644">
            <v>0</v>
          </cell>
          <cell r="N3644">
            <v>0</v>
          </cell>
          <cell r="O3644" t="str">
            <v>T</v>
          </cell>
          <cell r="P3644" t="str">
            <v>1010</v>
          </cell>
          <cell r="Q3644" t="str">
            <v>1010</v>
          </cell>
          <cell r="R3644">
            <v>2.8235294117647056</v>
          </cell>
          <cell r="S3644">
            <v>0</v>
          </cell>
        </row>
        <row r="3645">
          <cell r="A3645" t="str">
            <v>Y052-286</v>
          </cell>
          <cell r="B3645">
            <v>0</v>
          </cell>
          <cell r="C3645" t="str">
            <v>Y052</v>
          </cell>
          <cell r="D3645" t="str">
            <v>13808-VSW</v>
          </cell>
          <cell r="E3645" t="str">
            <v>左上饰快2</v>
          </cell>
          <cell r="F3645" t="str">
            <v>73*52*52</v>
          </cell>
          <cell r="G3645">
            <v>73</v>
          </cell>
          <cell r="H3645">
            <v>52</v>
          </cell>
          <cell r="I3645">
            <v>52</v>
          </cell>
          <cell r="J3645">
            <v>126</v>
          </cell>
          <cell r="K3645">
            <v>0</v>
          </cell>
          <cell r="L3645">
            <v>0.36</v>
          </cell>
          <cell r="M3645">
            <v>0</v>
          </cell>
          <cell r="N3645">
            <v>0</v>
          </cell>
          <cell r="O3645" t="str">
            <v>T</v>
          </cell>
          <cell r="P3645" t="str">
            <v>1010</v>
          </cell>
          <cell r="Q3645" t="str">
            <v>1010</v>
          </cell>
          <cell r="R3645">
            <v>2.8571428571428572</v>
          </cell>
          <cell r="S3645">
            <v>0</v>
          </cell>
        </row>
        <row r="3646">
          <cell r="A3646" t="str">
            <v>Y052-287</v>
          </cell>
          <cell r="B3646">
            <v>0</v>
          </cell>
          <cell r="C3646" t="str">
            <v>Y052</v>
          </cell>
          <cell r="D3646" t="str">
            <v>13808-VSW</v>
          </cell>
          <cell r="E3646" t="str">
            <v>右上饰快2</v>
          </cell>
          <cell r="F3646" t="str">
            <v>73*52*52</v>
          </cell>
          <cell r="G3646">
            <v>73</v>
          </cell>
          <cell r="H3646">
            <v>52</v>
          </cell>
          <cell r="I3646">
            <v>52</v>
          </cell>
          <cell r="J3646">
            <v>126</v>
          </cell>
          <cell r="K3646">
            <v>0</v>
          </cell>
          <cell r="L3646">
            <v>0.36</v>
          </cell>
          <cell r="M3646">
            <v>0</v>
          </cell>
          <cell r="N3646">
            <v>0</v>
          </cell>
          <cell r="O3646" t="str">
            <v>T</v>
          </cell>
          <cell r="P3646" t="str">
            <v>1010</v>
          </cell>
          <cell r="Q3646" t="str">
            <v>1010</v>
          </cell>
          <cell r="R3646">
            <v>2.8571428571428572</v>
          </cell>
          <cell r="S3646">
            <v>0</v>
          </cell>
        </row>
        <row r="3647">
          <cell r="A3647" t="str">
            <v>Y052-288</v>
          </cell>
          <cell r="B3647" t="str">
            <v>0.3-宏森說0.36</v>
          </cell>
          <cell r="C3647" t="str">
            <v>Y052</v>
          </cell>
          <cell r="D3647" t="str">
            <v>13808-VSW</v>
          </cell>
          <cell r="E3647" t="str">
            <v>楼梯左上饰快</v>
          </cell>
          <cell r="F3647" t="str">
            <v>73*52*40</v>
          </cell>
          <cell r="G3647">
            <v>73</v>
          </cell>
          <cell r="H3647">
            <v>52</v>
          </cell>
          <cell r="I3647">
            <v>40</v>
          </cell>
          <cell r="J3647">
            <v>100</v>
          </cell>
          <cell r="K3647">
            <v>0</v>
          </cell>
          <cell r="L3647">
            <v>0.3</v>
          </cell>
          <cell r="M3647">
            <v>0</v>
          </cell>
          <cell r="N3647">
            <v>0</v>
          </cell>
          <cell r="O3647" t="str">
            <v>T</v>
          </cell>
          <cell r="P3647" t="str">
            <v>1010</v>
          </cell>
          <cell r="Q3647" t="str">
            <v>1010</v>
          </cell>
          <cell r="R3647">
            <v>2.9999999999999996</v>
          </cell>
          <cell r="S3647">
            <v>0</v>
          </cell>
        </row>
        <row r="3648">
          <cell r="A3648" t="str">
            <v>Y052-289</v>
          </cell>
          <cell r="B3648">
            <v>0</v>
          </cell>
          <cell r="C3648" t="str">
            <v>Y052</v>
          </cell>
          <cell r="D3648" t="str">
            <v>13808-VSW</v>
          </cell>
          <cell r="E3648" t="str">
            <v>楼梯右上饰快</v>
          </cell>
          <cell r="F3648" t="str">
            <v>73*52*52</v>
          </cell>
          <cell r="G3648">
            <v>73</v>
          </cell>
          <cell r="H3648">
            <v>52</v>
          </cell>
          <cell r="I3648">
            <v>52</v>
          </cell>
          <cell r="J3648">
            <v>126</v>
          </cell>
          <cell r="K3648">
            <v>0</v>
          </cell>
          <cell r="L3648">
            <v>0.36</v>
          </cell>
          <cell r="M3648">
            <v>0</v>
          </cell>
          <cell r="N3648">
            <v>0</v>
          </cell>
          <cell r="O3648" t="str">
            <v>T</v>
          </cell>
          <cell r="P3648" t="str">
            <v>1010</v>
          </cell>
          <cell r="Q3648" t="str">
            <v>1010</v>
          </cell>
          <cell r="R3648">
            <v>2.8571428571428572</v>
          </cell>
          <cell r="S3648">
            <v>0</v>
          </cell>
        </row>
        <row r="3649">
          <cell r="A3649" t="str">
            <v>Y052-290</v>
          </cell>
          <cell r="B3649">
            <v>0</v>
          </cell>
          <cell r="C3649" t="str">
            <v>Y052</v>
          </cell>
          <cell r="D3649" t="str">
            <v>13808-VSW</v>
          </cell>
          <cell r="E3649" t="str">
            <v>上饰快2</v>
          </cell>
          <cell r="F3649" t="str">
            <v>73*52*52</v>
          </cell>
          <cell r="G3649">
            <v>73</v>
          </cell>
          <cell r="H3649">
            <v>52</v>
          </cell>
          <cell r="I3649">
            <v>52</v>
          </cell>
          <cell r="J3649">
            <v>126</v>
          </cell>
          <cell r="K3649">
            <v>0</v>
          </cell>
          <cell r="L3649">
            <v>0.36</v>
          </cell>
          <cell r="M3649">
            <v>0</v>
          </cell>
          <cell r="N3649">
            <v>0</v>
          </cell>
          <cell r="O3649" t="str">
            <v>T</v>
          </cell>
          <cell r="P3649" t="str">
            <v>1010</v>
          </cell>
          <cell r="Q3649" t="str">
            <v>1010</v>
          </cell>
          <cell r="R3649">
            <v>2.8571428571428572</v>
          </cell>
          <cell r="S3649">
            <v>0</v>
          </cell>
        </row>
        <row r="3650">
          <cell r="A3650" t="str">
            <v>Y052-291</v>
          </cell>
          <cell r="B3650">
            <v>0</v>
          </cell>
          <cell r="C3650" t="str">
            <v>Y052</v>
          </cell>
          <cell r="D3650" t="str">
            <v>13808-VSW</v>
          </cell>
          <cell r="E3650" t="str">
            <v>上饰快3</v>
          </cell>
          <cell r="F3650" t="str">
            <v>52*34*9</v>
          </cell>
          <cell r="G3650">
            <v>52</v>
          </cell>
          <cell r="H3650">
            <v>34</v>
          </cell>
          <cell r="I3650">
            <v>9</v>
          </cell>
          <cell r="J3650">
            <v>22</v>
          </cell>
          <cell r="K3650">
            <v>0</v>
          </cell>
          <cell r="L3650">
            <v>0.06</v>
          </cell>
          <cell r="M3650">
            <v>0</v>
          </cell>
          <cell r="N3650">
            <v>0</v>
          </cell>
          <cell r="O3650" t="str">
            <v>T</v>
          </cell>
          <cell r="P3650" t="str">
            <v>1010</v>
          </cell>
          <cell r="Q3650" t="str">
            <v>1010</v>
          </cell>
          <cell r="R3650">
            <v>2.7272727272727275</v>
          </cell>
          <cell r="S3650">
            <v>0</v>
          </cell>
        </row>
        <row r="3651">
          <cell r="A3651" t="str">
            <v>Y052-292</v>
          </cell>
          <cell r="B3651" t="str">
            <v>木紋</v>
          </cell>
          <cell r="C3651" t="str">
            <v>Y052</v>
          </cell>
          <cell r="D3651" t="str">
            <v>1564FB-HB/FB-HF</v>
          </cell>
          <cell r="E3651" t="str">
            <v>床头企柱饰条（左）</v>
          </cell>
          <cell r="F3651" t="str">
            <v>866*330*6</v>
          </cell>
          <cell r="G3651">
            <v>866</v>
          </cell>
          <cell r="H3651">
            <v>209</v>
          </cell>
          <cell r="I3651">
            <v>6</v>
          </cell>
          <cell r="J3651">
            <v>174</v>
          </cell>
          <cell r="K3651">
            <v>0</v>
          </cell>
          <cell r="L3651">
            <v>0.48</v>
          </cell>
          <cell r="M3651">
            <v>0</v>
          </cell>
          <cell r="N3651">
            <v>0</v>
          </cell>
          <cell r="O3651" t="str">
            <v>T</v>
          </cell>
          <cell r="P3651" t="str">
            <v>1010</v>
          </cell>
          <cell r="Q3651" t="str">
            <v>1010</v>
          </cell>
          <cell r="R3651">
            <v>2.7586206896551726</v>
          </cell>
          <cell r="S3651">
            <v>0</v>
          </cell>
        </row>
        <row r="3652">
          <cell r="A3652" t="str">
            <v>Y052-293</v>
          </cell>
          <cell r="B3652" t="str">
            <v>"</v>
          </cell>
          <cell r="C3652" t="str">
            <v>Y052</v>
          </cell>
          <cell r="D3652" t="str">
            <v>1564FB-HB/FB-HF</v>
          </cell>
          <cell r="E3652" t="str">
            <v>床头企柱饰条（右）</v>
          </cell>
          <cell r="F3652" t="str">
            <v>866*330*6</v>
          </cell>
          <cell r="G3652">
            <v>866</v>
          </cell>
          <cell r="H3652">
            <v>209</v>
          </cell>
          <cell r="I3652">
            <v>6</v>
          </cell>
          <cell r="J3652">
            <v>174</v>
          </cell>
          <cell r="K3652">
            <v>0</v>
          </cell>
          <cell r="L3652">
            <v>0.48</v>
          </cell>
          <cell r="M3652">
            <v>0</v>
          </cell>
          <cell r="N3652">
            <v>0</v>
          </cell>
          <cell r="O3652" t="str">
            <v>T</v>
          </cell>
          <cell r="P3652" t="str">
            <v>1010</v>
          </cell>
          <cell r="Q3652" t="str">
            <v>1010</v>
          </cell>
          <cell r="R3652">
            <v>2.7586206896551726</v>
          </cell>
          <cell r="S3652">
            <v>0</v>
          </cell>
        </row>
        <row r="3653">
          <cell r="A3653" t="str">
            <v>Y052-294</v>
          </cell>
          <cell r="B3653" t="str">
            <v>"</v>
          </cell>
          <cell r="C3653" t="str">
            <v>Y052</v>
          </cell>
          <cell r="D3653" t="str">
            <v>1564FB-HB/FB-HF</v>
          </cell>
          <cell r="E3653" t="str">
            <v>床尾企柱饰条（左）</v>
          </cell>
          <cell r="F3653" t="str">
            <v>377*339*6</v>
          </cell>
          <cell r="G3653">
            <v>377</v>
          </cell>
          <cell r="H3653">
            <v>211</v>
          </cell>
          <cell r="I3653">
            <v>6</v>
          </cell>
          <cell r="J3653">
            <v>87</v>
          </cell>
          <cell r="K3653">
            <v>0</v>
          </cell>
          <cell r="L3653">
            <v>0.24</v>
          </cell>
          <cell r="M3653">
            <v>0</v>
          </cell>
          <cell r="N3653">
            <v>0</v>
          </cell>
          <cell r="O3653" t="str">
            <v>T</v>
          </cell>
          <cell r="P3653" t="str">
            <v>1010</v>
          </cell>
          <cell r="Q3653" t="str">
            <v>1010</v>
          </cell>
          <cell r="R3653">
            <v>2.7586206896551726</v>
          </cell>
          <cell r="S3653">
            <v>0</v>
          </cell>
        </row>
        <row r="3654">
          <cell r="A3654" t="str">
            <v>Y052-295</v>
          </cell>
          <cell r="B3654" t="str">
            <v>"</v>
          </cell>
          <cell r="C3654" t="str">
            <v>Y052</v>
          </cell>
          <cell r="D3654" t="str">
            <v>1564FB-HB/FB-HF</v>
          </cell>
          <cell r="E3654" t="str">
            <v>床尾企柱饰条（右）</v>
          </cell>
          <cell r="F3654" t="str">
            <v>377*339*6</v>
          </cell>
          <cell r="G3654">
            <v>377</v>
          </cell>
          <cell r="H3654">
            <v>211</v>
          </cell>
          <cell r="I3654">
            <v>6</v>
          </cell>
          <cell r="J3654">
            <v>87</v>
          </cell>
          <cell r="K3654">
            <v>0</v>
          </cell>
          <cell r="L3654">
            <v>0.24</v>
          </cell>
          <cell r="M3654">
            <v>0</v>
          </cell>
          <cell r="N3654">
            <v>0</v>
          </cell>
          <cell r="O3654" t="str">
            <v>T</v>
          </cell>
          <cell r="P3654" t="str">
            <v>1010</v>
          </cell>
          <cell r="Q3654" t="str">
            <v>1010</v>
          </cell>
          <cell r="R3654">
            <v>2.7586206896551726</v>
          </cell>
          <cell r="S3654">
            <v>0</v>
          </cell>
        </row>
        <row r="3655">
          <cell r="A3655" t="str">
            <v>Y052-296</v>
          </cell>
          <cell r="B3655" t="str">
            <v>"</v>
          </cell>
          <cell r="C3655" t="str">
            <v>Y052</v>
          </cell>
          <cell r="D3655" t="str">
            <v>1564FB-HB/FB-HF</v>
          </cell>
          <cell r="E3655" t="str">
            <v>床头三角瑰饰条</v>
          </cell>
          <cell r="F3655" t="str">
            <v>700*8*6</v>
          </cell>
          <cell r="G3655">
            <v>700</v>
          </cell>
          <cell r="H3655">
            <v>8</v>
          </cell>
          <cell r="I3655">
            <v>6</v>
          </cell>
          <cell r="J3655">
            <v>70</v>
          </cell>
          <cell r="K3655">
            <v>0</v>
          </cell>
          <cell r="L3655">
            <v>0.2</v>
          </cell>
          <cell r="M3655">
            <v>0</v>
          </cell>
          <cell r="N3655">
            <v>0</v>
          </cell>
          <cell r="O3655" t="str">
            <v>T</v>
          </cell>
          <cell r="P3655" t="str">
            <v>1010</v>
          </cell>
          <cell r="Q3655" t="str">
            <v>1010</v>
          </cell>
          <cell r="R3655">
            <v>2.8571428571428572</v>
          </cell>
          <cell r="S3655">
            <v>0</v>
          </cell>
        </row>
        <row r="3656">
          <cell r="A3656" t="str">
            <v>Y052-297</v>
          </cell>
          <cell r="B3656" t="str">
            <v>"</v>
          </cell>
          <cell r="C3656" t="str">
            <v>Y052</v>
          </cell>
          <cell r="D3656" t="str">
            <v>1564FB-HB/FB-HF</v>
          </cell>
          <cell r="E3656" t="str">
            <v xml:space="preserve">床尾三角瑰饰条 </v>
          </cell>
          <cell r="F3656" t="str">
            <v>900*8*6</v>
          </cell>
          <cell r="G3656">
            <v>900</v>
          </cell>
          <cell r="H3656">
            <v>8</v>
          </cell>
          <cell r="I3656">
            <v>6</v>
          </cell>
          <cell r="J3656">
            <v>85</v>
          </cell>
          <cell r="K3656">
            <v>0</v>
          </cell>
          <cell r="L3656">
            <v>0.24</v>
          </cell>
          <cell r="M3656">
            <v>0</v>
          </cell>
          <cell r="N3656">
            <v>0</v>
          </cell>
          <cell r="O3656" t="str">
            <v>T</v>
          </cell>
          <cell r="P3656" t="str">
            <v>1010</v>
          </cell>
          <cell r="Q3656" t="str">
            <v>1010</v>
          </cell>
          <cell r="R3656">
            <v>2.8235294117647056</v>
          </cell>
          <cell r="S3656">
            <v>0</v>
          </cell>
        </row>
        <row r="3657">
          <cell r="A3657" t="str">
            <v>Y052-298</v>
          </cell>
          <cell r="B3657" t="str">
            <v>沒木紋</v>
          </cell>
          <cell r="C3657" t="str">
            <v>Y052</v>
          </cell>
          <cell r="D3657" t="str">
            <v>1564FB-HB/FB-VSW</v>
          </cell>
          <cell r="E3657" t="str">
            <v>床头企柱饰条（左）</v>
          </cell>
          <cell r="F3657" t="str">
            <v>866*330*6</v>
          </cell>
          <cell r="G3657">
            <v>866</v>
          </cell>
          <cell r="H3657">
            <v>209</v>
          </cell>
          <cell r="I3657">
            <v>6</v>
          </cell>
          <cell r="J3657">
            <v>174</v>
          </cell>
          <cell r="K3657">
            <v>0</v>
          </cell>
          <cell r="L3657">
            <v>0.48</v>
          </cell>
          <cell r="M3657">
            <v>0</v>
          </cell>
          <cell r="N3657">
            <v>0</v>
          </cell>
          <cell r="O3657" t="str">
            <v>T</v>
          </cell>
          <cell r="P3657" t="str">
            <v>1010</v>
          </cell>
          <cell r="Q3657" t="str">
            <v>1010</v>
          </cell>
          <cell r="R3657">
            <v>2.7586206896551726</v>
          </cell>
          <cell r="S3657">
            <v>0</v>
          </cell>
        </row>
        <row r="3658">
          <cell r="A3658" t="str">
            <v>Y052-299</v>
          </cell>
          <cell r="B3658" t="str">
            <v>"</v>
          </cell>
          <cell r="C3658" t="str">
            <v>Y052</v>
          </cell>
          <cell r="D3658" t="str">
            <v>1564FB-HB/FB-VSW</v>
          </cell>
          <cell r="E3658" t="str">
            <v>床头企柱饰条（右）</v>
          </cell>
          <cell r="F3658" t="str">
            <v>866*330*6</v>
          </cell>
          <cell r="G3658">
            <v>866</v>
          </cell>
          <cell r="H3658">
            <v>209</v>
          </cell>
          <cell r="I3658">
            <v>6</v>
          </cell>
          <cell r="J3658">
            <v>174</v>
          </cell>
          <cell r="K3658">
            <v>0</v>
          </cell>
          <cell r="L3658">
            <v>0.48</v>
          </cell>
          <cell r="M3658">
            <v>0</v>
          </cell>
          <cell r="N3658">
            <v>0</v>
          </cell>
          <cell r="O3658" t="str">
            <v>T</v>
          </cell>
          <cell r="P3658" t="str">
            <v>1010</v>
          </cell>
          <cell r="Q3658" t="str">
            <v>1010</v>
          </cell>
          <cell r="R3658">
            <v>2.7586206896551726</v>
          </cell>
          <cell r="S3658">
            <v>0</v>
          </cell>
        </row>
        <row r="3659">
          <cell r="A3659" t="str">
            <v>Y052-300</v>
          </cell>
          <cell r="B3659" t="str">
            <v>"</v>
          </cell>
          <cell r="C3659" t="str">
            <v>Y052</v>
          </cell>
          <cell r="D3659" t="str">
            <v>1564FB-HB/FB-VSW</v>
          </cell>
          <cell r="E3659" t="str">
            <v>床尾企柱饰条（左）</v>
          </cell>
          <cell r="F3659" t="str">
            <v>377*339*6</v>
          </cell>
          <cell r="G3659">
            <v>377</v>
          </cell>
          <cell r="H3659">
            <v>211</v>
          </cell>
          <cell r="I3659">
            <v>6</v>
          </cell>
          <cell r="J3659">
            <v>87</v>
          </cell>
          <cell r="K3659">
            <v>0</v>
          </cell>
          <cell r="L3659">
            <v>0.24</v>
          </cell>
          <cell r="M3659">
            <v>0</v>
          </cell>
          <cell r="N3659">
            <v>0</v>
          </cell>
          <cell r="O3659" t="str">
            <v>T</v>
          </cell>
          <cell r="P3659" t="str">
            <v>1010</v>
          </cell>
          <cell r="Q3659" t="str">
            <v>1010</v>
          </cell>
          <cell r="R3659">
            <v>2.7586206896551726</v>
          </cell>
          <cell r="S3659">
            <v>0</v>
          </cell>
        </row>
        <row r="3660">
          <cell r="A3660" t="str">
            <v>Y052-301</v>
          </cell>
          <cell r="B3660" t="str">
            <v>"</v>
          </cell>
          <cell r="C3660" t="str">
            <v>Y052</v>
          </cell>
          <cell r="D3660" t="str">
            <v>1564FB-HB/FB-VSW</v>
          </cell>
          <cell r="E3660" t="str">
            <v>床尾企柱饰条（右）</v>
          </cell>
          <cell r="F3660" t="str">
            <v>377*339*6</v>
          </cell>
          <cell r="G3660">
            <v>377</v>
          </cell>
          <cell r="H3660">
            <v>211</v>
          </cell>
          <cell r="I3660">
            <v>6</v>
          </cell>
          <cell r="J3660">
            <v>87</v>
          </cell>
          <cell r="K3660">
            <v>0</v>
          </cell>
          <cell r="L3660">
            <v>0.24</v>
          </cell>
          <cell r="M3660">
            <v>0</v>
          </cell>
          <cell r="N3660">
            <v>0</v>
          </cell>
          <cell r="O3660" t="str">
            <v>T</v>
          </cell>
          <cell r="P3660" t="str">
            <v>1010</v>
          </cell>
          <cell r="Q3660" t="str">
            <v>1010</v>
          </cell>
          <cell r="R3660">
            <v>2.7586206896551726</v>
          </cell>
          <cell r="S3660">
            <v>0</v>
          </cell>
        </row>
        <row r="3661">
          <cell r="A3661" t="str">
            <v>Y052-302</v>
          </cell>
          <cell r="B3661" t="str">
            <v>"</v>
          </cell>
          <cell r="C3661" t="str">
            <v>Y052</v>
          </cell>
          <cell r="D3661" t="str">
            <v>1564FB-HB/FB-VSW</v>
          </cell>
          <cell r="E3661" t="str">
            <v>床头三角瑰饰条</v>
          </cell>
          <cell r="F3661" t="str">
            <v>700*8*6</v>
          </cell>
          <cell r="G3661">
            <v>700</v>
          </cell>
          <cell r="H3661">
            <v>8</v>
          </cell>
          <cell r="I3661">
            <v>6</v>
          </cell>
          <cell r="J3661">
            <v>70</v>
          </cell>
          <cell r="K3661">
            <v>0</v>
          </cell>
          <cell r="L3661">
            <v>0.2</v>
          </cell>
          <cell r="M3661">
            <v>0</v>
          </cell>
          <cell r="N3661">
            <v>0</v>
          </cell>
          <cell r="O3661" t="str">
            <v>T</v>
          </cell>
          <cell r="P3661" t="str">
            <v>1010</v>
          </cell>
          <cell r="Q3661" t="str">
            <v>1010</v>
          </cell>
          <cell r="R3661">
            <v>2.8571428571428572</v>
          </cell>
          <cell r="S3661">
            <v>0</v>
          </cell>
        </row>
        <row r="3662">
          <cell r="A3662" t="str">
            <v>Y052-303</v>
          </cell>
          <cell r="B3662" t="str">
            <v>"</v>
          </cell>
          <cell r="C3662" t="str">
            <v>Y052</v>
          </cell>
          <cell r="D3662" t="str">
            <v>1564FB-HB/FB-VSW</v>
          </cell>
          <cell r="E3662" t="str">
            <v xml:space="preserve">床尾三角瑰饰条 </v>
          </cell>
          <cell r="F3662" t="str">
            <v>900*8*6</v>
          </cell>
          <cell r="G3662">
            <v>900</v>
          </cell>
          <cell r="H3662">
            <v>8</v>
          </cell>
          <cell r="I3662">
            <v>6</v>
          </cell>
          <cell r="J3662">
            <v>85</v>
          </cell>
          <cell r="K3662">
            <v>0</v>
          </cell>
          <cell r="L3662">
            <v>0.24</v>
          </cell>
          <cell r="M3662">
            <v>0</v>
          </cell>
          <cell r="N3662">
            <v>0</v>
          </cell>
          <cell r="O3662" t="str">
            <v>T</v>
          </cell>
          <cell r="P3662" t="str">
            <v>1010</v>
          </cell>
          <cell r="Q3662" t="str">
            <v>1010</v>
          </cell>
          <cell r="R3662">
            <v>2.8235294117647056</v>
          </cell>
          <cell r="S3662">
            <v>0</v>
          </cell>
        </row>
        <row r="3663">
          <cell r="A3663" t="str">
            <v>Y052-304</v>
          </cell>
          <cell r="B3663" t="str">
            <v>木紋</v>
          </cell>
          <cell r="C3663" t="str">
            <v>Y052</v>
          </cell>
          <cell r="D3663" t="str">
            <v>1564KB-HB/FB-HF</v>
          </cell>
          <cell r="E3663" t="str">
            <v>床头企柱饰条（左）</v>
          </cell>
          <cell r="F3663" t="str">
            <v>866*330*6</v>
          </cell>
          <cell r="G3663">
            <v>866</v>
          </cell>
          <cell r="H3663">
            <v>209</v>
          </cell>
          <cell r="I3663">
            <v>6</v>
          </cell>
          <cell r="J3663">
            <v>174</v>
          </cell>
          <cell r="K3663">
            <v>0</v>
          </cell>
          <cell r="L3663">
            <v>0.48</v>
          </cell>
          <cell r="M3663">
            <v>0</v>
          </cell>
          <cell r="N3663">
            <v>0</v>
          </cell>
          <cell r="O3663" t="str">
            <v>T</v>
          </cell>
          <cell r="P3663" t="str">
            <v>1010</v>
          </cell>
          <cell r="Q3663" t="str">
            <v>1010</v>
          </cell>
          <cell r="R3663">
            <v>2.7586206896551726</v>
          </cell>
          <cell r="S3663">
            <v>0</v>
          </cell>
        </row>
        <row r="3664">
          <cell r="A3664" t="str">
            <v>Y052-305</v>
          </cell>
          <cell r="B3664" t="str">
            <v>"</v>
          </cell>
          <cell r="C3664" t="str">
            <v>Y052</v>
          </cell>
          <cell r="D3664" t="str">
            <v>1564KB-HB/FB-HF</v>
          </cell>
          <cell r="E3664" t="str">
            <v>床头企柱饰条（右）</v>
          </cell>
          <cell r="F3664" t="str">
            <v>866*330*6</v>
          </cell>
          <cell r="G3664">
            <v>866</v>
          </cell>
          <cell r="H3664">
            <v>209</v>
          </cell>
          <cell r="I3664">
            <v>6</v>
          </cell>
          <cell r="J3664">
            <v>174</v>
          </cell>
          <cell r="K3664">
            <v>0</v>
          </cell>
          <cell r="L3664">
            <v>0.48</v>
          </cell>
          <cell r="M3664">
            <v>0</v>
          </cell>
          <cell r="N3664">
            <v>0</v>
          </cell>
          <cell r="O3664" t="str">
            <v>T</v>
          </cell>
          <cell r="P3664" t="str">
            <v>1010</v>
          </cell>
          <cell r="Q3664" t="str">
            <v>1010</v>
          </cell>
          <cell r="R3664">
            <v>2.7586206896551726</v>
          </cell>
          <cell r="S3664">
            <v>0</v>
          </cell>
        </row>
        <row r="3665">
          <cell r="A3665" t="str">
            <v>Y052-306</v>
          </cell>
          <cell r="B3665" t="str">
            <v>"</v>
          </cell>
          <cell r="C3665" t="str">
            <v>Y052</v>
          </cell>
          <cell r="D3665" t="str">
            <v>1564KB-HB/FB-HF</v>
          </cell>
          <cell r="E3665" t="str">
            <v>床尾企柱饰条（左）</v>
          </cell>
          <cell r="F3665" t="str">
            <v>377*339*6</v>
          </cell>
          <cell r="G3665">
            <v>377</v>
          </cell>
          <cell r="H3665">
            <v>211</v>
          </cell>
          <cell r="I3665">
            <v>6</v>
          </cell>
          <cell r="J3665">
            <v>87</v>
          </cell>
          <cell r="K3665">
            <v>0</v>
          </cell>
          <cell r="L3665">
            <v>0.24</v>
          </cell>
          <cell r="M3665">
            <v>0</v>
          </cell>
          <cell r="N3665">
            <v>0</v>
          </cell>
          <cell r="O3665" t="str">
            <v>T</v>
          </cell>
          <cell r="P3665" t="str">
            <v>1010</v>
          </cell>
          <cell r="Q3665" t="str">
            <v>1010</v>
          </cell>
          <cell r="R3665">
            <v>2.7586206896551726</v>
          </cell>
          <cell r="S3665">
            <v>0</v>
          </cell>
        </row>
        <row r="3666">
          <cell r="A3666" t="str">
            <v>Y052-307</v>
          </cell>
          <cell r="B3666" t="str">
            <v>"</v>
          </cell>
          <cell r="C3666" t="str">
            <v>Y052</v>
          </cell>
          <cell r="D3666" t="str">
            <v>1564KB-HB/FB-HF</v>
          </cell>
          <cell r="E3666" t="str">
            <v>床尾企柱饰条（右）</v>
          </cell>
          <cell r="F3666" t="str">
            <v>377*339*6</v>
          </cell>
          <cell r="G3666">
            <v>377</v>
          </cell>
          <cell r="H3666">
            <v>211</v>
          </cell>
          <cell r="I3666">
            <v>6</v>
          </cell>
          <cell r="J3666">
            <v>87</v>
          </cell>
          <cell r="K3666">
            <v>0</v>
          </cell>
          <cell r="L3666">
            <v>0.24</v>
          </cell>
          <cell r="M3666">
            <v>0</v>
          </cell>
          <cell r="N3666">
            <v>0</v>
          </cell>
          <cell r="O3666" t="str">
            <v>T</v>
          </cell>
          <cell r="P3666" t="str">
            <v>1010</v>
          </cell>
          <cell r="Q3666" t="str">
            <v>1010</v>
          </cell>
          <cell r="R3666">
            <v>2.7586206896551726</v>
          </cell>
          <cell r="S3666">
            <v>0</v>
          </cell>
        </row>
        <row r="3667">
          <cell r="A3667" t="str">
            <v>Y052-308</v>
          </cell>
          <cell r="B3667" t="str">
            <v>"</v>
          </cell>
          <cell r="C3667" t="str">
            <v>Y052</v>
          </cell>
          <cell r="D3667" t="str">
            <v>1564KB-HB/FB-HF</v>
          </cell>
          <cell r="E3667" t="str">
            <v>床头三角瑰饰条</v>
          </cell>
          <cell r="F3667" t="str">
            <v>700*8*6</v>
          </cell>
          <cell r="G3667">
            <v>700</v>
          </cell>
          <cell r="H3667">
            <v>8</v>
          </cell>
          <cell r="I3667">
            <v>6</v>
          </cell>
          <cell r="J3667">
            <v>70</v>
          </cell>
          <cell r="K3667">
            <v>0</v>
          </cell>
          <cell r="L3667">
            <v>0.2</v>
          </cell>
          <cell r="M3667">
            <v>0</v>
          </cell>
          <cell r="N3667">
            <v>0</v>
          </cell>
          <cell r="O3667" t="str">
            <v>T</v>
          </cell>
          <cell r="P3667" t="str">
            <v>1010</v>
          </cell>
          <cell r="Q3667" t="str">
            <v>1010</v>
          </cell>
          <cell r="R3667">
            <v>2.8571428571428572</v>
          </cell>
          <cell r="S3667">
            <v>0</v>
          </cell>
        </row>
        <row r="3668">
          <cell r="A3668" t="str">
            <v>Y052-309</v>
          </cell>
          <cell r="B3668" t="str">
            <v>"</v>
          </cell>
          <cell r="C3668" t="str">
            <v>Y052</v>
          </cell>
          <cell r="D3668" t="str">
            <v>1564KB-HB/FB-HF</v>
          </cell>
          <cell r="E3668" t="str">
            <v xml:space="preserve">床尾三角瑰饰条 </v>
          </cell>
          <cell r="F3668" t="str">
            <v>900*8*6</v>
          </cell>
          <cell r="G3668">
            <v>900</v>
          </cell>
          <cell r="H3668">
            <v>8</v>
          </cell>
          <cell r="I3668">
            <v>6</v>
          </cell>
          <cell r="J3668">
            <v>85</v>
          </cell>
          <cell r="K3668">
            <v>0</v>
          </cell>
          <cell r="L3668">
            <v>0.24</v>
          </cell>
          <cell r="M3668">
            <v>0</v>
          </cell>
          <cell r="N3668">
            <v>0</v>
          </cell>
          <cell r="O3668" t="str">
            <v>T</v>
          </cell>
          <cell r="P3668" t="str">
            <v>1010</v>
          </cell>
          <cell r="Q3668" t="str">
            <v>1010</v>
          </cell>
          <cell r="R3668">
            <v>2.8235294117647056</v>
          </cell>
          <cell r="S3668">
            <v>0</v>
          </cell>
        </row>
        <row r="3669">
          <cell r="A3669" t="str">
            <v>Y052-310</v>
          </cell>
          <cell r="B3669" t="str">
            <v>城牆飾條</v>
          </cell>
          <cell r="C3669" t="str">
            <v>Y052</v>
          </cell>
          <cell r="D3669" t="str">
            <v>1217-3-WW A-3</v>
          </cell>
          <cell r="E3669" t="str">
            <v>床头上饰条 Poly đầu giường</v>
          </cell>
          <cell r="F3669" t="str">
            <v>1350*25*12</v>
          </cell>
          <cell r="G3669">
            <v>1350</v>
          </cell>
          <cell r="H3669">
            <v>25</v>
          </cell>
          <cell r="I3669">
            <v>12</v>
          </cell>
          <cell r="J3669">
            <v>456</v>
          </cell>
          <cell r="K3669">
            <v>0</v>
          </cell>
          <cell r="L3669">
            <v>1.43</v>
          </cell>
          <cell r="M3669">
            <v>0</v>
          </cell>
          <cell r="N3669">
            <v>0</v>
          </cell>
          <cell r="O3669" t="str">
            <v>T</v>
          </cell>
          <cell r="P3669" t="str">
            <v>1010</v>
          </cell>
          <cell r="Q3669" t="str">
            <v>1010</v>
          </cell>
          <cell r="R3669">
            <v>3.1359649122807016</v>
          </cell>
          <cell r="S3669">
            <v>0</v>
          </cell>
        </row>
        <row r="3670">
          <cell r="A3670" t="str">
            <v>Y052-311</v>
          </cell>
          <cell r="B3670">
            <v>0</v>
          </cell>
          <cell r="C3670" t="str">
            <v>Y052</v>
          </cell>
          <cell r="D3670" t="str">
            <v>1217-3-WW A-7</v>
          </cell>
          <cell r="E3670" t="str">
            <v>床头饰块Miềng poly trang trí đuôi giường</v>
          </cell>
          <cell r="F3670" t="str">
            <v>50*46*12</v>
          </cell>
          <cell r="G3670">
            <v>50</v>
          </cell>
          <cell r="H3670">
            <v>46</v>
          </cell>
          <cell r="I3670">
            <v>12</v>
          </cell>
          <cell r="J3670">
            <v>35</v>
          </cell>
          <cell r="K3670">
            <v>0</v>
          </cell>
          <cell r="L3670">
            <v>0.1</v>
          </cell>
          <cell r="M3670">
            <v>0</v>
          </cell>
          <cell r="N3670">
            <v>0</v>
          </cell>
          <cell r="O3670" t="str">
            <v>T</v>
          </cell>
          <cell r="P3670" t="str">
            <v>1010</v>
          </cell>
          <cell r="Q3670" t="str">
            <v>1010</v>
          </cell>
          <cell r="R3670">
            <v>2.8571428571428572</v>
          </cell>
          <cell r="S3670">
            <v>0</v>
          </cell>
        </row>
        <row r="3671">
          <cell r="A3671" t="str">
            <v>Y052-312</v>
          </cell>
          <cell r="B3671" t="str">
            <v>城牆飾條</v>
          </cell>
          <cell r="C3671" t="str">
            <v>Y052</v>
          </cell>
          <cell r="D3671" t="str">
            <v>1217-3-WW B-3</v>
          </cell>
          <cell r="E3671" t="str">
            <v>床头上饰条 Poly đầu giường</v>
          </cell>
          <cell r="F3671" t="str">
            <v>1350*25*12</v>
          </cell>
          <cell r="G3671">
            <v>1350</v>
          </cell>
          <cell r="H3671">
            <v>25</v>
          </cell>
          <cell r="I3671">
            <v>12</v>
          </cell>
          <cell r="J3671">
            <v>456</v>
          </cell>
          <cell r="K3671">
            <v>0</v>
          </cell>
          <cell r="L3671">
            <v>1.43</v>
          </cell>
          <cell r="M3671">
            <v>0</v>
          </cell>
          <cell r="N3671">
            <v>0</v>
          </cell>
          <cell r="O3671" t="str">
            <v>T</v>
          </cell>
          <cell r="P3671" t="str">
            <v>1010</v>
          </cell>
          <cell r="Q3671" t="str">
            <v>1010</v>
          </cell>
          <cell r="R3671">
            <v>3.1359649122807016</v>
          </cell>
          <cell r="S3671">
            <v>0</v>
          </cell>
        </row>
        <row r="3672">
          <cell r="A3672" t="str">
            <v>Y052-313</v>
          </cell>
          <cell r="B3672">
            <v>0</v>
          </cell>
          <cell r="C3672" t="str">
            <v>Y052</v>
          </cell>
          <cell r="D3672" t="str">
            <v>1217-3-WW C-3</v>
          </cell>
          <cell r="E3672" t="str">
            <v>床头饰块Miềng poly trang trí đuôi giường</v>
          </cell>
          <cell r="F3672" t="str">
            <v>50*46*12</v>
          </cell>
          <cell r="G3672">
            <v>50</v>
          </cell>
          <cell r="H3672">
            <v>46</v>
          </cell>
          <cell r="I3672">
            <v>12</v>
          </cell>
          <cell r="J3672">
            <v>35</v>
          </cell>
          <cell r="K3672">
            <v>0</v>
          </cell>
          <cell r="L3672">
            <v>0.1</v>
          </cell>
          <cell r="M3672">
            <v>0</v>
          </cell>
          <cell r="N3672">
            <v>0</v>
          </cell>
          <cell r="O3672" t="str">
            <v>T</v>
          </cell>
          <cell r="P3672" t="str">
            <v>1010</v>
          </cell>
          <cell r="Q3672" t="str">
            <v>1010</v>
          </cell>
          <cell r="R3672">
            <v>2.8571428571428572</v>
          </cell>
          <cell r="S3672">
            <v>0</v>
          </cell>
        </row>
        <row r="3673">
          <cell r="A3673" t="str">
            <v>Y052-314</v>
          </cell>
          <cell r="B3673" t="str">
            <v>城牆飾條</v>
          </cell>
          <cell r="C3673" t="str">
            <v>Y052</v>
          </cell>
          <cell r="D3673" t="str">
            <v>1217-AUS-W 有内理木Có  Gỗ</v>
          </cell>
          <cell r="E3673" t="str">
            <v xml:space="preserve">床頭床尾上飾條 chỉ poly trên </v>
          </cell>
          <cell r="F3673" t="str">
            <v>684*25*12</v>
          </cell>
          <cell r="G3673">
            <v>684</v>
          </cell>
          <cell r="H3673">
            <v>25</v>
          </cell>
          <cell r="I3673">
            <v>12</v>
          </cell>
          <cell r="J3673">
            <v>255</v>
          </cell>
          <cell r="K3673">
            <v>0</v>
          </cell>
          <cell r="L3673">
            <v>0.72</v>
          </cell>
          <cell r="M3673">
            <v>0</v>
          </cell>
          <cell r="N3673">
            <v>0</v>
          </cell>
          <cell r="O3673" t="str">
            <v>T</v>
          </cell>
          <cell r="P3673" t="str">
            <v>1010</v>
          </cell>
          <cell r="Q3673" t="str">
            <v>1010</v>
          </cell>
          <cell r="R3673">
            <v>2.8235294117647056</v>
          </cell>
          <cell r="S3673">
            <v>0</v>
          </cell>
        </row>
        <row r="3674">
          <cell r="A3674" t="str">
            <v>Y052-315</v>
          </cell>
          <cell r="B3674">
            <v>0</v>
          </cell>
          <cell r="C3674" t="str">
            <v>Y052</v>
          </cell>
          <cell r="D3674" t="str">
            <v>1217-AUS-W</v>
          </cell>
          <cell r="E3674" t="str">
            <v>床头饰块Miềng poly trang trí đuôi giường</v>
          </cell>
          <cell r="F3674" t="str">
            <v>50*46*12</v>
          </cell>
          <cell r="G3674">
            <v>50</v>
          </cell>
          <cell r="H3674">
            <v>46</v>
          </cell>
          <cell r="I3674">
            <v>12</v>
          </cell>
          <cell r="J3674">
            <v>35</v>
          </cell>
          <cell r="K3674">
            <v>0</v>
          </cell>
          <cell r="L3674">
            <v>0.1</v>
          </cell>
          <cell r="M3674">
            <v>0</v>
          </cell>
          <cell r="N3674">
            <v>0</v>
          </cell>
          <cell r="O3674" t="str">
            <v>T</v>
          </cell>
          <cell r="P3674" t="str">
            <v>1010</v>
          </cell>
          <cell r="Q3674" t="str">
            <v>1010</v>
          </cell>
          <cell r="R3674">
            <v>2.8571428571428572</v>
          </cell>
          <cell r="S3674">
            <v>0</v>
          </cell>
        </row>
        <row r="3675">
          <cell r="A3675" t="str">
            <v>Y052-316</v>
          </cell>
          <cell r="B3675" t="str">
            <v>蚊香-沒木紋</v>
          </cell>
          <cell r="C3675" t="str">
            <v>Y052</v>
          </cell>
          <cell r="D3675" t="str">
            <v>1563-VSW</v>
          </cell>
          <cell r="E3675" t="str">
            <v>前護欗企柱飾條 L</v>
          </cell>
          <cell r="F3675" t="str">
            <v>915*269*6</v>
          </cell>
          <cell r="G3675">
            <v>915</v>
          </cell>
          <cell r="H3675">
            <v>269</v>
          </cell>
          <cell r="I3675">
            <v>6</v>
          </cell>
          <cell r="J3675">
            <v>201</v>
          </cell>
          <cell r="K3675">
            <v>0</v>
          </cell>
          <cell r="L3675">
            <v>0.56000000000000005</v>
          </cell>
          <cell r="M3675">
            <v>0</v>
          </cell>
          <cell r="N3675">
            <v>0</v>
          </cell>
          <cell r="O3675" t="str">
            <v>T</v>
          </cell>
          <cell r="P3675" t="str">
            <v>1010</v>
          </cell>
          <cell r="Q3675" t="str">
            <v>1010</v>
          </cell>
          <cell r="R3675">
            <v>2.7860696517412937</v>
          </cell>
          <cell r="S3675">
            <v>0</v>
          </cell>
        </row>
        <row r="3676">
          <cell r="A3676" t="str">
            <v>Y052-317</v>
          </cell>
          <cell r="B3676" t="str">
            <v>"</v>
          </cell>
          <cell r="C3676" t="str">
            <v>Y052</v>
          </cell>
          <cell r="D3676" t="str">
            <v>1563-VSW</v>
          </cell>
          <cell r="E3676" t="str">
            <v>前護欗企柱飾條 R</v>
          </cell>
          <cell r="F3676" t="str">
            <v>915*269*6</v>
          </cell>
          <cell r="G3676">
            <v>915</v>
          </cell>
          <cell r="H3676">
            <v>269</v>
          </cell>
          <cell r="I3676">
            <v>6</v>
          </cell>
          <cell r="J3676">
            <v>201</v>
          </cell>
          <cell r="K3676">
            <v>0</v>
          </cell>
          <cell r="L3676">
            <v>0.56000000000000005</v>
          </cell>
          <cell r="M3676">
            <v>0</v>
          </cell>
          <cell r="N3676">
            <v>0</v>
          </cell>
          <cell r="O3676" t="str">
            <v>T</v>
          </cell>
          <cell r="P3676" t="str">
            <v>1010</v>
          </cell>
          <cell r="Q3676" t="str">
            <v>1010</v>
          </cell>
          <cell r="R3676">
            <v>2.7860696517412937</v>
          </cell>
          <cell r="S3676">
            <v>0</v>
          </cell>
        </row>
        <row r="3677">
          <cell r="A3677" t="str">
            <v>Y052-318</v>
          </cell>
          <cell r="B3677" t="str">
            <v>紋香-有木紋</v>
          </cell>
          <cell r="C3677" t="str">
            <v>Y052</v>
          </cell>
          <cell r="D3677" t="str">
            <v>1563-HF</v>
          </cell>
          <cell r="E3677" t="str">
            <v>前護欗企柱飾條 L</v>
          </cell>
          <cell r="F3677" t="str">
            <v>915*269*6</v>
          </cell>
          <cell r="G3677">
            <v>915</v>
          </cell>
          <cell r="H3677">
            <v>269</v>
          </cell>
          <cell r="I3677">
            <v>6</v>
          </cell>
          <cell r="J3677">
            <v>201</v>
          </cell>
          <cell r="K3677">
            <v>0</v>
          </cell>
          <cell r="L3677">
            <v>0.56000000000000005</v>
          </cell>
          <cell r="M3677">
            <v>0</v>
          </cell>
          <cell r="N3677">
            <v>0</v>
          </cell>
          <cell r="O3677" t="str">
            <v>T</v>
          </cell>
          <cell r="P3677" t="str">
            <v>1010</v>
          </cell>
          <cell r="Q3677" t="str">
            <v>1010</v>
          </cell>
          <cell r="R3677">
            <v>2.7860696517412937</v>
          </cell>
          <cell r="S3677">
            <v>0</v>
          </cell>
        </row>
        <row r="3678">
          <cell r="A3678" t="str">
            <v>Y052-319</v>
          </cell>
          <cell r="B3678" t="str">
            <v>"</v>
          </cell>
          <cell r="C3678" t="str">
            <v>Y052</v>
          </cell>
          <cell r="D3678" t="str">
            <v>1563-HF</v>
          </cell>
          <cell r="E3678" t="str">
            <v>前護欗企柱飾條 R</v>
          </cell>
          <cell r="F3678" t="str">
            <v>915*269*6</v>
          </cell>
          <cell r="G3678">
            <v>915</v>
          </cell>
          <cell r="H3678">
            <v>269</v>
          </cell>
          <cell r="I3678">
            <v>6</v>
          </cell>
          <cell r="J3678">
            <v>201</v>
          </cell>
          <cell r="K3678">
            <v>0</v>
          </cell>
          <cell r="L3678">
            <v>0.56000000000000005</v>
          </cell>
          <cell r="M3678">
            <v>0</v>
          </cell>
          <cell r="N3678">
            <v>0</v>
          </cell>
          <cell r="O3678" t="str">
            <v>T</v>
          </cell>
          <cell r="P3678" t="str">
            <v>1010</v>
          </cell>
          <cell r="Q3678" t="str">
            <v>1010</v>
          </cell>
          <cell r="R3678">
            <v>2.7860696517412937</v>
          </cell>
          <cell r="S3678">
            <v>0</v>
          </cell>
        </row>
        <row r="3679">
          <cell r="A3679" t="str">
            <v>Y052-320</v>
          </cell>
          <cell r="B3679" t="str">
            <v>蚊香-沒木紋</v>
          </cell>
          <cell r="C3679" t="str">
            <v>Y052</v>
          </cell>
          <cell r="D3679" t="str">
            <v>1563GR-WSW</v>
          </cell>
          <cell r="E3679" t="str">
            <v>前護欗企柱飾條 L</v>
          </cell>
          <cell r="F3679" t="str">
            <v>915*269*6</v>
          </cell>
          <cell r="G3679">
            <v>915</v>
          </cell>
          <cell r="H3679">
            <v>269</v>
          </cell>
          <cell r="I3679">
            <v>6</v>
          </cell>
          <cell r="J3679">
            <v>201</v>
          </cell>
          <cell r="K3679">
            <v>0</v>
          </cell>
          <cell r="L3679">
            <v>0.56000000000000005</v>
          </cell>
          <cell r="M3679">
            <v>0</v>
          </cell>
          <cell r="N3679">
            <v>0</v>
          </cell>
          <cell r="O3679" t="str">
            <v>T</v>
          </cell>
          <cell r="P3679" t="str">
            <v>1010</v>
          </cell>
          <cell r="Q3679" t="str">
            <v>1010</v>
          </cell>
          <cell r="R3679">
            <v>2.7860696517412937</v>
          </cell>
          <cell r="S3679">
            <v>0</v>
          </cell>
        </row>
        <row r="3680">
          <cell r="A3680" t="str">
            <v>Y052-321</v>
          </cell>
          <cell r="B3680" t="str">
            <v>"</v>
          </cell>
          <cell r="C3680" t="str">
            <v>Y052</v>
          </cell>
          <cell r="D3680" t="str">
            <v>1563GR-WSW</v>
          </cell>
          <cell r="E3680" t="str">
            <v>前護欗企柱飾條 R</v>
          </cell>
          <cell r="F3680" t="str">
            <v>915*269*6</v>
          </cell>
          <cell r="G3680">
            <v>915</v>
          </cell>
          <cell r="H3680">
            <v>269</v>
          </cell>
          <cell r="I3680">
            <v>6</v>
          </cell>
          <cell r="J3680">
            <v>201</v>
          </cell>
          <cell r="K3680">
            <v>0</v>
          </cell>
          <cell r="L3680">
            <v>0.56000000000000005</v>
          </cell>
          <cell r="M3680">
            <v>0</v>
          </cell>
          <cell r="N3680">
            <v>0</v>
          </cell>
          <cell r="O3680" t="str">
            <v>T</v>
          </cell>
          <cell r="P3680" t="str">
            <v>1010</v>
          </cell>
          <cell r="Q3680" t="str">
            <v>1010</v>
          </cell>
          <cell r="R3680">
            <v>2.7860696517412937</v>
          </cell>
          <cell r="S3680">
            <v>0</v>
          </cell>
        </row>
        <row r="3681">
          <cell r="A3681" t="str">
            <v>Y052-322</v>
          </cell>
          <cell r="B3681" t="str">
            <v>紋香-有木紋</v>
          </cell>
          <cell r="C3681" t="str">
            <v>Y052</v>
          </cell>
          <cell r="D3681" t="str">
            <v>1563GR-HF</v>
          </cell>
          <cell r="E3681" t="str">
            <v>前護欗企柱飾條 L</v>
          </cell>
          <cell r="F3681" t="str">
            <v>915*269*6</v>
          </cell>
          <cell r="G3681">
            <v>915</v>
          </cell>
          <cell r="H3681">
            <v>269</v>
          </cell>
          <cell r="I3681">
            <v>6</v>
          </cell>
          <cell r="J3681">
            <v>201</v>
          </cell>
          <cell r="K3681">
            <v>0</v>
          </cell>
          <cell r="L3681">
            <v>0.56000000000000005</v>
          </cell>
          <cell r="M3681">
            <v>0</v>
          </cell>
          <cell r="N3681">
            <v>0</v>
          </cell>
          <cell r="O3681" t="str">
            <v>T</v>
          </cell>
          <cell r="P3681" t="str">
            <v>1010</v>
          </cell>
          <cell r="Q3681" t="str">
            <v>1010</v>
          </cell>
          <cell r="R3681">
            <v>2.7860696517412937</v>
          </cell>
          <cell r="S3681">
            <v>0</v>
          </cell>
        </row>
        <row r="3682">
          <cell r="A3682" t="str">
            <v>Y052-323</v>
          </cell>
          <cell r="B3682" t="str">
            <v>"</v>
          </cell>
          <cell r="C3682" t="str">
            <v>Y052</v>
          </cell>
          <cell r="D3682" t="str">
            <v>1563GR-HF</v>
          </cell>
          <cell r="E3682" t="str">
            <v>前護欗企柱飾條 R</v>
          </cell>
          <cell r="F3682" t="str">
            <v>915*269*6</v>
          </cell>
          <cell r="G3682">
            <v>915</v>
          </cell>
          <cell r="H3682">
            <v>269</v>
          </cell>
          <cell r="I3682">
            <v>6</v>
          </cell>
          <cell r="J3682">
            <v>201</v>
          </cell>
          <cell r="K3682">
            <v>0</v>
          </cell>
          <cell r="L3682">
            <v>0.56000000000000005</v>
          </cell>
          <cell r="M3682">
            <v>0</v>
          </cell>
          <cell r="N3682">
            <v>0</v>
          </cell>
          <cell r="O3682" t="str">
            <v>T</v>
          </cell>
          <cell r="P3682" t="str">
            <v>1010</v>
          </cell>
          <cell r="Q3682" t="str">
            <v>1010</v>
          </cell>
          <cell r="R3682">
            <v>2.7860696517412937</v>
          </cell>
          <cell r="S3682">
            <v>0</v>
          </cell>
        </row>
        <row r="3683">
          <cell r="A3683" t="str">
            <v>Y052-324</v>
          </cell>
          <cell r="B3683">
            <v>0</v>
          </cell>
          <cell r="C3683" t="str">
            <v>Y052</v>
          </cell>
          <cell r="D3683" t="str">
            <v>5511-B/W/M   B-5</v>
          </cell>
          <cell r="E3683" t="str">
            <v>定位片</v>
          </cell>
          <cell r="F3683" t="str">
            <v>50*50*11</v>
          </cell>
          <cell r="G3683">
            <v>50</v>
          </cell>
          <cell r="H3683">
            <v>50</v>
          </cell>
          <cell r="I3683">
            <v>11</v>
          </cell>
          <cell r="J3683">
            <v>26</v>
          </cell>
          <cell r="K3683">
            <v>0</v>
          </cell>
          <cell r="L3683">
            <v>0.08</v>
          </cell>
          <cell r="M3683">
            <v>0</v>
          </cell>
          <cell r="N3683">
            <v>0</v>
          </cell>
          <cell r="O3683" t="str">
            <v>T</v>
          </cell>
          <cell r="P3683" t="str">
            <v>1010</v>
          </cell>
          <cell r="Q3683" t="str">
            <v>1010</v>
          </cell>
          <cell r="R3683">
            <v>3.0769230769230771</v>
          </cell>
          <cell r="S3683">
            <v>0</v>
          </cell>
        </row>
        <row r="3684">
          <cell r="A3684" t="str">
            <v>Y052-325</v>
          </cell>
          <cell r="B3684" t="str">
            <v>骨架-大</v>
          </cell>
          <cell r="C3684" t="str">
            <v>Y052</v>
          </cell>
          <cell r="D3684" t="str">
            <v>1764TB-HB/FB/SI</v>
          </cell>
          <cell r="E3684" t="str">
            <v>船头骨架上横 L</v>
          </cell>
          <cell r="F3684" t="str">
            <v>743*110*30</v>
          </cell>
          <cell r="G3684">
            <v>743</v>
          </cell>
          <cell r="H3684">
            <v>110</v>
          </cell>
          <cell r="I3684">
            <v>30</v>
          </cell>
          <cell r="J3684">
            <v>1040</v>
          </cell>
          <cell r="K3684">
            <v>0</v>
          </cell>
          <cell r="L3684">
            <v>2.5</v>
          </cell>
          <cell r="M3684">
            <v>0</v>
          </cell>
          <cell r="N3684">
            <v>0</v>
          </cell>
          <cell r="O3684" t="str">
            <v>T</v>
          </cell>
          <cell r="P3684" t="str">
            <v>1010</v>
          </cell>
          <cell r="Q3684" t="str">
            <v>1010</v>
          </cell>
          <cell r="R3684">
            <v>2.4038461538461537</v>
          </cell>
          <cell r="S3684">
            <v>0</v>
          </cell>
        </row>
        <row r="3685">
          <cell r="A3685" t="str">
            <v>Y052-326</v>
          </cell>
          <cell r="B3685" t="str">
            <v>"</v>
          </cell>
          <cell r="C3685" t="str">
            <v>Y052</v>
          </cell>
          <cell r="D3685" t="str">
            <v>1764TB-HB/FB/SI</v>
          </cell>
          <cell r="E3685" t="str">
            <v>船头骨架上横 R</v>
          </cell>
          <cell r="F3685" t="str">
            <v>743*110*30</v>
          </cell>
          <cell r="G3685">
            <v>743</v>
          </cell>
          <cell r="H3685">
            <v>110</v>
          </cell>
          <cell r="I3685">
            <v>30</v>
          </cell>
          <cell r="J3685">
            <v>1090</v>
          </cell>
          <cell r="K3685">
            <v>0</v>
          </cell>
          <cell r="L3685">
            <v>2.5</v>
          </cell>
          <cell r="M3685">
            <v>0</v>
          </cell>
          <cell r="N3685">
            <v>0</v>
          </cell>
          <cell r="O3685" t="str">
            <v>T</v>
          </cell>
          <cell r="P3685" t="str">
            <v>1010</v>
          </cell>
          <cell r="Q3685" t="str">
            <v>1010</v>
          </cell>
          <cell r="R3685">
            <v>2.2935779816513762</v>
          </cell>
          <cell r="S3685">
            <v>0</v>
          </cell>
        </row>
        <row r="3686">
          <cell r="A3686" t="str">
            <v>Y052-327</v>
          </cell>
          <cell r="B3686" t="str">
            <v>骨架-小</v>
          </cell>
          <cell r="C3686" t="str">
            <v>Y052</v>
          </cell>
          <cell r="D3686" t="str">
            <v>1764TB-HB/FB/SI</v>
          </cell>
          <cell r="E3686" t="str">
            <v>船头骨架中横  L</v>
          </cell>
          <cell r="F3686" t="str">
            <v>669*98*60</v>
          </cell>
          <cell r="G3686">
            <v>669</v>
          </cell>
          <cell r="H3686">
            <v>98</v>
          </cell>
          <cell r="I3686">
            <v>60</v>
          </cell>
          <cell r="J3686">
            <v>566</v>
          </cell>
          <cell r="K3686">
            <v>0</v>
          </cell>
          <cell r="L3686">
            <v>1.57</v>
          </cell>
          <cell r="M3686">
            <v>0</v>
          </cell>
          <cell r="N3686">
            <v>0</v>
          </cell>
          <cell r="O3686" t="str">
            <v>T</v>
          </cell>
          <cell r="P3686" t="str">
            <v>1010</v>
          </cell>
          <cell r="Q3686" t="str">
            <v>1010</v>
          </cell>
          <cell r="R3686">
            <v>2.7738515901060072</v>
          </cell>
          <cell r="S3686">
            <v>0</v>
          </cell>
        </row>
        <row r="3687">
          <cell r="A3687" t="str">
            <v>Y052-328</v>
          </cell>
          <cell r="B3687" t="str">
            <v>"</v>
          </cell>
          <cell r="C3687" t="str">
            <v>Y052</v>
          </cell>
          <cell r="D3687" t="str">
            <v>1764TB-HB/FB/SI</v>
          </cell>
          <cell r="E3687" t="str">
            <v>船头骨架中横  R</v>
          </cell>
          <cell r="F3687" t="str">
            <v>669*98*60</v>
          </cell>
          <cell r="G3687">
            <v>669</v>
          </cell>
          <cell r="H3687">
            <v>98</v>
          </cell>
          <cell r="I3687">
            <v>60</v>
          </cell>
          <cell r="J3687">
            <v>566</v>
          </cell>
          <cell r="K3687">
            <v>0</v>
          </cell>
          <cell r="L3687">
            <v>1.57</v>
          </cell>
          <cell r="M3687">
            <v>0</v>
          </cell>
          <cell r="N3687">
            <v>0</v>
          </cell>
          <cell r="O3687" t="str">
            <v>T</v>
          </cell>
          <cell r="P3687" t="str">
            <v>1010</v>
          </cell>
          <cell r="Q3687" t="str">
            <v>1010</v>
          </cell>
          <cell r="R3687">
            <v>2.7738515901060072</v>
          </cell>
          <cell r="S3687">
            <v>0</v>
          </cell>
        </row>
        <row r="3688">
          <cell r="A3688" t="str">
            <v>Y052-329</v>
          </cell>
          <cell r="B3688" t="str">
            <v>剛刷效果-大</v>
          </cell>
          <cell r="C3688" t="str">
            <v>Y052</v>
          </cell>
          <cell r="D3688" t="str">
            <v>1764TB-HB/FB/SI</v>
          </cell>
          <cell r="E3688" t="str">
            <v>船头外板  L</v>
          </cell>
          <cell r="F3688" t="str">
            <v>787*650*5</v>
          </cell>
          <cell r="G3688">
            <v>787</v>
          </cell>
          <cell r="H3688">
            <v>650</v>
          </cell>
          <cell r="I3688">
            <v>5</v>
          </cell>
          <cell r="J3688">
            <v>3725</v>
          </cell>
          <cell r="K3688">
            <v>0</v>
          </cell>
          <cell r="L3688">
            <v>9</v>
          </cell>
          <cell r="M3688">
            <v>0</v>
          </cell>
          <cell r="N3688">
            <v>0</v>
          </cell>
          <cell r="O3688" t="str">
            <v>T</v>
          </cell>
          <cell r="P3688" t="str">
            <v>1010</v>
          </cell>
          <cell r="Q3688" t="str">
            <v>1010</v>
          </cell>
          <cell r="R3688">
            <v>2.4161073825503356</v>
          </cell>
          <cell r="S3688">
            <v>0</v>
          </cell>
        </row>
        <row r="3689">
          <cell r="A3689" t="str">
            <v>Y052-330</v>
          </cell>
          <cell r="B3689" t="str">
            <v>"</v>
          </cell>
          <cell r="C3689" t="str">
            <v>Y052</v>
          </cell>
          <cell r="D3689" t="str">
            <v>1764TB-HB/FB/SI</v>
          </cell>
          <cell r="E3689" t="str">
            <v>船头外板  R</v>
          </cell>
          <cell r="F3689" t="str">
            <v>787*650*5</v>
          </cell>
          <cell r="G3689">
            <v>787</v>
          </cell>
          <cell r="H3689">
            <v>650</v>
          </cell>
          <cell r="I3689">
            <v>5</v>
          </cell>
          <cell r="J3689">
            <v>3725</v>
          </cell>
          <cell r="K3689">
            <v>0</v>
          </cell>
          <cell r="L3689">
            <v>9</v>
          </cell>
          <cell r="M3689">
            <v>0</v>
          </cell>
          <cell r="N3689">
            <v>0</v>
          </cell>
          <cell r="O3689" t="str">
            <v>T</v>
          </cell>
          <cell r="P3689" t="str">
            <v>1010</v>
          </cell>
          <cell r="Q3689" t="str">
            <v>1010</v>
          </cell>
          <cell r="R3689">
            <v>2.4161073825503356</v>
          </cell>
          <cell r="S3689">
            <v>0</v>
          </cell>
        </row>
        <row r="3690">
          <cell r="A3690" t="str">
            <v>Y052-331</v>
          </cell>
          <cell r="B3690" t="str">
            <v>剛刷效果-小</v>
          </cell>
          <cell r="C3690" t="str">
            <v>Y052</v>
          </cell>
          <cell r="D3690" t="str">
            <v>1764TB-HB/FB/SI</v>
          </cell>
          <cell r="E3690" t="str">
            <v>船头内板 L</v>
          </cell>
          <cell r="F3690" t="str">
            <v>736*390*5</v>
          </cell>
          <cell r="G3690">
            <v>736</v>
          </cell>
          <cell r="H3690">
            <v>390</v>
          </cell>
          <cell r="I3690">
            <v>5</v>
          </cell>
          <cell r="J3690">
            <v>2393</v>
          </cell>
          <cell r="K3690">
            <v>0</v>
          </cell>
          <cell r="L3690">
            <v>5.86</v>
          </cell>
          <cell r="M3690">
            <v>0</v>
          </cell>
          <cell r="N3690">
            <v>0</v>
          </cell>
          <cell r="O3690" t="str">
            <v>T</v>
          </cell>
          <cell r="P3690" t="str">
            <v>1010</v>
          </cell>
          <cell r="Q3690" t="str">
            <v>1010</v>
          </cell>
          <cell r="R3690">
            <v>2.4488090263267868</v>
          </cell>
          <cell r="S3690">
            <v>0</v>
          </cell>
        </row>
        <row r="3691">
          <cell r="A3691" t="str">
            <v>Y052-332</v>
          </cell>
          <cell r="B3691" t="str">
            <v>"</v>
          </cell>
          <cell r="C3691" t="str">
            <v>Y052</v>
          </cell>
          <cell r="D3691" t="str">
            <v>1764TB-HB/FB/SI</v>
          </cell>
          <cell r="E3691" t="str">
            <v>船头内板 R</v>
          </cell>
          <cell r="F3691" t="str">
            <v>736*390*5</v>
          </cell>
          <cell r="G3691">
            <v>736</v>
          </cell>
          <cell r="H3691">
            <v>390</v>
          </cell>
          <cell r="I3691">
            <v>5</v>
          </cell>
          <cell r="J3691">
            <v>2393</v>
          </cell>
          <cell r="K3691">
            <v>0</v>
          </cell>
          <cell r="L3691">
            <v>5.86</v>
          </cell>
          <cell r="M3691">
            <v>0</v>
          </cell>
          <cell r="N3691">
            <v>0</v>
          </cell>
          <cell r="O3691" t="str">
            <v>T</v>
          </cell>
          <cell r="P3691" t="str">
            <v>1010</v>
          </cell>
          <cell r="Q3691" t="str">
            <v>1010</v>
          </cell>
          <cell r="R3691">
            <v>2.4488090263267868</v>
          </cell>
          <cell r="S3691">
            <v>0</v>
          </cell>
        </row>
        <row r="3692">
          <cell r="A3692" t="str">
            <v>Y052-333</v>
          </cell>
          <cell r="B3692">
            <v>0</v>
          </cell>
          <cell r="C3692" t="str">
            <v>Y052</v>
          </cell>
          <cell r="D3692" t="str">
            <v>1764TB-HB/FB/SI</v>
          </cell>
          <cell r="E3692" t="str">
            <v>中企柱饰条</v>
          </cell>
          <cell r="F3692" t="str">
            <v>657*7*5</v>
          </cell>
          <cell r="G3692">
            <v>657</v>
          </cell>
          <cell r="H3692">
            <v>7</v>
          </cell>
          <cell r="I3692">
            <v>5</v>
          </cell>
          <cell r="J3692">
            <v>32</v>
          </cell>
          <cell r="K3692">
            <v>0</v>
          </cell>
          <cell r="L3692">
            <v>0.13</v>
          </cell>
          <cell r="M3692">
            <v>0</v>
          </cell>
          <cell r="N3692">
            <v>0</v>
          </cell>
          <cell r="O3692" t="str">
            <v>T</v>
          </cell>
          <cell r="P3692" t="str">
            <v>1010</v>
          </cell>
          <cell r="Q3692" t="str">
            <v>1010</v>
          </cell>
          <cell r="R3692">
            <v>4.0625</v>
          </cell>
          <cell r="S3692">
            <v>0</v>
          </cell>
        </row>
        <row r="3693">
          <cell r="A3693" t="str">
            <v>Y052-334</v>
          </cell>
          <cell r="B3693">
            <v>0</v>
          </cell>
          <cell r="C3693" t="str">
            <v>Y052</v>
          </cell>
          <cell r="D3693" t="str">
            <v>1764TB-HB/FB/SI</v>
          </cell>
          <cell r="E3693" t="str">
            <v>中層板饰条</v>
          </cell>
          <cell r="F3693" t="str">
            <v>657*7*5</v>
          </cell>
          <cell r="G3693">
            <v>657</v>
          </cell>
          <cell r="H3693">
            <v>7</v>
          </cell>
          <cell r="I3693">
            <v>5</v>
          </cell>
          <cell r="J3693">
            <v>32</v>
          </cell>
          <cell r="K3693">
            <v>0</v>
          </cell>
          <cell r="L3693">
            <v>0.13</v>
          </cell>
          <cell r="M3693">
            <v>0</v>
          </cell>
          <cell r="N3693">
            <v>0</v>
          </cell>
          <cell r="O3693" t="str">
            <v>T</v>
          </cell>
          <cell r="P3693" t="str">
            <v>1010</v>
          </cell>
          <cell r="Q3693" t="str">
            <v>1010</v>
          </cell>
          <cell r="R3693">
            <v>4.0625</v>
          </cell>
          <cell r="S3693">
            <v>0</v>
          </cell>
        </row>
        <row r="3694">
          <cell r="A3694" t="str">
            <v>Y052-335</v>
          </cell>
          <cell r="B3694">
            <v>0</v>
          </cell>
          <cell r="C3694" t="str">
            <v>Y052</v>
          </cell>
          <cell r="D3694" t="str">
            <v>1764TB-HB/FB/SL</v>
          </cell>
          <cell r="E3694" t="str">
            <v>船头骨架企条1-R</v>
          </cell>
          <cell r="F3694" t="str">
            <v>241*19*19</v>
          </cell>
          <cell r="G3694">
            <v>241</v>
          </cell>
          <cell r="H3694">
            <v>19</v>
          </cell>
          <cell r="I3694">
            <v>19</v>
          </cell>
          <cell r="J3694">
            <v>123</v>
          </cell>
          <cell r="K3694">
            <v>0</v>
          </cell>
          <cell r="L3694">
            <v>0.33</v>
          </cell>
          <cell r="M3694">
            <v>0</v>
          </cell>
          <cell r="N3694">
            <v>0</v>
          </cell>
          <cell r="O3694" t="str">
            <v>T</v>
          </cell>
          <cell r="P3694" t="str">
            <v>1010</v>
          </cell>
          <cell r="Q3694" t="str">
            <v>1010</v>
          </cell>
          <cell r="R3694">
            <v>2.6829268292682928</v>
          </cell>
          <cell r="S3694">
            <v>0</v>
          </cell>
        </row>
        <row r="3695">
          <cell r="A3695" t="str">
            <v>Y052-336</v>
          </cell>
          <cell r="B3695">
            <v>0</v>
          </cell>
          <cell r="C3695" t="str">
            <v>Y052</v>
          </cell>
          <cell r="D3695" t="str">
            <v>1764TB-HB/FB/SL</v>
          </cell>
          <cell r="E3695" t="str">
            <v>船头骨架企条1-L</v>
          </cell>
          <cell r="F3695" t="str">
            <v>241*19*19</v>
          </cell>
          <cell r="G3695">
            <v>241</v>
          </cell>
          <cell r="H3695">
            <v>19</v>
          </cell>
          <cell r="I3695">
            <v>19</v>
          </cell>
          <cell r="J3695">
            <v>123</v>
          </cell>
          <cell r="K3695">
            <v>0</v>
          </cell>
          <cell r="L3695">
            <v>0.33</v>
          </cell>
          <cell r="M3695">
            <v>0</v>
          </cell>
          <cell r="N3695">
            <v>0</v>
          </cell>
          <cell r="O3695" t="str">
            <v>T</v>
          </cell>
          <cell r="P3695" t="str">
            <v>1010</v>
          </cell>
          <cell r="Q3695" t="str">
            <v>1010</v>
          </cell>
          <cell r="R3695">
            <v>2.6829268292682928</v>
          </cell>
          <cell r="S3695">
            <v>0</v>
          </cell>
        </row>
        <row r="3696">
          <cell r="A3696" t="str">
            <v>Y052-337</v>
          </cell>
          <cell r="B3696">
            <v>0</v>
          </cell>
          <cell r="C3696" t="str">
            <v>Y052</v>
          </cell>
          <cell r="D3696" t="str">
            <v>1764TB-HB/FB/SL</v>
          </cell>
          <cell r="E3696" t="str">
            <v>船头骨架企条2-R</v>
          </cell>
          <cell r="F3696" t="str">
            <v>265*25*19</v>
          </cell>
          <cell r="G3696">
            <v>265</v>
          </cell>
          <cell r="H3696">
            <v>25</v>
          </cell>
          <cell r="I3696">
            <v>19</v>
          </cell>
          <cell r="J3696">
            <v>154</v>
          </cell>
          <cell r="K3696">
            <v>0</v>
          </cell>
          <cell r="L3696">
            <v>0.41</v>
          </cell>
          <cell r="M3696">
            <v>0</v>
          </cell>
          <cell r="N3696">
            <v>0</v>
          </cell>
          <cell r="O3696" t="str">
            <v>T</v>
          </cell>
          <cell r="P3696" t="str">
            <v>1010</v>
          </cell>
          <cell r="Q3696" t="str">
            <v>1010</v>
          </cell>
          <cell r="R3696">
            <v>2.662337662337662</v>
          </cell>
          <cell r="S3696">
            <v>0</v>
          </cell>
        </row>
        <row r="3697">
          <cell r="A3697" t="str">
            <v>Y052-338</v>
          </cell>
          <cell r="B3697">
            <v>0</v>
          </cell>
          <cell r="C3697" t="str">
            <v>Y052</v>
          </cell>
          <cell r="D3697" t="str">
            <v>1764TB-HB/FB/SL</v>
          </cell>
          <cell r="E3697" t="str">
            <v>船头骨架企条2-L</v>
          </cell>
          <cell r="F3697" t="str">
            <v>265*25*19</v>
          </cell>
          <cell r="G3697">
            <v>265</v>
          </cell>
          <cell r="H3697">
            <v>25</v>
          </cell>
          <cell r="I3697">
            <v>19</v>
          </cell>
          <cell r="J3697">
            <v>154</v>
          </cell>
          <cell r="K3697">
            <v>0</v>
          </cell>
          <cell r="L3697">
            <v>0.41</v>
          </cell>
          <cell r="M3697">
            <v>0</v>
          </cell>
          <cell r="N3697">
            <v>0</v>
          </cell>
          <cell r="O3697" t="str">
            <v>T</v>
          </cell>
          <cell r="P3697" t="str">
            <v>1010</v>
          </cell>
          <cell r="Q3697" t="str">
            <v>1010</v>
          </cell>
          <cell r="R3697">
            <v>2.662337662337662</v>
          </cell>
          <cell r="S3697">
            <v>0</v>
          </cell>
        </row>
        <row r="3698">
          <cell r="A3698" t="str">
            <v>Y052-339</v>
          </cell>
          <cell r="B3698">
            <v>0</v>
          </cell>
          <cell r="C3698" t="str">
            <v>Y052</v>
          </cell>
          <cell r="D3698" t="str">
            <v>1561-VSW/CHO</v>
          </cell>
          <cell r="E3698" t="str">
            <v>1抽头板 Mặt ngăn kéo 1</v>
          </cell>
          <cell r="F3698" t="str">
            <v>549*144*9</v>
          </cell>
          <cell r="G3698">
            <v>549</v>
          </cell>
          <cell r="H3698">
            <v>144</v>
          </cell>
          <cell r="I3698">
            <v>9</v>
          </cell>
          <cell r="J3698">
            <v>1105</v>
          </cell>
          <cell r="K3698">
            <v>0</v>
          </cell>
          <cell r="L3698">
            <v>3.06</v>
          </cell>
          <cell r="M3698">
            <v>0</v>
          </cell>
          <cell r="N3698">
            <v>0</v>
          </cell>
          <cell r="O3698" t="str">
            <v>T</v>
          </cell>
          <cell r="P3698" t="str">
            <v>1010</v>
          </cell>
          <cell r="Q3698" t="str">
            <v>1010</v>
          </cell>
          <cell r="R3698">
            <v>2.7692307692307692</v>
          </cell>
          <cell r="S3698">
            <v>0</v>
          </cell>
        </row>
        <row r="3699">
          <cell r="A3699" t="str">
            <v>Y052-340</v>
          </cell>
          <cell r="B3699">
            <v>0</v>
          </cell>
          <cell r="C3699" t="str">
            <v>Y052</v>
          </cell>
          <cell r="D3699" t="str">
            <v>1563-VSW/CHO</v>
          </cell>
          <cell r="E3699" t="str">
            <v>前護欗企柱飾條 L</v>
          </cell>
          <cell r="F3699" t="str">
            <v>915*269*6</v>
          </cell>
          <cell r="G3699">
            <v>915</v>
          </cell>
          <cell r="H3699">
            <v>269</v>
          </cell>
          <cell r="I3699">
            <v>6</v>
          </cell>
          <cell r="J3699">
            <v>201</v>
          </cell>
          <cell r="K3699">
            <v>0</v>
          </cell>
          <cell r="L3699">
            <v>0.56000000000000005</v>
          </cell>
          <cell r="M3699">
            <v>0</v>
          </cell>
          <cell r="N3699">
            <v>0</v>
          </cell>
          <cell r="O3699" t="str">
            <v>T</v>
          </cell>
          <cell r="P3699" t="str">
            <v>1010</v>
          </cell>
          <cell r="Q3699" t="str">
            <v>1010</v>
          </cell>
          <cell r="R3699">
            <v>2.7860696517412937</v>
          </cell>
          <cell r="S3699">
            <v>0</v>
          </cell>
        </row>
        <row r="3700">
          <cell r="A3700" t="str">
            <v>Y052-341</v>
          </cell>
          <cell r="B3700">
            <v>0</v>
          </cell>
          <cell r="C3700" t="str">
            <v>Y052</v>
          </cell>
          <cell r="D3700" t="str">
            <v>1563-VSW/CHO</v>
          </cell>
          <cell r="E3700" t="str">
            <v>前護欗企柱飾條 R</v>
          </cell>
          <cell r="F3700" t="str">
            <v>915*269*6</v>
          </cell>
          <cell r="G3700">
            <v>915</v>
          </cell>
          <cell r="H3700">
            <v>269</v>
          </cell>
          <cell r="I3700">
            <v>6</v>
          </cell>
          <cell r="J3700">
            <v>201</v>
          </cell>
          <cell r="K3700">
            <v>0</v>
          </cell>
          <cell r="L3700">
            <v>0.56000000000000005</v>
          </cell>
          <cell r="M3700">
            <v>0</v>
          </cell>
          <cell r="N3700">
            <v>0</v>
          </cell>
          <cell r="O3700" t="str">
            <v>T</v>
          </cell>
          <cell r="P3700" t="str">
            <v>1010</v>
          </cell>
          <cell r="Q3700" t="str">
            <v>1010</v>
          </cell>
          <cell r="R3700">
            <v>2.7860696517412937</v>
          </cell>
          <cell r="S3700">
            <v>0</v>
          </cell>
        </row>
        <row r="3701">
          <cell r="A3701" t="str">
            <v>Y052-342</v>
          </cell>
          <cell r="B3701">
            <v>0</v>
          </cell>
          <cell r="C3701" t="str">
            <v>Y052</v>
          </cell>
          <cell r="D3701" t="str">
            <v>660-2</v>
          </cell>
          <cell r="E3701" t="str">
            <v>面板</v>
          </cell>
          <cell r="F3701" t="str">
            <v>1425*508*18</v>
          </cell>
          <cell r="G3701">
            <v>1425</v>
          </cell>
          <cell r="H3701">
            <v>508</v>
          </cell>
          <cell r="I3701">
            <v>18</v>
          </cell>
          <cell r="J3701">
            <v>680</v>
          </cell>
          <cell r="K3701">
            <v>0</v>
          </cell>
          <cell r="L3701">
            <v>3.2</v>
          </cell>
          <cell r="M3701">
            <v>0</v>
          </cell>
          <cell r="N3701">
            <v>8020</v>
          </cell>
          <cell r="O3701" t="str">
            <v>T</v>
          </cell>
          <cell r="P3701" t="str">
            <v>1010</v>
          </cell>
          <cell r="Q3701" t="str">
            <v>1010</v>
          </cell>
          <cell r="R3701">
            <v>4.7058823529411766</v>
          </cell>
          <cell r="S3701">
            <v>0</v>
          </cell>
        </row>
        <row r="3702">
          <cell r="A3702" t="str">
            <v>Y052-343</v>
          </cell>
          <cell r="B3702" t="str">
            <v>沒槽</v>
          </cell>
          <cell r="C3702" t="str">
            <v>Y052</v>
          </cell>
          <cell r="D3702" t="str">
            <v>660-2</v>
          </cell>
          <cell r="E3702" t="str">
            <v xml:space="preserve">前框脚柱 </v>
          </cell>
          <cell r="F3702" t="str">
            <v>853*67*67</v>
          </cell>
          <cell r="G3702">
            <v>853</v>
          </cell>
          <cell r="H3702">
            <v>67</v>
          </cell>
          <cell r="I3702">
            <v>67</v>
          </cell>
          <cell r="J3702">
            <v>1297</v>
          </cell>
          <cell r="K3702">
            <v>0</v>
          </cell>
          <cell r="L3702">
            <v>3.71</v>
          </cell>
          <cell r="M3702">
            <v>0</v>
          </cell>
          <cell r="N3702">
            <v>0</v>
          </cell>
          <cell r="O3702" t="str">
            <v>T</v>
          </cell>
          <cell r="P3702" t="str">
            <v>1010</v>
          </cell>
          <cell r="Q3702" t="str">
            <v>1010</v>
          </cell>
          <cell r="R3702">
            <v>2.8604471858134155</v>
          </cell>
          <cell r="S3702">
            <v>0</v>
          </cell>
        </row>
        <row r="3703">
          <cell r="A3703" t="str">
            <v>Y052-344</v>
          </cell>
          <cell r="B3703">
            <v>0</v>
          </cell>
          <cell r="C3703" t="str">
            <v>Y052</v>
          </cell>
          <cell r="D3703" t="str">
            <v>660-2</v>
          </cell>
          <cell r="E3703" t="str">
            <v>前框下横饰条</v>
          </cell>
          <cell r="F3703" t="str">
            <v>1233*85*9</v>
          </cell>
          <cell r="G3703">
            <v>1233</v>
          </cell>
          <cell r="H3703">
            <v>85</v>
          </cell>
          <cell r="I3703">
            <v>9</v>
          </cell>
          <cell r="J3703">
            <v>553</v>
          </cell>
          <cell r="K3703">
            <v>0</v>
          </cell>
          <cell r="L3703">
            <v>1.48</v>
          </cell>
          <cell r="M3703">
            <v>0</v>
          </cell>
          <cell r="N3703">
            <v>0</v>
          </cell>
          <cell r="O3703" t="str">
            <v>T</v>
          </cell>
          <cell r="P3703" t="str">
            <v>1010</v>
          </cell>
          <cell r="Q3703" t="str">
            <v>1010</v>
          </cell>
          <cell r="R3703">
            <v>2.6763110307414104</v>
          </cell>
          <cell r="S3703">
            <v>0</v>
          </cell>
        </row>
        <row r="3704">
          <cell r="A3704" t="str">
            <v>Y052-345</v>
          </cell>
          <cell r="B3704" t="str">
            <v>有槽</v>
          </cell>
          <cell r="C3704" t="str">
            <v>Y052</v>
          </cell>
          <cell r="D3704" t="str">
            <v>660-2</v>
          </cell>
          <cell r="E3704" t="str">
            <v>后框脚柱 L</v>
          </cell>
          <cell r="F3704" t="str">
            <v>853*67*67</v>
          </cell>
          <cell r="G3704">
            <v>853</v>
          </cell>
          <cell r="H3704">
            <v>67</v>
          </cell>
          <cell r="I3704">
            <v>67</v>
          </cell>
          <cell r="J3704">
            <v>1265</v>
          </cell>
          <cell r="K3704">
            <v>0</v>
          </cell>
          <cell r="L3704">
            <v>3.6</v>
          </cell>
          <cell r="M3704">
            <v>0</v>
          </cell>
          <cell r="N3704">
            <v>0</v>
          </cell>
          <cell r="O3704" t="str">
            <v>T</v>
          </cell>
          <cell r="P3704" t="str">
            <v>1010</v>
          </cell>
          <cell r="Q3704" t="str">
            <v>1010</v>
          </cell>
          <cell r="R3704">
            <v>2.8458498023715419</v>
          </cell>
          <cell r="S3704">
            <v>0</v>
          </cell>
        </row>
        <row r="3705">
          <cell r="A3705" t="str">
            <v>Y052-346</v>
          </cell>
          <cell r="B3705" t="str">
            <v>有槽</v>
          </cell>
          <cell r="C3705" t="str">
            <v>Y052</v>
          </cell>
          <cell r="D3705" t="str">
            <v>660-2</v>
          </cell>
          <cell r="E3705" t="str">
            <v>后框脚柱 R</v>
          </cell>
          <cell r="F3705" t="str">
            <v>853*67*67</v>
          </cell>
          <cell r="G3705">
            <v>853</v>
          </cell>
          <cell r="H3705">
            <v>67</v>
          </cell>
          <cell r="I3705">
            <v>67</v>
          </cell>
          <cell r="J3705">
            <v>1265</v>
          </cell>
          <cell r="K3705">
            <v>0</v>
          </cell>
          <cell r="L3705">
            <v>3.6</v>
          </cell>
          <cell r="M3705">
            <v>0</v>
          </cell>
          <cell r="N3705">
            <v>0</v>
          </cell>
          <cell r="O3705" t="str">
            <v>T</v>
          </cell>
          <cell r="P3705" t="str">
            <v>1010</v>
          </cell>
          <cell r="Q3705" t="str">
            <v>1010</v>
          </cell>
          <cell r="R3705">
            <v>2.8458498023715419</v>
          </cell>
          <cell r="S3705">
            <v>0</v>
          </cell>
        </row>
        <row r="3706">
          <cell r="A3706" t="str">
            <v>Y052-347</v>
          </cell>
          <cell r="B3706">
            <v>0</v>
          </cell>
          <cell r="C3706" t="str">
            <v>Y052</v>
          </cell>
          <cell r="D3706" t="str">
            <v>660-2</v>
          </cell>
          <cell r="E3706" t="str">
            <v>侧板下贴条</v>
          </cell>
          <cell r="F3706" t="str">
            <v>367*74*9</v>
          </cell>
          <cell r="G3706">
            <v>367</v>
          </cell>
          <cell r="H3706">
            <v>74</v>
          </cell>
          <cell r="I3706">
            <v>9</v>
          </cell>
          <cell r="J3706">
            <v>176</v>
          </cell>
          <cell r="K3706">
            <v>0</v>
          </cell>
          <cell r="L3706">
            <v>0.5</v>
          </cell>
          <cell r="M3706">
            <v>0</v>
          </cell>
          <cell r="N3706">
            <v>0</v>
          </cell>
          <cell r="O3706" t="str">
            <v>T</v>
          </cell>
          <cell r="P3706" t="str">
            <v>1010</v>
          </cell>
          <cell r="Q3706" t="str">
            <v>1010</v>
          </cell>
          <cell r="R3706">
            <v>2.8409090909090913</v>
          </cell>
          <cell r="S3706">
            <v>0</v>
          </cell>
        </row>
        <row r="3707">
          <cell r="A3707" t="str">
            <v>Y052-348</v>
          </cell>
          <cell r="B3707" t="str">
            <v>木紋</v>
          </cell>
          <cell r="C3707" t="str">
            <v>Y052</v>
          </cell>
          <cell r="D3707" t="str">
            <v>1564TB-HB/FB/SL-HF</v>
          </cell>
          <cell r="E3707" t="str">
            <v>床头三角瑰饰条</v>
          </cell>
          <cell r="F3707" t="str">
            <v>700*8*6</v>
          </cell>
          <cell r="G3707">
            <v>700</v>
          </cell>
          <cell r="H3707">
            <v>8</v>
          </cell>
          <cell r="I3707">
            <v>6</v>
          </cell>
          <cell r="J3707">
            <v>70</v>
          </cell>
          <cell r="K3707">
            <v>0</v>
          </cell>
          <cell r="L3707">
            <v>0.2</v>
          </cell>
          <cell r="M3707">
            <v>0</v>
          </cell>
          <cell r="N3707">
            <v>0</v>
          </cell>
          <cell r="O3707" t="str">
            <v>T</v>
          </cell>
          <cell r="P3707" t="str">
            <v>1010</v>
          </cell>
          <cell r="Q3707" t="str">
            <v>1010</v>
          </cell>
          <cell r="R3707">
            <v>2.8571428571428572</v>
          </cell>
          <cell r="S3707">
            <v>0</v>
          </cell>
        </row>
        <row r="3708">
          <cell r="A3708" t="str">
            <v>Y052-349</v>
          </cell>
          <cell r="B3708" t="str">
            <v>沒木紋</v>
          </cell>
          <cell r="C3708" t="str">
            <v>Y052</v>
          </cell>
          <cell r="D3708" t="str">
            <v>1564TB-HB/FB/SL-VSW/CHO</v>
          </cell>
          <cell r="E3708" t="str">
            <v>床头三角瑰饰条</v>
          </cell>
          <cell r="F3708" t="str">
            <v>700*8*6</v>
          </cell>
          <cell r="G3708">
            <v>700</v>
          </cell>
          <cell r="H3708">
            <v>8</v>
          </cell>
          <cell r="I3708">
            <v>6</v>
          </cell>
          <cell r="J3708">
            <v>70</v>
          </cell>
          <cell r="K3708">
            <v>0</v>
          </cell>
          <cell r="L3708">
            <v>0.2</v>
          </cell>
          <cell r="M3708">
            <v>0</v>
          </cell>
          <cell r="N3708">
            <v>0</v>
          </cell>
          <cell r="O3708" t="str">
            <v>T</v>
          </cell>
          <cell r="P3708" t="str">
            <v>1010</v>
          </cell>
          <cell r="Q3708" t="str">
            <v>1010</v>
          </cell>
          <cell r="R3708">
            <v>2.8571428571428572</v>
          </cell>
          <cell r="S3708">
            <v>0</v>
          </cell>
        </row>
        <row r="3709">
          <cell r="A3709" t="str">
            <v>Y052-350</v>
          </cell>
          <cell r="B3709">
            <v>0</v>
          </cell>
          <cell r="C3709" t="str">
            <v>Y052</v>
          </cell>
          <cell r="D3709" t="str">
            <v>1764TB-HB/FB/SL</v>
          </cell>
          <cell r="E3709" t="str">
            <v>船头骨架企条3-R</v>
          </cell>
          <cell r="F3709" t="str">
            <v>214*19*16</v>
          </cell>
          <cell r="G3709">
            <v>214</v>
          </cell>
          <cell r="H3709">
            <v>19</v>
          </cell>
          <cell r="I3709">
            <v>16</v>
          </cell>
          <cell r="J3709">
            <v>104</v>
          </cell>
          <cell r="K3709">
            <v>0</v>
          </cell>
          <cell r="L3709">
            <v>0.28000000000000003</v>
          </cell>
          <cell r="M3709">
            <v>0</v>
          </cell>
          <cell r="N3709">
            <v>0</v>
          </cell>
          <cell r="O3709" t="str">
            <v>T</v>
          </cell>
          <cell r="P3709" t="str">
            <v>1010</v>
          </cell>
          <cell r="Q3709" t="str">
            <v>1010</v>
          </cell>
          <cell r="R3709">
            <v>2.6923076923076925</v>
          </cell>
          <cell r="S3709">
            <v>0</v>
          </cell>
        </row>
        <row r="3710">
          <cell r="A3710" t="str">
            <v>Y052-351</v>
          </cell>
          <cell r="B3710">
            <v>0</v>
          </cell>
          <cell r="C3710" t="str">
            <v>Y052</v>
          </cell>
          <cell r="D3710" t="str">
            <v>1764TB-HB/FB/SL</v>
          </cell>
          <cell r="E3710" t="str">
            <v>船头骨架企条3-L</v>
          </cell>
          <cell r="F3710" t="str">
            <v>214*19*16</v>
          </cell>
          <cell r="G3710">
            <v>214</v>
          </cell>
          <cell r="H3710">
            <v>19</v>
          </cell>
          <cell r="I3710">
            <v>16</v>
          </cell>
          <cell r="J3710">
            <v>104</v>
          </cell>
          <cell r="K3710">
            <v>0</v>
          </cell>
          <cell r="L3710">
            <v>0.28000000000000003</v>
          </cell>
          <cell r="M3710">
            <v>0</v>
          </cell>
          <cell r="N3710">
            <v>0</v>
          </cell>
          <cell r="O3710" t="str">
            <v>T</v>
          </cell>
          <cell r="P3710" t="str">
            <v>1010</v>
          </cell>
          <cell r="Q3710" t="str">
            <v>1010</v>
          </cell>
          <cell r="R3710">
            <v>2.6923076923076925</v>
          </cell>
          <cell r="S3710">
            <v>0</v>
          </cell>
        </row>
        <row r="3711">
          <cell r="A3711" t="str">
            <v>Y052-352</v>
          </cell>
          <cell r="B3711">
            <v>0</v>
          </cell>
          <cell r="C3711" t="str">
            <v>Y052</v>
          </cell>
          <cell r="D3711" t="str">
            <v>1764TB-HB/FB/SL</v>
          </cell>
          <cell r="E3711" t="str">
            <v>船头骨架企条4-R</v>
          </cell>
          <cell r="F3711" t="str">
            <v>234*25*16</v>
          </cell>
          <cell r="G3711">
            <v>234</v>
          </cell>
          <cell r="H3711">
            <v>25</v>
          </cell>
          <cell r="I3711">
            <v>16</v>
          </cell>
          <cell r="J3711">
            <v>112</v>
          </cell>
          <cell r="K3711">
            <v>0</v>
          </cell>
          <cell r="L3711">
            <v>0.3</v>
          </cell>
          <cell r="M3711">
            <v>0</v>
          </cell>
          <cell r="N3711">
            <v>0</v>
          </cell>
          <cell r="O3711" t="str">
            <v>T</v>
          </cell>
          <cell r="P3711" t="str">
            <v>1010</v>
          </cell>
          <cell r="Q3711" t="str">
            <v>1010</v>
          </cell>
          <cell r="R3711">
            <v>2.6785714285714284</v>
          </cell>
          <cell r="S3711">
            <v>0</v>
          </cell>
        </row>
        <row r="3712">
          <cell r="A3712" t="str">
            <v>Y052-353</v>
          </cell>
          <cell r="B3712">
            <v>0</v>
          </cell>
          <cell r="C3712" t="str">
            <v>Y052</v>
          </cell>
          <cell r="D3712" t="str">
            <v>1764TB-HB/FB/SL</v>
          </cell>
          <cell r="E3712" t="str">
            <v>船头骨架企条4-L</v>
          </cell>
          <cell r="F3712" t="str">
            <v>234*25*16</v>
          </cell>
          <cell r="G3712">
            <v>234</v>
          </cell>
          <cell r="H3712">
            <v>25</v>
          </cell>
          <cell r="I3712">
            <v>16</v>
          </cell>
          <cell r="J3712">
            <v>112</v>
          </cell>
          <cell r="K3712">
            <v>0</v>
          </cell>
          <cell r="L3712">
            <v>0.3</v>
          </cell>
          <cell r="M3712">
            <v>0</v>
          </cell>
          <cell r="N3712">
            <v>0</v>
          </cell>
          <cell r="O3712" t="str">
            <v>T</v>
          </cell>
          <cell r="P3712" t="str">
            <v>1010</v>
          </cell>
          <cell r="Q3712" t="str">
            <v>1010</v>
          </cell>
          <cell r="R3712">
            <v>2.6785714285714284</v>
          </cell>
          <cell r="S3712">
            <v>0</v>
          </cell>
        </row>
        <row r="3713">
          <cell r="A3713" t="str">
            <v>Y052-354</v>
          </cell>
          <cell r="B3713">
            <v>0</v>
          </cell>
          <cell r="C3713" t="str">
            <v>Y052</v>
          </cell>
          <cell r="D3713" t="str">
            <v>640-13</v>
          </cell>
          <cell r="E3713" t="str">
            <v>左床头脚柱-L</v>
          </cell>
          <cell r="F3713" t="str">
            <v>1167*70*70</v>
          </cell>
          <cell r="G3713">
            <v>1167</v>
          </cell>
          <cell r="H3713">
            <v>70</v>
          </cell>
          <cell r="I3713">
            <v>70</v>
          </cell>
          <cell r="J3713">
            <v>0</v>
          </cell>
          <cell r="K3713">
            <v>0</v>
          </cell>
          <cell r="L3713">
            <v>6.11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5510</v>
          </cell>
          <cell r="R3713" t="e">
            <v>#DIV/0!</v>
          </cell>
          <cell r="S3713">
            <v>0</v>
          </cell>
        </row>
        <row r="3714">
          <cell r="A3714" t="str">
            <v>Y052-355</v>
          </cell>
          <cell r="B3714">
            <v>0</v>
          </cell>
          <cell r="C3714" t="str">
            <v>Y052</v>
          </cell>
          <cell r="D3714" t="str">
            <v>640-13</v>
          </cell>
          <cell r="E3714" t="str">
            <v>右床头脚柱-R</v>
          </cell>
          <cell r="F3714" t="str">
            <v>1167*70*70</v>
          </cell>
          <cell r="G3714">
            <v>1167</v>
          </cell>
          <cell r="H3714">
            <v>70</v>
          </cell>
          <cell r="I3714">
            <v>70</v>
          </cell>
          <cell r="J3714">
            <v>0</v>
          </cell>
          <cell r="K3714">
            <v>0</v>
          </cell>
          <cell r="L3714">
            <v>6.11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5510</v>
          </cell>
          <cell r="R3714" t="e">
            <v>#DIV/0!</v>
          </cell>
          <cell r="S3714">
            <v>0</v>
          </cell>
        </row>
        <row r="3715">
          <cell r="A3715" t="str">
            <v>Y052-356</v>
          </cell>
          <cell r="B3715">
            <v>0</v>
          </cell>
          <cell r="C3715" t="str">
            <v>Y052</v>
          </cell>
          <cell r="D3715" t="str">
            <v>640-13</v>
          </cell>
          <cell r="E3715" t="str">
            <v>床头饰花</v>
          </cell>
          <cell r="F3715" t="str">
            <v>570*170*10</v>
          </cell>
          <cell r="G3715">
            <v>570</v>
          </cell>
          <cell r="H3715">
            <v>170</v>
          </cell>
          <cell r="I3715">
            <v>10</v>
          </cell>
          <cell r="J3715">
            <v>0</v>
          </cell>
          <cell r="K3715">
            <v>0</v>
          </cell>
          <cell r="L3715">
            <v>0.92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1010</v>
          </cell>
          <cell r="R3715" t="e">
            <v>#DIV/0!</v>
          </cell>
          <cell r="S3715">
            <v>0</v>
          </cell>
        </row>
        <row r="3716">
          <cell r="A3716" t="str">
            <v>Y052-357</v>
          </cell>
          <cell r="B3716">
            <v>0</v>
          </cell>
          <cell r="C3716" t="str">
            <v>Y052</v>
          </cell>
          <cell r="D3716" t="str">
            <v>640-13</v>
          </cell>
          <cell r="E3716" t="str">
            <v>左床尾脚柱-L</v>
          </cell>
          <cell r="F3716" t="str">
            <v>867*70*70</v>
          </cell>
          <cell r="G3716">
            <v>867</v>
          </cell>
          <cell r="H3716">
            <v>70</v>
          </cell>
          <cell r="I3716">
            <v>70</v>
          </cell>
          <cell r="J3716">
            <v>0</v>
          </cell>
          <cell r="K3716">
            <v>0</v>
          </cell>
          <cell r="L3716">
            <v>4.5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5510</v>
          </cell>
          <cell r="R3716" t="e">
            <v>#DIV/0!</v>
          </cell>
          <cell r="S3716">
            <v>0</v>
          </cell>
        </row>
        <row r="3717">
          <cell r="A3717" t="str">
            <v>Y052-358</v>
          </cell>
          <cell r="B3717">
            <v>0</v>
          </cell>
          <cell r="C3717" t="str">
            <v>Y052</v>
          </cell>
          <cell r="D3717" t="str">
            <v>640-13</v>
          </cell>
          <cell r="E3717" t="str">
            <v>右床尾脚柱-R</v>
          </cell>
          <cell r="F3717" t="str">
            <v>867*70*70</v>
          </cell>
          <cell r="G3717">
            <v>867</v>
          </cell>
          <cell r="H3717">
            <v>70</v>
          </cell>
          <cell r="I3717">
            <v>70</v>
          </cell>
          <cell r="J3717">
            <v>0</v>
          </cell>
          <cell r="K3717">
            <v>0</v>
          </cell>
          <cell r="L3717">
            <v>4.5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5510</v>
          </cell>
          <cell r="R3717" t="e">
            <v>#DIV/0!</v>
          </cell>
          <cell r="S3717">
            <v>0</v>
          </cell>
        </row>
        <row r="3718">
          <cell r="A3718" t="str">
            <v>Y052-359</v>
          </cell>
          <cell r="B3718">
            <v>0</v>
          </cell>
          <cell r="C3718" t="str">
            <v>Y052</v>
          </cell>
          <cell r="D3718" t="str">
            <v>640-13</v>
          </cell>
          <cell r="E3718" t="str">
            <v>床尾上横饰条</v>
          </cell>
          <cell r="F3718" t="str">
            <v>370*65*5</v>
          </cell>
          <cell r="G3718">
            <v>370</v>
          </cell>
          <cell r="H3718">
            <v>65</v>
          </cell>
          <cell r="I3718">
            <v>5</v>
          </cell>
          <cell r="J3718">
            <v>0</v>
          </cell>
          <cell r="K3718">
            <v>0</v>
          </cell>
          <cell r="L3718">
            <v>0.35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1010</v>
          </cell>
          <cell r="R3718" t="e">
            <v>#DIV/0!</v>
          </cell>
          <cell r="S3718">
            <v>0</v>
          </cell>
        </row>
        <row r="3719">
          <cell r="A3719" t="str">
            <v>Y052-360</v>
          </cell>
          <cell r="B3719">
            <v>0</v>
          </cell>
          <cell r="C3719" t="str">
            <v>Y052</v>
          </cell>
          <cell r="D3719" t="str">
            <v>640-13</v>
          </cell>
          <cell r="E3719" t="str">
            <v>床尾立水饰花</v>
          </cell>
          <cell r="F3719" t="str">
            <v>278*60*5</v>
          </cell>
          <cell r="G3719">
            <v>278</v>
          </cell>
          <cell r="H3719">
            <v>60</v>
          </cell>
          <cell r="I3719">
            <v>5</v>
          </cell>
          <cell r="J3719">
            <v>0</v>
          </cell>
          <cell r="K3719">
            <v>0</v>
          </cell>
          <cell r="L3719">
            <v>0.25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1010</v>
          </cell>
          <cell r="R3719" t="e">
            <v>#DIV/0!</v>
          </cell>
          <cell r="S3719">
            <v>0</v>
          </cell>
        </row>
        <row r="3720">
          <cell r="A3720" t="str">
            <v>Y052-361</v>
          </cell>
          <cell r="B3720">
            <v>0</v>
          </cell>
          <cell r="C3720" t="str">
            <v>Y052</v>
          </cell>
          <cell r="D3720" t="str">
            <v>1764FB-HB/FB/SL</v>
          </cell>
          <cell r="E3720" t="str">
            <v>船头骨架上横-L</v>
          </cell>
          <cell r="F3720" t="str">
            <v>971*144*30</v>
          </cell>
          <cell r="G3720">
            <v>971</v>
          </cell>
          <cell r="H3720">
            <v>144</v>
          </cell>
          <cell r="I3720">
            <v>30</v>
          </cell>
          <cell r="J3720">
            <v>785</v>
          </cell>
          <cell r="K3720">
            <v>776</v>
          </cell>
          <cell r="L3720">
            <v>2.17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1010</v>
          </cell>
          <cell r="R3720">
            <v>2.7643312101910826</v>
          </cell>
          <cell r="S3720">
            <v>0</v>
          </cell>
        </row>
        <row r="3721">
          <cell r="A3721" t="str">
            <v>Y052-362</v>
          </cell>
          <cell r="B3721">
            <v>0</v>
          </cell>
          <cell r="C3721" t="str">
            <v>Y052</v>
          </cell>
          <cell r="D3721" t="str">
            <v>1764FB-HB/FB/SL</v>
          </cell>
          <cell r="E3721" t="str">
            <v>船头骨架上横-R</v>
          </cell>
          <cell r="F3721" t="str">
            <v>971*144*30</v>
          </cell>
          <cell r="G3721">
            <v>971</v>
          </cell>
          <cell r="H3721">
            <v>144</v>
          </cell>
          <cell r="I3721">
            <v>30</v>
          </cell>
          <cell r="J3721">
            <v>785</v>
          </cell>
          <cell r="K3721">
            <v>776</v>
          </cell>
          <cell r="L3721">
            <v>2.17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1010</v>
          </cell>
          <cell r="R3721">
            <v>2.7643312101910826</v>
          </cell>
          <cell r="S3721">
            <v>0</v>
          </cell>
        </row>
        <row r="3722">
          <cell r="A3722" t="str">
            <v>Y052-363</v>
          </cell>
          <cell r="B3722">
            <v>0</v>
          </cell>
          <cell r="C3722" t="str">
            <v>Y052</v>
          </cell>
          <cell r="D3722" t="str">
            <v>1764FB-HB/FB/SL</v>
          </cell>
          <cell r="E3722" t="str">
            <v>船头骨架中横-L</v>
          </cell>
          <cell r="F3722" t="str">
            <v>901*132*60</v>
          </cell>
          <cell r="G3722">
            <v>901</v>
          </cell>
          <cell r="H3722">
            <v>132</v>
          </cell>
          <cell r="I3722">
            <v>60</v>
          </cell>
          <cell r="J3722">
            <v>1165</v>
          </cell>
          <cell r="K3722">
            <v>1158</v>
          </cell>
          <cell r="L3722">
            <v>3.1</v>
          </cell>
          <cell r="M3722">
            <v>0</v>
          </cell>
          <cell r="N3722">
            <v>49</v>
          </cell>
          <cell r="O3722">
            <v>0</v>
          </cell>
          <cell r="P3722">
            <v>0</v>
          </cell>
          <cell r="Q3722" t="str">
            <v>0110</v>
          </cell>
          <cell r="R3722">
            <v>2.6609442060085837</v>
          </cell>
          <cell r="S3722">
            <v>0</v>
          </cell>
        </row>
        <row r="3723">
          <cell r="A3723" t="str">
            <v>Y052-364</v>
          </cell>
          <cell r="B3723">
            <v>0</v>
          </cell>
          <cell r="C3723" t="str">
            <v>Y052</v>
          </cell>
          <cell r="D3723" t="str">
            <v>1764FB-HB/FB/SL</v>
          </cell>
          <cell r="E3723" t="str">
            <v>船头骨架中横-R</v>
          </cell>
          <cell r="F3723" t="str">
            <v>901*132*60</v>
          </cell>
          <cell r="G3723">
            <v>901</v>
          </cell>
          <cell r="H3723">
            <v>132</v>
          </cell>
          <cell r="I3723">
            <v>60</v>
          </cell>
          <cell r="J3723">
            <v>1165</v>
          </cell>
          <cell r="K3723">
            <v>1158</v>
          </cell>
          <cell r="L3723">
            <v>3.1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0110</v>
          </cell>
          <cell r="R3723">
            <v>2.6609442060085837</v>
          </cell>
          <cell r="S3723">
            <v>0</v>
          </cell>
        </row>
        <row r="3724">
          <cell r="A3724" t="str">
            <v>Y052-365</v>
          </cell>
          <cell r="B3724" t="str">
            <v>12.45-小紅改12.65</v>
          </cell>
          <cell r="C3724" t="str">
            <v>Y052</v>
          </cell>
          <cell r="D3724" t="str">
            <v>1764FB-HB/FB/SL</v>
          </cell>
          <cell r="E3724" t="str">
            <v>船头外板-L</v>
          </cell>
          <cell r="F3724" t="str">
            <v>1053*676*5</v>
          </cell>
          <cell r="G3724">
            <v>1053</v>
          </cell>
          <cell r="H3724">
            <v>676</v>
          </cell>
          <cell r="I3724">
            <v>5</v>
          </cell>
          <cell r="J3724">
            <v>4656</v>
          </cell>
          <cell r="K3724">
            <v>0</v>
          </cell>
          <cell r="L3724">
            <v>12.65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1010</v>
          </cell>
          <cell r="R3724">
            <v>2.7169243986254297</v>
          </cell>
          <cell r="S3724">
            <v>0</v>
          </cell>
        </row>
        <row r="3725">
          <cell r="A3725" t="str">
            <v>Y052-366</v>
          </cell>
          <cell r="B3725" t="str">
            <v>"</v>
          </cell>
          <cell r="C3725" t="str">
            <v>Y052</v>
          </cell>
          <cell r="D3725" t="str">
            <v>1764FB-HB/FB/SL</v>
          </cell>
          <cell r="E3725" t="str">
            <v>船头外板-R</v>
          </cell>
          <cell r="F3725" t="str">
            <v>1053*676*5</v>
          </cell>
          <cell r="G3725">
            <v>1053</v>
          </cell>
          <cell r="H3725">
            <v>676</v>
          </cell>
          <cell r="I3725">
            <v>5</v>
          </cell>
          <cell r="J3725">
            <v>4656</v>
          </cell>
          <cell r="K3725">
            <v>0</v>
          </cell>
          <cell r="L3725">
            <v>12.65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1010</v>
          </cell>
          <cell r="R3725">
            <v>2.7169243986254297</v>
          </cell>
          <cell r="S3725">
            <v>0</v>
          </cell>
        </row>
        <row r="3726">
          <cell r="A3726" t="str">
            <v>Y052-367</v>
          </cell>
          <cell r="B3726" t="str">
            <v>6.5-小紅改6.65</v>
          </cell>
          <cell r="C3726" t="str">
            <v>Y052</v>
          </cell>
          <cell r="D3726" t="str">
            <v>1764FB-HB/FB/SL</v>
          </cell>
          <cell r="E3726" t="str">
            <v>船头内板-L</v>
          </cell>
          <cell r="F3726" t="str">
            <v>989*418*5</v>
          </cell>
          <cell r="G3726">
            <v>989</v>
          </cell>
          <cell r="H3726">
            <v>418</v>
          </cell>
          <cell r="I3726">
            <v>5</v>
          </cell>
          <cell r="J3726">
            <v>2510</v>
          </cell>
          <cell r="K3726">
            <v>0</v>
          </cell>
          <cell r="L3726">
            <v>6.65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1010</v>
          </cell>
          <cell r="R3726">
            <v>2.6494023904382473</v>
          </cell>
          <cell r="S3726">
            <v>0</v>
          </cell>
        </row>
        <row r="3727">
          <cell r="A3727" t="str">
            <v>Y052-368</v>
          </cell>
          <cell r="B3727" t="str">
            <v>"</v>
          </cell>
          <cell r="C3727" t="str">
            <v>Y052</v>
          </cell>
          <cell r="D3727" t="str">
            <v>1764FB-HB/FB/SL</v>
          </cell>
          <cell r="E3727" t="str">
            <v>船头内板-R</v>
          </cell>
          <cell r="F3727" t="str">
            <v>989*418*5</v>
          </cell>
          <cell r="G3727">
            <v>989</v>
          </cell>
          <cell r="H3727">
            <v>418</v>
          </cell>
          <cell r="I3727">
            <v>5</v>
          </cell>
          <cell r="J3727">
            <v>2510</v>
          </cell>
          <cell r="K3727">
            <v>0</v>
          </cell>
          <cell r="L3727">
            <v>6.65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1010</v>
          </cell>
          <cell r="R3727">
            <v>2.6494023904382473</v>
          </cell>
          <cell r="S3727">
            <v>0</v>
          </cell>
        </row>
        <row r="3728">
          <cell r="A3728" t="str">
            <v>Y052-369</v>
          </cell>
          <cell r="B3728">
            <v>0</v>
          </cell>
          <cell r="C3728" t="str">
            <v>Y052</v>
          </cell>
          <cell r="D3728" t="str">
            <v>1764FB-HB/FB/SL</v>
          </cell>
          <cell r="E3728" t="str">
            <v>中企柱饰条</v>
          </cell>
          <cell r="F3728" t="str">
            <v>657*7*5</v>
          </cell>
          <cell r="G3728">
            <v>657</v>
          </cell>
          <cell r="H3728">
            <v>7</v>
          </cell>
          <cell r="I3728">
            <v>5</v>
          </cell>
          <cell r="J3728">
            <v>32</v>
          </cell>
          <cell r="K3728">
            <v>0</v>
          </cell>
          <cell r="L3728">
            <v>0.13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1010</v>
          </cell>
          <cell r="R3728">
            <v>4.0625</v>
          </cell>
          <cell r="S3728">
            <v>0</v>
          </cell>
        </row>
        <row r="3729">
          <cell r="A3729" t="str">
            <v>Y052-370</v>
          </cell>
          <cell r="B3729">
            <v>0</v>
          </cell>
          <cell r="C3729" t="str">
            <v>Y052</v>
          </cell>
          <cell r="D3729" t="str">
            <v>1381-W/SC</v>
          </cell>
          <cell r="E3729" t="str">
            <v>脚柱</v>
          </cell>
          <cell r="F3729" t="str">
            <v>244*55*55</v>
          </cell>
          <cell r="G3729">
            <v>244</v>
          </cell>
          <cell r="H3729">
            <v>55</v>
          </cell>
          <cell r="I3729">
            <v>55</v>
          </cell>
          <cell r="J3729">
            <v>338</v>
          </cell>
          <cell r="K3729">
            <v>0</v>
          </cell>
          <cell r="L3729">
            <v>0.9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5510</v>
          </cell>
          <cell r="R3729">
            <v>2.6627218934911241</v>
          </cell>
          <cell r="S3729">
            <v>0</v>
          </cell>
        </row>
        <row r="3730">
          <cell r="A3730" t="str">
            <v>Y052-371</v>
          </cell>
          <cell r="B3730">
            <v>0</v>
          </cell>
          <cell r="C3730" t="str">
            <v>Y052</v>
          </cell>
          <cell r="D3730" t="str">
            <v>1381-W/SC</v>
          </cell>
          <cell r="E3730" t="str">
            <v>脚柱饰瑰</v>
          </cell>
          <cell r="F3730" t="str">
            <v>60*31*8.5</v>
          </cell>
          <cell r="G3730">
            <v>60</v>
          </cell>
          <cell r="H3730">
            <v>31</v>
          </cell>
          <cell r="I3730">
            <v>8.5</v>
          </cell>
          <cell r="J3730">
            <v>18</v>
          </cell>
          <cell r="K3730">
            <v>0</v>
          </cell>
          <cell r="L3730">
            <v>0.06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1010</v>
          </cell>
          <cell r="R3730">
            <v>3.3333333333333335</v>
          </cell>
          <cell r="S3730">
            <v>0</v>
          </cell>
        </row>
        <row r="3731">
          <cell r="A3731" t="str">
            <v>Y052-372</v>
          </cell>
          <cell r="B3731">
            <v>0</v>
          </cell>
          <cell r="C3731" t="str">
            <v>Y052</v>
          </cell>
          <cell r="D3731" t="str">
            <v>1383-W/SC</v>
          </cell>
          <cell r="E3731" t="str">
            <v>右腳柱上飾-L</v>
          </cell>
          <cell r="F3731" t="str">
            <v>88*55*55</v>
          </cell>
          <cell r="G3731">
            <v>88</v>
          </cell>
          <cell r="H3731">
            <v>55</v>
          </cell>
          <cell r="I3731">
            <v>55</v>
          </cell>
          <cell r="J3731">
            <v>18</v>
          </cell>
          <cell r="K3731">
            <v>0</v>
          </cell>
          <cell r="L3731">
            <v>0.62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5510</v>
          </cell>
          <cell r="R3731">
            <v>34.44444444444445</v>
          </cell>
          <cell r="S3731">
            <v>0</v>
          </cell>
        </row>
        <row r="3732">
          <cell r="A3732" t="str">
            <v>Y052-373</v>
          </cell>
          <cell r="B3732">
            <v>0</v>
          </cell>
          <cell r="C3732" t="str">
            <v>Y052</v>
          </cell>
          <cell r="D3732" t="str">
            <v>1383-W/SC</v>
          </cell>
          <cell r="E3732" t="str">
            <v>左腳柱上飾-R</v>
          </cell>
          <cell r="F3732" t="str">
            <v>88*55*55</v>
          </cell>
          <cell r="G3732">
            <v>88</v>
          </cell>
          <cell r="H3732">
            <v>55</v>
          </cell>
          <cell r="I3732">
            <v>55</v>
          </cell>
          <cell r="J3732">
            <v>145</v>
          </cell>
          <cell r="K3732">
            <v>0</v>
          </cell>
          <cell r="L3732">
            <v>0.62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5510</v>
          </cell>
          <cell r="R3732">
            <v>4.2758620689655178</v>
          </cell>
          <cell r="S3732">
            <v>0</v>
          </cell>
        </row>
        <row r="3733">
          <cell r="A3733" t="str">
            <v>Y052-374</v>
          </cell>
          <cell r="B3733">
            <v>0</v>
          </cell>
          <cell r="C3733" t="str">
            <v>Y052</v>
          </cell>
          <cell r="D3733" t="str">
            <v>1383-W/SC</v>
          </cell>
          <cell r="E3733" t="str">
            <v>左脚柱下飾 -L</v>
          </cell>
          <cell r="F3733" t="str">
            <v>283*55*55</v>
          </cell>
          <cell r="G3733">
            <v>283</v>
          </cell>
          <cell r="H3733">
            <v>55</v>
          </cell>
          <cell r="I3733">
            <v>55</v>
          </cell>
          <cell r="J3733">
            <v>435</v>
          </cell>
          <cell r="K3733">
            <v>0</v>
          </cell>
          <cell r="L3733">
            <v>1.34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5510</v>
          </cell>
          <cell r="R3733">
            <v>3.0804597701149428</v>
          </cell>
          <cell r="S3733">
            <v>0</v>
          </cell>
        </row>
        <row r="3734">
          <cell r="A3734" t="str">
            <v>Y052-375</v>
          </cell>
          <cell r="B3734">
            <v>0</v>
          </cell>
          <cell r="C3734" t="str">
            <v>Y052</v>
          </cell>
          <cell r="D3734" t="str">
            <v>1383-W/SC</v>
          </cell>
          <cell r="E3734" t="str">
            <v>右左脚柱下飾 -R</v>
          </cell>
          <cell r="F3734" t="str">
            <v>283*55*55</v>
          </cell>
          <cell r="G3734">
            <v>283</v>
          </cell>
          <cell r="H3734">
            <v>55</v>
          </cell>
          <cell r="I3734">
            <v>55</v>
          </cell>
          <cell r="J3734">
            <v>435</v>
          </cell>
          <cell r="K3734">
            <v>0</v>
          </cell>
          <cell r="L3734">
            <v>1.34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5510</v>
          </cell>
          <cell r="R3734">
            <v>3.0804597701149428</v>
          </cell>
          <cell r="S3734">
            <v>0</v>
          </cell>
        </row>
        <row r="3735">
          <cell r="A3735" t="str">
            <v>Y052-376</v>
          </cell>
          <cell r="B3735">
            <v>0</v>
          </cell>
          <cell r="C3735" t="str">
            <v>Y052</v>
          </cell>
          <cell r="D3735" t="str">
            <v>1383-W/SC</v>
          </cell>
          <cell r="E3735" t="str">
            <v>固定饰瑰</v>
          </cell>
          <cell r="F3735" t="str">
            <v>60*31*8.5</v>
          </cell>
          <cell r="G3735">
            <v>60</v>
          </cell>
          <cell r="H3735">
            <v>31</v>
          </cell>
          <cell r="I3735">
            <v>8.5</v>
          </cell>
          <cell r="J3735">
            <v>18</v>
          </cell>
          <cell r="K3735">
            <v>0</v>
          </cell>
          <cell r="L3735">
            <v>0.06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1010</v>
          </cell>
          <cell r="R3735">
            <v>3.3333333333333335</v>
          </cell>
          <cell r="S3735">
            <v>0</v>
          </cell>
        </row>
        <row r="3736">
          <cell r="A3736" t="str">
            <v>Y052-377</v>
          </cell>
          <cell r="B3736">
            <v>0</v>
          </cell>
          <cell r="C3736" t="str">
            <v>Y052</v>
          </cell>
          <cell r="D3736" t="str">
            <v>1383-W/SC</v>
          </cell>
          <cell r="E3736" t="str">
            <v>活动饰瑰</v>
          </cell>
          <cell r="F3736" t="str">
            <v>60*31*8.5</v>
          </cell>
          <cell r="G3736">
            <v>60</v>
          </cell>
          <cell r="H3736">
            <v>31</v>
          </cell>
          <cell r="I3736">
            <v>8.5</v>
          </cell>
          <cell r="J3736">
            <v>18</v>
          </cell>
          <cell r="K3736">
            <v>0</v>
          </cell>
          <cell r="L3736">
            <v>0.06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1010</v>
          </cell>
          <cell r="R3736">
            <v>3.3333333333333335</v>
          </cell>
          <cell r="S3736">
            <v>0</v>
          </cell>
        </row>
        <row r="3737">
          <cell r="A3737" t="str">
            <v>Y052-378</v>
          </cell>
          <cell r="B3737">
            <v>0</v>
          </cell>
          <cell r="C3737" t="str">
            <v>Y052</v>
          </cell>
          <cell r="D3737" t="str">
            <v>1386-W/SC</v>
          </cell>
          <cell r="E3737" t="str">
            <v>脚柱</v>
          </cell>
          <cell r="F3737" t="str">
            <v>244*55*55</v>
          </cell>
          <cell r="G3737">
            <v>244</v>
          </cell>
          <cell r="H3737">
            <v>55</v>
          </cell>
          <cell r="I3737">
            <v>55</v>
          </cell>
          <cell r="J3737">
            <v>338</v>
          </cell>
          <cell r="K3737">
            <v>0</v>
          </cell>
          <cell r="L3737">
            <v>1.05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5510</v>
          </cell>
          <cell r="R3737">
            <v>3.1065088757396451</v>
          </cell>
          <cell r="S3737">
            <v>0</v>
          </cell>
        </row>
        <row r="3738">
          <cell r="A3738" t="str">
            <v>Y052-379</v>
          </cell>
          <cell r="B3738">
            <v>0</v>
          </cell>
          <cell r="C3738" t="str">
            <v>Y052</v>
          </cell>
          <cell r="D3738" t="str">
            <v>1386-W/SC</v>
          </cell>
          <cell r="E3738" t="str">
            <v>脚柱饰瑰</v>
          </cell>
          <cell r="F3738" t="str">
            <v>60*31*8.5</v>
          </cell>
          <cell r="G3738">
            <v>60</v>
          </cell>
          <cell r="H3738">
            <v>31</v>
          </cell>
          <cell r="I3738">
            <v>8.5</v>
          </cell>
          <cell r="J3738">
            <v>18</v>
          </cell>
          <cell r="K3738">
            <v>0</v>
          </cell>
          <cell r="L3738">
            <v>0.06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1010</v>
          </cell>
          <cell r="R3738">
            <v>3.3333333333333335</v>
          </cell>
          <cell r="S3738">
            <v>0</v>
          </cell>
        </row>
        <row r="3739">
          <cell r="A3739" t="str">
            <v>Y052-380</v>
          </cell>
          <cell r="B3739">
            <v>0</v>
          </cell>
          <cell r="C3739" t="str">
            <v>Y052</v>
          </cell>
          <cell r="D3739" t="str">
            <v>33500STB-HB/FB/SL</v>
          </cell>
          <cell r="E3739" t="str">
            <v>床头轉角飾條 左 （L)</v>
          </cell>
          <cell r="F3739" t="str">
            <v>244*58*5</v>
          </cell>
          <cell r="G3739">
            <v>244</v>
          </cell>
          <cell r="H3739">
            <v>58</v>
          </cell>
          <cell r="I3739">
            <v>5</v>
          </cell>
          <cell r="J3739">
            <v>58</v>
          </cell>
          <cell r="K3739">
            <v>0</v>
          </cell>
          <cell r="L3739">
            <v>0.18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1010</v>
          </cell>
          <cell r="R3739">
            <v>3.1034482758620685</v>
          </cell>
          <cell r="S3739">
            <v>0</v>
          </cell>
        </row>
        <row r="3740">
          <cell r="A3740" t="str">
            <v>Y052-381</v>
          </cell>
          <cell r="B3740">
            <v>0</v>
          </cell>
          <cell r="C3740" t="str">
            <v>Y052</v>
          </cell>
          <cell r="D3740" t="str">
            <v>33500STB-HB/FB/SL</v>
          </cell>
          <cell r="E3740" t="str">
            <v>床头轉角飾條 右 （R)</v>
          </cell>
          <cell r="F3740" t="str">
            <v>244*58*5</v>
          </cell>
          <cell r="G3740">
            <v>244</v>
          </cell>
          <cell r="H3740">
            <v>58</v>
          </cell>
          <cell r="I3740">
            <v>5</v>
          </cell>
          <cell r="J3740">
            <v>58</v>
          </cell>
          <cell r="K3740">
            <v>0</v>
          </cell>
          <cell r="L3740">
            <v>0.18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1010</v>
          </cell>
          <cell r="R3740">
            <v>3.1034482758620685</v>
          </cell>
          <cell r="S3740">
            <v>0</v>
          </cell>
        </row>
        <row r="3741">
          <cell r="A3741" t="str">
            <v>Y052-382</v>
          </cell>
          <cell r="B3741">
            <v>0</v>
          </cell>
          <cell r="C3741" t="str">
            <v>Y052</v>
          </cell>
          <cell r="D3741" t="str">
            <v>33500SFB-HB/FB/SL</v>
          </cell>
          <cell r="E3741" t="str">
            <v>床头轉角飾條 左 （L)</v>
          </cell>
          <cell r="F3741" t="str">
            <v>244*58*5</v>
          </cell>
          <cell r="G3741">
            <v>244</v>
          </cell>
          <cell r="H3741">
            <v>58</v>
          </cell>
          <cell r="I3741">
            <v>5</v>
          </cell>
          <cell r="J3741">
            <v>58</v>
          </cell>
          <cell r="K3741">
            <v>0</v>
          </cell>
          <cell r="L3741">
            <v>0.18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1010</v>
          </cell>
          <cell r="R3741">
            <v>3.1034482758620685</v>
          </cell>
          <cell r="S3741">
            <v>0</v>
          </cell>
        </row>
        <row r="3742">
          <cell r="A3742" t="str">
            <v>Y052-383</v>
          </cell>
          <cell r="B3742">
            <v>0</v>
          </cell>
          <cell r="C3742" t="str">
            <v>Y052</v>
          </cell>
          <cell r="D3742" t="str">
            <v>33500SFB-HB/FB/SL</v>
          </cell>
          <cell r="E3742" t="str">
            <v>床头轉角飾條 右 （R)</v>
          </cell>
          <cell r="F3742" t="str">
            <v>244*58*5</v>
          </cell>
          <cell r="G3742">
            <v>244</v>
          </cell>
          <cell r="H3742">
            <v>58</v>
          </cell>
          <cell r="I3742">
            <v>5</v>
          </cell>
          <cell r="J3742">
            <v>58</v>
          </cell>
          <cell r="K3742">
            <v>0</v>
          </cell>
          <cell r="L3742">
            <v>0.18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1010</v>
          </cell>
          <cell r="R3742">
            <v>3.1034482758620685</v>
          </cell>
          <cell r="S3742">
            <v>0</v>
          </cell>
        </row>
        <row r="3743">
          <cell r="A3743" t="str">
            <v>Y052-384</v>
          </cell>
          <cell r="B3743">
            <v>0</v>
          </cell>
          <cell r="C3743" t="str">
            <v>Y052</v>
          </cell>
          <cell r="D3743" t="str">
            <v>1264SSB-HB/FB</v>
          </cell>
          <cell r="E3743" t="str">
            <v>床头上盖1</v>
          </cell>
          <cell r="F3743" t="str">
            <v>571*38*9</v>
          </cell>
          <cell r="G3743">
            <v>571</v>
          </cell>
          <cell r="H3743">
            <v>38</v>
          </cell>
          <cell r="I3743">
            <v>9</v>
          </cell>
          <cell r="J3743">
            <v>206</v>
          </cell>
          <cell r="K3743">
            <v>0</v>
          </cell>
          <cell r="L3743">
            <v>0.65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1010</v>
          </cell>
          <cell r="R3743">
            <v>3.1553398058252431</v>
          </cell>
          <cell r="S3743">
            <v>0</v>
          </cell>
        </row>
        <row r="3744">
          <cell r="A3744" t="str">
            <v>Y052-385</v>
          </cell>
          <cell r="B3744">
            <v>0</v>
          </cell>
          <cell r="C3744" t="str">
            <v>Y052</v>
          </cell>
          <cell r="D3744" t="str">
            <v>1264SSB-HB/FB</v>
          </cell>
          <cell r="E3744" t="str">
            <v>床头上盖2</v>
          </cell>
          <cell r="F3744" t="str">
            <v>658*60*46</v>
          </cell>
          <cell r="G3744">
            <v>658</v>
          </cell>
          <cell r="H3744">
            <v>60</v>
          </cell>
          <cell r="I3744">
            <v>46</v>
          </cell>
          <cell r="J3744">
            <v>694</v>
          </cell>
          <cell r="K3744">
            <v>0</v>
          </cell>
          <cell r="L3744">
            <v>2.12</v>
          </cell>
          <cell r="M3744">
            <v>0</v>
          </cell>
          <cell r="N3744">
            <v>66</v>
          </cell>
          <cell r="O3744">
            <v>0</v>
          </cell>
          <cell r="P3744">
            <v>0</v>
          </cell>
          <cell r="Q3744" t="str">
            <v>5510</v>
          </cell>
          <cell r="R3744">
            <v>3.054755043227666</v>
          </cell>
          <cell r="S3744">
            <v>0</v>
          </cell>
        </row>
        <row r="3745">
          <cell r="A3745" t="str">
            <v>Y052-386</v>
          </cell>
          <cell r="B3745">
            <v>0</v>
          </cell>
          <cell r="C3745" t="str">
            <v>Y052</v>
          </cell>
          <cell r="D3745" t="str">
            <v>1264SSB-HB/FB</v>
          </cell>
          <cell r="E3745" t="str">
            <v xml:space="preserve">床尾上盖1 </v>
          </cell>
          <cell r="F3745" t="str">
            <v>571*38*9</v>
          </cell>
          <cell r="G3745">
            <v>571</v>
          </cell>
          <cell r="H3745">
            <v>38</v>
          </cell>
          <cell r="I3745">
            <v>9</v>
          </cell>
          <cell r="J3745">
            <v>206</v>
          </cell>
          <cell r="K3745">
            <v>0</v>
          </cell>
          <cell r="L3745">
            <v>0.65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1010</v>
          </cell>
          <cell r="R3745">
            <v>3.1553398058252431</v>
          </cell>
          <cell r="S3745">
            <v>0</v>
          </cell>
        </row>
        <row r="3746">
          <cell r="A3746" t="str">
            <v>Y052-387</v>
          </cell>
          <cell r="B3746">
            <v>0</v>
          </cell>
          <cell r="C3746" t="str">
            <v>Y052</v>
          </cell>
          <cell r="D3746" t="str">
            <v>1264SSB-HB/FB</v>
          </cell>
          <cell r="E3746" t="str">
            <v xml:space="preserve">床尾上盖2 </v>
          </cell>
          <cell r="F3746" t="str">
            <v>658*60*46</v>
          </cell>
          <cell r="G3746">
            <v>658</v>
          </cell>
          <cell r="H3746">
            <v>60</v>
          </cell>
          <cell r="I3746">
            <v>46</v>
          </cell>
          <cell r="J3746">
            <v>694</v>
          </cell>
          <cell r="K3746">
            <v>0</v>
          </cell>
          <cell r="L3746">
            <v>2.12</v>
          </cell>
          <cell r="M3746">
            <v>0</v>
          </cell>
          <cell r="N3746">
            <v>66</v>
          </cell>
          <cell r="O3746">
            <v>0</v>
          </cell>
          <cell r="P3746">
            <v>0</v>
          </cell>
          <cell r="Q3746" t="str">
            <v>5510</v>
          </cell>
          <cell r="R3746">
            <v>3.054755043227666</v>
          </cell>
          <cell r="S3746">
            <v>0</v>
          </cell>
        </row>
        <row r="3747">
          <cell r="A3747" t="str">
            <v>Y052-388</v>
          </cell>
          <cell r="B3747">
            <v>0</v>
          </cell>
          <cell r="C3747" t="str">
            <v>Y052</v>
          </cell>
          <cell r="D3747" t="str">
            <v>1264SSB-HB/FB</v>
          </cell>
          <cell r="E3747" t="str">
            <v xml:space="preserve">上饰柱 </v>
          </cell>
          <cell r="F3747" t="str">
            <v>86*42*42</v>
          </cell>
          <cell r="G3747">
            <v>86</v>
          </cell>
          <cell r="H3747">
            <v>42</v>
          </cell>
          <cell r="I3747">
            <v>42</v>
          </cell>
          <cell r="J3747">
            <v>100</v>
          </cell>
          <cell r="K3747">
            <v>0</v>
          </cell>
          <cell r="L3747">
            <v>0.35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5510</v>
          </cell>
          <cell r="R3747">
            <v>3.4999999999999996</v>
          </cell>
          <cell r="S3747">
            <v>0</v>
          </cell>
        </row>
        <row r="3748">
          <cell r="A3748" t="str">
            <v>Y052-389</v>
          </cell>
          <cell r="B3748">
            <v>0</v>
          </cell>
          <cell r="C3748" t="str">
            <v>Y052</v>
          </cell>
          <cell r="D3748" t="str">
            <v>1264SSB-HB/FB</v>
          </cell>
          <cell r="E3748" t="str">
            <v xml:space="preserve">脚柱饰块 </v>
          </cell>
          <cell r="F3748" t="str">
            <v>52*31*8</v>
          </cell>
          <cell r="G3748">
            <v>52</v>
          </cell>
          <cell r="H3748">
            <v>31</v>
          </cell>
          <cell r="I3748">
            <v>8</v>
          </cell>
          <cell r="J3748">
            <v>18</v>
          </cell>
          <cell r="K3748">
            <v>0</v>
          </cell>
          <cell r="L3748">
            <v>0.05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1010</v>
          </cell>
          <cell r="R3748">
            <v>2.7777777777777781</v>
          </cell>
          <cell r="S3748">
            <v>0</v>
          </cell>
        </row>
        <row r="3749">
          <cell r="A3749" t="str">
            <v>Y052-390</v>
          </cell>
          <cell r="B3749">
            <v>0</v>
          </cell>
          <cell r="C3749" t="str">
            <v>Y052</v>
          </cell>
          <cell r="D3749" t="str">
            <v>660-7</v>
          </cell>
          <cell r="E3749" t="str">
            <v>前立水贴条</v>
          </cell>
          <cell r="F3749" t="str">
            <v>1233*85*9</v>
          </cell>
          <cell r="G3749">
            <v>1233</v>
          </cell>
          <cell r="H3749">
            <v>85</v>
          </cell>
          <cell r="I3749">
            <v>9</v>
          </cell>
          <cell r="J3749">
            <v>0</v>
          </cell>
          <cell r="K3749">
            <v>0</v>
          </cell>
          <cell r="L3749">
            <v>1.48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 t="e">
            <v>#DIV/0!</v>
          </cell>
          <cell r="S3749">
            <v>0</v>
          </cell>
        </row>
        <row r="3750">
          <cell r="A3750" t="str">
            <v>Y052-391</v>
          </cell>
          <cell r="B3750">
            <v>0</v>
          </cell>
          <cell r="C3750" t="str">
            <v>Y052</v>
          </cell>
          <cell r="D3750" t="str">
            <v xml:space="preserve">1381 -HF/SC </v>
          </cell>
          <cell r="E3750" t="str">
            <v>脚柱 Chân</v>
          </cell>
          <cell r="F3750" t="str">
            <v>244*55*55</v>
          </cell>
          <cell r="G3750">
            <v>244</v>
          </cell>
          <cell r="H3750">
            <v>55</v>
          </cell>
          <cell r="I3750">
            <v>55</v>
          </cell>
          <cell r="J3750">
            <v>0</v>
          </cell>
          <cell r="K3750">
            <v>0</v>
          </cell>
          <cell r="L3750">
            <v>0.9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 t="e">
            <v>#DIV/0!</v>
          </cell>
          <cell r="S3750">
            <v>0</v>
          </cell>
        </row>
        <row r="3751">
          <cell r="A3751" t="str">
            <v>Y052-392</v>
          </cell>
          <cell r="B3751">
            <v>0</v>
          </cell>
          <cell r="C3751" t="str">
            <v>Y052</v>
          </cell>
          <cell r="D3751" t="str">
            <v xml:space="preserve">1381 -HF/SC </v>
          </cell>
          <cell r="E3751" t="str">
            <v>脚柱饰瑰 Poly trang trí</v>
          </cell>
          <cell r="F3751" t="str">
            <v>60*31*8.5</v>
          </cell>
          <cell r="G3751">
            <v>60</v>
          </cell>
          <cell r="H3751">
            <v>31</v>
          </cell>
          <cell r="I3751">
            <v>8.5</v>
          </cell>
          <cell r="J3751">
            <v>0</v>
          </cell>
          <cell r="K3751">
            <v>0</v>
          </cell>
          <cell r="L3751">
            <v>0.06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 t="e">
            <v>#DIV/0!</v>
          </cell>
          <cell r="S3751">
            <v>0</v>
          </cell>
        </row>
        <row r="3752">
          <cell r="A3752" t="str">
            <v>Y052-393</v>
          </cell>
          <cell r="B3752">
            <v>0</v>
          </cell>
          <cell r="C3752" t="str">
            <v>Y052</v>
          </cell>
          <cell r="D3752" t="str">
            <v>661-1</v>
          </cell>
          <cell r="E3752" t="str">
            <v>框下贴条</v>
          </cell>
          <cell r="F3752" t="str">
            <v>367*75*9</v>
          </cell>
          <cell r="G3752">
            <v>367</v>
          </cell>
          <cell r="H3752">
            <v>75</v>
          </cell>
          <cell r="I3752">
            <v>9</v>
          </cell>
          <cell r="J3752">
            <v>176</v>
          </cell>
          <cell r="K3752">
            <v>0</v>
          </cell>
          <cell r="L3752">
            <v>0.5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1010</v>
          </cell>
          <cell r="R3752">
            <v>2.8409090909090913</v>
          </cell>
          <cell r="S3752">
            <v>0</v>
          </cell>
        </row>
        <row r="3753">
          <cell r="A3753" t="str">
            <v>Y052-394</v>
          </cell>
          <cell r="B3753" t="str">
            <v>框改牛角</v>
          </cell>
          <cell r="C3753" t="str">
            <v>Y052</v>
          </cell>
          <cell r="D3753">
            <v>33504</v>
          </cell>
          <cell r="E3753" t="str">
            <v>二号抽头面饰条</v>
          </cell>
          <cell r="F3753" t="str">
            <v>177*40*5</v>
          </cell>
          <cell r="G3753">
            <v>177</v>
          </cell>
          <cell r="H3753">
            <v>40</v>
          </cell>
          <cell r="I3753">
            <v>5</v>
          </cell>
          <cell r="J3753">
            <v>18</v>
          </cell>
          <cell r="K3753">
            <v>0</v>
          </cell>
          <cell r="L3753">
            <v>0.06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1010</v>
          </cell>
          <cell r="R3753">
            <v>3.3333333333333335</v>
          </cell>
          <cell r="S3753">
            <v>0</v>
          </cell>
        </row>
        <row r="3754">
          <cell r="A3754" t="str">
            <v>Y052-395</v>
          </cell>
          <cell r="B3754" t="str">
            <v>框改牛角</v>
          </cell>
          <cell r="C3754" t="str">
            <v>Y052</v>
          </cell>
          <cell r="D3754">
            <v>33504</v>
          </cell>
          <cell r="E3754" t="str">
            <v>下抽面板饰条</v>
          </cell>
          <cell r="F3754" t="str">
            <v>178*40*5</v>
          </cell>
          <cell r="G3754">
            <v>178</v>
          </cell>
          <cell r="H3754">
            <v>40</v>
          </cell>
          <cell r="I3754">
            <v>5</v>
          </cell>
          <cell r="J3754">
            <v>18</v>
          </cell>
          <cell r="K3754">
            <v>0</v>
          </cell>
          <cell r="L3754">
            <v>0.06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1010</v>
          </cell>
          <cell r="R3754">
            <v>3.3333333333333335</v>
          </cell>
          <cell r="S3754">
            <v>0</v>
          </cell>
        </row>
        <row r="3755">
          <cell r="A3755" t="str">
            <v>Y052-396</v>
          </cell>
          <cell r="B3755" t="str">
            <v>框改牛角</v>
          </cell>
          <cell r="C3755" t="str">
            <v>Y052</v>
          </cell>
          <cell r="D3755">
            <v>33504</v>
          </cell>
          <cell r="E3755" t="str">
            <v>二号抽头面饰条</v>
          </cell>
          <cell r="F3755" t="str">
            <v>165*40*5</v>
          </cell>
          <cell r="G3755">
            <v>165</v>
          </cell>
          <cell r="H3755">
            <v>40</v>
          </cell>
          <cell r="I3755">
            <v>5</v>
          </cell>
          <cell r="J3755">
            <v>18</v>
          </cell>
          <cell r="K3755">
            <v>0</v>
          </cell>
          <cell r="L3755">
            <v>0.06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1010</v>
          </cell>
          <cell r="R3755">
            <v>3.3333333333333335</v>
          </cell>
          <cell r="S3755">
            <v>0</v>
          </cell>
        </row>
        <row r="3756">
          <cell r="A3756" t="str">
            <v>Y052-397</v>
          </cell>
          <cell r="B3756" t="str">
            <v>框改牛角</v>
          </cell>
          <cell r="C3756" t="str">
            <v>Y052</v>
          </cell>
          <cell r="D3756" t="str">
            <v>33500TR</v>
          </cell>
          <cell r="E3756" t="str">
            <v>前板饰条</v>
          </cell>
          <cell r="F3756" t="str">
            <v>140*35*5</v>
          </cell>
          <cell r="G3756">
            <v>140</v>
          </cell>
          <cell r="H3756">
            <v>35</v>
          </cell>
          <cell r="I3756">
            <v>5</v>
          </cell>
          <cell r="J3756">
            <v>16</v>
          </cell>
          <cell r="K3756">
            <v>0</v>
          </cell>
          <cell r="L3756">
            <v>0.06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1010</v>
          </cell>
          <cell r="R3756">
            <v>3.75</v>
          </cell>
          <cell r="S3756">
            <v>0</v>
          </cell>
        </row>
        <row r="3757">
          <cell r="A3757" t="str">
            <v>Y052-398</v>
          </cell>
          <cell r="B3757">
            <v>0</v>
          </cell>
          <cell r="C3757" t="str">
            <v>Y052</v>
          </cell>
          <cell r="D3757">
            <v>33506</v>
          </cell>
          <cell r="E3757" t="str">
            <v>二号抽头面饰条</v>
          </cell>
          <cell r="F3757" t="str">
            <v>165*40*5</v>
          </cell>
          <cell r="G3757">
            <v>165</v>
          </cell>
          <cell r="H3757">
            <v>40</v>
          </cell>
          <cell r="I3757">
            <v>5</v>
          </cell>
          <cell r="J3757">
            <v>18</v>
          </cell>
          <cell r="K3757">
            <v>0</v>
          </cell>
          <cell r="L3757">
            <v>0.06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1010</v>
          </cell>
          <cell r="R3757">
            <v>3.3333333333333335</v>
          </cell>
          <cell r="S3757">
            <v>0</v>
          </cell>
        </row>
        <row r="3758">
          <cell r="A3758" t="str">
            <v>Y052-399</v>
          </cell>
          <cell r="B3758">
            <v>0</v>
          </cell>
          <cell r="C3758" t="str">
            <v>Y052</v>
          </cell>
          <cell r="D3758">
            <v>33515</v>
          </cell>
          <cell r="E3758" t="str">
            <v>抽头板饰条</v>
          </cell>
          <cell r="F3758" t="str">
            <v>118*40*5</v>
          </cell>
          <cell r="G3758">
            <v>118</v>
          </cell>
          <cell r="H3758">
            <v>40</v>
          </cell>
          <cell r="I3758">
            <v>5</v>
          </cell>
          <cell r="J3758">
            <v>14</v>
          </cell>
          <cell r="K3758">
            <v>0</v>
          </cell>
          <cell r="L3758">
            <v>0.05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3.5714285714285716</v>
          </cell>
          <cell r="S3758">
            <v>0</v>
          </cell>
        </row>
        <row r="3759">
          <cell r="A3759" t="str">
            <v>Y052-400</v>
          </cell>
          <cell r="B3759">
            <v>0</v>
          </cell>
          <cell r="C3759" t="str">
            <v>Y052</v>
          </cell>
          <cell r="D3759">
            <v>33513</v>
          </cell>
          <cell r="E3759" t="str">
            <v>抽头板饰条</v>
          </cell>
          <cell r="F3759" t="str">
            <v>103*34*5</v>
          </cell>
          <cell r="G3759">
            <v>103</v>
          </cell>
          <cell r="H3759">
            <v>34</v>
          </cell>
          <cell r="I3759">
            <v>5</v>
          </cell>
          <cell r="J3759">
            <v>12</v>
          </cell>
          <cell r="K3759">
            <v>0</v>
          </cell>
          <cell r="L3759">
            <v>0.05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4.166666666666667</v>
          </cell>
          <cell r="S3759">
            <v>0</v>
          </cell>
        </row>
        <row r="3760">
          <cell r="A3760" t="str">
            <v>Y052-401</v>
          </cell>
          <cell r="B3760">
            <v>0</v>
          </cell>
          <cell r="C3760" t="str">
            <v>Y052</v>
          </cell>
          <cell r="D3760" t="str">
            <v>1961-FW</v>
          </cell>
          <cell r="E3760" t="str">
            <v>下脚</v>
          </cell>
          <cell r="F3760" t="str">
            <v>171*55*55</v>
          </cell>
          <cell r="G3760">
            <v>171</v>
          </cell>
          <cell r="H3760">
            <v>55</v>
          </cell>
          <cell r="I3760">
            <v>55</v>
          </cell>
          <cell r="J3760">
            <v>274</v>
          </cell>
          <cell r="K3760" t="str">
            <v>未確認</v>
          </cell>
          <cell r="L3760">
            <v>0.75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2.7372262773722627</v>
          </cell>
          <cell r="S3760">
            <v>0</v>
          </cell>
        </row>
        <row r="3761">
          <cell r="A3761" t="str">
            <v>Y052-402</v>
          </cell>
          <cell r="B3761">
            <v>0</v>
          </cell>
          <cell r="C3761" t="str">
            <v>Y052</v>
          </cell>
          <cell r="D3761" t="str">
            <v>1961-FW</v>
          </cell>
          <cell r="E3761" t="str">
            <v>企柱条瑰</v>
          </cell>
          <cell r="F3761" t="str">
            <v>Ø37.5*5</v>
          </cell>
          <cell r="G3761" t="str">
            <v>Ø</v>
          </cell>
          <cell r="H3761">
            <v>37.5</v>
          </cell>
          <cell r="I3761">
            <v>5</v>
          </cell>
          <cell r="J3761">
            <v>9</v>
          </cell>
          <cell r="K3761">
            <v>0</v>
          </cell>
          <cell r="L3761">
            <v>0.05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5.5555555555555562</v>
          </cell>
          <cell r="S3761">
            <v>0</v>
          </cell>
        </row>
        <row r="3762">
          <cell r="A3762" t="str">
            <v>Y052-403</v>
          </cell>
          <cell r="B3762">
            <v>0</v>
          </cell>
          <cell r="C3762" t="str">
            <v>Y052</v>
          </cell>
          <cell r="D3762" t="str">
            <v>1961-FW</v>
          </cell>
          <cell r="E3762" t="str">
            <v>1号抽面饰板</v>
          </cell>
          <cell r="F3762" t="str">
            <v>466*162*5</v>
          </cell>
          <cell r="G3762">
            <v>466</v>
          </cell>
          <cell r="H3762">
            <v>162</v>
          </cell>
          <cell r="I3762">
            <v>5</v>
          </cell>
          <cell r="J3762">
            <v>364</v>
          </cell>
          <cell r="K3762">
            <v>0</v>
          </cell>
          <cell r="L3762">
            <v>1.03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2.8296703296703298</v>
          </cell>
          <cell r="S3762">
            <v>0</v>
          </cell>
        </row>
        <row r="3763">
          <cell r="A3763" t="str">
            <v>Y052-404</v>
          </cell>
          <cell r="B3763">
            <v>0</v>
          </cell>
          <cell r="C3763" t="str">
            <v>Y052</v>
          </cell>
          <cell r="D3763" t="str">
            <v>1962-FW</v>
          </cell>
          <cell r="E3763" t="str">
            <v>下脚</v>
          </cell>
          <cell r="F3763" t="str">
            <v>135*43*43</v>
          </cell>
          <cell r="G3763">
            <v>135</v>
          </cell>
          <cell r="H3763">
            <v>43</v>
          </cell>
          <cell r="I3763">
            <v>43</v>
          </cell>
          <cell r="J3763">
            <v>124</v>
          </cell>
          <cell r="K3763">
            <v>0</v>
          </cell>
          <cell r="L3763">
            <v>0.34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2.741935483870968</v>
          </cell>
          <cell r="S3763">
            <v>0</v>
          </cell>
        </row>
        <row r="3764">
          <cell r="A3764" t="str">
            <v>Y052-405</v>
          </cell>
          <cell r="B3764">
            <v>0</v>
          </cell>
          <cell r="C3764" t="str">
            <v>Y052</v>
          </cell>
          <cell r="D3764" t="str">
            <v>1962-FW</v>
          </cell>
          <cell r="E3764" t="str">
            <v>企柱条瑰</v>
          </cell>
          <cell r="F3764" t="str">
            <v>Ø30.5*5</v>
          </cell>
          <cell r="G3764" t="str">
            <v>Ø</v>
          </cell>
          <cell r="H3764">
            <v>30.5</v>
          </cell>
          <cell r="I3764">
            <v>5</v>
          </cell>
          <cell r="J3764">
            <v>7</v>
          </cell>
          <cell r="K3764">
            <v>0</v>
          </cell>
          <cell r="L3764">
            <v>4.4999999999999998E-2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6.4285714285714279</v>
          </cell>
          <cell r="S3764">
            <v>0</v>
          </cell>
        </row>
        <row r="3765">
          <cell r="A3765" t="str">
            <v>Y052-406</v>
          </cell>
          <cell r="B3765">
            <v>0</v>
          </cell>
          <cell r="C3765" t="str">
            <v>Y052</v>
          </cell>
          <cell r="D3765" t="str">
            <v>1962-FW</v>
          </cell>
          <cell r="E3765" t="str">
            <v>抽面饰板</v>
          </cell>
          <cell r="F3765" t="str">
            <v>359*162*5</v>
          </cell>
          <cell r="G3765">
            <v>359</v>
          </cell>
          <cell r="H3765">
            <v>162</v>
          </cell>
          <cell r="I3765">
            <v>5</v>
          </cell>
          <cell r="J3765">
            <v>280</v>
          </cell>
          <cell r="K3765">
            <v>0</v>
          </cell>
          <cell r="L3765">
            <v>0.78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2.7857142857142856</v>
          </cell>
          <cell r="S3765">
            <v>0</v>
          </cell>
        </row>
        <row r="3766">
          <cell r="A3766" t="str">
            <v>Y052-407</v>
          </cell>
          <cell r="B3766">
            <v>0</v>
          </cell>
          <cell r="C3766" t="str">
            <v>Y052</v>
          </cell>
          <cell r="D3766" t="str">
            <v>1966-FW</v>
          </cell>
          <cell r="E3766" t="str">
            <v>下脚</v>
          </cell>
          <cell r="F3766" t="str">
            <v>171*55*55</v>
          </cell>
          <cell r="G3766">
            <v>171</v>
          </cell>
          <cell r="H3766">
            <v>55</v>
          </cell>
          <cell r="I3766">
            <v>55</v>
          </cell>
          <cell r="J3766">
            <v>274</v>
          </cell>
          <cell r="K3766">
            <v>0</v>
          </cell>
          <cell r="L3766">
            <v>0.75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2.7372262773722627</v>
          </cell>
          <cell r="S3766">
            <v>0</v>
          </cell>
        </row>
        <row r="3767">
          <cell r="A3767" t="str">
            <v>Y052-408</v>
          </cell>
          <cell r="B3767">
            <v>0</v>
          </cell>
          <cell r="C3767" t="str">
            <v>Y052</v>
          </cell>
          <cell r="D3767" t="str">
            <v>1966-FW</v>
          </cell>
          <cell r="E3767" t="str">
            <v>企柱饰瑰</v>
          </cell>
          <cell r="F3767" t="str">
            <v>Ø37.5*5</v>
          </cell>
          <cell r="G3767" t="str">
            <v>Ø</v>
          </cell>
          <cell r="H3767">
            <v>37.5</v>
          </cell>
          <cell r="I3767">
            <v>5</v>
          </cell>
          <cell r="J3767">
            <v>9</v>
          </cell>
          <cell r="K3767">
            <v>0</v>
          </cell>
          <cell r="L3767">
            <v>0.05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5.5555555555555562</v>
          </cell>
          <cell r="S3767">
            <v>0</v>
          </cell>
        </row>
        <row r="3768">
          <cell r="A3768" t="str">
            <v>Y052-409</v>
          </cell>
          <cell r="B3768">
            <v>0</v>
          </cell>
          <cell r="C3768" t="str">
            <v>Y052</v>
          </cell>
          <cell r="D3768" t="str">
            <v>1966-FW</v>
          </cell>
          <cell r="E3768" t="str">
            <v>1号抽面饰板</v>
          </cell>
          <cell r="F3768" t="str">
            <v>641*162*5</v>
          </cell>
          <cell r="G3768">
            <v>641</v>
          </cell>
          <cell r="H3768">
            <v>162</v>
          </cell>
          <cell r="I3768">
            <v>5</v>
          </cell>
          <cell r="J3768">
            <v>492</v>
          </cell>
          <cell r="K3768">
            <v>0</v>
          </cell>
          <cell r="L3768">
            <v>1.38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2.8048780487804876</v>
          </cell>
          <cell r="S3768">
            <v>0</v>
          </cell>
        </row>
        <row r="3769">
          <cell r="A3769" t="str">
            <v>Y052-410</v>
          </cell>
          <cell r="B3769">
            <v>0</v>
          </cell>
          <cell r="C3769" t="str">
            <v>Y052</v>
          </cell>
          <cell r="D3769" t="str">
            <v>1963-US-FW</v>
          </cell>
          <cell r="E3769" t="str">
            <v>床头下脚柱</v>
          </cell>
          <cell r="F3769" t="str">
            <v>155*51*51</v>
          </cell>
          <cell r="G3769">
            <v>155</v>
          </cell>
          <cell r="H3769">
            <v>51</v>
          </cell>
          <cell r="I3769">
            <v>51</v>
          </cell>
          <cell r="J3769">
            <v>251</v>
          </cell>
          <cell r="K3769">
            <v>0</v>
          </cell>
          <cell r="L3769">
            <v>0.69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2.7490039840637448</v>
          </cell>
          <cell r="S3769">
            <v>0</v>
          </cell>
        </row>
        <row r="3770">
          <cell r="A3770" t="str">
            <v>Y052-411</v>
          </cell>
          <cell r="B3770">
            <v>0</v>
          </cell>
          <cell r="C3770" t="str">
            <v>Y052</v>
          </cell>
          <cell r="D3770" t="str">
            <v>1963-US-FW</v>
          </cell>
          <cell r="E3770" t="str">
            <v>企柱饰瑰</v>
          </cell>
          <cell r="F3770" t="str">
            <v>Ø37.5*5</v>
          </cell>
          <cell r="G3770" t="str">
            <v>Ø</v>
          </cell>
          <cell r="H3770">
            <v>37.5</v>
          </cell>
          <cell r="I3770">
            <v>5</v>
          </cell>
          <cell r="J3770">
            <v>9</v>
          </cell>
          <cell r="K3770">
            <v>0</v>
          </cell>
          <cell r="L3770">
            <v>0.05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5.5555555555555562</v>
          </cell>
          <cell r="S3770">
            <v>0</v>
          </cell>
        </row>
        <row r="3771">
          <cell r="A3771" t="str">
            <v>Y052-412</v>
          </cell>
          <cell r="B3771">
            <v>0</v>
          </cell>
          <cell r="C3771" t="str">
            <v>Y052</v>
          </cell>
          <cell r="D3771" t="str">
            <v>1963-US-FW</v>
          </cell>
          <cell r="E3771" t="str">
            <v>床尾脚柱（左）R</v>
          </cell>
          <cell r="F3771" t="str">
            <v>294*57*57</v>
          </cell>
          <cell r="G3771">
            <v>294</v>
          </cell>
          <cell r="H3771">
            <v>57</v>
          </cell>
          <cell r="I3771">
            <v>57</v>
          </cell>
          <cell r="J3771">
            <v>440</v>
          </cell>
          <cell r="K3771">
            <v>0</v>
          </cell>
          <cell r="L3771">
            <v>1.21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2.75</v>
          </cell>
          <cell r="S3771">
            <v>0</v>
          </cell>
        </row>
        <row r="3772">
          <cell r="A3772" t="str">
            <v>Y052-413</v>
          </cell>
          <cell r="B3772">
            <v>0</v>
          </cell>
          <cell r="C3772" t="str">
            <v>Y052</v>
          </cell>
          <cell r="D3772" t="str">
            <v>1963-US-FW</v>
          </cell>
          <cell r="E3772" t="str">
            <v>床尾脚柱（右）L</v>
          </cell>
          <cell r="F3772" t="str">
            <v>294*57*57</v>
          </cell>
          <cell r="G3772">
            <v>294</v>
          </cell>
          <cell r="H3772">
            <v>57</v>
          </cell>
          <cell r="I3772">
            <v>57</v>
          </cell>
          <cell r="J3772">
            <v>440</v>
          </cell>
          <cell r="K3772">
            <v>0</v>
          </cell>
          <cell r="L3772">
            <v>1.21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2.75</v>
          </cell>
          <cell r="S3772">
            <v>0</v>
          </cell>
        </row>
        <row r="3773">
          <cell r="A3773" t="str">
            <v>Y052-414</v>
          </cell>
          <cell r="B3773">
            <v>0</v>
          </cell>
          <cell r="C3773" t="str">
            <v>Y052</v>
          </cell>
          <cell r="D3773" t="str">
            <v>1963GR-FW</v>
          </cell>
          <cell r="E3773" t="str">
            <v>企柱饰瑰</v>
          </cell>
          <cell r="F3773" t="str">
            <v>Ø37.5*5</v>
          </cell>
          <cell r="G3773" t="str">
            <v>Ø</v>
          </cell>
          <cell r="H3773">
            <v>37.5</v>
          </cell>
          <cell r="I3773">
            <v>5</v>
          </cell>
          <cell r="J3773">
            <v>9</v>
          </cell>
          <cell r="K3773">
            <v>0</v>
          </cell>
          <cell r="L3773">
            <v>0.05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5.5555555555555562</v>
          </cell>
          <cell r="S3773">
            <v>0</v>
          </cell>
        </row>
        <row r="3774">
          <cell r="A3774" t="str">
            <v>Y052-415</v>
          </cell>
          <cell r="B3774" t="str">
            <v>牛角</v>
          </cell>
          <cell r="C3774" t="str">
            <v>Y052</v>
          </cell>
          <cell r="D3774">
            <v>33501</v>
          </cell>
          <cell r="E3774" t="str">
            <v>二号抽头面饰条</v>
          </cell>
          <cell r="F3774" t="str">
            <v>165*40*5</v>
          </cell>
          <cell r="G3774">
            <v>165</v>
          </cell>
          <cell r="H3774">
            <v>40</v>
          </cell>
          <cell r="I3774">
            <v>5</v>
          </cell>
          <cell r="J3774">
            <v>18</v>
          </cell>
          <cell r="K3774">
            <v>0</v>
          </cell>
          <cell r="L3774">
            <v>0.06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3.3333333333333335</v>
          </cell>
          <cell r="S3774">
            <v>0</v>
          </cell>
        </row>
        <row r="3775">
          <cell r="A3775" t="str">
            <v>Y052-416</v>
          </cell>
          <cell r="B3775" t="str">
            <v>牛角</v>
          </cell>
          <cell r="C3775" t="str">
            <v>Y052</v>
          </cell>
          <cell r="D3775">
            <v>33501</v>
          </cell>
          <cell r="E3775" t="str">
            <v>二号抽头面饰条</v>
          </cell>
          <cell r="F3775" t="str">
            <v>165*40*5</v>
          </cell>
          <cell r="G3775">
            <v>165</v>
          </cell>
          <cell r="H3775">
            <v>40</v>
          </cell>
          <cell r="I3775">
            <v>5</v>
          </cell>
          <cell r="J3775">
            <v>18</v>
          </cell>
          <cell r="K3775">
            <v>0</v>
          </cell>
          <cell r="L3775">
            <v>0.06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3.3333333333333335</v>
          </cell>
          <cell r="S3775">
            <v>0</v>
          </cell>
        </row>
        <row r="3776">
          <cell r="A3776" t="str">
            <v>Y052-417</v>
          </cell>
          <cell r="B3776" t="str">
            <v>牛角</v>
          </cell>
          <cell r="C3776" t="str">
            <v>Y052</v>
          </cell>
          <cell r="D3776">
            <v>33501</v>
          </cell>
          <cell r="E3776" t="str">
            <v>二号抽头面饰条</v>
          </cell>
          <cell r="F3776" t="str">
            <v>165*40*5</v>
          </cell>
          <cell r="G3776">
            <v>165</v>
          </cell>
          <cell r="H3776">
            <v>40</v>
          </cell>
          <cell r="I3776">
            <v>5</v>
          </cell>
          <cell r="J3776">
            <v>18</v>
          </cell>
          <cell r="K3776">
            <v>0</v>
          </cell>
          <cell r="L3776">
            <v>0.06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3.3333333333333335</v>
          </cell>
          <cell r="S3776">
            <v>0</v>
          </cell>
        </row>
        <row r="3777">
          <cell r="A3777" t="str">
            <v>Y052-418</v>
          </cell>
          <cell r="B3777" t="str">
            <v>牛角</v>
          </cell>
          <cell r="C3777" t="str">
            <v>Y052</v>
          </cell>
          <cell r="D3777" t="str">
            <v>33513H</v>
          </cell>
          <cell r="E3777" t="str">
            <v>抽頭板飾條</v>
          </cell>
          <cell r="F3777" t="str">
            <v>123*34*5</v>
          </cell>
          <cell r="G3777">
            <v>123</v>
          </cell>
          <cell r="H3777">
            <v>34</v>
          </cell>
          <cell r="I3777">
            <v>5</v>
          </cell>
          <cell r="J3777">
            <v>12</v>
          </cell>
          <cell r="K3777">
            <v>0</v>
          </cell>
          <cell r="L3777">
            <v>0.05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4.166666666666667</v>
          </cell>
          <cell r="S3777">
            <v>0</v>
          </cell>
        </row>
        <row r="3778">
          <cell r="A3778" t="str">
            <v>Y052-419</v>
          </cell>
          <cell r="B3778" t="str">
            <v>牛角</v>
          </cell>
          <cell r="C3778" t="str">
            <v>Y052</v>
          </cell>
          <cell r="D3778" t="str">
            <v>33500STB-HB/FB/SL</v>
          </cell>
          <cell r="E3778" t="str">
            <v>抽头企饰条</v>
          </cell>
          <cell r="F3778" t="str">
            <v>189*40*5</v>
          </cell>
          <cell r="G3778">
            <v>189</v>
          </cell>
          <cell r="H3778">
            <v>40</v>
          </cell>
          <cell r="I3778">
            <v>5</v>
          </cell>
          <cell r="J3778">
            <v>23</v>
          </cell>
          <cell r="K3778">
            <v>0</v>
          </cell>
          <cell r="L3778">
            <v>7.0000000000000007E-2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3.0434782608695654</v>
          </cell>
          <cell r="S3778">
            <v>0</v>
          </cell>
        </row>
        <row r="3779">
          <cell r="A3779" t="str">
            <v>Y052-420</v>
          </cell>
          <cell r="B3779" t="str">
            <v>牛角</v>
          </cell>
          <cell r="C3779" t="str">
            <v>Y052</v>
          </cell>
          <cell r="D3779" t="str">
            <v>33500SFT-HB/FB/SL</v>
          </cell>
          <cell r="E3779" t="str">
            <v>抽头企饰条</v>
          </cell>
          <cell r="F3779" t="str">
            <v>189*40*5</v>
          </cell>
          <cell r="G3779">
            <v>189</v>
          </cell>
          <cell r="H3779">
            <v>40</v>
          </cell>
          <cell r="I3779">
            <v>5</v>
          </cell>
          <cell r="J3779">
            <v>23</v>
          </cell>
          <cell r="K3779">
            <v>0</v>
          </cell>
          <cell r="L3779">
            <v>7.0000000000000007E-2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3.0434782608695654</v>
          </cell>
          <cell r="S3779">
            <v>0</v>
          </cell>
        </row>
        <row r="3780">
          <cell r="A3780" t="str">
            <v>Y052-421</v>
          </cell>
          <cell r="B3780" t="str">
            <v>牛角</v>
          </cell>
          <cell r="C3780" t="str">
            <v>Y052</v>
          </cell>
          <cell r="D3780" t="str">
            <v>33500SFB-HB/FB/SL</v>
          </cell>
          <cell r="E3780" t="str">
            <v>抽头企饰条</v>
          </cell>
          <cell r="F3780" t="str">
            <v>189*40*5</v>
          </cell>
          <cell r="G3780">
            <v>189</v>
          </cell>
          <cell r="H3780">
            <v>40</v>
          </cell>
          <cell r="I3780">
            <v>5</v>
          </cell>
          <cell r="J3780">
            <v>23</v>
          </cell>
          <cell r="K3780">
            <v>0</v>
          </cell>
          <cell r="L3780">
            <v>7.0000000000000007E-2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3.0434782608695654</v>
          </cell>
          <cell r="S3780">
            <v>0</v>
          </cell>
        </row>
        <row r="3781">
          <cell r="A3781" t="str">
            <v>Y052-422</v>
          </cell>
          <cell r="B3781" t="str">
            <v>牛角</v>
          </cell>
          <cell r="C3781" t="str">
            <v>Y052</v>
          </cell>
          <cell r="D3781">
            <v>33505</v>
          </cell>
          <cell r="E3781" t="str">
            <v>抽头面饰条</v>
          </cell>
          <cell r="F3781" t="str">
            <v>120*40*5</v>
          </cell>
          <cell r="G3781">
            <v>120</v>
          </cell>
          <cell r="H3781">
            <v>40</v>
          </cell>
          <cell r="I3781">
            <v>5</v>
          </cell>
          <cell r="J3781">
            <v>14</v>
          </cell>
          <cell r="K3781" t="str">
            <v>未確認</v>
          </cell>
          <cell r="L3781">
            <v>0.05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3.5714285714285716</v>
          </cell>
          <cell r="S3781">
            <v>0</v>
          </cell>
        </row>
        <row r="3782">
          <cell r="A3782" t="str">
            <v>Y052-423</v>
          </cell>
          <cell r="B3782" t="str">
            <v>牛角</v>
          </cell>
          <cell r="C3782" t="str">
            <v>Y052</v>
          </cell>
          <cell r="D3782">
            <v>33505</v>
          </cell>
          <cell r="E3782" t="str">
            <v>抽头面板饰条</v>
          </cell>
          <cell r="F3782" t="str">
            <v>178*40*5</v>
          </cell>
          <cell r="G3782">
            <v>178</v>
          </cell>
          <cell r="H3782">
            <v>40</v>
          </cell>
          <cell r="I3782">
            <v>5</v>
          </cell>
          <cell r="J3782">
            <v>18</v>
          </cell>
          <cell r="K3782">
            <v>0</v>
          </cell>
          <cell r="L3782">
            <v>0.06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3.3333333333333335</v>
          </cell>
          <cell r="S3782">
            <v>0</v>
          </cell>
        </row>
        <row r="3783">
          <cell r="A3783" t="str">
            <v>Y052-424</v>
          </cell>
          <cell r="B3783" t="str">
            <v>牛角</v>
          </cell>
          <cell r="C3783" t="str">
            <v>Y052</v>
          </cell>
          <cell r="D3783">
            <v>33501</v>
          </cell>
          <cell r="E3783" t="str">
            <v>抽头面饰条</v>
          </cell>
          <cell r="F3783" t="str">
            <v>115*40*5</v>
          </cell>
          <cell r="G3783">
            <v>115</v>
          </cell>
          <cell r="H3783">
            <v>40</v>
          </cell>
          <cell r="I3783">
            <v>5</v>
          </cell>
          <cell r="J3783">
            <v>0</v>
          </cell>
          <cell r="K3783" t="str">
            <v>未確認</v>
          </cell>
          <cell r="L3783">
            <v>0.05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</row>
        <row r="3784">
          <cell r="A3784" t="str">
            <v>Y052-425</v>
          </cell>
          <cell r="B3784">
            <v>0</v>
          </cell>
          <cell r="C3784" t="str">
            <v>Y052</v>
          </cell>
          <cell r="D3784" t="str">
            <v>1264TB-CK</v>
          </cell>
          <cell r="E3784" t="str">
            <v>固定饰瑰</v>
          </cell>
          <cell r="F3784" t="str">
            <v>52*31*8</v>
          </cell>
          <cell r="G3784">
            <v>52</v>
          </cell>
          <cell r="H3784">
            <v>31</v>
          </cell>
          <cell r="I3784">
            <v>8</v>
          </cell>
          <cell r="J3784">
            <v>0</v>
          </cell>
          <cell r="K3784">
            <v>0</v>
          </cell>
          <cell r="L3784">
            <v>0.05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</row>
        <row r="3785">
          <cell r="A3785" t="str">
            <v>Y052-426</v>
          </cell>
          <cell r="B3785">
            <v>0</v>
          </cell>
          <cell r="C3785" t="str">
            <v>Y052</v>
          </cell>
          <cell r="D3785" t="str">
            <v>1264TB-CK-有铁 Có sắt</v>
          </cell>
          <cell r="E3785" t="str">
            <v>活动饰瑰</v>
          </cell>
          <cell r="F3785" t="str">
            <v>52*31*8</v>
          </cell>
          <cell r="G3785">
            <v>52</v>
          </cell>
          <cell r="H3785">
            <v>31</v>
          </cell>
          <cell r="I3785">
            <v>8</v>
          </cell>
          <cell r="J3785">
            <v>0</v>
          </cell>
          <cell r="K3785">
            <v>0</v>
          </cell>
          <cell r="L3785">
            <v>0.06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</row>
        <row r="3786">
          <cell r="A3786" t="str">
            <v>Y052-427</v>
          </cell>
          <cell r="B3786">
            <v>0</v>
          </cell>
          <cell r="C3786" t="str">
            <v>Y052</v>
          </cell>
          <cell r="D3786">
            <v>33504</v>
          </cell>
          <cell r="E3786" t="str">
            <v>二号抽头面饰条</v>
          </cell>
          <cell r="F3786" t="str">
            <v>52*31*8</v>
          </cell>
          <cell r="G3786">
            <v>120</v>
          </cell>
          <cell r="H3786">
            <v>40</v>
          </cell>
          <cell r="I3786">
            <v>5</v>
          </cell>
          <cell r="J3786">
            <v>0</v>
          </cell>
          <cell r="K3786" t="str">
            <v>未確認</v>
          </cell>
          <cell r="L3786">
            <v>0.05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</row>
        <row r="3787">
          <cell r="A3787" t="str">
            <v>Y052-428</v>
          </cell>
          <cell r="B3787">
            <v>0</v>
          </cell>
          <cell r="C3787" t="str">
            <v>Y052</v>
          </cell>
          <cell r="D3787" t="str">
            <v xml:space="preserve">1383 -HF/SC </v>
          </cell>
          <cell r="E3787" t="str">
            <v>活动饰瑰 Poly trang trí</v>
          </cell>
          <cell r="F3787" t="str">
            <v>60*31*8.5</v>
          </cell>
          <cell r="G3787">
            <v>60</v>
          </cell>
          <cell r="H3787">
            <v>31</v>
          </cell>
          <cell r="I3787">
            <v>8.5</v>
          </cell>
          <cell r="J3787">
            <v>0</v>
          </cell>
          <cell r="K3787">
            <v>0</v>
          </cell>
          <cell r="L3787">
            <v>0.06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</row>
        <row r="3788">
          <cell r="A3788" t="str">
            <v>Y052-429</v>
          </cell>
          <cell r="B3788">
            <v>0</v>
          </cell>
          <cell r="C3788" t="str">
            <v>Y052</v>
          </cell>
          <cell r="D3788" t="str">
            <v>812-11T-HB</v>
          </cell>
          <cell r="E3788" t="str">
            <v>Poly trang trí đầu giường</v>
          </cell>
          <cell r="F3788" t="str">
            <v>953*267*5.5</v>
          </cell>
          <cell r="G3788">
            <v>953</v>
          </cell>
          <cell r="H3788">
            <v>267</v>
          </cell>
          <cell r="I3788">
            <v>5.5</v>
          </cell>
          <cell r="J3788">
            <v>0</v>
          </cell>
          <cell r="K3788">
            <v>0</v>
          </cell>
          <cell r="L3788">
            <v>4.45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</row>
        <row r="3789">
          <cell r="A3789" t="str">
            <v>Y052-430</v>
          </cell>
          <cell r="B3789">
            <v>0</v>
          </cell>
          <cell r="C3789" t="str">
            <v>Y052</v>
          </cell>
          <cell r="D3789" t="str">
            <v xml:space="preserve">740-1 </v>
          </cell>
          <cell r="E3789" t="str">
            <v>一号抽头饰板</v>
          </cell>
          <cell r="F3789" t="str">
            <v>510*117*3</v>
          </cell>
          <cell r="G3789">
            <v>510</v>
          </cell>
          <cell r="H3789">
            <v>117</v>
          </cell>
          <cell r="I3789">
            <v>3</v>
          </cell>
          <cell r="J3789">
            <v>0</v>
          </cell>
          <cell r="K3789">
            <v>0</v>
          </cell>
          <cell r="L3789">
            <v>2.5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</row>
        <row r="3790">
          <cell r="A3790" t="str">
            <v>Y052-431</v>
          </cell>
          <cell r="B3790">
            <v>0</v>
          </cell>
          <cell r="C3790" t="str">
            <v>Y052</v>
          </cell>
          <cell r="D3790" t="str">
            <v>740-2</v>
          </cell>
          <cell r="E3790" t="str">
            <v>一号抽头饰板</v>
          </cell>
          <cell r="F3790" t="str">
            <v>636*154*3</v>
          </cell>
          <cell r="G3790">
            <v>636</v>
          </cell>
          <cell r="H3790">
            <v>154</v>
          </cell>
          <cell r="I3790">
            <v>3</v>
          </cell>
          <cell r="J3790">
            <v>0</v>
          </cell>
          <cell r="K3790">
            <v>0</v>
          </cell>
          <cell r="L3790">
            <v>4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</row>
        <row r="3791">
          <cell r="A3791" t="str">
            <v>Y052-432</v>
          </cell>
          <cell r="B3791">
            <v>0</v>
          </cell>
          <cell r="C3791" t="str">
            <v>Y052</v>
          </cell>
          <cell r="D3791" t="str">
            <v>740-10</v>
          </cell>
          <cell r="E3791" t="str">
            <v>门框饰板</v>
          </cell>
          <cell r="F3791" t="str">
            <v>1307*417*3</v>
          </cell>
          <cell r="G3791">
            <v>1307</v>
          </cell>
          <cell r="H3791">
            <v>417</v>
          </cell>
          <cell r="I3791">
            <v>3</v>
          </cell>
          <cell r="J3791">
            <v>0</v>
          </cell>
          <cell r="K3791">
            <v>0</v>
          </cell>
          <cell r="L3791">
            <v>12.4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</row>
        <row r="3792">
          <cell r="A3792" t="str">
            <v>Y052-433</v>
          </cell>
          <cell r="B3792">
            <v>0</v>
          </cell>
          <cell r="C3792" t="str">
            <v>Y052</v>
          </cell>
          <cell r="D3792" t="str">
            <v>740-13</v>
          </cell>
          <cell r="E3792" t="str">
            <v>饰板</v>
          </cell>
          <cell r="F3792" t="str">
            <v>1331*280*3</v>
          </cell>
          <cell r="G3792">
            <v>1331</v>
          </cell>
          <cell r="H3792">
            <v>280</v>
          </cell>
          <cell r="I3792">
            <v>3</v>
          </cell>
          <cell r="J3792">
            <v>0</v>
          </cell>
          <cell r="K3792">
            <v>0</v>
          </cell>
          <cell r="L3792">
            <v>8.6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</row>
        <row r="3793">
          <cell r="A3793" t="str">
            <v>Y052-434</v>
          </cell>
          <cell r="B3793">
            <v>0</v>
          </cell>
          <cell r="C3793" t="str">
            <v>Y052</v>
          </cell>
          <cell r="D3793" t="str">
            <v>740-13</v>
          </cell>
          <cell r="E3793" t="str">
            <v>饰板</v>
          </cell>
          <cell r="F3793" t="str">
            <v>1341*147*3</v>
          </cell>
          <cell r="G3793">
            <v>1341</v>
          </cell>
          <cell r="H3793">
            <v>147</v>
          </cell>
          <cell r="I3793">
            <v>3</v>
          </cell>
          <cell r="J3793">
            <v>0</v>
          </cell>
          <cell r="K3793">
            <v>0</v>
          </cell>
          <cell r="L3793">
            <v>8.1999999999999993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</row>
        <row r="3794">
          <cell r="A3794" t="str">
            <v>Y052-435</v>
          </cell>
          <cell r="B3794">
            <v>0</v>
          </cell>
          <cell r="C3794" t="str">
            <v>Y052</v>
          </cell>
          <cell r="D3794">
            <v>33506</v>
          </cell>
          <cell r="E3794" t="str">
            <v>二号抽头面饰条</v>
          </cell>
          <cell r="F3794" t="str">
            <v>120*40*5</v>
          </cell>
          <cell r="G3794">
            <v>120</v>
          </cell>
          <cell r="H3794">
            <v>40</v>
          </cell>
          <cell r="I3794">
            <v>5</v>
          </cell>
          <cell r="J3794">
            <v>0</v>
          </cell>
          <cell r="K3794">
            <v>0</v>
          </cell>
          <cell r="L3794">
            <v>0.05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</row>
        <row r="3795">
          <cell r="A3795" t="str">
            <v>Y052-436</v>
          </cell>
          <cell r="B3795">
            <v>0</v>
          </cell>
          <cell r="C3795" t="str">
            <v>Y052</v>
          </cell>
          <cell r="D3795" t="str">
            <v>9903 B-2-1</v>
          </cell>
          <cell r="E3795" t="str">
            <v>侧板饰板 ván hông</v>
          </cell>
          <cell r="F3795" t="str">
            <v>496*166*7</v>
          </cell>
          <cell r="G3795">
            <v>496</v>
          </cell>
          <cell r="H3795">
            <v>166</v>
          </cell>
          <cell r="I3795">
            <v>7</v>
          </cell>
          <cell r="J3795">
            <v>0</v>
          </cell>
          <cell r="K3795">
            <v>0</v>
          </cell>
          <cell r="L3795">
            <v>1.72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</row>
        <row r="3796">
          <cell r="A3796" t="str">
            <v>Y052-437</v>
          </cell>
          <cell r="B3796">
            <v>0</v>
          </cell>
          <cell r="C3796" t="str">
            <v>Y052</v>
          </cell>
          <cell r="D3796" t="str">
            <v>9903 H-1-3</v>
          </cell>
          <cell r="E3796" t="str">
            <v>抽头板饰板MNK</v>
          </cell>
          <cell r="F3796" t="str">
            <v>830*141*7</v>
          </cell>
          <cell r="G3796">
            <v>830</v>
          </cell>
          <cell r="H3796">
            <v>141</v>
          </cell>
          <cell r="I3796">
            <v>7</v>
          </cell>
          <cell r="J3796">
            <v>0</v>
          </cell>
          <cell r="K3796">
            <v>0</v>
          </cell>
          <cell r="L3796">
            <v>2.27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</row>
        <row r="3797">
          <cell r="A3797" t="str">
            <v>Y052-438</v>
          </cell>
          <cell r="B3797">
            <v>0</v>
          </cell>
          <cell r="C3797" t="str">
            <v>Y052</v>
          </cell>
          <cell r="D3797">
            <v>9903</v>
          </cell>
          <cell r="E3797" t="str">
            <v>拉手 tay nắm</v>
          </cell>
          <cell r="F3797" t="str">
            <v>37.5*37.5*25</v>
          </cell>
          <cell r="G3797">
            <v>37.5</v>
          </cell>
          <cell r="H3797">
            <v>37.5</v>
          </cell>
          <cell r="I3797">
            <v>25</v>
          </cell>
          <cell r="J3797">
            <v>0</v>
          </cell>
          <cell r="K3797">
            <v>0</v>
          </cell>
          <cell r="L3797">
            <v>0.14000000000000001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</row>
        <row r="3798">
          <cell r="A3798" t="str">
            <v>Y052-439</v>
          </cell>
          <cell r="B3798">
            <v>0</v>
          </cell>
          <cell r="C3798" t="str">
            <v>Y052</v>
          </cell>
          <cell r="D3798" t="str">
            <v>9904 H-1-3</v>
          </cell>
          <cell r="E3798" t="str">
            <v>抽头板饰板MNK</v>
          </cell>
          <cell r="F3798" t="str">
            <v>380*132*7</v>
          </cell>
          <cell r="G3798">
            <v>380</v>
          </cell>
          <cell r="H3798">
            <v>132</v>
          </cell>
          <cell r="I3798">
            <v>7</v>
          </cell>
          <cell r="J3798">
            <v>0</v>
          </cell>
          <cell r="K3798">
            <v>0</v>
          </cell>
          <cell r="L3798">
            <v>1.06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</row>
        <row r="3799">
          <cell r="A3799" t="str">
            <v>Y052-440</v>
          </cell>
          <cell r="B3799">
            <v>0</v>
          </cell>
          <cell r="C3799" t="str">
            <v>Y052</v>
          </cell>
          <cell r="D3799">
            <v>9904</v>
          </cell>
          <cell r="E3799" t="str">
            <v>拉手 tay nắm</v>
          </cell>
          <cell r="F3799" t="str">
            <v>37.5*37.5*25</v>
          </cell>
          <cell r="G3799">
            <v>37.5</v>
          </cell>
          <cell r="H3799">
            <v>37.5</v>
          </cell>
          <cell r="I3799">
            <v>25</v>
          </cell>
          <cell r="J3799">
            <v>0</v>
          </cell>
          <cell r="K3799">
            <v>0</v>
          </cell>
          <cell r="L3799">
            <v>0.14000000000000001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</row>
        <row r="3800">
          <cell r="A3800" t="str">
            <v>Y052-441</v>
          </cell>
          <cell r="B3800">
            <v>0</v>
          </cell>
          <cell r="C3800" t="str">
            <v>Y052</v>
          </cell>
          <cell r="D3800" t="str">
            <v>33516 D-2</v>
          </cell>
          <cell r="E3800" t="str">
            <v xml:space="preserve">前板 poly 饰條 chỉ poly </v>
          </cell>
          <cell r="F3800" t="str">
            <v>289*40*5</v>
          </cell>
          <cell r="G3800">
            <v>289</v>
          </cell>
          <cell r="H3800">
            <v>40</v>
          </cell>
          <cell r="I3800">
            <v>5</v>
          </cell>
          <cell r="J3800">
            <v>0</v>
          </cell>
          <cell r="K3800">
            <v>0</v>
          </cell>
          <cell r="L3800">
            <v>0.09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</row>
        <row r="3801">
          <cell r="A3801" t="str">
            <v>Y052-442</v>
          </cell>
          <cell r="B3801">
            <v>0</v>
          </cell>
          <cell r="C3801" t="str">
            <v>Y052</v>
          </cell>
          <cell r="D3801" t="str">
            <v>33517 M-6</v>
          </cell>
          <cell r="E3801" t="str">
            <v xml:space="preserve"> 饰條 chỉ poly </v>
          </cell>
          <cell r="F3801" t="str">
            <v>195*40*5</v>
          </cell>
          <cell r="G3801">
            <v>195</v>
          </cell>
          <cell r="H3801">
            <v>40</v>
          </cell>
          <cell r="I3801">
            <v>5</v>
          </cell>
          <cell r="J3801">
            <v>0</v>
          </cell>
          <cell r="K3801">
            <v>0</v>
          </cell>
          <cell r="L3801">
            <v>7.0000000000000007E-2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</row>
        <row r="3802">
          <cell r="A3802" t="str">
            <v>Y052-443</v>
          </cell>
          <cell r="B3802">
            <v>0</v>
          </cell>
          <cell r="C3802" t="str">
            <v>Y052</v>
          </cell>
          <cell r="D3802" t="str">
            <v>33518STB J-6</v>
          </cell>
          <cell r="E3802" t="str">
            <v xml:space="preserve"> 饰條 chỉ poly </v>
          </cell>
          <cell r="F3802" t="str">
            <v>227*40*5</v>
          </cell>
          <cell r="G3802">
            <v>227</v>
          </cell>
          <cell r="H3802">
            <v>40</v>
          </cell>
          <cell r="I3802">
            <v>5</v>
          </cell>
          <cell r="J3802">
            <v>0</v>
          </cell>
          <cell r="K3802">
            <v>0</v>
          </cell>
          <cell r="L3802">
            <v>0.08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</row>
        <row r="3803">
          <cell r="A3803" t="str">
            <v>Y052-444</v>
          </cell>
          <cell r="B3803" t="str">
            <v>平面方塊</v>
          </cell>
          <cell r="C3803" t="str">
            <v>Y052</v>
          </cell>
          <cell r="D3803" t="str">
            <v>1263-5 C - 有铁 Có sắt</v>
          </cell>
          <cell r="E3803" t="str">
            <v xml:space="preserve">活動飾瑰 miếng poly di động </v>
          </cell>
          <cell r="F3803" t="str">
            <v>52*31*9</v>
          </cell>
          <cell r="G3803">
            <v>52</v>
          </cell>
          <cell r="H3803">
            <v>31</v>
          </cell>
          <cell r="I3803">
            <v>9</v>
          </cell>
          <cell r="J3803">
            <v>0</v>
          </cell>
          <cell r="K3803">
            <v>0</v>
          </cell>
          <cell r="L3803">
            <v>0.06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</row>
        <row r="3804">
          <cell r="A3804" t="str">
            <v>Y052-445</v>
          </cell>
          <cell r="B3804" t="str">
            <v>平面方塊</v>
          </cell>
          <cell r="C3804" t="str">
            <v>Y052</v>
          </cell>
          <cell r="D3804" t="str">
            <v>1263-5 D</v>
          </cell>
          <cell r="E3804" t="str">
            <v>固定飾瑰 Miếng poly cố định</v>
          </cell>
          <cell r="F3804" t="str">
            <v>52*31*9</v>
          </cell>
          <cell r="G3804">
            <v>52</v>
          </cell>
          <cell r="H3804">
            <v>31</v>
          </cell>
          <cell r="I3804">
            <v>9</v>
          </cell>
          <cell r="J3804">
            <v>0</v>
          </cell>
          <cell r="K3804">
            <v>0</v>
          </cell>
          <cell r="L3804">
            <v>0.05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</row>
        <row r="3805">
          <cell r="A3805" t="str">
            <v>Y052-446</v>
          </cell>
          <cell r="B3805" t="str">
            <v>平面方塊</v>
          </cell>
          <cell r="C3805" t="str">
            <v>Y052</v>
          </cell>
          <cell r="D3805" t="str">
            <v>1263-5 E</v>
          </cell>
          <cell r="E3805" t="str">
            <v>固定飾瑰 Miếng poly cố định</v>
          </cell>
          <cell r="F3805" t="str">
            <v>52*31*6</v>
          </cell>
          <cell r="G3805">
            <v>52</v>
          </cell>
          <cell r="H3805">
            <v>31</v>
          </cell>
          <cell r="I3805">
            <v>6</v>
          </cell>
          <cell r="J3805">
            <v>0</v>
          </cell>
          <cell r="K3805">
            <v>0</v>
          </cell>
          <cell r="L3805">
            <v>0.05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</row>
        <row r="3806">
          <cell r="A3806" t="str">
            <v>Y052-447</v>
          </cell>
          <cell r="B3806">
            <v>0</v>
          </cell>
          <cell r="C3806" t="str">
            <v>Y052</v>
          </cell>
          <cell r="D3806" t="str">
            <v xml:space="preserve">740-1 G-1-2 </v>
          </cell>
          <cell r="E3806" t="str">
            <v>一号抽头饰板 miếng trang trí MNK1</v>
          </cell>
          <cell r="F3806" t="str">
            <v>540*249*3</v>
          </cell>
          <cell r="G3806">
            <v>540</v>
          </cell>
          <cell r="H3806">
            <v>249</v>
          </cell>
          <cell r="I3806">
            <v>3</v>
          </cell>
          <cell r="J3806">
            <v>0</v>
          </cell>
          <cell r="K3806">
            <v>0</v>
          </cell>
          <cell r="L3806">
            <v>2.5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</row>
        <row r="3807">
          <cell r="A3807" t="str">
            <v>Y052-448</v>
          </cell>
          <cell r="B3807">
            <v>0</v>
          </cell>
          <cell r="C3807" t="str">
            <v>Y052</v>
          </cell>
          <cell r="D3807" t="str">
            <v xml:space="preserve">740-2 G-1-2 </v>
          </cell>
          <cell r="E3807" t="str">
            <v>一号抽头饰板 miếng trang trí MNK1</v>
          </cell>
          <cell r="F3807" t="str">
            <v>669*332*3</v>
          </cell>
          <cell r="G3807">
            <v>669</v>
          </cell>
          <cell r="H3807">
            <v>332</v>
          </cell>
          <cell r="I3807">
            <v>3</v>
          </cell>
          <cell r="J3807">
            <v>0</v>
          </cell>
          <cell r="K3807">
            <v>0</v>
          </cell>
          <cell r="L3807">
            <v>4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</row>
        <row r="3808">
          <cell r="A3808" t="str">
            <v>Y052-449</v>
          </cell>
          <cell r="B3808">
            <v>0</v>
          </cell>
          <cell r="C3808" t="str">
            <v>Y052</v>
          </cell>
          <cell r="D3808" t="str">
            <v>740-10 M-4</v>
          </cell>
          <cell r="E3808" t="str">
            <v>門框饰板 miếng trang trí cửa tủ</v>
          </cell>
          <cell r="F3808" t="str">
            <v>1348*450*3</v>
          </cell>
          <cell r="G3808">
            <v>1348</v>
          </cell>
          <cell r="H3808">
            <v>450</v>
          </cell>
          <cell r="I3808">
            <v>3</v>
          </cell>
          <cell r="J3808">
            <v>0</v>
          </cell>
          <cell r="K3808">
            <v>0</v>
          </cell>
          <cell r="L3808">
            <v>12.4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</row>
        <row r="3809">
          <cell r="A3809" t="str">
            <v>Y052-450</v>
          </cell>
          <cell r="B3809">
            <v>0</v>
          </cell>
          <cell r="C3809" t="str">
            <v>Y052</v>
          </cell>
          <cell r="D3809" t="str">
            <v>740-13 A-5</v>
          </cell>
          <cell r="E3809" t="str">
            <v>饰板 poly miếng trang trí</v>
          </cell>
          <cell r="F3809" t="str">
            <v>1358*314*3</v>
          </cell>
          <cell r="G3809">
            <v>1358</v>
          </cell>
          <cell r="H3809">
            <v>314</v>
          </cell>
          <cell r="I3809">
            <v>3</v>
          </cell>
          <cell r="J3809">
            <v>0</v>
          </cell>
          <cell r="K3809">
            <v>0</v>
          </cell>
          <cell r="L3809">
            <v>8.1999999999999993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</row>
        <row r="3810">
          <cell r="A3810" t="str">
            <v>Y052-451</v>
          </cell>
          <cell r="B3810">
            <v>0</v>
          </cell>
          <cell r="C3810" t="str">
            <v>Y052</v>
          </cell>
          <cell r="D3810" t="str">
            <v>740-13 B-6</v>
          </cell>
          <cell r="E3810" t="str">
            <v>饰板 poly miếng trang trí</v>
          </cell>
          <cell r="F3810" t="str">
            <v>1358*332*3</v>
          </cell>
          <cell r="G3810">
            <v>1358</v>
          </cell>
          <cell r="H3810">
            <v>332</v>
          </cell>
          <cell r="I3810">
            <v>3</v>
          </cell>
          <cell r="J3810">
            <v>0</v>
          </cell>
          <cell r="K3810">
            <v>0</v>
          </cell>
          <cell r="L3810">
            <v>8.6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</row>
        <row r="3811">
          <cell r="A3811" t="str">
            <v>Y052-452</v>
          </cell>
          <cell r="B3811">
            <v>0</v>
          </cell>
          <cell r="C3811" t="str">
            <v>Y052</v>
          </cell>
          <cell r="D3811" t="str">
            <v>1963-US-FW A-1-2</v>
          </cell>
          <cell r="E3811" t="str">
            <v>床头下脚柱 chân trụ đầu giường</v>
          </cell>
          <cell r="F3811" t="str">
            <v>152*51*51</v>
          </cell>
          <cell r="G3811">
            <v>152</v>
          </cell>
          <cell r="H3811">
            <v>51</v>
          </cell>
          <cell r="I3811">
            <v>51</v>
          </cell>
          <cell r="J3811">
            <v>0</v>
          </cell>
          <cell r="K3811">
            <v>0</v>
          </cell>
          <cell r="L3811">
            <v>7.0000000000000007E-2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</row>
        <row r="3812">
          <cell r="A3812" t="str">
            <v>Y052-453</v>
          </cell>
          <cell r="B3812">
            <v>0</v>
          </cell>
          <cell r="C3812" t="str">
            <v>Y052</v>
          </cell>
          <cell r="D3812" t="str">
            <v>1963-US-FW B-1</v>
          </cell>
          <cell r="E3812" t="str">
            <v>床尾脚註（左）chân trụ đuôi giường trái</v>
          </cell>
          <cell r="F3812" t="str">
            <v>291*57*57</v>
          </cell>
          <cell r="G3812">
            <v>291</v>
          </cell>
          <cell r="H3812">
            <v>57</v>
          </cell>
          <cell r="I3812">
            <v>57</v>
          </cell>
          <cell r="J3812">
            <v>0</v>
          </cell>
          <cell r="K3812">
            <v>0</v>
          </cell>
          <cell r="L3812">
            <v>1.23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</row>
        <row r="3813">
          <cell r="A3813" t="str">
            <v>Y052-454</v>
          </cell>
          <cell r="B3813">
            <v>0</v>
          </cell>
          <cell r="C3813" t="str">
            <v>Y052</v>
          </cell>
          <cell r="D3813" t="str">
            <v>1963-US-FW B-1</v>
          </cell>
          <cell r="E3813" t="str">
            <v>床尾脚註（右）chân trụ đuôi giường phải</v>
          </cell>
          <cell r="F3813" t="str">
            <v>291*57*57</v>
          </cell>
          <cell r="G3813">
            <v>291</v>
          </cell>
          <cell r="H3813">
            <v>57</v>
          </cell>
          <cell r="I3813">
            <v>57</v>
          </cell>
          <cell r="J3813">
            <v>0</v>
          </cell>
          <cell r="K3813">
            <v>0</v>
          </cell>
          <cell r="L3813">
            <v>1.23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</row>
        <row r="3814">
          <cell r="A3814" t="str">
            <v>Y052-455</v>
          </cell>
          <cell r="B3814">
            <v>0</v>
          </cell>
          <cell r="C3814" t="str">
            <v>Y052</v>
          </cell>
          <cell r="D3814">
            <v>0</v>
          </cell>
          <cell r="E3814" t="str">
            <v>POLY SỐ 1</v>
          </cell>
          <cell r="F3814" t="str">
            <v>600*40*12</v>
          </cell>
          <cell r="G3814">
            <v>600</v>
          </cell>
          <cell r="H3814">
            <v>40</v>
          </cell>
          <cell r="I3814">
            <v>12</v>
          </cell>
          <cell r="J3814">
            <v>0</v>
          </cell>
          <cell r="K3814">
            <v>0</v>
          </cell>
          <cell r="L3814">
            <v>1.33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</row>
        <row r="3815">
          <cell r="A3815" t="str">
            <v>Y052-455</v>
          </cell>
          <cell r="B3815">
            <v>0</v>
          </cell>
          <cell r="C3815" t="str">
            <v>Y052</v>
          </cell>
          <cell r="D3815">
            <v>0</v>
          </cell>
          <cell r="E3815" t="str">
            <v>POLY SỐ 1</v>
          </cell>
          <cell r="F3815" t="str">
            <v>600*40*12</v>
          </cell>
          <cell r="G3815">
            <v>600</v>
          </cell>
          <cell r="H3815">
            <v>40</v>
          </cell>
          <cell r="I3815">
            <v>12</v>
          </cell>
          <cell r="J3815">
            <v>0</v>
          </cell>
          <cell r="K3815">
            <v>0</v>
          </cell>
          <cell r="L3815">
            <v>1.33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</row>
        <row r="3816">
          <cell r="A3816" t="str">
            <v>Y052-456</v>
          </cell>
          <cell r="B3816">
            <v>0</v>
          </cell>
          <cell r="C3816" t="str">
            <v>Y052</v>
          </cell>
          <cell r="D3816" t="str">
            <v>1263U B-有铁 Có sắt</v>
          </cell>
          <cell r="E3816" t="str">
            <v xml:space="preserve">活動飾瑰 miếng poly di động </v>
          </cell>
          <cell r="F3816" t="str">
            <v>52*31*9</v>
          </cell>
          <cell r="G3816">
            <v>52</v>
          </cell>
          <cell r="H3816">
            <v>31</v>
          </cell>
          <cell r="I3816">
            <v>9</v>
          </cell>
          <cell r="J3816">
            <v>0</v>
          </cell>
          <cell r="K3816">
            <v>0</v>
          </cell>
          <cell r="L3816">
            <v>0.06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</row>
        <row r="3817">
          <cell r="A3817" t="str">
            <v>Y052-457</v>
          </cell>
          <cell r="B3817">
            <v>0</v>
          </cell>
          <cell r="C3817" t="str">
            <v>Y052</v>
          </cell>
          <cell r="D3817" t="str">
            <v>1263U C</v>
          </cell>
          <cell r="E3817" t="str">
            <v>固定飾瑰 Miếng poly cố định</v>
          </cell>
          <cell r="F3817" t="str">
            <v>52*31*9</v>
          </cell>
          <cell r="G3817">
            <v>52</v>
          </cell>
          <cell r="H3817">
            <v>31</v>
          </cell>
          <cell r="I3817">
            <v>9</v>
          </cell>
          <cell r="J3817">
            <v>0</v>
          </cell>
          <cell r="K3817">
            <v>0</v>
          </cell>
          <cell r="L3817">
            <v>0.05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</row>
        <row r="3818">
          <cell r="A3818" t="str">
            <v>Y052-458</v>
          </cell>
          <cell r="B3818">
            <v>0</v>
          </cell>
          <cell r="C3818" t="str">
            <v>Y052</v>
          </cell>
          <cell r="D3818">
            <v>0</v>
          </cell>
          <cell r="E3818" t="str">
            <v>2112-POLY水-軟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52000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</row>
        <row r="3819">
          <cell r="A3819" t="str">
            <v>Y052-459</v>
          </cell>
          <cell r="B3819">
            <v>0</v>
          </cell>
          <cell r="C3819" t="str">
            <v>Y052</v>
          </cell>
          <cell r="D3819" t="str">
            <v>1264FB-HB/FB A-2-2</v>
          </cell>
          <cell r="E3819" t="str">
            <v>床头上盖2 thanh ngang đầu giường 2</v>
          </cell>
          <cell r="F3819" t="str">
            <v>1048*87*60</v>
          </cell>
          <cell r="G3819">
            <v>1048</v>
          </cell>
          <cell r="H3819">
            <v>87</v>
          </cell>
          <cell r="I3819">
            <v>60</v>
          </cell>
          <cell r="J3819">
            <v>0</v>
          </cell>
          <cell r="K3819">
            <v>0</v>
          </cell>
          <cell r="L3819">
            <v>4.5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 t="e">
            <v>#DIV/0!</v>
          </cell>
          <cell r="S3819">
            <v>43558</v>
          </cell>
          <cell r="T3819">
            <v>0</v>
          </cell>
        </row>
        <row r="3820">
          <cell r="A3820" t="str">
            <v>Y052-460</v>
          </cell>
          <cell r="B3820">
            <v>0</v>
          </cell>
          <cell r="C3820" t="str">
            <v>Y052</v>
          </cell>
          <cell r="D3820" t="str">
            <v>1264FB-HB/FB B-2</v>
          </cell>
          <cell r="E3820" t="str">
            <v>床尾上盖2 thanh ngang đuôi giường2</v>
          </cell>
          <cell r="F3820" t="str">
            <v>1048*87*60</v>
          </cell>
          <cell r="G3820">
            <v>1048</v>
          </cell>
          <cell r="H3820">
            <v>87</v>
          </cell>
          <cell r="I3820">
            <v>60</v>
          </cell>
          <cell r="J3820">
            <v>0</v>
          </cell>
          <cell r="K3820">
            <v>0</v>
          </cell>
          <cell r="L3820">
            <v>4.5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 t="e">
            <v>#DIV/0!</v>
          </cell>
          <cell r="S3820">
            <v>43558</v>
          </cell>
          <cell r="T3820">
            <v>0</v>
          </cell>
        </row>
        <row r="3821">
          <cell r="A3821" t="str">
            <v>Y052-461</v>
          </cell>
          <cell r="B3821">
            <v>0</v>
          </cell>
          <cell r="C3821" t="str">
            <v>Y052</v>
          </cell>
          <cell r="D3821" t="str">
            <v>1264FB-HB/FB có gỗ</v>
          </cell>
          <cell r="E3821" t="str">
            <v>上饰块 Poly trang trí</v>
          </cell>
          <cell r="F3821" t="str">
            <v>86*42*42</v>
          </cell>
          <cell r="G3821">
            <v>86</v>
          </cell>
          <cell r="H3821">
            <v>42</v>
          </cell>
          <cell r="I3821">
            <v>42</v>
          </cell>
          <cell r="J3821">
            <v>0</v>
          </cell>
          <cell r="K3821">
            <v>0</v>
          </cell>
          <cell r="L3821">
            <v>0.35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 t="e">
            <v>#DIV/0!</v>
          </cell>
          <cell r="S3821">
            <v>43558</v>
          </cell>
          <cell r="T3821">
            <v>0</v>
          </cell>
        </row>
        <row r="3822">
          <cell r="A3822" t="str">
            <v>Y052-462</v>
          </cell>
          <cell r="B3822">
            <v>0</v>
          </cell>
          <cell r="C3822" t="str">
            <v>Y052</v>
          </cell>
          <cell r="D3822" t="str">
            <v>1264FB-HB/FB</v>
          </cell>
          <cell r="E3822" t="str">
            <v>脚柱饰块 miếng poly chân</v>
          </cell>
          <cell r="F3822" t="str">
            <v>52*31*8</v>
          </cell>
          <cell r="G3822">
            <v>52</v>
          </cell>
          <cell r="H3822">
            <v>31</v>
          </cell>
          <cell r="I3822">
            <v>8</v>
          </cell>
          <cell r="J3822">
            <v>18</v>
          </cell>
          <cell r="K3822">
            <v>0</v>
          </cell>
          <cell r="L3822">
            <v>0.05</v>
          </cell>
          <cell r="M3822">
            <v>0</v>
          </cell>
          <cell r="N3822">
            <v>0</v>
          </cell>
          <cell r="O3822">
            <v>0</v>
          </cell>
          <cell r="P3822" t="str">
            <v>1010</v>
          </cell>
          <cell r="Q3822" t="str">
            <v>1010</v>
          </cell>
          <cell r="R3822">
            <v>2.7777777777777781</v>
          </cell>
          <cell r="S3822">
            <v>43558</v>
          </cell>
          <cell r="T3822">
            <v>0</v>
          </cell>
        </row>
        <row r="3823">
          <cell r="A3823" t="str">
            <v>Y052-463</v>
          </cell>
          <cell r="B3823">
            <v>0</v>
          </cell>
          <cell r="C3823" t="str">
            <v>Y052</v>
          </cell>
          <cell r="D3823" t="str">
            <v>1264QB-HB/FB内理木Có gỗ</v>
          </cell>
          <cell r="E3823" t="str">
            <v>床头上盖2 thanh ngang đầu giường 2</v>
          </cell>
          <cell r="F3823" t="str">
            <v>1048*87*60</v>
          </cell>
          <cell r="G3823">
            <v>1048</v>
          </cell>
          <cell r="H3823">
            <v>87</v>
          </cell>
          <cell r="I3823">
            <v>60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 t="e">
            <v>#DIV/0!</v>
          </cell>
          <cell r="S3823">
            <v>43558</v>
          </cell>
          <cell r="T3823">
            <v>0</v>
          </cell>
        </row>
        <row r="3824">
          <cell r="A3824" t="str">
            <v>Y052-464</v>
          </cell>
          <cell r="B3824">
            <v>0</v>
          </cell>
          <cell r="C3824" t="str">
            <v>Y052</v>
          </cell>
          <cell r="D3824" t="str">
            <v>1264QB-HB/FB 内理木Có gỗ</v>
          </cell>
          <cell r="E3824" t="str">
            <v>床尾上盖2 thanh ngang đuôi giường2</v>
          </cell>
          <cell r="F3824" t="str">
            <v>1048*87*60</v>
          </cell>
          <cell r="G3824">
            <v>1048</v>
          </cell>
          <cell r="H3824">
            <v>87</v>
          </cell>
          <cell r="I3824">
            <v>60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 t="e">
            <v>#DIV/0!</v>
          </cell>
          <cell r="S3824">
            <v>43558</v>
          </cell>
          <cell r="T3824">
            <v>0</v>
          </cell>
        </row>
        <row r="3825">
          <cell r="A3825" t="str">
            <v>Y052-465</v>
          </cell>
          <cell r="B3825">
            <v>0</v>
          </cell>
          <cell r="C3825" t="str">
            <v>Y052</v>
          </cell>
          <cell r="D3825" t="str">
            <v xml:space="preserve">1264FBN-HB/FB </v>
          </cell>
          <cell r="E3825" t="str">
            <v>床头上盖 thanh ngang đầu giường</v>
          </cell>
          <cell r="F3825" t="str">
            <v>1048*87*60</v>
          </cell>
          <cell r="G3825">
            <v>1048</v>
          </cell>
          <cell r="H3825">
            <v>87</v>
          </cell>
          <cell r="I3825">
            <v>60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 t="e">
            <v>#DIV/0!</v>
          </cell>
          <cell r="S3825">
            <v>43558</v>
          </cell>
          <cell r="T3825">
            <v>0</v>
          </cell>
        </row>
        <row r="3826">
          <cell r="A3826" t="str">
            <v>Y052-466</v>
          </cell>
          <cell r="B3826">
            <v>0</v>
          </cell>
          <cell r="C3826" t="str">
            <v>Y052</v>
          </cell>
          <cell r="D3826" t="str">
            <v>1264FBN-HB/FB có gỗ</v>
          </cell>
          <cell r="E3826" t="str">
            <v>上饰块 Poly trang trí</v>
          </cell>
          <cell r="F3826" t="str">
            <v>86*42*42</v>
          </cell>
          <cell r="G3826">
            <v>86</v>
          </cell>
          <cell r="H3826">
            <v>42</v>
          </cell>
          <cell r="I3826">
            <v>42</v>
          </cell>
          <cell r="J3826">
            <v>0</v>
          </cell>
          <cell r="K3826">
            <v>0</v>
          </cell>
          <cell r="L3826">
            <v>0.35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 t="e">
            <v>#DIV/0!</v>
          </cell>
          <cell r="S3826">
            <v>43558</v>
          </cell>
          <cell r="T3826">
            <v>0</v>
          </cell>
        </row>
        <row r="3827">
          <cell r="A3827" t="str">
            <v>Y052-467</v>
          </cell>
          <cell r="B3827">
            <v>0</v>
          </cell>
          <cell r="C3827" t="str">
            <v>Y052</v>
          </cell>
          <cell r="D3827" t="str">
            <v>1264FBN-HB/FB</v>
          </cell>
          <cell r="E3827" t="str">
            <v>脚柱饰块 miếng poly chân</v>
          </cell>
          <cell r="F3827" t="str">
            <v>52*31*8</v>
          </cell>
          <cell r="G3827">
            <v>52</v>
          </cell>
          <cell r="H3827">
            <v>31</v>
          </cell>
          <cell r="I3827">
            <v>8</v>
          </cell>
          <cell r="J3827">
            <v>18</v>
          </cell>
          <cell r="K3827">
            <v>0</v>
          </cell>
          <cell r="L3827">
            <v>0.05</v>
          </cell>
          <cell r="M3827">
            <v>0</v>
          </cell>
          <cell r="N3827">
            <v>0</v>
          </cell>
          <cell r="O3827">
            <v>0</v>
          </cell>
          <cell r="P3827" t="str">
            <v>1010</v>
          </cell>
          <cell r="Q3827" t="str">
            <v>1010</v>
          </cell>
          <cell r="R3827">
            <v>2.7777777777777781</v>
          </cell>
          <cell r="S3827">
            <v>43558</v>
          </cell>
          <cell r="T3827">
            <v>0</v>
          </cell>
        </row>
        <row r="3828">
          <cell r="A3828" t="str">
            <v>Y052-468</v>
          </cell>
          <cell r="B3828">
            <v>0</v>
          </cell>
          <cell r="C3828" t="str">
            <v>Y052</v>
          </cell>
          <cell r="D3828" t="str">
            <v>710-2-1 号抽头饰板</v>
          </cell>
          <cell r="E3828" t="str">
            <v>miếng trang trí MNK</v>
          </cell>
          <cell r="F3828" t="str">
            <v>615*146*3.5</v>
          </cell>
          <cell r="G3828">
            <v>615</v>
          </cell>
          <cell r="H3828">
            <v>146</v>
          </cell>
          <cell r="I3828">
            <v>3.5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43574</v>
          </cell>
          <cell r="T3828">
            <v>0</v>
          </cell>
        </row>
        <row r="3829">
          <cell r="A3829" t="str">
            <v>Y052-469</v>
          </cell>
          <cell r="B3829">
            <v>0</v>
          </cell>
          <cell r="C3829" t="str">
            <v>Y052</v>
          </cell>
          <cell r="D3829" t="str">
            <v>710-10-1 号抽头饰板</v>
          </cell>
          <cell r="E3829" t="str">
            <v>miếng trang trí MNK</v>
          </cell>
          <cell r="F3829" t="str">
            <v>408*146*3.5</v>
          </cell>
          <cell r="G3829">
            <v>408</v>
          </cell>
          <cell r="H3829">
            <v>146</v>
          </cell>
          <cell r="I3829">
            <v>3.5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43574</v>
          </cell>
          <cell r="T3829">
            <v>0</v>
          </cell>
        </row>
        <row r="3830">
          <cell r="A3830" t="str">
            <v>Y052-470</v>
          </cell>
          <cell r="B3830">
            <v>0</v>
          </cell>
          <cell r="C3830" t="str">
            <v>Y052</v>
          </cell>
          <cell r="D3830" t="str">
            <v>710-13-1 小免子</v>
          </cell>
          <cell r="E3830" t="str">
            <v>THỎ</v>
          </cell>
          <cell r="F3830" t="str">
            <v>134*64*276</v>
          </cell>
          <cell r="G3830">
            <v>134</v>
          </cell>
          <cell r="H3830">
            <v>64</v>
          </cell>
          <cell r="I3830">
            <v>276</v>
          </cell>
          <cell r="J3830">
            <v>0</v>
          </cell>
          <cell r="K3830">
            <v>0</v>
          </cell>
          <cell r="L3830">
            <v>1.68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43574</v>
          </cell>
          <cell r="T3830">
            <v>0</v>
          </cell>
        </row>
        <row r="3831">
          <cell r="A3831" t="str">
            <v>Y052-471</v>
          </cell>
          <cell r="B3831">
            <v>0</v>
          </cell>
          <cell r="C3831" t="str">
            <v>Y052</v>
          </cell>
          <cell r="D3831" t="str">
            <v>33601-HB/FB/SL-車頭大車燈</v>
          </cell>
          <cell r="E3831" t="str">
            <v>ĐÈN XE LỚN ĐẦU XE</v>
          </cell>
          <cell r="F3831" t="str">
            <v>100*120*120</v>
          </cell>
          <cell r="G3831">
            <v>100</v>
          </cell>
          <cell r="H3831">
            <v>120</v>
          </cell>
          <cell r="I3831">
            <v>120</v>
          </cell>
          <cell r="J3831">
            <v>0</v>
          </cell>
          <cell r="K3831">
            <v>0</v>
          </cell>
          <cell r="L3831">
            <v>2.2799999999999998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43600</v>
          </cell>
          <cell r="T3831">
            <v>0</v>
          </cell>
        </row>
        <row r="3832">
          <cell r="A3832" t="str">
            <v>Y052-472</v>
          </cell>
          <cell r="B3832">
            <v>0</v>
          </cell>
          <cell r="C3832" t="str">
            <v>Y052</v>
          </cell>
          <cell r="D3832" t="str">
            <v>33601-HB/FB/SL-車頭小車燈</v>
          </cell>
          <cell r="E3832" t="str">
            <v>ĐÈN XE NHỎ ĐẦU XE</v>
          </cell>
          <cell r="F3832" t="str">
            <v>73*60*60</v>
          </cell>
          <cell r="G3832">
            <v>73</v>
          </cell>
          <cell r="H3832">
            <v>60</v>
          </cell>
          <cell r="I3832">
            <v>60</v>
          </cell>
          <cell r="J3832">
            <v>0</v>
          </cell>
          <cell r="K3832">
            <v>0</v>
          </cell>
          <cell r="L3832">
            <v>0.65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43600</v>
          </cell>
          <cell r="T3832">
            <v>0</v>
          </cell>
        </row>
        <row r="3833">
          <cell r="A3833" t="str">
            <v>Y052-473</v>
          </cell>
          <cell r="B3833">
            <v>0</v>
          </cell>
          <cell r="C3833" t="str">
            <v>Y052</v>
          </cell>
          <cell r="D3833" t="str">
            <v>33601-HB/FB/SL-車尾小車燈</v>
          </cell>
          <cell r="E3833" t="str">
            <v>ĐÈN  NHỎ ĐUÔI XE</v>
          </cell>
          <cell r="F3833" t="str">
            <v>60*60*11</v>
          </cell>
          <cell r="G3833">
            <v>60</v>
          </cell>
          <cell r="H3833">
            <v>60</v>
          </cell>
          <cell r="I3833">
            <v>11</v>
          </cell>
          <cell r="J3833">
            <v>0</v>
          </cell>
          <cell r="K3833">
            <v>0</v>
          </cell>
          <cell r="L3833">
            <v>0.21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43600</v>
          </cell>
          <cell r="T3833">
            <v>0</v>
          </cell>
        </row>
        <row r="3834">
          <cell r="A3834" t="str">
            <v>Y052-474</v>
          </cell>
          <cell r="B3834">
            <v>0</v>
          </cell>
          <cell r="C3834" t="str">
            <v>Y052</v>
          </cell>
          <cell r="D3834" t="str">
            <v>33601-SR-床道飾塊</v>
          </cell>
          <cell r="E3834" t="str">
            <v>MIẾNG POLY HÔNG GIƯỜNG</v>
          </cell>
          <cell r="F3834" t="str">
            <v>40*10*6</v>
          </cell>
          <cell r="G3834">
            <v>40</v>
          </cell>
          <cell r="H3834">
            <v>10</v>
          </cell>
          <cell r="I3834">
            <v>6</v>
          </cell>
          <cell r="J3834">
            <v>0</v>
          </cell>
          <cell r="K3834">
            <v>0</v>
          </cell>
          <cell r="L3834">
            <v>0.05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43600</v>
          </cell>
          <cell r="T3834">
            <v>0</v>
          </cell>
        </row>
        <row r="3835">
          <cell r="A3835" t="str">
            <v>Y052-475</v>
          </cell>
          <cell r="B3835">
            <v>0</v>
          </cell>
          <cell r="C3835" t="str">
            <v>Y052</v>
          </cell>
          <cell r="D3835" t="str">
            <v>33601-SR-車輪中飾塊</v>
          </cell>
          <cell r="E3835" t="str">
            <v>MIẾNG POLY GIỮA BÁNH XE</v>
          </cell>
          <cell r="F3835" t="str">
            <v>158*158*18</v>
          </cell>
          <cell r="G3835">
            <v>158</v>
          </cell>
          <cell r="H3835">
            <v>158</v>
          </cell>
          <cell r="I3835">
            <v>18</v>
          </cell>
          <cell r="J3835">
            <v>0</v>
          </cell>
          <cell r="K3835">
            <v>0</v>
          </cell>
          <cell r="L3835">
            <v>1.48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43600</v>
          </cell>
          <cell r="T3835">
            <v>0</v>
          </cell>
        </row>
        <row r="3836">
          <cell r="A3836" t="str">
            <v>Y052-2001</v>
          </cell>
          <cell r="B3836">
            <v>0</v>
          </cell>
          <cell r="C3836" t="str">
            <v>Y052</v>
          </cell>
          <cell r="D3836">
            <v>0</v>
          </cell>
          <cell r="E3836">
            <v>0</v>
          </cell>
          <cell r="F3836" t="str">
            <v>600*40*9.5</v>
          </cell>
          <cell r="G3836">
            <v>600</v>
          </cell>
          <cell r="H3836">
            <v>40</v>
          </cell>
          <cell r="I3836">
            <v>9.5</v>
          </cell>
          <cell r="J3836">
            <v>470</v>
          </cell>
          <cell r="K3836">
            <v>0</v>
          </cell>
          <cell r="L3836">
            <v>1.33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1010</v>
          </cell>
          <cell r="R3836">
            <v>2.8297872340425534</v>
          </cell>
          <cell r="S3836">
            <v>0</v>
          </cell>
        </row>
        <row r="3837">
          <cell r="A3837" t="str">
            <v>Y052-2002</v>
          </cell>
          <cell r="B3837">
            <v>0</v>
          </cell>
          <cell r="C3837" t="str">
            <v>Y052</v>
          </cell>
          <cell r="D3837">
            <v>0</v>
          </cell>
          <cell r="E3837">
            <v>0</v>
          </cell>
          <cell r="F3837" t="str">
            <v>560*40*12</v>
          </cell>
          <cell r="G3837">
            <v>560</v>
          </cell>
          <cell r="H3837">
            <v>40</v>
          </cell>
          <cell r="I3837">
            <v>12</v>
          </cell>
          <cell r="J3837">
            <v>470</v>
          </cell>
          <cell r="K3837">
            <v>0</v>
          </cell>
          <cell r="L3837">
            <v>1.33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</row>
        <row r="3838">
          <cell r="A3838" t="str">
            <v>Y052-2003</v>
          </cell>
          <cell r="B3838">
            <v>0</v>
          </cell>
          <cell r="C3838" t="str">
            <v>Y052</v>
          </cell>
          <cell r="D3838">
            <v>0</v>
          </cell>
          <cell r="E3838" t="str">
            <v>草蓆</v>
          </cell>
          <cell r="F3838" t="str">
            <v>1380*500*3</v>
          </cell>
          <cell r="G3838">
            <v>1380</v>
          </cell>
          <cell r="H3838">
            <v>500</v>
          </cell>
          <cell r="I3838">
            <v>3</v>
          </cell>
          <cell r="J3838">
            <v>4645</v>
          </cell>
          <cell r="K3838">
            <v>0</v>
          </cell>
          <cell r="L3838">
            <v>13.5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</row>
        <row r="3839">
          <cell r="A3839" t="str">
            <v>Y052-2004</v>
          </cell>
          <cell r="B3839">
            <v>0</v>
          </cell>
          <cell r="C3839" t="str">
            <v>Y052</v>
          </cell>
          <cell r="D3839">
            <v>0</v>
          </cell>
          <cell r="E3839">
            <v>0</v>
          </cell>
          <cell r="F3839" t="str">
            <v>135*174*174</v>
          </cell>
          <cell r="G3839">
            <v>135</v>
          </cell>
          <cell r="H3839">
            <v>174</v>
          </cell>
          <cell r="I3839">
            <v>174</v>
          </cell>
          <cell r="J3839">
            <v>0</v>
          </cell>
          <cell r="K3839">
            <v>0</v>
          </cell>
          <cell r="L3839">
            <v>13.8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</row>
        <row r="3840">
          <cell r="A3840" t="str">
            <v>Y053-001</v>
          </cell>
          <cell r="B3840">
            <v>0</v>
          </cell>
          <cell r="C3840" t="str">
            <v>Y053</v>
          </cell>
          <cell r="D3840" t="str">
            <v>R3177-13</v>
          </cell>
          <cell r="E3840" t="str">
            <v>立水饰条</v>
          </cell>
          <cell r="F3840" t="str">
            <v>465*100*4</v>
          </cell>
          <cell r="G3840">
            <v>465</v>
          </cell>
          <cell r="H3840">
            <v>100</v>
          </cell>
          <cell r="I3840">
            <v>4</v>
          </cell>
          <cell r="J3840">
            <v>182</v>
          </cell>
          <cell r="K3840">
            <v>0</v>
          </cell>
          <cell r="L3840">
            <v>0.7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3.8461538461538458</v>
          </cell>
          <cell r="S3840">
            <v>0</v>
          </cell>
        </row>
        <row r="3841">
          <cell r="A3841" t="str">
            <v>Y053-002</v>
          </cell>
          <cell r="B3841">
            <v>0</v>
          </cell>
          <cell r="C3841" t="str">
            <v>Y053</v>
          </cell>
          <cell r="D3841" t="str">
            <v>R3177-13</v>
          </cell>
          <cell r="E3841" t="str">
            <v>立水饰条</v>
          </cell>
          <cell r="F3841" t="str">
            <v>1080*110*4</v>
          </cell>
          <cell r="G3841">
            <v>1080</v>
          </cell>
          <cell r="H3841">
            <v>110</v>
          </cell>
          <cell r="I3841">
            <v>4</v>
          </cell>
          <cell r="J3841">
            <v>467</v>
          </cell>
          <cell r="K3841">
            <v>0</v>
          </cell>
          <cell r="L3841">
            <v>1.45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3.1049250535331905</v>
          </cell>
          <cell r="S3841">
            <v>0</v>
          </cell>
        </row>
        <row r="3842">
          <cell r="A3842" t="str">
            <v>Y053-003</v>
          </cell>
          <cell r="B3842">
            <v>0</v>
          </cell>
          <cell r="C3842" t="str">
            <v>Y053</v>
          </cell>
          <cell r="D3842" t="str">
            <v>R3177-13</v>
          </cell>
          <cell r="E3842" t="str">
            <v>立水饰条</v>
          </cell>
          <cell r="F3842" t="str">
            <v>420*90*4</v>
          </cell>
          <cell r="G3842">
            <v>420</v>
          </cell>
          <cell r="H3842">
            <v>90</v>
          </cell>
          <cell r="I3842">
            <v>4</v>
          </cell>
          <cell r="J3842">
            <v>162</v>
          </cell>
          <cell r="K3842">
            <v>0</v>
          </cell>
          <cell r="L3842">
            <v>0.38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2.3456790123456788</v>
          </cell>
          <cell r="S3842">
            <v>0</v>
          </cell>
        </row>
        <row r="3843">
          <cell r="A3843" t="str">
            <v>Y053-004</v>
          </cell>
          <cell r="B3843">
            <v>0</v>
          </cell>
          <cell r="C3843" t="str">
            <v>Y053</v>
          </cell>
          <cell r="D3843" t="str">
            <v>R3177-13</v>
          </cell>
          <cell r="E3843" t="str">
            <v>立水饰条</v>
          </cell>
          <cell r="F3843" t="str">
            <v>363*85*4</v>
          </cell>
          <cell r="G3843">
            <v>363</v>
          </cell>
          <cell r="H3843">
            <v>85</v>
          </cell>
          <cell r="I3843">
            <v>4</v>
          </cell>
          <cell r="J3843">
            <v>143</v>
          </cell>
          <cell r="K3843">
            <v>0</v>
          </cell>
          <cell r="L3843">
            <v>0.35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2.4475524475524475</v>
          </cell>
          <cell r="S3843">
            <v>0</v>
          </cell>
        </row>
        <row r="3844">
          <cell r="A3844" t="str">
            <v>Y054-001</v>
          </cell>
          <cell r="B3844">
            <v>0</v>
          </cell>
          <cell r="C3844" t="str">
            <v>Y054</v>
          </cell>
          <cell r="D3844" t="str">
            <v>Chỉ poly diền bàn Florence</v>
          </cell>
          <cell r="E3844" t="str">
            <v>圆珠饰条</v>
          </cell>
          <cell r="F3844" t="str">
            <v>530*10*5</v>
          </cell>
          <cell r="G3844">
            <v>530</v>
          </cell>
          <cell r="H3844">
            <v>10</v>
          </cell>
          <cell r="I3844">
            <v>5</v>
          </cell>
          <cell r="J3844">
            <v>0</v>
          </cell>
          <cell r="K3844">
            <v>0</v>
          </cell>
          <cell r="L3844">
            <v>0.13500000000000001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 t="e">
            <v>#DIV/0!</v>
          </cell>
          <cell r="S3844">
            <v>0</v>
          </cell>
        </row>
        <row r="3845">
          <cell r="A3845" t="str">
            <v>Y055-001</v>
          </cell>
          <cell r="B3845">
            <v>0</v>
          </cell>
          <cell r="C3845" t="str">
            <v>Y055</v>
          </cell>
          <cell r="D3845" t="str">
            <v>B1128-402#</v>
          </cell>
          <cell r="E3845" t="str">
            <v>麻花饰条</v>
          </cell>
          <cell r="F3845" t="str">
            <v>692*11*5.5</v>
          </cell>
          <cell r="G3845">
            <v>692</v>
          </cell>
          <cell r="H3845">
            <v>11</v>
          </cell>
          <cell r="I3845">
            <v>5.5</v>
          </cell>
          <cell r="J3845">
            <v>49</v>
          </cell>
          <cell r="K3845">
            <v>0</v>
          </cell>
          <cell r="L3845">
            <v>0.25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5.1020408163265305</v>
          </cell>
          <cell r="S3845">
            <v>0</v>
          </cell>
        </row>
        <row r="3846">
          <cell r="A3846" t="str">
            <v>Y055-002</v>
          </cell>
          <cell r="B3846">
            <v>0</v>
          </cell>
          <cell r="C3846" t="str">
            <v>Y055</v>
          </cell>
          <cell r="D3846" t="str">
            <v>B1128-402#</v>
          </cell>
          <cell r="E3846" t="str">
            <v>麻花饰条</v>
          </cell>
          <cell r="F3846" t="str">
            <v>416*11*5.5</v>
          </cell>
          <cell r="G3846">
            <v>416</v>
          </cell>
          <cell r="H3846">
            <v>11</v>
          </cell>
          <cell r="I3846">
            <v>5.5</v>
          </cell>
          <cell r="J3846">
            <v>34</v>
          </cell>
          <cell r="K3846">
            <v>0</v>
          </cell>
          <cell r="L3846">
            <v>0.15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4.4117647058823524</v>
          </cell>
          <cell r="S3846">
            <v>0</v>
          </cell>
        </row>
        <row r="3847">
          <cell r="A3847" t="str">
            <v>Y055-003</v>
          </cell>
          <cell r="B3847">
            <v>0</v>
          </cell>
          <cell r="C3847" t="str">
            <v>Y055</v>
          </cell>
          <cell r="D3847" t="str">
            <v>B1128-351#</v>
          </cell>
          <cell r="E3847" t="str">
            <v>麻花饰条</v>
          </cell>
          <cell r="F3847" t="str">
            <v>1604*11*5.5</v>
          </cell>
          <cell r="G3847">
            <v>1604</v>
          </cell>
          <cell r="H3847">
            <v>11</v>
          </cell>
          <cell r="I3847">
            <v>5.5</v>
          </cell>
          <cell r="J3847">
            <v>116</v>
          </cell>
          <cell r="K3847">
            <v>0</v>
          </cell>
          <cell r="L3847">
            <v>0.6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5.1724137931034475</v>
          </cell>
          <cell r="S3847">
            <v>0</v>
          </cell>
        </row>
        <row r="3848">
          <cell r="A3848" t="str">
            <v>Y055-004</v>
          </cell>
          <cell r="B3848">
            <v>0</v>
          </cell>
          <cell r="C3848" t="str">
            <v>Y055</v>
          </cell>
          <cell r="D3848" t="str">
            <v>B1128-351#</v>
          </cell>
          <cell r="E3848" t="str">
            <v>麻花饰条</v>
          </cell>
          <cell r="F3848" t="str">
            <v>434*11*5.5</v>
          </cell>
          <cell r="G3848">
            <v>434</v>
          </cell>
          <cell r="H3848">
            <v>11</v>
          </cell>
          <cell r="I3848">
            <v>5.5</v>
          </cell>
          <cell r="J3848">
            <v>36</v>
          </cell>
          <cell r="K3848">
            <v>0</v>
          </cell>
          <cell r="L3848">
            <v>0.16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4.4444444444444446</v>
          </cell>
          <cell r="S3848">
            <v>0</v>
          </cell>
        </row>
        <row r="3849">
          <cell r="A3849" t="str">
            <v>Y056-001</v>
          </cell>
          <cell r="B3849" t="str">
            <v>ZJ000</v>
          </cell>
          <cell r="C3849" t="str">
            <v>Y056</v>
          </cell>
          <cell r="D3849" t="str">
            <v>72060LB-55</v>
          </cell>
          <cell r="E3849" t="str">
            <v>P0213 顶饰花 -ZJ000</v>
          </cell>
          <cell r="F3849" t="str">
            <v>588*103*13.5</v>
          </cell>
          <cell r="G3849">
            <v>588</v>
          </cell>
          <cell r="H3849">
            <v>103</v>
          </cell>
          <cell r="I3849">
            <v>13.5</v>
          </cell>
          <cell r="J3849">
            <v>750</v>
          </cell>
          <cell r="K3849">
            <v>0</v>
          </cell>
          <cell r="L3849">
            <v>2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2.6666666666666665</v>
          </cell>
          <cell r="S3849">
            <v>0</v>
          </cell>
        </row>
        <row r="3850">
          <cell r="A3850" t="str">
            <v>Y056-002</v>
          </cell>
          <cell r="B3850" t="str">
            <v>ZT-002L</v>
          </cell>
          <cell r="C3850" t="str">
            <v>Y056</v>
          </cell>
          <cell r="D3850" t="str">
            <v>72050-55 妝台</v>
          </cell>
          <cell r="E3850" t="str">
            <v>暗抽面中饰花（左）ZT-002L</v>
          </cell>
          <cell r="F3850" t="str">
            <v>275*50*7.5</v>
          </cell>
          <cell r="G3850">
            <v>275</v>
          </cell>
          <cell r="H3850">
            <v>50</v>
          </cell>
          <cell r="I3850">
            <v>7.5</v>
          </cell>
          <cell r="J3850">
            <v>55</v>
          </cell>
          <cell r="K3850">
            <v>0</v>
          </cell>
          <cell r="L3850">
            <v>0.16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2.9090909090909092</v>
          </cell>
          <cell r="S3850">
            <v>0</v>
          </cell>
        </row>
        <row r="3851">
          <cell r="A3851" t="str">
            <v>Y056-003</v>
          </cell>
          <cell r="B3851" t="str">
            <v>ZT-002R</v>
          </cell>
          <cell r="C3851" t="str">
            <v>Y056</v>
          </cell>
          <cell r="D3851" t="str">
            <v>72050-55 妝台</v>
          </cell>
          <cell r="E3851" t="str">
            <v>暗抽面中饰花（右）ZT-002R</v>
          </cell>
          <cell r="F3851" t="str">
            <v>275*50*7.5</v>
          </cell>
          <cell r="G3851">
            <v>275</v>
          </cell>
          <cell r="H3851">
            <v>50</v>
          </cell>
          <cell r="I3851">
            <v>7.5</v>
          </cell>
          <cell r="J3851">
            <v>45</v>
          </cell>
          <cell r="K3851">
            <v>0</v>
          </cell>
          <cell r="L3851">
            <v>0.16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3.5555555555555558</v>
          </cell>
          <cell r="S3851">
            <v>0</v>
          </cell>
        </row>
        <row r="3852">
          <cell r="A3852" t="str">
            <v>Y056-004</v>
          </cell>
          <cell r="B3852" t="str">
            <v>ZT-003</v>
          </cell>
          <cell r="C3852" t="str">
            <v>Y056</v>
          </cell>
          <cell r="D3852" t="str">
            <v>72050-55 妝台</v>
          </cell>
          <cell r="E3852" t="str">
            <v>暗抽面下饰花 ZT-003</v>
          </cell>
          <cell r="F3852" t="str">
            <v>125*65*33</v>
          </cell>
          <cell r="G3852">
            <v>125</v>
          </cell>
          <cell r="H3852">
            <v>65</v>
          </cell>
          <cell r="I3852">
            <v>33</v>
          </cell>
          <cell r="J3852">
            <v>220</v>
          </cell>
          <cell r="K3852">
            <v>0</v>
          </cell>
          <cell r="L3852">
            <v>0.56000000000000005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2.5454545454545459</v>
          </cell>
          <cell r="S3852">
            <v>0</v>
          </cell>
        </row>
        <row r="3853">
          <cell r="A3853" t="str">
            <v>Y056-005</v>
          </cell>
          <cell r="B3853" t="str">
            <v>ZJ-001L</v>
          </cell>
          <cell r="C3853" t="str">
            <v>Y056</v>
          </cell>
          <cell r="D3853" t="str">
            <v>72060-55 妝鏡</v>
          </cell>
          <cell r="E3853" t="str">
            <v>顶饰花（左）ZJ-001L</v>
          </cell>
          <cell r="F3853" t="str">
            <v>385*142*14</v>
          </cell>
          <cell r="G3853">
            <v>385</v>
          </cell>
          <cell r="H3853">
            <v>142</v>
          </cell>
          <cell r="I3853">
            <v>14</v>
          </cell>
          <cell r="J3853">
            <v>330</v>
          </cell>
          <cell r="K3853">
            <v>0</v>
          </cell>
          <cell r="L3853">
            <v>0.87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2.6363636363636362</v>
          </cell>
          <cell r="S3853">
            <v>0</v>
          </cell>
        </row>
        <row r="3854">
          <cell r="A3854" t="str">
            <v>Y056-006</v>
          </cell>
          <cell r="B3854" t="str">
            <v>ZJ-001R</v>
          </cell>
          <cell r="C3854" t="str">
            <v>Y056</v>
          </cell>
          <cell r="D3854" t="str">
            <v>72060-55 妝鏡</v>
          </cell>
          <cell r="E3854" t="str">
            <v>顶饰花（右）ZJ-001R</v>
          </cell>
          <cell r="F3854" t="str">
            <v>385*142*14</v>
          </cell>
          <cell r="G3854">
            <v>385</v>
          </cell>
          <cell r="H3854">
            <v>142</v>
          </cell>
          <cell r="I3854">
            <v>14</v>
          </cell>
          <cell r="J3854">
            <v>350</v>
          </cell>
          <cell r="K3854">
            <v>0</v>
          </cell>
          <cell r="L3854">
            <v>0.87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2.4857142857142858</v>
          </cell>
          <cell r="S3854">
            <v>0</v>
          </cell>
        </row>
        <row r="3855">
          <cell r="A3855" t="str">
            <v>Y056-007</v>
          </cell>
          <cell r="B3855" t="str">
            <v>ZJ-003</v>
          </cell>
          <cell r="C3855" t="str">
            <v>Y056</v>
          </cell>
          <cell r="D3855" t="str">
            <v>72060-55 妝鏡</v>
          </cell>
          <cell r="E3855" t="str">
            <v>下側饰花 ZJ-003</v>
          </cell>
          <cell r="F3855" t="str">
            <v>177*125*14</v>
          </cell>
          <cell r="G3855">
            <v>177</v>
          </cell>
          <cell r="H3855">
            <v>125</v>
          </cell>
          <cell r="I3855">
            <v>14</v>
          </cell>
          <cell r="J3855">
            <v>170</v>
          </cell>
          <cell r="K3855">
            <v>0</v>
          </cell>
          <cell r="L3855">
            <v>0.44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2.5882352941176467</v>
          </cell>
          <cell r="S3855">
            <v>0</v>
          </cell>
        </row>
        <row r="3856">
          <cell r="A3856" t="str">
            <v>Y056-008</v>
          </cell>
          <cell r="B3856" t="str">
            <v>ZJ-004</v>
          </cell>
          <cell r="C3856" t="str">
            <v>Y056</v>
          </cell>
          <cell r="D3856" t="str">
            <v>72060-55 妝鏡</v>
          </cell>
          <cell r="E3856" t="str">
            <v>下中饰花 ZJ-004</v>
          </cell>
          <cell r="F3856" t="str">
            <v>308*67*14</v>
          </cell>
          <cell r="G3856">
            <v>308</v>
          </cell>
          <cell r="H3856">
            <v>67</v>
          </cell>
          <cell r="I3856">
            <v>14</v>
          </cell>
          <cell r="J3856">
            <v>200</v>
          </cell>
          <cell r="K3856">
            <v>0</v>
          </cell>
          <cell r="L3856">
            <v>0.51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2.5499999999999998</v>
          </cell>
          <cell r="S3856">
            <v>0</v>
          </cell>
        </row>
        <row r="3857">
          <cell r="A3857" t="str">
            <v>Y056-009</v>
          </cell>
          <cell r="B3857" t="str">
            <v>LMH-01</v>
          </cell>
          <cell r="C3857" t="str">
            <v>Y056</v>
          </cell>
          <cell r="D3857" t="str">
            <v>72315-55</v>
          </cell>
          <cell r="E3857" t="str">
            <v>床头柱饰花  LMH-01</v>
          </cell>
          <cell r="F3857" t="str">
            <v>1250*114*8</v>
          </cell>
          <cell r="G3857">
            <v>1250</v>
          </cell>
          <cell r="H3857">
            <v>114</v>
          </cell>
          <cell r="I3857">
            <v>8</v>
          </cell>
          <cell r="J3857">
            <v>974</v>
          </cell>
          <cell r="K3857">
            <v>1075</v>
          </cell>
          <cell r="L3857">
            <v>2.86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2.9363449691991788</v>
          </cell>
          <cell r="S3857">
            <v>2.6604651162790698</v>
          </cell>
        </row>
        <row r="3858">
          <cell r="A3858" t="str">
            <v>Y056-010</v>
          </cell>
          <cell r="B3858" t="str">
            <v>LMH-05</v>
          </cell>
          <cell r="C3858" t="str">
            <v>Y056</v>
          </cell>
          <cell r="D3858" t="str">
            <v>72325-55</v>
          </cell>
          <cell r="E3858" t="str">
            <v>床尾柱饰花 LMH-05</v>
          </cell>
          <cell r="F3858" t="str">
            <v>2150*114*8</v>
          </cell>
          <cell r="G3858">
            <v>2150</v>
          </cell>
          <cell r="H3858">
            <v>114</v>
          </cell>
          <cell r="I3858">
            <v>8</v>
          </cell>
          <cell r="J3858">
            <v>1783</v>
          </cell>
          <cell r="K3858">
            <v>1840</v>
          </cell>
          <cell r="L3858">
            <v>4.9000000000000004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2.7481772293886713</v>
          </cell>
          <cell r="S3858">
            <v>2.6630434782608696</v>
          </cell>
        </row>
        <row r="3859">
          <cell r="A3859" t="str">
            <v>Y056-011</v>
          </cell>
          <cell r="B3859" t="str">
            <v>CTG-001</v>
          </cell>
          <cell r="C3859" t="str">
            <v>Y056</v>
          </cell>
          <cell r="D3859" t="str">
            <v>72040-55 小床头柜</v>
          </cell>
          <cell r="E3859" t="str">
            <v>企柱上饰块 CTG-001</v>
          </cell>
          <cell r="F3859" t="str">
            <v>124*92*103</v>
          </cell>
          <cell r="G3859">
            <v>124</v>
          </cell>
          <cell r="H3859">
            <v>92</v>
          </cell>
          <cell r="I3859">
            <v>103</v>
          </cell>
          <cell r="J3859">
            <v>501</v>
          </cell>
          <cell r="K3859">
            <v>0</v>
          </cell>
          <cell r="L3859">
            <v>1.41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2.8143712574850297</v>
          </cell>
          <cell r="S3859">
            <v>0</v>
          </cell>
        </row>
        <row r="3860">
          <cell r="A3860" t="str">
            <v>Y056-012</v>
          </cell>
          <cell r="B3860" t="str">
            <v>CTG-002</v>
          </cell>
          <cell r="C3860" t="str">
            <v>Y056</v>
          </cell>
          <cell r="D3860" t="str">
            <v>72040-55 小床头柜</v>
          </cell>
          <cell r="E3860" t="str">
            <v>企柱下饰块 CTG-002</v>
          </cell>
          <cell r="F3860" t="str">
            <v>120*103*64</v>
          </cell>
          <cell r="G3860">
            <v>120</v>
          </cell>
          <cell r="H3860">
            <v>103</v>
          </cell>
          <cell r="I3860">
            <v>64</v>
          </cell>
          <cell r="J3860">
            <v>454</v>
          </cell>
          <cell r="K3860">
            <v>0</v>
          </cell>
          <cell r="L3860">
            <v>1.27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2.7973568281938324</v>
          </cell>
          <cell r="S3860">
            <v>0</v>
          </cell>
        </row>
        <row r="3861">
          <cell r="A3861" t="str">
            <v>Y056-013</v>
          </cell>
          <cell r="B3861" t="str">
            <v>CTG-003-1</v>
          </cell>
          <cell r="C3861" t="str">
            <v>Y056</v>
          </cell>
          <cell r="D3861" t="str">
            <v>72040-55 小床头柜</v>
          </cell>
          <cell r="E3861" t="str">
            <v>企柱中饰花 1 CTG-003-1</v>
          </cell>
          <cell r="F3861" t="str">
            <v>280*80*8</v>
          </cell>
          <cell r="G3861">
            <v>280</v>
          </cell>
          <cell r="H3861">
            <v>80</v>
          </cell>
          <cell r="I3861">
            <v>8</v>
          </cell>
          <cell r="J3861">
            <v>148</v>
          </cell>
          <cell r="K3861">
            <v>0</v>
          </cell>
          <cell r="L3861">
            <v>0.43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2.9054054054054057</v>
          </cell>
          <cell r="S3861">
            <v>0</v>
          </cell>
        </row>
        <row r="3862">
          <cell r="A3862" t="str">
            <v>Y056-014</v>
          </cell>
          <cell r="B3862" t="str">
            <v>CTG-003-2</v>
          </cell>
          <cell r="C3862" t="str">
            <v>Y056</v>
          </cell>
          <cell r="D3862" t="str">
            <v>72040-55 小床头柜</v>
          </cell>
          <cell r="E3862" t="str">
            <v>企柱中饰花 2  CTG-003-2</v>
          </cell>
          <cell r="F3862" t="str">
            <v>280*80*8</v>
          </cell>
          <cell r="G3862">
            <v>280</v>
          </cell>
          <cell r="H3862">
            <v>80</v>
          </cell>
          <cell r="I3862">
            <v>8</v>
          </cell>
          <cell r="J3862">
            <v>148</v>
          </cell>
          <cell r="K3862">
            <v>0</v>
          </cell>
          <cell r="L3862">
            <v>0.43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2.9054054054054057</v>
          </cell>
          <cell r="S3862">
            <v>0</v>
          </cell>
        </row>
        <row r="3863">
          <cell r="A3863" t="str">
            <v>Y056-015</v>
          </cell>
          <cell r="B3863" t="str">
            <v>CTG-004L</v>
          </cell>
          <cell r="C3863" t="str">
            <v>Y056</v>
          </cell>
          <cell r="D3863" t="str">
            <v>72040-55 小床头柜</v>
          </cell>
          <cell r="E3863" t="str">
            <v>企柱左上转角  CTG-004L</v>
          </cell>
          <cell r="F3863" t="str">
            <v>190*176*120</v>
          </cell>
          <cell r="G3863">
            <v>190</v>
          </cell>
          <cell r="H3863">
            <v>176</v>
          </cell>
          <cell r="I3863">
            <v>120</v>
          </cell>
          <cell r="J3863">
            <v>1631</v>
          </cell>
          <cell r="K3863">
            <v>0</v>
          </cell>
          <cell r="L3863">
            <v>4.3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2.6364193746167994</v>
          </cell>
          <cell r="S3863">
            <v>0</v>
          </cell>
        </row>
        <row r="3864">
          <cell r="A3864" t="str">
            <v>Y056-016</v>
          </cell>
          <cell r="B3864" t="str">
            <v>CTG-005R</v>
          </cell>
          <cell r="C3864" t="str">
            <v>Y056</v>
          </cell>
          <cell r="D3864" t="str">
            <v>72040-55 小床头柜</v>
          </cell>
          <cell r="E3864" t="str">
            <v>企柱右上转角   CTG-005R</v>
          </cell>
          <cell r="F3864" t="str">
            <v>190*176*120</v>
          </cell>
          <cell r="G3864">
            <v>190</v>
          </cell>
          <cell r="H3864">
            <v>176</v>
          </cell>
          <cell r="I3864">
            <v>120</v>
          </cell>
          <cell r="J3864">
            <v>1631</v>
          </cell>
          <cell r="K3864">
            <v>0</v>
          </cell>
          <cell r="L3864">
            <v>4.3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2.6364193746167994</v>
          </cell>
          <cell r="S3864">
            <v>0</v>
          </cell>
        </row>
        <row r="3865">
          <cell r="A3865" t="str">
            <v>Y056-017</v>
          </cell>
          <cell r="B3865" t="str">
            <v>CTG-010</v>
          </cell>
          <cell r="C3865" t="str">
            <v>Y056</v>
          </cell>
          <cell r="D3865" t="str">
            <v>72040-55 小床头柜</v>
          </cell>
          <cell r="E3865" t="str">
            <v>側板上饰条      CTG-010</v>
          </cell>
          <cell r="F3865" t="str">
            <v>750*6*4</v>
          </cell>
          <cell r="G3865">
            <v>750</v>
          </cell>
          <cell r="H3865">
            <v>6</v>
          </cell>
          <cell r="I3865" t="str">
            <v>4MM</v>
          </cell>
          <cell r="J3865">
            <v>31</v>
          </cell>
          <cell r="K3865">
            <v>0</v>
          </cell>
          <cell r="L3865">
            <v>0.09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2.903225806451613</v>
          </cell>
          <cell r="S3865">
            <v>0</v>
          </cell>
        </row>
        <row r="3866">
          <cell r="A3866" t="str">
            <v>Y056-018</v>
          </cell>
          <cell r="B3866" t="str">
            <v>CTG-006(同ZT-016)</v>
          </cell>
          <cell r="C3866" t="str">
            <v>Y056</v>
          </cell>
          <cell r="D3866" t="str">
            <v>72040-55 小床头柜</v>
          </cell>
          <cell r="E3866" t="str">
            <v xml:space="preserve">门板外饰条 </v>
          </cell>
          <cell r="F3866" t="str">
            <v>1050*31*12</v>
          </cell>
          <cell r="G3866">
            <v>1050</v>
          </cell>
          <cell r="H3866">
            <v>31</v>
          </cell>
          <cell r="I3866" t="str">
            <v>12MM</v>
          </cell>
          <cell r="J3866">
            <v>465</v>
          </cell>
          <cell r="K3866">
            <v>0</v>
          </cell>
          <cell r="L3866">
            <v>1.31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2.817204301075269</v>
          </cell>
          <cell r="S3866">
            <v>0</v>
          </cell>
        </row>
        <row r="3867">
          <cell r="A3867" t="str">
            <v>Y056-019</v>
          </cell>
          <cell r="B3867" t="str">
            <v>CTG-007 (同ZT-020)</v>
          </cell>
          <cell r="C3867" t="str">
            <v>Y056</v>
          </cell>
          <cell r="D3867" t="str">
            <v>72040-55 小床头柜</v>
          </cell>
          <cell r="E3867" t="str">
            <v xml:space="preserve">门板内饰条 </v>
          </cell>
          <cell r="F3867" t="str">
            <v>1350*12*7</v>
          </cell>
          <cell r="G3867">
            <v>1350</v>
          </cell>
          <cell r="H3867">
            <v>12</v>
          </cell>
          <cell r="I3867" t="str">
            <v>7MM</v>
          </cell>
          <cell r="J3867">
            <v>170</v>
          </cell>
          <cell r="K3867">
            <v>0</v>
          </cell>
          <cell r="L3867">
            <v>0.5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2.9411764705882351</v>
          </cell>
          <cell r="S3867">
            <v>0</v>
          </cell>
        </row>
        <row r="3868">
          <cell r="A3868" t="str">
            <v>Y056-020</v>
          </cell>
          <cell r="B3868" t="str">
            <v>CTG-008 (同ZT-004)</v>
          </cell>
          <cell r="C3868" t="str">
            <v>Y056</v>
          </cell>
          <cell r="D3868" t="str">
            <v>72040-55 小床头柜</v>
          </cell>
          <cell r="E3868" t="str">
            <v>前侧下饰条  CTG-008 (同ZT-004)</v>
          </cell>
          <cell r="F3868" t="str">
            <v>1400*32*15</v>
          </cell>
          <cell r="G3868">
            <v>1400</v>
          </cell>
          <cell r="H3868">
            <v>32</v>
          </cell>
          <cell r="I3868" t="str">
            <v>15MM</v>
          </cell>
          <cell r="J3868">
            <v>810</v>
          </cell>
          <cell r="K3868">
            <v>0</v>
          </cell>
          <cell r="L3868">
            <v>2.27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2.8024691358024691</v>
          </cell>
          <cell r="S3868">
            <v>0</v>
          </cell>
        </row>
        <row r="3869">
          <cell r="A3869" t="str">
            <v>Y056-021</v>
          </cell>
          <cell r="B3869" t="str">
            <v>CTG-009 (同ZT-027)</v>
          </cell>
          <cell r="C3869" t="str">
            <v>Y056</v>
          </cell>
          <cell r="D3869" t="str">
            <v>72040-55 小床头柜</v>
          </cell>
          <cell r="E3869" t="str">
            <v xml:space="preserve">前侧下饰花  </v>
          </cell>
          <cell r="F3869" t="str">
            <v>1400*68*13</v>
          </cell>
          <cell r="G3869">
            <v>1400</v>
          </cell>
          <cell r="H3869">
            <v>68</v>
          </cell>
          <cell r="I3869" t="str">
            <v>13MM</v>
          </cell>
          <cell r="J3869">
            <v>1290</v>
          </cell>
          <cell r="K3869">
            <v>0</v>
          </cell>
          <cell r="L3869">
            <v>3.5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2.7131782945736433</v>
          </cell>
          <cell r="S3869">
            <v>0</v>
          </cell>
        </row>
        <row r="3870">
          <cell r="A3870" t="str">
            <v>Y056-022</v>
          </cell>
          <cell r="B3870" t="str">
            <v>CTG-011 (同ZT-015)</v>
          </cell>
          <cell r="C3870" t="str">
            <v>Y056</v>
          </cell>
          <cell r="D3870" t="str">
            <v>72040-55 小床头柜</v>
          </cell>
          <cell r="E3870" t="str">
            <v>抽面外饰条  CTG-011 (同ZT-015)</v>
          </cell>
          <cell r="F3870" t="str">
            <v>1500*12*6</v>
          </cell>
          <cell r="G3870">
            <v>1500</v>
          </cell>
          <cell r="H3870">
            <v>12</v>
          </cell>
          <cell r="I3870" t="str">
            <v>6MM</v>
          </cell>
          <cell r="J3870">
            <v>152</v>
          </cell>
          <cell r="K3870">
            <v>0</v>
          </cell>
          <cell r="L3870">
            <v>0.43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2.8289473684210527</v>
          </cell>
          <cell r="S3870">
            <v>0</v>
          </cell>
        </row>
        <row r="3871">
          <cell r="A3871" t="str">
            <v>Y056-023</v>
          </cell>
          <cell r="B3871" t="str">
            <v>侧板上中饰条 CTG-012 (同ZT-017)</v>
          </cell>
          <cell r="C3871" t="str">
            <v>Y056</v>
          </cell>
          <cell r="D3871" t="str">
            <v>72040-55 小床头柜</v>
          </cell>
          <cell r="E3871" t="str">
            <v>侧板上中饰条 CTG-012 (同ZT-017)</v>
          </cell>
          <cell r="F3871" t="str">
            <v>720*31*20</v>
          </cell>
          <cell r="G3871">
            <v>720</v>
          </cell>
          <cell r="H3871">
            <v>31</v>
          </cell>
          <cell r="I3871" t="str">
            <v>20MM</v>
          </cell>
          <cell r="J3871">
            <v>505</v>
          </cell>
          <cell r="K3871">
            <v>0</v>
          </cell>
          <cell r="L3871">
            <v>1.47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2.9108910891089108</v>
          </cell>
          <cell r="S3871">
            <v>0</v>
          </cell>
        </row>
        <row r="3872">
          <cell r="A3872" t="str">
            <v>Y056-024</v>
          </cell>
          <cell r="B3872" t="str">
            <v>ZJ-005</v>
          </cell>
          <cell r="C3872" t="str">
            <v>Y056</v>
          </cell>
          <cell r="D3872" t="str">
            <v>72060-55 妆镜</v>
          </cell>
          <cell r="E3872" t="str">
            <v>顶饰块 ZJ-005</v>
          </cell>
          <cell r="F3872" t="str">
            <v>75*55*20</v>
          </cell>
          <cell r="G3872">
            <v>75</v>
          </cell>
          <cell r="H3872">
            <v>55</v>
          </cell>
          <cell r="I3872">
            <v>20</v>
          </cell>
          <cell r="J3872">
            <v>53</v>
          </cell>
          <cell r="K3872">
            <v>0</v>
          </cell>
          <cell r="L3872">
            <v>0.16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3.0188679245283021</v>
          </cell>
          <cell r="S3872">
            <v>0</v>
          </cell>
        </row>
        <row r="3873">
          <cell r="A3873" t="str">
            <v>Y056-025</v>
          </cell>
          <cell r="B3873" t="str">
            <v>ZJ-006</v>
          </cell>
          <cell r="C3873" t="str">
            <v>Y056</v>
          </cell>
          <cell r="D3873" t="str">
            <v>72060-55 妆镜</v>
          </cell>
          <cell r="E3873" t="str">
            <v>上下饰条 ZJ-006</v>
          </cell>
          <cell r="F3873" t="str">
            <v>2000*25*8</v>
          </cell>
          <cell r="G3873">
            <v>2000</v>
          </cell>
          <cell r="H3873">
            <v>25</v>
          </cell>
          <cell r="I3873" t="str">
            <v>8MM</v>
          </cell>
          <cell r="J3873">
            <v>480</v>
          </cell>
          <cell r="K3873">
            <v>0</v>
          </cell>
          <cell r="L3873">
            <v>1.35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2.8125000000000004</v>
          </cell>
          <cell r="S3873">
            <v>0</v>
          </cell>
        </row>
        <row r="3874">
          <cell r="A3874" t="str">
            <v>Y056-026</v>
          </cell>
          <cell r="B3874" t="str">
            <v>ZJ-007</v>
          </cell>
          <cell r="C3874" t="str">
            <v>Y056</v>
          </cell>
          <cell r="D3874" t="str">
            <v>72050-55 妆台</v>
          </cell>
          <cell r="E3874" t="str">
            <v>饰柱线圈 ZJ-007</v>
          </cell>
          <cell r="F3874" t="str">
            <v>170*8*7</v>
          </cell>
          <cell r="G3874">
            <v>170</v>
          </cell>
          <cell r="H3874">
            <v>8</v>
          </cell>
          <cell r="I3874">
            <v>7</v>
          </cell>
          <cell r="J3874">
            <v>18</v>
          </cell>
          <cell r="K3874">
            <v>0</v>
          </cell>
          <cell r="L3874">
            <v>0.06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3.3333333333333335</v>
          </cell>
          <cell r="S3874">
            <v>0</v>
          </cell>
        </row>
        <row r="3875">
          <cell r="A3875" t="str">
            <v>Y056-027</v>
          </cell>
          <cell r="B3875" t="str">
            <v>ZT-001</v>
          </cell>
          <cell r="C3875" t="str">
            <v>Y056</v>
          </cell>
          <cell r="D3875" t="str">
            <v>72050-55 妆台</v>
          </cell>
          <cell r="E3875" t="str">
            <v>暗抽面上饰花 ZT-001</v>
          </cell>
          <cell r="F3875" t="str">
            <v>132*69*43</v>
          </cell>
          <cell r="G3875">
            <v>132</v>
          </cell>
          <cell r="H3875">
            <v>69</v>
          </cell>
          <cell r="I3875">
            <v>43</v>
          </cell>
          <cell r="J3875">
            <v>170</v>
          </cell>
          <cell r="K3875">
            <v>0</v>
          </cell>
          <cell r="L3875">
            <v>0.5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2.9411764705882351</v>
          </cell>
          <cell r="S3875">
            <v>0</v>
          </cell>
        </row>
        <row r="3876">
          <cell r="A3876" t="str">
            <v>Y056-028</v>
          </cell>
          <cell r="B3876" t="str">
            <v>ZT-004</v>
          </cell>
          <cell r="C3876" t="str">
            <v>Y056</v>
          </cell>
          <cell r="D3876" t="str">
            <v>72050-55 妆台</v>
          </cell>
          <cell r="E3876" t="str">
            <v>前侧下饰条 ZT-004</v>
          </cell>
          <cell r="F3876" t="str">
            <v>2300*32*15</v>
          </cell>
          <cell r="G3876">
            <v>2300</v>
          </cell>
          <cell r="H3876">
            <v>32</v>
          </cell>
          <cell r="I3876" t="str">
            <v>15MM</v>
          </cell>
          <cell r="J3876">
            <v>1325</v>
          </cell>
          <cell r="K3876">
            <v>0</v>
          </cell>
          <cell r="L3876">
            <v>3.6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2.716981132075472</v>
          </cell>
          <cell r="S3876">
            <v>0</v>
          </cell>
        </row>
        <row r="3877">
          <cell r="A3877" t="str">
            <v>Y056-029</v>
          </cell>
          <cell r="B3877" t="str">
            <v>ZT-005</v>
          </cell>
          <cell r="C3877" t="str">
            <v>Y056</v>
          </cell>
          <cell r="D3877" t="str">
            <v>72050-55 妆台</v>
          </cell>
          <cell r="E3877" t="str">
            <v>前企柱上饰块 ZT-005</v>
          </cell>
          <cell r="F3877" t="str">
            <v>100*120*120</v>
          </cell>
          <cell r="G3877">
            <v>100</v>
          </cell>
          <cell r="H3877">
            <v>120</v>
          </cell>
          <cell r="I3877">
            <v>120</v>
          </cell>
          <cell r="J3877">
            <v>450</v>
          </cell>
          <cell r="K3877">
            <v>0</v>
          </cell>
          <cell r="L3877">
            <v>1.26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2.8</v>
          </cell>
          <cell r="S3877">
            <v>0</v>
          </cell>
        </row>
        <row r="3878">
          <cell r="A3878" t="str">
            <v>Y056-030</v>
          </cell>
          <cell r="B3878" t="str">
            <v>ZT-006</v>
          </cell>
          <cell r="C3878" t="str">
            <v>Y056</v>
          </cell>
          <cell r="D3878" t="str">
            <v>72050-55 妆台</v>
          </cell>
          <cell r="E3878" t="str">
            <v>前企柱下饰块 ZT-006</v>
          </cell>
          <cell r="F3878" t="str">
            <v>130*100*100</v>
          </cell>
          <cell r="G3878">
            <v>130</v>
          </cell>
          <cell r="H3878">
            <v>100</v>
          </cell>
          <cell r="I3878">
            <v>100</v>
          </cell>
          <cell r="J3878">
            <v>522</v>
          </cell>
          <cell r="K3878">
            <v>0</v>
          </cell>
          <cell r="L3878">
            <v>1.47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2.8160919540229883</v>
          </cell>
          <cell r="S3878">
            <v>0</v>
          </cell>
        </row>
        <row r="3879">
          <cell r="A3879" t="str">
            <v>Y056-031</v>
          </cell>
          <cell r="B3879" t="str">
            <v>ZT-007L</v>
          </cell>
          <cell r="C3879" t="str">
            <v>Y056</v>
          </cell>
          <cell r="D3879" t="str">
            <v>72050-55 妆台</v>
          </cell>
          <cell r="E3879" t="str">
            <v>側板上饰柜 （左） ZT-007L</v>
          </cell>
          <cell r="F3879" t="str">
            <v>256*85*65</v>
          </cell>
          <cell r="G3879">
            <v>256</v>
          </cell>
          <cell r="H3879">
            <v>85</v>
          </cell>
          <cell r="I3879">
            <v>65</v>
          </cell>
          <cell r="J3879">
            <v>42</v>
          </cell>
          <cell r="K3879">
            <v>0</v>
          </cell>
          <cell r="L3879">
            <v>0.13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3.0952380952380953</v>
          </cell>
          <cell r="S3879">
            <v>0</v>
          </cell>
        </row>
        <row r="3880">
          <cell r="A3880" t="str">
            <v>Y056-032</v>
          </cell>
          <cell r="B3880" t="str">
            <v>ZT-008R</v>
          </cell>
          <cell r="C3880" t="str">
            <v>Y056</v>
          </cell>
          <cell r="D3880" t="str">
            <v>72050-55 妆台</v>
          </cell>
          <cell r="E3880" t="str">
            <v>側板上饰柜 （右）ZT-008R</v>
          </cell>
          <cell r="F3880" t="str">
            <v>256*85*65</v>
          </cell>
          <cell r="G3880">
            <v>256</v>
          </cell>
          <cell r="H3880">
            <v>85</v>
          </cell>
          <cell r="I3880">
            <v>65</v>
          </cell>
          <cell r="J3880">
            <v>42</v>
          </cell>
          <cell r="K3880">
            <v>0</v>
          </cell>
          <cell r="L3880">
            <v>0.13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3.0952380952380953</v>
          </cell>
          <cell r="S3880">
            <v>0</v>
          </cell>
        </row>
        <row r="3881">
          <cell r="A3881" t="str">
            <v>Y056-033</v>
          </cell>
          <cell r="B3881" t="str">
            <v>ZT-009</v>
          </cell>
          <cell r="C3881" t="str">
            <v>Y056</v>
          </cell>
          <cell r="D3881" t="str">
            <v>72050-55 妆台</v>
          </cell>
          <cell r="E3881" t="str">
            <v>上侧抽面饰框  ZT-009</v>
          </cell>
          <cell r="F3881" t="str">
            <v>300*60*8</v>
          </cell>
          <cell r="G3881">
            <v>300</v>
          </cell>
          <cell r="H3881">
            <v>60</v>
          </cell>
          <cell r="I3881">
            <v>8</v>
          </cell>
          <cell r="J3881">
            <v>47</v>
          </cell>
          <cell r="K3881">
            <v>0</v>
          </cell>
          <cell r="L3881">
            <v>0.14000000000000001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2.9787234042553195</v>
          </cell>
          <cell r="S3881">
            <v>0</v>
          </cell>
        </row>
        <row r="3882">
          <cell r="A3882" t="str">
            <v>Y056-034</v>
          </cell>
          <cell r="B3882" t="str">
            <v>ZT-010</v>
          </cell>
          <cell r="C3882" t="str">
            <v>Y056</v>
          </cell>
          <cell r="D3882" t="str">
            <v>72050-55 妆台</v>
          </cell>
          <cell r="E3882" t="str">
            <v>中侧抽面饰框 ZT-010</v>
          </cell>
          <cell r="F3882" t="str">
            <v>324*10.6*9</v>
          </cell>
          <cell r="G3882">
            <v>324</v>
          </cell>
          <cell r="H3882">
            <v>10.6</v>
          </cell>
          <cell r="I3882">
            <v>9</v>
          </cell>
          <cell r="J3882">
            <v>118</v>
          </cell>
          <cell r="K3882">
            <v>0</v>
          </cell>
          <cell r="L3882">
            <v>0.34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2.8813559322033901</v>
          </cell>
          <cell r="S3882">
            <v>0</v>
          </cell>
        </row>
        <row r="3883">
          <cell r="A3883" t="str">
            <v>Y056-035</v>
          </cell>
          <cell r="B3883" t="str">
            <v>ZT-011</v>
          </cell>
          <cell r="C3883" t="str">
            <v>Y056</v>
          </cell>
          <cell r="D3883" t="str">
            <v>72050-55 妆台</v>
          </cell>
          <cell r="E3883" t="str">
            <v>中下侧抽面饰框 ZT-011</v>
          </cell>
          <cell r="F3883" t="str">
            <v>323*138*9.5</v>
          </cell>
          <cell r="G3883">
            <v>323</v>
          </cell>
          <cell r="H3883">
            <v>138</v>
          </cell>
          <cell r="I3883">
            <v>9.5</v>
          </cell>
          <cell r="J3883">
            <v>120</v>
          </cell>
          <cell r="K3883">
            <v>0</v>
          </cell>
          <cell r="L3883">
            <v>0.35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2.9166666666666665</v>
          </cell>
          <cell r="S3883">
            <v>0</v>
          </cell>
        </row>
        <row r="3884">
          <cell r="A3884" t="str">
            <v>Y056-036</v>
          </cell>
          <cell r="B3884" t="str">
            <v>ZT-012</v>
          </cell>
          <cell r="C3884" t="str">
            <v>Y056</v>
          </cell>
          <cell r="D3884" t="str">
            <v>72050-55 妆台</v>
          </cell>
          <cell r="E3884" t="str">
            <v>中上侧抽面饰框 ZT-012</v>
          </cell>
          <cell r="F3884" t="str">
            <v>478*67*8</v>
          </cell>
          <cell r="G3884">
            <v>478</v>
          </cell>
          <cell r="H3884">
            <v>67</v>
          </cell>
          <cell r="I3884">
            <v>8</v>
          </cell>
          <cell r="J3884">
            <v>68</v>
          </cell>
          <cell r="K3884">
            <v>0</v>
          </cell>
          <cell r="L3884">
            <v>0.21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3.0882352941176467</v>
          </cell>
          <cell r="S3884">
            <v>0</v>
          </cell>
        </row>
        <row r="3885">
          <cell r="A3885" t="str">
            <v>Y056-037</v>
          </cell>
          <cell r="B3885" t="str">
            <v>ZT-014-1</v>
          </cell>
          <cell r="C3885" t="str">
            <v>Y056</v>
          </cell>
          <cell r="D3885" t="str">
            <v>72050-55 妆台</v>
          </cell>
          <cell r="E3885" t="str">
            <v>前企柱中饰花1  ZT-014-1</v>
          </cell>
          <cell r="F3885" t="str">
            <v>315*80*8</v>
          </cell>
          <cell r="G3885">
            <v>315</v>
          </cell>
          <cell r="H3885">
            <v>80</v>
          </cell>
          <cell r="I3885">
            <v>8</v>
          </cell>
          <cell r="J3885">
            <v>153</v>
          </cell>
          <cell r="K3885">
            <v>0</v>
          </cell>
          <cell r="L3885">
            <v>0.45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2.9411764705882355</v>
          </cell>
          <cell r="S3885">
            <v>0</v>
          </cell>
        </row>
        <row r="3886">
          <cell r="A3886" t="str">
            <v>Y056-038</v>
          </cell>
          <cell r="B3886" t="str">
            <v>ZT-014-2</v>
          </cell>
          <cell r="C3886" t="str">
            <v>Y056</v>
          </cell>
          <cell r="D3886" t="str">
            <v>72050-55 妆台</v>
          </cell>
          <cell r="E3886" t="str">
            <v>前企柱中饰花2 ZT-014-2</v>
          </cell>
          <cell r="F3886" t="str">
            <v>350*80*8</v>
          </cell>
          <cell r="G3886">
            <v>350</v>
          </cell>
          <cell r="H3886">
            <v>80</v>
          </cell>
          <cell r="I3886">
            <v>8</v>
          </cell>
          <cell r="J3886">
            <v>157</v>
          </cell>
          <cell r="K3886">
            <v>0</v>
          </cell>
          <cell r="L3886">
            <v>0.46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2.9299363057324843</v>
          </cell>
          <cell r="S3886">
            <v>0</v>
          </cell>
        </row>
        <row r="3887">
          <cell r="A3887" t="str">
            <v>Y056-039</v>
          </cell>
          <cell r="B3887" t="str">
            <v>ZT-014-3</v>
          </cell>
          <cell r="C3887" t="str">
            <v>Y056</v>
          </cell>
          <cell r="D3887" t="str">
            <v>72050-55 妆台</v>
          </cell>
          <cell r="E3887" t="str">
            <v>前企柱中饰花3  ZT-014-3</v>
          </cell>
          <cell r="F3887" t="str">
            <v>350*80*8</v>
          </cell>
          <cell r="G3887">
            <v>350</v>
          </cell>
          <cell r="H3887">
            <v>80</v>
          </cell>
          <cell r="I3887">
            <v>8</v>
          </cell>
          <cell r="J3887">
            <v>157</v>
          </cell>
          <cell r="K3887">
            <v>0</v>
          </cell>
          <cell r="L3887">
            <v>0.46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2.9299363057324843</v>
          </cell>
          <cell r="S3887">
            <v>0</v>
          </cell>
        </row>
        <row r="3888">
          <cell r="A3888" t="str">
            <v>Y056-040</v>
          </cell>
          <cell r="B3888" t="str">
            <v>ZT-014-4</v>
          </cell>
          <cell r="C3888" t="str">
            <v>Y056</v>
          </cell>
          <cell r="D3888" t="str">
            <v>72050-55 妆台</v>
          </cell>
          <cell r="E3888" t="str">
            <v>前企柱中饰花4  ZT-014-4</v>
          </cell>
          <cell r="F3888" t="str">
            <v>315*80*8</v>
          </cell>
          <cell r="G3888">
            <v>315</v>
          </cell>
          <cell r="H3888">
            <v>80</v>
          </cell>
          <cell r="I3888">
            <v>8</v>
          </cell>
          <cell r="J3888">
            <v>153</v>
          </cell>
          <cell r="K3888">
            <v>0</v>
          </cell>
          <cell r="L3888">
            <v>0.45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2.9411764705882355</v>
          </cell>
          <cell r="S3888">
            <v>0</v>
          </cell>
        </row>
        <row r="3889">
          <cell r="A3889" t="str">
            <v>Y056-041</v>
          </cell>
          <cell r="B3889" t="str">
            <v>ZT-015</v>
          </cell>
          <cell r="C3889" t="str">
            <v>Y056</v>
          </cell>
          <cell r="D3889" t="str">
            <v>72050-55 妆台</v>
          </cell>
          <cell r="E3889" t="str">
            <v>抽面外饰条  ZT-015</v>
          </cell>
          <cell r="F3889" t="str">
            <v>1200*12*6MM</v>
          </cell>
          <cell r="G3889">
            <v>1200</v>
          </cell>
          <cell r="H3889">
            <v>12</v>
          </cell>
          <cell r="I3889" t="str">
            <v>6MM</v>
          </cell>
          <cell r="J3889">
            <v>120</v>
          </cell>
          <cell r="K3889">
            <v>0</v>
          </cell>
          <cell r="L3889">
            <v>0.34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2.8333333333333335</v>
          </cell>
          <cell r="S3889">
            <v>0</v>
          </cell>
        </row>
        <row r="3890">
          <cell r="A3890" t="str">
            <v>Y056-042</v>
          </cell>
          <cell r="B3890" t="str">
            <v>ZT-016</v>
          </cell>
          <cell r="C3890" t="str">
            <v>Y056</v>
          </cell>
          <cell r="D3890" t="str">
            <v>72050-55 妆台</v>
          </cell>
          <cell r="E3890" t="str">
            <v>门板外饰条  ZT-016</v>
          </cell>
          <cell r="F3890" t="str">
            <v>1500*31*12MM</v>
          </cell>
          <cell r="G3890">
            <v>1500</v>
          </cell>
          <cell r="H3890">
            <v>31</v>
          </cell>
          <cell r="I3890" t="str">
            <v>12MM</v>
          </cell>
          <cell r="J3890">
            <v>660</v>
          </cell>
          <cell r="K3890">
            <v>0</v>
          </cell>
          <cell r="L3890">
            <v>1.85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2.8030303030303032</v>
          </cell>
          <cell r="S3890">
            <v>0</v>
          </cell>
        </row>
        <row r="3891">
          <cell r="A3891" t="str">
            <v>Y056-043</v>
          </cell>
          <cell r="B3891" t="str">
            <v>ZT-017</v>
          </cell>
          <cell r="C3891" t="str">
            <v>Y056</v>
          </cell>
          <cell r="D3891" t="str">
            <v>72050-55 妆台</v>
          </cell>
          <cell r="E3891" t="str">
            <v>侧板中上饰条  ZT-017</v>
          </cell>
          <cell r="F3891" t="str">
            <v>720*31*20MM</v>
          </cell>
          <cell r="G3891">
            <v>720</v>
          </cell>
          <cell r="H3891">
            <v>31</v>
          </cell>
          <cell r="I3891" t="str">
            <v>20MM</v>
          </cell>
          <cell r="J3891">
            <v>505</v>
          </cell>
          <cell r="K3891">
            <v>0</v>
          </cell>
          <cell r="L3891">
            <v>1.47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2.9108910891089108</v>
          </cell>
          <cell r="S3891">
            <v>0</v>
          </cell>
        </row>
        <row r="3892">
          <cell r="A3892" t="str">
            <v>Y056-044</v>
          </cell>
          <cell r="B3892" t="str">
            <v>ZT-018L</v>
          </cell>
          <cell r="C3892" t="str">
            <v>Y056</v>
          </cell>
          <cell r="D3892" t="str">
            <v>72050-55 妆台</v>
          </cell>
          <cell r="E3892" t="str">
            <v>左上转角 ZT-018L</v>
          </cell>
          <cell r="F3892" t="str">
            <v>190*173*142</v>
          </cell>
          <cell r="G3892">
            <v>190</v>
          </cell>
          <cell r="H3892">
            <v>173</v>
          </cell>
          <cell r="I3892">
            <v>142</v>
          </cell>
          <cell r="J3892">
            <v>1539</v>
          </cell>
          <cell r="K3892">
            <v>0</v>
          </cell>
          <cell r="L3892">
            <v>4.2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2.7290448343079925</v>
          </cell>
          <cell r="S3892">
            <v>0</v>
          </cell>
        </row>
        <row r="3893">
          <cell r="A3893" t="str">
            <v>Y056-045</v>
          </cell>
          <cell r="B3893" t="str">
            <v>ZT-019R</v>
          </cell>
          <cell r="C3893" t="str">
            <v>Y056</v>
          </cell>
          <cell r="D3893" t="str">
            <v>72050-55 妆台</v>
          </cell>
          <cell r="E3893" t="str">
            <v>右上转角  ZT-019R</v>
          </cell>
          <cell r="F3893" t="str">
            <v>190*173*142</v>
          </cell>
          <cell r="G3893">
            <v>190</v>
          </cell>
          <cell r="H3893">
            <v>173</v>
          </cell>
          <cell r="I3893">
            <v>142</v>
          </cell>
          <cell r="J3893">
            <v>1539</v>
          </cell>
          <cell r="K3893">
            <v>0</v>
          </cell>
          <cell r="L3893">
            <v>4.2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2.7290448343079925</v>
          </cell>
          <cell r="S3893">
            <v>0</v>
          </cell>
        </row>
        <row r="3894">
          <cell r="A3894" t="str">
            <v>Y056-046</v>
          </cell>
          <cell r="B3894" t="str">
            <v>ZT-020</v>
          </cell>
          <cell r="C3894" t="str">
            <v>Y056</v>
          </cell>
          <cell r="D3894" t="str">
            <v>72050-55 妆台</v>
          </cell>
          <cell r="E3894" t="str">
            <v>侧板中饰条  ZT-020</v>
          </cell>
          <cell r="F3894" t="str">
            <v>530*12*7</v>
          </cell>
          <cell r="G3894">
            <v>530</v>
          </cell>
          <cell r="H3894">
            <v>12</v>
          </cell>
          <cell r="I3894">
            <v>7</v>
          </cell>
          <cell r="J3894">
            <v>65</v>
          </cell>
          <cell r="K3894">
            <v>0</v>
          </cell>
          <cell r="L3894">
            <v>0.2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3.0769230769230771</v>
          </cell>
          <cell r="S3894">
            <v>0</v>
          </cell>
        </row>
        <row r="3895">
          <cell r="A3895" t="str">
            <v>Y056-047</v>
          </cell>
          <cell r="B3895" t="str">
            <v>ZT-021</v>
          </cell>
          <cell r="C3895" t="str">
            <v>Y056</v>
          </cell>
          <cell r="D3895" t="str">
            <v>72050-55 妆台</v>
          </cell>
          <cell r="E3895" t="str">
            <v>左上中转角  ZT-021</v>
          </cell>
          <cell r="F3895" t="str">
            <v>195*110*85</v>
          </cell>
          <cell r="G3895">
            <v>195</v>
          </cell>
          <cell r="H3895">
            <v>110</v>
          </cell>
          <cell r="I3895">
            <v>85</v>
          </cell>
          <cell r="J3895">
            <v>803</v>
          </cell>
          <cell r="K3895">
            <v>0</v>
          </cell>
          <cell r="L3895">
            <v>2.25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2.8019925280199249</v>
          </cell>
          <cell r="S3895">
            <v>0</v>
          </cell>
        </row>
        <row r="3896">
          <cell r="A3896" t="str">
            <v>Y056-048</v>
          </cell>
          <cell r="B3896" t="str">
            <v>ZT-022</v>
          </cell>
          <cell r="C3896" t="str">
            <v>Y056</v>
          </cell>
          <cell r="D3896" t="str">
            <v>72050-55 妆台</v>
          </cell>
          <cell r="E3896" t="str">
            <v>右上中转角  ZT-022</v>
          </cell>
          <cell r="F3896" t="str">
            <v>195*110*85</v>
          </cell>
          <cell r="G3896">
            <v>195</v>
          </cell>
          <cell r="H3896">
            <v>110</v>
          </cell>
          <cell r="I3896">
            <v>85</v>
          </cell>
          <cell r="J3896">
            <v>803</v>
          </cell>
          <cell r="K3896">
            <v>0</v>
          </cell>
          <cell r="L3896">
            <v>2.25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2.8019925280199249</v>
          </cell>
          <cell r="S3896">
            <v>0</v>
          </cell>
        </row>
        <row r="3897">
          <cell r="A3897" t="str">
            <v>Y056-049</v>
          </cell>
          <cell r="B3897" t="str">
            <v>ZT-023</v>
          </cell>
          <cell r="C3897" t="str">
            <v>Y056</v>
          </cell>
          <cell r="D3897" t="str">
            <v>72050-55 妆台</v>
          </cell>
          <cell r="E3897" t="str">
            <v>门板左下饰条 ZT-023</v>
          </cell>
          <cell r="F3897" t="str">
            <v>185*90*14</v>
          </cell>
          <cell r="G3897">
            <v>185</v>
          </cell>
          <cell r="H3897">
            <v>90</v>
          </cell>
          <cell r="I3897">
            <v>14</v>
          </cell>
          <cell r="J3897">
            <v>132</v>
          </cell>
          <cell r="K3897">
            <v>0</v>
          </cell>
          <cell r="L3897">
            <v>0.38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2.8787878787878789</v>
          </cell>
          <cell r="S3897">
            <v>0</v>
          </cell>
        </row>
        <row r="3898">
          <cell r="A3898" t="str">
            <v>Y056-050</v>
          </cell>
          <cell r="B3898" t="str">
            <v>ZT-024</v>
          </cell>
          <cell r="C3898" t="str">
            <v>Y056</v>
          </cell>
          <cell r="D3898" t="str">
            <v>72050-55 妆台</v>
          </cell>
          <cell r="E3898" t="str">
            <v>门板右下饰条 ZT-024</v>
          </cell>
          <cell r="F3898" t="str">
            <v>185*90*14</v>
          </cell>
          <cell r="G3898">
            <v>185</v>
          </cell>
          <cell r="H3898">
            <v>90</v>
          </cell>
          <cell r="I3898">
            <v>14</v>
          </cell>
          <cell r="J3898">
            <v>132</v>
          </cell>
          <cell r="K3898">
            <v>0</v>
          </cell>
          <cell r="L3898">
            <v>0.38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2.8787878787878789</v>
          </cell>
          <cell r="S3898">
            <v>0</v>
          </cell>
        </row>
        <row r="3899">
          <cell r="A3899" t="str">
            <v>Y056-051</v>
          </cell>
          <cell r="B3899" t="str">
            <v>ZT-025</v>
          </cell>
          <cell r="C3899" t="str">
            <v>Y056</v>
          </cell>
          <cell r="D3899" t="str">
            <v>72050-55 妆台</v>
          </cell>
          <cell r="E3899" t="str">
            <v>门板左上饰条  ZT-025</v>
          </cell>
          <cell r="F3899" t="str">
            <v>180*60*14</v>
          </cell>
          <cell r="G3899">
            <v>180</v>
          </cell>
          <cell r="H3899">
            <v>60</v>
          </cell>
          <cell r="I3899">
            <v>14</v>
          </cell>
          <cell r="J3899">
            <v>122</v>
          </cell>
          <cell r="K3899">
            <v>0</v>
          </cell>
          <cell r="L3899">
            <v>0.36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2.9508196721311477</v>
          </cell>
          <cell r="S3899">
            <v>0</v>
          </cell>
        </row>
        <row r="3900">
          <cell r="A3900" t="str">
            <v>Y056-052</v>
          </cell>
          <cell r="B3900" t="str">
            <v>ZT-026</v>
          </cell>
          <cell r="C3900" t="str">
            <v>Y056</v>
          </cell>
          <cell r="D3900" t="str">
            <v>72050-55 妆台</v>
          </cell>
          <cell r="E3900" t="str">
            <v>门板右上饰条  ZT-026</v>
          </cell>
          <cell r="F3900" t="str">
            <v>180*60*14</v>
          </cell>
          <cell r="G3900">
            <v>180</v>
          </cell>
          <cell r="H3900">
            <v>60</v>
          </cell>
          <cell r="I3900">
            <v>14</v>
          </cell>
          <cell r="J3900">
            <v>122</v>
          </cell>
          <cell r="K3900">
            <v>0</v>
          </cell>
          <cell r="L3900">
            <v>0.36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2.9508196721311477</v>
          </cell>
          <cell r="S3900">
            <v>0</v>
          </cell>
        </row>
        <row r="3901">
          <cell r="A3901" t="str">
            <v>Y056-053</v>
          </cell>
          <cell r="B3901" t="str">
            <v>ZJ-007</v>
          </cell>
          <cell r="C3901" t="str">
            <v>Y056</v>
          </cell>
          <cell r="D3901" t="str">
            <v>72050-55 妆台</v>
          </cell>
          <cell r="E3901" t="str">
            <v>饰柱线圈 ZJ-007</v>
          </cell>
          <cell r="F3901" t="str">
            <v>170*8*7</v>
          </cell>
          <cell r="G3901">
            <v>170</v>
          </cell>
          <cell r="H3901">
            <v>8</v>
          </cell>
          <cell r="I3901">
            <v>7</v>
          </cell>
          <cell r="J3901">
            <v>18</v>
          </cell>
          <cell r="K3901">
            <v>0</v>
          </cell>
          <cell r="L3901">
            <v>0.06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3.3333333333333335</v>
          </cell>
          <cell r="S3901">
            <v>0</v>
          </cell>
        </row>
        <row r="3902">
          <cell r="A3902" t="str">
            <v>Y056-054</v>
          </cell>
          <cell r="B3902" t="str">
            <v>ZT-027</v>
          </cell>
          <cell r="C3902" t="str">
            <v>Y056</v>
          </cell>
          <cell r="D3902" t="str">
            <v>72050-55 妆台</v>
          </cell>
          <cell r="E3902" t="str">
            <v>前侧下饰花  ZT-027</v>
          </cell>
          <cell r="F3902" t="str">
            <v>2300*68*13</v>
          </cell>
          <cell r="G3902">
            <v>2300</v>
          </cell>
          <cell r="H3902">
            <v>68</v>
          </cell>
          <cell r="I3902">
            <v>13</v>
          </cell>
          <cell r="J3902">
            <v>2144</v>
          </cell>
          <cell r="K3902">
            <v>0</v>
          </cell>
          <cell r="L3902">
            <v>5.6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2.6119402985074625</v>
          </cell>
          <cell r="S3902">
            <v>0</v>
          </cell>
        </row>
        <row r="3903">
          <cell r="A3903" t="str">
            <v>Y056-055</v>
          </cell>
          <cell r="B3903" t="str">
            <v>ZT-028</v>
          </cell>
          <cell r="C3903" t="str">
            <v>Y056</v>
          </cell>
          <cell r="D3903" t="str">
            <v>72050-55</v>
          </cell>
          <cell r="E3903" t="str">
            <v>侧层板饰条 ZT-028</v>
          </cell>
          <cell r="F3903" t="str">
            <v>1550*21*6</v>
          </cell>
          <cell r="G3903">
            <v>1550</v>
          </cell>
          <cell r="H3903">
            <v>21</v>
          </cell>
          <cell r="I3903">
            <v>6</v>
          </cell>
          <cell r="J3903">
            <v>309</v>
          </cell>
          <cell r="K3903">
            <v>290</v>
          </cell>
          <cell r="L3903">
            <v>0.82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2.6537216828478964</v>
          </cell>
          <cell r="S3903">
            <v>0</v>
          </cell>
        </row>
        <row r="3904">
          <cell r="A3904" t="str">
            <v>Y056-056</v>
          </cell>
          <cell r="B3904" t="str">
            <v>ZJ-008</v>
          </cell>
          <cell r="C3904" t="str">
            <v>Y056</v>
          </cell>
          <cell r="D3904" t="str">
            <v>72060-55</v>
          </cell>
          <cell r="E3904" t="str">
            <v>顶板饰条 ZJ-008</v>
          </cell>
          <cell r="F3904" t="str">
            <v>1800*17*8</v>
          </cell>
          <cell r="G3904">
            <v>1800</v>
          </cell>
          <cell r="H3904">
            <v>17</v>
          </cell>
          <cell r="I3904">
            <v>8</v>
          </cell>
          <cell r="J3904">
            <v>278</v>
          </cell>
          <cell r="K3904">
            <v>278</v>
          </cell>
          <cell r="L3904">
            <v>0.8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2.8776978417266186</v>
          </cell>
          <cell r="S3904">
            <v>0</v>
          </cell>
        </row>
        <row r="3905">
          <cell r="A3905" t="str">
            <v>Y056-057</v>
          </cell>
          <cell r="B3905" t="str">
            <v>KFZ-04L</v>
          </cell>
          <cell r="C3905" t="str">
            <v>Y056</v>
          </cell>
          <cell r="D3905" t="str">
            <v>72201C-55咖啡桌大理右支柱</v>
          </cell>
          <cell r="E3905" t="str">
            <v>左贴花 KFZ-04L</v>
          </cell>
          <cell r="F3905" t="str">
            <v>620*65*6</v>
          </cell>
          <cell r="G3905">
            <v>620</v>
          </cell>
          <cell r="H3905">
            <v>65</v>
          </cell>
          <cell r="I3905">
            <v>6</v>
          </cell>
          <cell r="J3905">
            <v>0</v>
          </cell>
          <cell r="K3905">
            <v>0</v>
          </cell>
          <cell r="L3905">
            <v>0.89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 t="e">
            <v>#DIV/0!</v>
          </cell>
        </row>
        <row r="3906">
          <cell r="A3906" t="str">
            <v>Y056-058</v>
          </cell>
          <cell r="B3906" t="str">
            <v>KFZ-04R</v>
          </cell>
          <cell r="C3906" t="str">
            <v>Y056</v>
          </cell>
          <cell r="D3906" t="str">
            <v>72201C-55咖啡桌大理右支柱</v>
          </cell>
          <cell r="E3906" t="str">
            <v>右贴花 KFZ-04R</v>
          </cell>
          <cell r="F3906" t="str">
            <v>620*65*6</v>
          </cell>
          <cell r="G3906">
            <v>620</v>
          </cell>
          <cell r="H3906">
            <v>65</v>
          </cell>
          <cell r="I3906">
            <v>6</v>
          </cell>
          <cell r="J3906">
            <v>0</v>
          </cell>
          <cell r="K3906">
            <v>0</v>
          </cell>
          <cell r="L3906">
            <v>0.89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 t="e">
            <v>#DIV/0!</v>
          </cell>
        </row>
        <row r="3907">
          <cell r="A3907" t="str">
            <v>Y056-059</v>
          </cell>
          <cell r="B3907" t="str">
            <v>KFZ-01</v>
          </cell>
          <cell r="C3907" t="str">
            <v>Y056</v>
          </cell>
          <cell r="D3907" t="str">
            <v>72201T-55咖啡桌面板和底板</v>
          </cell>
          <cell r="E3907" t="str">
            <v>转角 KFZ-01</v>
          </cell>
          <cell r="F3907" t="str">
            <v>155*115*69</v>
          </cell>
          <cell r="G3907">
            <v>155</v>
          </cell>
          <cell r="H3907">
            <v>115</v>
          </cell>
          <cell r="I3907">
            <v>69</v>
          </cell>
          <cell r="J3907">
            <v>0</v>
          </cell>
          <cell r="K3907" t="str">
            <v>未確認</v>
          </cell>
          <cell r="L3907">
            <v>1.4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 t="e">
            <v>#DIV/0!</v>
          </cell>
        </row>
        <row r="3908">
          <cell r="A3908" t="str">
            <v>Y056-060</v>
          </cell>
          <cell r="B3908" t="str">
            <v>KFZ-02</v>
          </cell>
          <cell r="C3908" t="str">
            <v>Y056</v>
          </cell>
          <cell r="D3908" t="str">
            <v>72201T-55咖啡桌面板和底板</v>
          </cell>
          <cell r="E3908" t="str">
            <v>长贴花 KFZ-02</v>
          </cell>
          <cell r="F3908" t="str">
            <v>990*128*70</v>
          </cell>
          <cell r="G3908">
            <v>990</v>
          </cell>
          <cell r="H3908">
            <v>128</v>
          </cell>
          <cell r="I3908">
            <v>70</v>
          </cell>
          <cell r="J3908">
            <v>0</v>
          </cell>
          <cell r="K3908" t="str">
            <v>"</v>
          </cell>
          <cell r="L3908">
            <v>7.4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 t="e">
            <v>#DIV/0!</v>
          </cell>
        </row>
        <row r="3909">
          <cell r="A3909" t="str">
            <v>Y056-061</v>
          </cell>
          <cell r="B3909" t="str">
            <v>KFZ-03</v>
          </cell>
          <cell r="C3909" t="str">
            <v>Y056</v>
          </cell>
          <cell r="D3909" t="str">
            <v>72201T-55咖啡桌面板和底板</v>
          </cell>
          <cell r="E3909" t="str">
            <v>短贴花 KFZ-03</v>
          </cell>
          <cell r="F3909" t="str">
            <v>495*173*70</v>
          </cell>
          <cell r="G3909">
            <v>495</v>
          </cell>
          <cell r="H3909">
            <v>173</v>
          </cell>
          <cell r="I3909">
            <v>70</v>
          </cell>
          <cell r="J3909">
            <v>0</v>
          </cell>
          <cell r="K3909">
            <v>0</v>
          </cell>
          <cell r="L3909">
            <v>4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 t="e">
            <v>#DIV/0!</v>
          </cell>
        </row>
        <row r="3910">
          <cell r="A3910" t="str">
            <v>Y056-062</v>
          </cell>
          <cell r="B3910" t="str">
            <v>CJZ-04L</v>
          </cell>
          <cell r="C3910" t="str">
            <v>Y056</v>
          </cell>
          <cell r="D3910" t="str">
            <v>72202C-55茶几桌大理右支柱</v>
          </cell>
          <cell r="E3910" t="str">
            <v>左贴花 CJZ-04L</v>
          </cell>
          <cell r="F3910" t="str">
            <v>740*780*6</v>
          </cell>
          <cell r="G3910">
            <v>740</v>
          </cell>
          <cell r="H3910">
            <v>780</v>
          </cell>
          <cell r="I3910">
            <v>6</v>
          </cell>
          <cell r="J3910">
            <v>0</v>
          </cell>
          <cell r="K3910">
            <v>0</v>
          </cell>
          <cell r="L3910">
            <v>0.98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 t="e">
            <v>#DIV/0!</v>
          </cell>
        </row>
        <row r="3911">
          <cell r="A3911" t="str">
            <v>Y056-063</v>
          </cell>
          <cell r="B3911" t="str">
            <v>CJZ-04R</v>
          </cell>
          <cell r="C3911" t="str">
            <v>Y056</v>
          </cell>
          <cell r="D3911" t="str">
            <v>72202C-55茶几桌大理右支柱</v>
          </cell>
          <cell r="E3911" t="str">
            <v>右贴花 CJZ-04R</v>
          </cell>
          <cell r="F3911" t="str">
            <v>740*780*6</v>
          </cell>
          <cell r="G3911">
            <v>740</v>
          </cell>
          <cell r="H3911">
            <v>780</v>
          </cell>
          <cell r="I3911">
            <v>6</v>
          </cell>
          <cell r="J3911">
            <v>0</v>
          </cell>
          <cell r="K3911">
            <v>0</v>
          </cell>
          <cell r="L3911">
            <v>0.98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 t="e">
            <v>#DIV/0!</v>
          </cell>
        </row>
        <row r="3912">
          <cell r="A3912" t="str">
            <v>Y056-064</v>
          </cell>
          <cell r="B3912" t="str">
            <v>CJZ-01</v>
          </cell>
          <cell r="C3912" t="str">
            <v>Y056</v>
          </cell>
          <cell r="D3912" t="str">
            <v>72202T-55茶几桌面板和底板</v>
          </cell>
          <cell r="E3912" t="str">
            <v>转角 CJZ-01</v>
          </cell>
          <cell r="F3912" t="str">
            <v>143*154*106</v>
          </cell>
          <cell r="G3912">
            <v>143</v>
          </cell>
          <cell r="H3912">
            <v>154</v>
          </cell>
          <cell r="I3912">
            <v>106</v>
          </cell>
          <cell r="J3912">
            <v>0</v>
          </cell>
          <cell r="K3912">
            <v>0</v>
          </cell>
          <cell r="L3912">
            <v>2.5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 t="e">
            <v>#DIV/0!</v>
          </cell>
        </row>
        <row r="3913">
          <cell r="A3913" t="str">
            <v>Y056-065</v>
          </cell>
          <cell r="B3913" t="str">
            <v>CJZ-02</v>
          </cell>
          <cell r="C3913" t="str">
            <v>Y056</v>
          </cell>
          <cell r="D3913" t="str">
            <v>72202T-55茶几桌面板和底板</v>
          </cell>
          <cell r="E3913" t="str">
            <v>立水饰条CJZ-02</v>
          </cell>
          <cell r="F3913" t="str">
            <v>430*16*10</v>
          </cell>
          <cell r="G3913">
            <v>430</v>
          </cell>
          <cell r="H3913">
            <v>16</v>
          </cell>
          <cell r="I3913">
            <v>10</v>
          </cell>
          <cell r="J3913">
            <v>0</v>
          </cell>
          <cell r="K3913">
            <v>0</v>
          </cell>
          <cell r="L3913">
            <v>0.33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 t="e">
            <v>#DIV/0!</v>
          </cell>
        </row>
        <row r="3914">
          <cell r="A3914" t="str">
            <v>Y056-066</v>
          </cell>
          <cell r="B3914" t="str">
            <v>CJZ-03</v>
          </cell>
          <cell r="C3914" t="str">
            <v>Y056</v>
          </cell>
          <cell r="D3914" t="str">
            <v>72202T-55茶几桌面板和底板</v>
          </cell>
          <cell r="E3914" t="str">
            <v>立水饰框CJZ-03</v>
          </cell>
          <cell r="F3914" t="str">
            <v>360*55*6</v>
          </cell>
          <cell r="G3914">
            <v>360</v>
          </cell>
          <cell r="H3914">
            <v>55</v>
          </cell>
          <cell r="I3914">
            <v>6</v>
          </cell>
          <cell r="J3914">
            <v>0</v>
          </cell>
          <cell r="K3914">
            <v>0</v>
          </cell>
          <cell r="L3914">
            <v>0.16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 t="e">
            <v>#DIV/0!</v>
          </cell>
        </row>
        <row r="3915">
          <cell r="A3915" t="str">
            <v>Y056-067</v>
          </cell>
          <cell r="B3915" t="str">
            <v>SFZ-06L</v>
          </cell>
          <cell r="C3915" t="str">
            <v>Y056</v>
          </cell>
          <cell r="D3915" t="str">
            <v>72203C-55沙发桌大理右支柱</v>
          </cell>
          <cell r="E3915" t="str">
            <v>左贴花 SFZ-06L</v>
          </cell>
          <cell r="F3915" t="str">
            <v>925*78*6</v>
          </cell>
          <cell r="G3915">
            <v>925</v>
          </cell>
          <cell r="H3915">
            <v>78</v>
          </cell>
          <cell r="I3915">
            <v>6</v>
          </cell>
          <cell r="J3915">
            <v>0</v>
          </cell>
          <cell r="K3915">
            <v>0</v>
          </cell>
          <cell r="L3915">
            <v>1.21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 t="e">
            <v>#DIV/0!</v>
          </cell>
        </row>
        <row r="3916">
          <cell r="A3916" t="str">
            <v>Y056-068</v>
          </cell>
          <cell r="B3916" t="str">
            <v>SFZ-06R</v>
          </cell>
          <cell r="C3916" t="str">
            <v>Y056</v>
          </cell>
          <cell r="D3916" t="str">
            <v>72203C-55沙发桌大理右支柱</v>
          </cell>
          <cell r="E3916" t="str">
            <v>右贴花 SFZ-06R</v>
          </cell>
          <cell r="F3916" t="str">
            <v>925*78*6</v>
          </cell>
          <cell r="G3916">
            <v>925</v>
          </cell>
          <cell r="H3916">
            <v>78</v>
          </cell>
          <cell r="I3916">
            <v>6</v>
          </cell>
          <cell r="J3916">
            <v>0</v>
          </cell>
          <cell r="K3916">
            <v>0</v>
          </cell>
          <cell r="L3916">
            <v>1.21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 t="e">
            <v>#DIV/0!</v>
          </cell>
        </row>
        <row r="3917">
          <cell r="A3917" t="str">
            <v>Y056-069</v>
          </cell>
          <cell r="B3917" t="str">
            <v>SFZ-01</v>
          </cell>
          <cell r="C3917" t="str">
            <v>Y056</v>
          </cell>
          <cell r="D3917" t="str">
            <v>72203T-55沙发桌</v>
          </cell>
          <cell r="E3917" t="str">
            <v>转角 SFZ-01</v>
          </cell>
          <cell r="F3917" t="str">
            <v>143*149*102</v>
          </cell>
          <cell r="G3917">
            <v>143</v>
          </cell>
          <cell r="H3917">
            <v>149</v>
          </cell>
          <cell r="I3917">
            <v>102</v>
          </cell>
          <cell r="J3917">
            <v>0</v>
          </cell>
          <cell r="K3917">
            <v>0</v>
          </cell>
          <cell r="L3917">
            <v>2.38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 t="e">
            <v>#DIV/0!</v>
          </cell>
        </row>
        <row r="3918">
          <cell r="A3918" t="str">
            <v>Y056-070</v>
          </cell>
          <cell r="B3918" t="str">
            <v>SFZ-02</v>
          </cell>
          <cell r="C3918" t="str">
            <v>Y056</v>
          </cell>
          <cell r="D3918" t="str">
            <v>72203T-55沙发桌</v>
          </cell>
          <cell r="E3918" t="str">
            <v>长立水饰条 SFZ-02</v>
          </cell>
          <cell r="F3918" t="str">
            <v>820*18*11</v>
          </cell>
          <cell r="G3918">
            <v>820</v>
          </cell>
          <cell r="H3918">
            <v>18</v>
          </cell>
          <cell r="I3918">
            <v>11</v>
          </cell>
          <cell r="J3918">
            <v>0</v>
          </cell>
          <cell r="K3918">
            <v>0</v>
          </cell>
          <cell r="L3918">
            <v>0.62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 t="e">
            <v>#DIV/0!</v>
          </cell>
        </row>
        <row r="3919">
          <cell r="A3919" t="str">
            <v>Y056-071</v>
          </cell>
          <cell r="B3919" t="str">
            <v>SFZ-03</v>
          </cell>
          <cell r="C3919" t="str">
            <v>Y056</v>
          </cell>
          <cell r="D3919" t="str">
            <v>72203T-55沙发桌</v>
          </cell>
          <cell r="E3919" t="str">
            <v>长立水饰框 SFZ-03</v>
          </cell>
          <cell r="F3919" t="str">
            <v>742*56*5</v>
          </cell>
          <cell r="G3919">
            <v>742</v>
          </cell>
          <cell r="H3919">
            <v>56</v>
          </cell>
          <cell r="I3919">
            <v>5</v>
          </cell>
          <cell r="J3919">
            <v>0</v>
          </cell>
          <cell r="K3919">
            <v>0</v>
          </cell>
          <cell r="L3919">
            <v>0.28999999999999998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 t="e">
            <v>#DIV/0!</v>
          </cell>
        </row>
        <row r="3920">
          <cell r="A3920" t="str">
            <v>Y056-072</v>
          </cell>
          <cell r="B3920" t="str">
            <v>SFZ-04</v>
          </cell>
          <cell r="C3920" t="str">
            <v>Y056</v>
          </cell>
          <cell r="D3920" t="str">
            <v>72203T-55沙发桌</v>
          </cell>
          <cell r="E3920" t="str">
            <v>短立水饰条 SFZ-04</v>
          </cell>
          <cell r="F3920" t="str">
            <v>165*18*11</v>
          </cell>
          <cell r="G3920">
            <v>165</v>
          </cell>
          <cell r="H3920">
            <v>18</v>
          </cell>
          <cell r="I3920">
            <v>11</v>
          </cell>
          <cell r="J3920">
            <v>0</v>
          </cell>
          <cell r="K3920">
            <v>0</v>
          </cell>
          <cell r="L3920">
            <v>0.16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 t="e">
            <v>#DIV/0!</v>
          </cell>
        </row>
        <row r="3921">
          <cell r="A3921" t="str">
            <v>Y056-073</v>
          </cell>
          <cell r="B3921" t="str">
            <v>SFZ-05</v>
          </cell>
          <cell r="C3921" t="str">
            <v>Y056</v>
          </cell>
          <cell r="D3921" t="str">
            <v>72203T-55沙发桌</v>
          </cell>
          <cell r="E3921" t="str">
            <v>短立水饰框 SFZ-05</v>
          </cell>
          <cell r="F3921" t="str">
            <v>210*55*6</v>
          </cell>
          <cell r="G3921">
            <v>210</v>
          </cell>
          <cell r="H3921">
            <v>55</v>
          </cell>
          <cell r="I3921">
            <v>6</v>
          </cell>
          <cell r="J3921">
            <v>0</v>
          </cell>
          <cell r="K3921">
            <v>0</v>
          </cell>
          <cell r="L3921">
            <v>0.12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 t="e">
            <v>#DIV/0!</v>
          </cell>
        </row>
        <row r="3922">
          <cell r="A3922" t="str">
            <v>Y056-074</v>
          </cell>
          <cell r="B3922" t="str">
            <v xml:space="preserve"> SFZ-07</v>
          </cell>
          <cell r="C3922" t="str">
            <v>Y056</v>
          </cell>
          <cell r="D3922" t="str">
            <v>72203T-55沙发桌</v>
          </cell>
          <cell r="E3922" t="str">
            <v>后立水饰条 SFZ-07</v>
          </cell>
          <cell r="F3922" t="str">
            <v>1130*18*11</v>
          </cell>
          <cell r="G3922">
            <v>1130</v>
          </cell>
          <cell r="H3922">
            <v>18</v>
          </cell>
          <cell r="I3922">
            <v>11</v>
          </cell>
          <cell r="J3922">
            <v>0</v>
          </cell>
          <cell r="K3922">
            <v>0</v>
          </cell>
          <cell r="L3922">
            <v>0.9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 t="e">
            <v>#DIV/0!</v>
          </cell>
        </row>
        <row r="3923">
          <cell r="A3923" t="str">
            <v>Y056-075</v>
          </cell>
          <cell r="B3923" t="str">
            <v xml:space="preserve"> SFZ-08</v>
          </cell>
          <cell r="C3923" t="str">
            <v>Y056</v>
          </cell>
          <cell r="D3923" t="str">
            <v>72203T-55沙发桌</v>
          </cell>
          <cell r="E3923" t="str">
            <v>后立水饰框 SFZ-08</v>
          </cell>
          <cell r="F3923" t="str">
            <v>1073*57*6</v>
          </cell>
          <cell r="G3923">
            <v>1073</v>
          </cell>
          <cell r="H3923">
            <v>57</v>
          </cell>
          <cell r="I3923">
            <v>6</v>
          </cell>
          <cell r="J3923">
            <v>0</v>
          </cell>
          <cell r="K3923">
            <v>0</v>
          </cell>
          <cell r="L3923">
            <v>0.42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 t="e">
            <v>#DIV/0!</v>
          </cell>
        </row>
        <row r="3924">
          <cell r="A3924" t="str">
            <v>Y056-076</v>
          </cell>
          <cell r="B3924" t="str">
            <v>BZ-01</v>
          </cell>
          <cell r="C3924" t="str">
            <v>Y056</v>
          </cell>
          <cell r="D3924" t="str">
            <v>72222-55边桌</v>
          </cell>
          <cell r="E3924" t="str">
            <v>上饰花 BZ-01</v>
          </cell>
          <cell r="F3924" t="str">
            <v>1385*37*8</v>
          </cell>
          <cell r="G3924">
            <v>1385</v>
          </cell>
          <cell r="H3924">
            <v>37</v>
          </cell>
          <cell r="I3924">
            <v>8</v>
          </cell>
          <cell r="J3924">
            <v>0</v>
          </cell>
          <cell r="K3924">
            <v>0</v>
          </cell>
          <cell r="L3924">
            <v>1.42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 t="e">
            <v>#DIV/0!</v>
          </cell>
        </row>
        <row r="3925">
          <cell r="A3925" t="str">
            <v>Y056-077</v>
          </cell>
          <cell r="B3925" t="str">
            <v>BZ-02</v>
          </cell>
          <cell r="C3925" t="str">
            <v>Y056</v>
          </cell>
          <cell r="D3925" t="str">
            <v>72222-55边桌</v>
          </cell>
          <cell r="E3925" t="str">
            <v>圆饰花 BZ-02</v>
          </cell>
          <cell r="F3925" t="str">
            <v>410*410*12</v>
          </cell>
          <cell r="G3925">
            <v>410</v>
          </cell>
          <cell r="H3925">
            <v>410</v>
          </cell>
          <cell r="I3925">
            <v>12</v>
          </cell>
          <cell r="J3925">
            <v>0</v>
          </cell>
          <cell r="K3925">
            <v>0</v>
          </cell>
          <cell r="L3925">
            <v>4.3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 t="e">
            <v>#DIV/0!</v>
          </cell>
        </row>
        <row r="3926">
          <cell r="A3926" t="str">
            <v>Y056-078</v>
          </cell>
          <cell r="B3926" t="str">
            <v>BZ-03</v>
          </cell>
          <cell r="C3926" t="str">
            <v>Y056</v>
          </cell>
          <cell r="D3926" t="str">
            <v>72222-55边桌</v>
          </cell>
          <cell r="E3926" t="str">
            <v>贴花 BZ-03</v>
          </cell>
          <cell r="F3926" t="str">
            <v>750*78*6</v>
          </cell>
          <cell r="G3926">
            <v>750</v>
          </cell>
          <cell r="H3926">
            <v>78</v>
          </cell>
          <cell r="I3926">
            <v>6</v>
          </cell>
          <cell r="J3926">
            <v>0</v>
          </cell>
          <cell r="K3926">
            <v>0</v>
          </cell>
          <cell r="L3926">
            <v>0.97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 t="e">
            <v>#DIV/0!</v>
          </cell>
        </row>
        <row r="3927">
          <cell r="A3927" t="str">
            <v>Y056-079</v>
          </cell>
          <cell r="B3927" t="str">
            <v>BZ-04</v>
          </cell>
          <cell r="C3927" t="str">
            <v>Y056</v>
          </cell>
          <cell r="D3927" t="str">
            <v>72222-55边桌</v>
          </cell>
          <cell r="E3927" t="str">
            <v>下饰花 BZ-04</v>
          </cell>
          <cell r="F3927" t="str">
            <v>375*175*28</v>
          </cell>
          <cell r="G3927">
            <v>375</v>
          </cell>
          <cell r="H3927">
            <v>175</v>
          </cell>
          <cell r="I3927">
            <v>28</v>
          </cell>
          <cell r="J3927">
            <v>0</v>
          </cell>
          <cell r="K3927">
            <v>0</v>
          </cell>
          <cell r="L3927">
            <v>1.24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 t="e">
            <v>#DIV/0!</v>
          </cell>
        </row>
        <row r="3928">
          <cell r="A3928" t="str">
            <v>Y056-080</v>
          </cell>
          <cell r="B3928" t="str">
            <v>FCZ-01</v>
          </cell>
          <cell r="C3928" t="str">
            <v>Y056</v>
          </cell>
          <cell r="D3928" t="str">
            <v>72002B-55方形餐桌支柱</v>
          </cell>
          <cell r="E3928" t="str">
            <v>支柱FCZ-01</v>
          </cell>
          <cell r="F3928" t="str">
            <v>545*430*430</v>
          </cell>
          <cell r="G3928">
            <v>545</v>
          </cell>
          <cell r="H3928">
            <v>430</v>
          </cell>
          <cell r="I3928">
            <v>430</v>
          </cell>
          <cell r="J3928">
            <v>17600</v>
          </cell>
          <cell r="K3928">
            <v>0</v>
          </cell>
          <cell r="L3928">
            <v>42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2.3863636363636362</v>
          </cell>
          <cell r="S3928" t="str">
            <v>木</v>
          </cell>
        </row>
        <row r="3929">
          <cell r="A3929" t="str">
            <v>Y056-081</v>
          </cell>
          <cell r="B3929" t="str">
            <v>FCZ-02</v>
          </cell>
          <cell r="C3929" t="str">
            <v>Y056</v>
          </cell>
          <cell r="D3929" t="str">
            <v>72002BP-55方形餐桌底座</v>
          </cell>
          <cell r="E3929" t="str">
            <v>底座长饰条FCZ-02</v>
          </cell>
          <cell r="F3929" t="str">
            <v>1380*160*43</v>
          </cell>
          <cell r="G3929">
            <v>1380</v>
          </cell>
          <cell r="H3929">
            <v>160</v>
          </cell>
          <cell r="I3929">
            <v>43</v>
          </cell>
          <cell r="J3929">
            <v>0</v>
          </cell>
          <cell r="K3929">
            <v>0</v>
          </cell>
          <cell r="L3929">
            <v>3.4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 t="e">
            <v>#DIV/0!</v>
          </cell>
        </row>
        <row r="3930">
          <cell r="A3930" t="str">
            <v>Y056-082</v>
          </cell>
          <cell r="B3930" t="str">
            <v>FCZ-03</v>
          </cell>
          <cell r="C3930" t="str">
            <v>Y056</v>
          </cell>
          <cell r="D3930" t="str">
            <v>72002BP-55方形餐桌底座</v>
          </cell>
          <cell r="E3930" t="str">
            <v>底座短饰条FCZ-03</v>
          </cell>
          <cell r="F3930" t="str">
            <v>480*42*20</v>
          </cell>
          <cell r="G3930">
            <v>480</v>
          </cell>
          <cell r="H3930">
            <v>42</v>
          </cell>
          <cell r="I3930">
            <v>20</v>
          </cell>
          <cell r="J3930">
            <v>0</v>
          </cell>
          <cell r="K3930">
            <v>0</v>
          </cell>
          <cell r="L3930">
            <v>1.1599999999999999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 t="e">
            <v>#DIV/0!</v>
          </cell>
        </row>
        <row r="3931">
          <cell r="A3931" t="str">
            <v>Y056-083</v>
          </cell>
          <cell r="B3931" t="str">
            <v>FCZ-04</v>
          </cell>
          <cell r="C3931" t="str">
            <v>Y056</v>
          </cell>
          <cell r="D3931" t="str">
            <v>72002T-55方形餐桌面板</v>
          </cell>
          <cell r="E3931" t="str">
            <v>侧立水饰条FCZ-04</v>
          </cell>
          <cell r="F3931" t="str">
            <v>840*69*30</v>
          </cell>
          <cell r="G3931">
            <v>840</v>
          </cell>
          <cell r="H3931">
            <v>69</v>
          </cell>
          <cell r="I3931">
            <v>30</v>
          </cell>
          <cell r="J3931">
            <v>938</v>
          </cell>
          <cell r="K3931">
            <v>0</v>
          </cell>
          <cell r="L3931">
            <v>2.5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 t="str">
            <v>1010</v>
          </cell>
          <cell r="R3931">
            <v>2.6652452025586357</v>
          </cell>
        </row>
        <row r="3932">
          <cell r="A3932" t="str">
            <v>Y056-084</v>
          </cell>
          <cell r="B3932" t="str">
            <v>FCZ-05</v>
          </cell>
          <cell r="C3932" t="str">
            <v>Y056</v>
          </cell>
          <cell r="D3932" t="str">
            <v>72002T-55方形餐桌面板</v>
          </cell>
          <cell r="E3932" t="str">
            <v>前后立水饰条FCZ-05</v>
          </cell>
          <cell r="F3932" t="str">
            <v>670*70*11</v>
          </cell>
          <cell r="G3932">
            <v>670</v>
          </cell>
          <cell r="H3932">
            <v>70</v>
          </cell>
          <cell r="I3932">
            <v>11</v>
          </cell>
          <cell r="J3932">
            <v>805</v>
          </cell>
          <cell r="K3932">
            <v>0</v>
          </cell>
          <cell r="L3932">
            <v>2.1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 t="str">
            <v>1010</v>
          </cell>
          <cell r="R3932">
            <v>2.6086956521739131</v>
          </cell>
        </row>
        <row r="3933">
          <cell r="A3933" t="str">
            <v>Y056-085</v>
          </cell>
          <cell r="B3933" t="str">
            <v>FCZ-06</v>
          </cell>
          <cell r="C3933" t="str">
            <v>Y056</v>
          </cell>
          <cell r="D3933" t="str">
            <v>72002T-55方形餐桌面板</v>
          </cell>
          <cell r="E3933" t="str">
            <v>转角立水饰条FCZ-06</v>
          </cell>
          <cell r="F3933" t="str">
            <v>205*68*10</v>
          </cell>
          <cell r="G3933">
            <v>205</v>
          </cell>
          <cell r="H3933">
            <v>68</v>
          </cell>
          <cell r="I3933">
            <v>10</v>
          </cell>
          <cell r="J3933">
            <v>260</v>
          </cell>
          <cell r="K3933">
            <v>0</v>
          </cell>
          <cell r="L3933">
            <v>0.74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 t="str">
            <v>1010</v>
          </cell>
          <cell r="R3933">
            <v>2.8461538461538458</v>
          </cell>
        </row>
        <row r="3934">
          <cell r="A3934" t="str">
            <v>Y056-086</v>
          </cell>
          <cell r="B3934" t="str">
            <v>FCZ-07</v>
          </cell>
          <cell r="C3934" t="str">
            <v>Y056</v>
          </cell>
          <cell r="D3934" t="str">
            <v>72002T-55方形餐桌面板</v>
          </cell>
          <cell r="E3934" t="str">
            <v>中立水饰条FCZ-07</v>
          </cell>
          <cell r="F3934" t="str">
            <v>530*70*11</v>
          </cell>
          <cell r="G3934">
            <v>530</v>
          </cell>
          <cell r="H3934">
            <v>70</v>
          </cell>
          <cell r="I3934">
            <v>11</v>
          </cell>
          <cell r="J3934">
            <v>649</v>
          </cell>
          <cell r="K3934">
            <v>0</v>
          </cell>
          <cell r="L3934">
            <v>1.76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 t="str">
            <v>1010</v>
          </cell>
          <cell r="R3934">
            <v>2.7118644067796609</v>
          </cell>
        </row>
        <row r="3935">
          <cell r="A3935" t="str">
            <v>Y056-087</v>
          </cell>
          <cell r="B3935" t="str">
            <v>CJZ-01L</v>
          </cell>
          <cell r="C3935" t="str">
            <v>Y056</v>
          </cell>
          <cell r="D3935" t="str">
            <v>72007-55餐具柜</v>
          </cell>
          <cell r="E3935" t="str">
            <v>左转角CJZ-01L</v>
          </cell>
          <cell r="F3935" t="str">
            <v>192*150*190</v>
          </cell>
          <cell r="G3935">
            <v>192</v>
          </cell>
          <cell r="H3935">
            <v>150</v>
          </cell>
          <cell r="I3935">
            <v>190</v>
          </cell>
          <cell r="J3935">
            <v>0</v>
          </cell>
          <cell r="K3935">
            <v>0</v>
          </cell>
          <cell r="L3935">
            <v>4.2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 t="e">
            <v>#DIV/0!</v>
          </cell>
        </row>
        <row r="3936">
          <cell r="A3936" t="str">
            <v>Y056-088</v>
          </cell>
          <cell r="B3936" t="str">
            <v>CJZ-01R</v>
          </cell>
          <cell r="C3936" t="str">
            <v>Y056</v>
          </cell>
          <cell r="D3936" t="str">
            <v>72007-55餐具柜</v>
          </cell>
          <cell r="E3936" t="str">
            <v>右转角CJZ-01R</v>
          </cell>
          <cell r="F3936" t="str">
            <v>192*150*190</v>
          </cell>
          <cell r="G3936">
            <v>192</v>
          </cell>
          <cell r="H3936">
            <v>150</v>
          </cell>
          <cell r="I3936">
            <v>190</v>
          </cell>
          <cell r="J3936">
            <v>0</v>
          </cell>
          <cell r="K3936">
            <v>0</v>
          </cell>
          <cell r="L3936">
            <v>4.2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 t="e">
            <v>#DIV/0!</v>
          </cell>
        </row>
        <row r="3937">
          <cell r="A3937" t="str">
            <v>Y056-089</v>
          </cell>
          <cell r="B3937" t="str">
            <v>CJZ-02L</v>
          </cell>
          <cell r="C3937" t="str">
            <v>Y056</v>
          </cell>
          <cell r="D3937" t="str">
            <v>72007-55餐具柜</v>
          </cell>
          <cell r="E3937" t="str">
            <v>左中转角CJZ-02L</v>
          </cell>
          <cell r="F3937" t="str">
            <v>158*85*56</v>
          </cell>
          <cell r="G3937">
            <v>158</v>
          </cell>
          <cell r="H3937">
            <v>85</v>
          </cell>
          <cell r="I3937">
            <v>56</v>
          </cell>
          <cell r="J3937">
            <v>0</v>
          </cell>
          <cell r="K3937">
            <v>0</v>
          </cell>
          <cell r="L3937">
            <v>1.05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 t="e">
            <v>#DIV/0!</v>
          </cell>
        </row>
        <row r="3938">
          <cell r="A3938" t="str">
            <v>Y056-090</v>
          </cell>
          <cell r="B3938" t="str">
            <v>CJZ-02R</v>
          </cell>
          <cell r="C3938" t="str">
            <v>Y056</v>
          </cell>
          <cell r="D3938" t="str">
            <v>72007-55餐具柜</v>
          </cell>
          <cell r="E3938" t="str">
            <v>右中转角CJZ-02R</v>
          </cell>
          <cell r="F3938" t="str">
            <v>158*85*56</v>
          </cell>
          <cell r="G3938">
            <v>158</v>
          </cell>
          <cell r="H3938">
            <v>85</v>
          </cell>
          <cell r="I3938">
            <v>56</v>
          </cell>
          <cell r="J3938">
            <v>0</v>
          </cell>
          <cell r="K3938">
            <v>0</v>
          </cell>
          <cell r="L3938">
            <v>1.05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 t="e">
            <v>#DIV/0!</v>
          </cell>
        </row>
        <row r="3939">
          <cell r="A3939" t="str">
            <v>Y056-091</v>
          </cell>
          <cell r="B3939" t="str">
            <v>CJZ-03</v>
          </cell>
          <cell r="C3939" t="str">
            <v>Y056</v>
          </cell>
          <cell r="D3939" t="str">
            <v>72007-55 餐具柜</v>
          </cell>
          <cell r="E3939" t="str">
            <v>企柱上饰块CJZ-03</v>
          </cell>
          <cell r="F3939" t="str">
            <v>118*98*66</v>
          </cell>
          <cell r="G3939">
            <v>118</v>
          </cell>
          <cell r="H3939">
            <v>98</v>
          </cell>
          <cell r="I3939">
            <v>66</v>
          </cell>
          <cell r="J3939">
            <v>0</v>
          </cell>
          <cell r="K3939">
            <v>0</v>
          </cell>
          <cell r="L3939">
            <v>1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 t="e">
            <v>#DIV/0!</v>
          </cell>
        </row>
        <row r="3940">
          <cell r="A3940" t="str">
            <v>Y056-092</v>
          </cell>
          <cell r="B3940" t="str">
            <v>CJZ-04</v>
          </cell>
          <cell r="C3940" t="str">
            <v>Y056</v>
          </cell>
          <cell r="D3940" t="str">
            <v>72007-55 餐具柜</v>
          </cell>
          <cell r="E3940" t="str">
            <v>企柱上饰块CJZ-04</v>
          </cell>
          <cell r="F3940" t="str">
            <v>118*98*66</v>
          </cell>
          <cell r="G3940">
            <v>118</v>
          </cell>
          <cell r="H3940">
            <v>98</v>
          </cell>
          <cell r="I3940">
            <v>66</v>
          </cell>
          <cell r="J3940">
            <v>0</v>
          </cell>
          <cell r="K3940">
            <v>0</v>
          </cell>
          <cell r="L3940">
            <v>1.18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 t="e">
            <v>#DIV/0!</v>
          </cell>
        </row>
        <row r="3941">
          <cell r="A3941" t="str">
            <v>Y056-093</v>
          </cell>
          <cell r="B3941" t="str">
            <v>CJZ-05</v>
          </cell>
          <cell r="C3941" t="str">
            <v>Y056</v>
          </cell>
          <cell r="D3941" t="str">
            <v>72007-55 餐具柜</v>
          </cell>
          <cell r="E3941" t="str">
            <v>中门半圆饰条CJZ-05</v>
          </cell>
          <cell r="F3941" t="str">
            <v>245*133*8</v>
          </cell>
          <cell r="G3941">
            <v>245</v>
          </cell>
          <cell r="H3941">
            <v>133</v>
          </cell>
          <cell r="I3941">
            <v>8</v>
          </cell>
          <cell r="J3941">
            <v>0</v>
          </cell>
          <cell r="K3941">
            <v>0</v>
          </cell>
          <cell r="L3941">
            <v>0.17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 t="e">
            <v>#DIV/0!</v>
          </cell>
        </row>
        <row r="3942">
          <cell r="A3942" t="str">
            <v>Y056-094</v>
          </cell>
          <cell r="B3942" t="str">
            <v>CJZ-06</v>
          </cell>
          <cell r="C3942" t="str">
            <v>Y056</v>
          </cell>
          <cell r="D3942" t="str">
            <v>72007-55 餐具柜</v>
          </cell>
          <cell r="E3942" t="str">
            <v>中门内饰条CJZ-06</v>
          </cell>
          <cell r="F3942" t="str">
            <v>450*12*7</v>
          </cell>
          <cell r="G3942">
            <v>450</v>
          </cell>
          <cell r="H3942">
            <v>12</v>
          </cell>
          <cell r="I3942">
            <v>7</v>
          </cell>
          <cell r="J3942">
            <v>0</v>
          </cell>
          <cell r="K3942">
            <v>0</v>
          </cell>
          <cell r="L3942">
            <v>0.16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 t="e">
            <v>#DIV/0!</v>
          </cell>
        </row>
        <row r="3943">
          <cell r="A3943" t="str">
            <v>Y056-095</v>
          </cell>
          <cell r="B3943" t="str">
            <v>CJZ-07</v>
          </cell>
          <cell r="C3943" t="str">
            <v>Y056</v>
          </cell>
          <cell r="D3943" t="str">
            <v>72007-55 餐具柜</v>
          </cell>
          <cell r="E3943" t="str">
            <v>中门外饰条CJZ-07</v>
          </cell>
          <cell r="F3943" t="str">
            <v>550*31*12</v>
          </cell>
          <cell r="G3943">
            <v>550</v>
          </cell>
          <cell r="H3943">
            <v>31</v>
          </cell>
          <cell r="I3943">
            <v>12</v>
          </cell>
          <cell r="J3943">
            <v>0</v>
          </cell>
          <cell r="K3943">
            <v>0</v>
          </cell>
          <cell r="L3943">
            <v>0.76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 t="e">
            <v>#DIV/0!</v>
          </cell>
        </row>
        <row r="3944">
          <cell r="A3944" t="str">
            <v>Y056-096</v>
          </cell>
          <cell r="B3944" t="str">
            <v>CJZ-08</v>
          </cell>
          <cell r="C3944" t="str">
            <v>Y056</v>
          </cell>
          <cell r="D3944" t="str">
            <v>72007-55 餐具柜</v>
          </cell>
          <cell r="E3944" t="str">
            <v>侧板饰条CJZ-08</v>
          </cell>
          <cell r="F3944" t="str">
            <v>300*12*6</v>
          </cell>
          <cell r="G3944">
            <v>300</v>
          </cell>
          <cell r="H3944">
            <v>12</v>
          </cell>
          <cell r="I3944">
            <v>6</v>
          </cell>
          <cell r="J3944">
            <v>0</v>
          </cell>
          <cell r="K3944">
            <v>0</v>
          </cell>
          <cell r="L3944">
            <v>0.12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 t="e">
            <v>#DIV/0!</v>
          </cell>
        </row>
        <row r="3945">
          <cell r="A3945" t="str">
            <v>Y056-097</v>
          </cell>
          <cell r="B3945" t="str">
            <v>CJZ-09</v>
          </cell>
          <cell r="C3945" t="str">
            <v>Y056</v>
          </cell>
          <cell r="D3945" t="str">
            <v>72007-55 餐具柜</v>
          </cell>
          <cell r="E3945" t="str">
            <v>侧板内饰框CJZ-09</v>
          </cell>
          <cell r="F3945" t="str">
            <v>200*20*5</v>
          </cell>
          <cell r="G3945">
            <v>200</v>
          </cell>
          <cell r="H3945">
            <v>20</v>
          </cell>
          <cell r="I3945">
            <v>5</v>
          </cell>
          <cell r="J3945">
            <v>0</v>
          </cell>
          <cell r="K3945">
            <v>0</v>
          </cell>
          <cell r="L3945">
            <v>0.12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 t="e">
            <v>#DIV/0!</v>
          </cell>
        </row>
        <row r="3946">
          <cell r="A3946" t="str">
            <v>Y056-098</v>
          </cell>
          <cell r="B3946" t="str">
            <v>CJZ-10</v>
          </cell>
          <cell r="C3946" t="str">
            <v>Y056</v>
          </cell>
          <cell r="D3946" t="str">
            <v>72007-55 餐具柜</v>
          </cell>
          <cell r="E3946" t="str">
            <v>侧板中饰条CJZ-10</v>
          </cell>
          <cell r="F3946" t="str">
            <v>650*32*20</v>
          </cell>
          <cell r="G3946">
            <v>650</v>
          </cell>
          <cell r="H3946">
            <v>32</v>
          </cell>
          <cell r="I3946">
            <v>20</v>
          </cell>
          <cell r="J3946">
            <v>0</v>
          </cell>
          <cell r="K3946">
            <v>0</v>
          </cell>
          <cell r="L3946">
            <v>1.31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 t="e">
            <v>#DIV/0!</v>
          </cell>
        </row>
        <row r="3947">
          <cell r="A3947" t="str">
            <v>Y056-099</v>
          </cell>
          <cell r="B3947" t="str">
            <v>CJZ-11</v>
          </cell>
          <cell r="C3947" t="str">
            <v>Y056</v>
          </cell>
          <cell r="D3947" t="str">
            <v>72007-55 餐具柜</v>
          </cell>
          <cell r="E3947" t="str">
            <v>前侧下饰条CJZ-11</v>
          </cell>
          <cell r="F3947" t="str">
            <v>2000*32*15</v>
          </cell>
          <cell r="G3947">
            <v>2000</v>
          </cell>
          <cell r="H3947">
            <v>32</v>
          </cell>
          <cell r="I3947">
            <v>15</v>
          </cell>
          <cell r="J3947">
            <v>0</v>
          </cell>
          <cell r="K3947">
            <v>0</v>
          </cell>
          <cell r="L3947">
            <v>3.28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 t="e">
            <v>#DIV/0!</v>
          </cell>
        </row>
        <row r="3948">
          <cell r="A3948" t="str">
            <v>Y056-100</v>
          </cell>
          <cell r="B3948" t="str">
            <v>CJZ-12</v>
          </cell>
          <cell r="C3948" t="str">
            <v>Y056</v>
          </cell>
          <cell r="D3948" t="str">
            <v>72007-55 餐具柜</v>
          </cell>
          <cell r="E3948" t="str">
            <v>前侧下饰花CJZ-12</v>
          </cell>
          <cell r="F3948" t="str">
            <v>2000*68*13</v>
          </cell>
          <cell r="G3948">
            <v>2000</v>
          </cell>
          <cell r="H3948">
            <v>68</v>
          </cell>
          <cell r="I3948">
            <v>13</v>
          </cell>
          <cell r="J3948">
            <v>0</v>
          </cell>
          <cell r="K3948">
            <v>0</v>
          </cell>
          <cell r="L3948">
            <v>5.25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 t="e">
            <v>#DIV/0!</v>
          </cell>
        </row>
        <row r="3949">
          <cell r="A3949" t="str">
            <v>Y056-101</v>
          </cell>
          <cell r="B3949" t="str">
            <v>CJZ-13L</v>
          </cell>
          <cell r="C3949" t="str">
            <v>Y056</v>
          </cell>
          <cell r="D3949" t="str">
            <v>72007-55 餐具柜</v>
          </cell>
          <cell r="E3949" t="str">
            <v>左上企柱饰花CJZ-13L</v>
          </cell>
          <cell r="F3949" t="str">
            <v>300*78*6</v>
          </cell>
          <cell r="G3949">
            <v>300</v>
          </cell>
          <cell r="H3949">
            <v>78</v>
          </cell>
          <cell r="I3949">
            <v>6</v>
          </cell>
          <cell r="J3949">
            <v>0</v>
          </cell>
          <cell r="K3949">
            <v>0</v>
          </cell>
          <cell r="L3949">
            <v>0.43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 t="e">
            <v>#DIV/0!</v>
          </cell>
        </row>
        <row r="3950">
          <cell r="A3950" t="str">
            <v>Y056-102</v>
          </cell>
          <cell r="B3950" t="str">
            <v>CJZ-13R</v>
          </cell>
          <cell r="C3950" t="str">
            <v>Y056</v>
          </cell>
          <cell r="D3950" t="str">
            <v>72007-55 餐具柜</v>
          </cell>
          <cell r="E3950" t="str">
            <v>右上企柱饰花CJZ-13R</v>
          </cell>
          <cell r="F3950" t="str">
            <v>300*78*6</v>
          </cell>
          <cell r="G3950">
            <v>300</v>
          </cell>
          <cell r="H3950">
            <v>78</v>
          </cell>
          <cell r="I3950">
            <v>6</v>
          </cell>
          <cell r="J3950">
            <v>0</v>
          </cell>
          <cell r="K3950">
            <v>0</v>
          </cell>
          <cell r="L3950">
            <v>0.43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 t="e">
            <v>#DIV/0!</v>
          </cell>
        </row>
        <row r="3951">
          <cell r="A3951" t="str">
            <v>Y056-103</v>
          </cell>
          <cell r="B3951" t="str">
            <v>CJZ-14L</v>
          </cell>
          <cell r="C3951" t="str">
            <v>Y056</v>
          </cell>
          <cell r="D3951" t="str">
            <v>72007-55 餐具柜</v>
          </cell>
          <cell r="E3951" t="str">
            <v>左下企柱饰花CJZ-14L</v>
          </cell>
          <cell r="F3951" t="str">
            <v>320*78*6</v>
          </cell>
          <cell r="G3951">
            <v>320</v>
          </cell>
          <cell r="H3951">
            <v>78</v>
          </cell>
          <cell r="I3951">
            <v>6</v>
          </cell>
          <cell r="J3951">
            <v>0</v>
          </cell>
          <cell r="K3951">
            <v>0</v>
          </cell>
          <cell r="L3951">
            <v>0.44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 t="e">
            <v>#DIV/0!</v>
          </cell>
        </row>
        <row r="3952">
          <cell r="A3952" t="str">
            <v>Y056-104</v>
          </cell>
          <cell r="B3952" t="str">
            <v>CJZ-14R</v>
          </cell>
          <cell r="C3952" t="str">
            <v>Y056</v>
          </cell>
          <cell r="D3952" t="str">
            <v>72007-55 餐具柜</v>
          </cell>
          <cell r="E3952" t="str">
            <v>右下企柱饰花CJZ-14R</v>
          </cell>
          <cell r="F3952" t="str">
            <v>320*78*6</v>
          </cell>
          <cell r="G3952">
            <v>320</v>
          </cell>
          <cell r="H3952">
            <v>78</v>
          </cell>
          <cell r="I3952">
            <v>6</v>
          </cell>
          <cell r="J3952">
            <v>0</v>
          </cell>
          <cell r="K3952">
            <v>0</v>
          </cell>
          <cell r="L3952">
            <v>0.44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 t="e">
            <v>#DIV/0!</v>
          </cell>
        </row>
        <row r="3953">
          <cell r="A3953" t="str">
            <v>Y056-105</v>
          </cell>
          <cell r="B3953" t="str">
            <v>CGSG-01</v>
          </cell>
          <cell r="C3953" t="str">
            <v>Y056</v>
          </cell>
          <cell r="D3953" t="str">
            <v>72005-55C橱柜上柜</v>
          </cell>
          <cell r="E3953" t="str">
            <v>顶饰条 CGSG-01</v>
          </cell>
          <cell r="F3953" t="str">
            <v>2800*17*8</v>
          </cell>
          <cell r="G3953">
            <v>2800</v>
          </cell>
          <cell r="H3953">
            <v>17</v>
          </cell>
          <cell r="I3953">
            <v>8</v>
          </cell>
          <cell r="J3953">
            <v>0</v>
          </cell>
          <cell r="K3953">
            <v>0</v>
          </cell>
          <cell r="L3953">
            <v>1.25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 t="e">
            <v>#DIV/0!</v>
          </cell>
        </row>
        <row r="3954">
          <cell r="A3954" t="str">
            <v>Y056-106</v>
          </cell>
          <cell r="B3954" t="str">
            <v>CGXG-01L</v>
          </cell>
          <cell r="C3954" t="str">
            <v>Y056</v>
          </cell>
          <cell r="D3954" t="str">
            <v>72006-55橱柜下柜</v>
          </cell>
          <cell r="E3954" t="str">
            <v>左转角CGXG-01L</v>
          </cell>
          <cell r="F3954" t="str">
            <v>191*178*126</v>
          </cell>
          <cell r="G3954">
            <v>191</v>
          </cell>
          <cell r="H3954">
            <v>178</v>
          </cell>
          <cell r="I3954">
            <v>126</v>
          </cell>
          <cell r="J3954">
            <v>0</v>
          </cell>
          <cell r="K3954">
            <v>0</v>
          </cell>
          <cell r="L3954">
            <v>5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 t="e">
            <v>#DIV/0!</v>
          </cell>
        </row>
        <row r="3955">
          <cell r="A3955" t="str">
            <v>Y056-107</v>
          </cell>
          <cell r="B3955" t="str">
            <v>CGXG-01R</v>
          </cell>
          <cell r="C3955" t="str">
            <v>Y056</v>
          </cell>
          <cell r="D3955" t="str">
            <v>72006-55橱柜下柜</v>
          </cell>
          <cell r="E3955" t="str">
            <v>右转角CGXG-01R</v>
          </cell>
          <cell r="F3955" t="str">
            <v>191*178*126</v>
          </cell>
          <cell r="G3955">
            <v>191</v>
          </cell>
          <cell r="H3955">
            <v>178</v>
          </cell>
          <cell r="I3955">
            <v>126</v>
          </cell>
          <cell r="J3955">
            <v>0</v>
          </cell>
          <cell r="K3955">
            <v>0</v>
          </cell>
          <cell r="L3955">
            <v>5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 t="e">
            <v>#DIV/0!</v>
          </cell>
        </row>
        <row r="3956">
          <cell r="A3956" t="str">
            <v>Y056-108</v>
          </cell>
          <cell r="B3956" t="str">
            <v>CGXG-02L</v>
          </cell>
          <cell r="C3956" t="str">
            <v>Y056</v>
          </cell>
          <cell r="D3956" t="str">
            <v>72006-55橱柜下柜</v>
          </cell>
          <cell r="E3956" t="str">
            <v>左中转角CGXG-02L</v>
          </cell>
          <cell r="F3956" t="str">
            <v>158*85*56</v>
          </cell>
          <cell r="G3956">
            <v>158</v>
          </cell>
          <cell r="H3956">
            <v>85</v>
          </cell>
          <cell r="I3956">
            <v>56</v>
          </cell>
          <cell r="J3956">
            <v>0</v>
          </cell>
          <cell r="K3956">
            <v>0</v>
          </cell>
          <cell r="L3956">
            <v>1.05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 t="e">
            <v>#DIV/0!</v>
          </cell>
        </row>
        <row r="3957">
          <cell r="A3957" t="str">
            <v>Y056-109</v>
          </cell>
          <cell r="B3957" t="str">
            <v>CGXG-02R</v>
          </cell>
          <cell r="C3957" t="str">
            <v>Y056</v>
          </cell>
          <cell r="D3957" t="str">
            <v>72006-55橱柜下柜</v>
          </cell>
          <cell r="E3957" t="str">
            <v>右中转角CGXG-02R</v>
          </cell>
          <cell r="F3957" t="str">
            <v>158*85*56</v>
          </cell>
          <cell r="G3957">
            <v>158</v>
          </cell>
          <cell r="H3957">
            <v>85</v>
          </cell>
          <cell r="I3957">
            <v>56</v>
          </cell>
          <cell r="J3957">
            <v>0</v>
          </cell>
          <cell r="K3957">
            <v>0</v>
          </cell>
          <cell r="L3957">
            <v>1.05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 t="e">
            <v>#DIV/0!</v>
          </cell>
        </row>
        <row r="3958">
          <cell r="A3958" t="str">
            <v>Y056-110</v>
          </cell>
          <cell r="B3958" t="str">
            <v>CGXG-03</v>
          </cell>
          <cell r="C3958" t="str">
            <v>Y056</v>
          </cell>
          <cell r="D3958" t="str">
            <v>72006-55橱柜下柜</v>
          </cell>
          <cell r="E3958" t="str">
            <v>企柱上饰块CGXG-03</v>
          </cell>
          <cell r="F3958" t="str">
            <v>118*98*60</v>
          </cell>
          <cell r="G3958">
            <v>118</v>
          </cell>
          <cell r="H3958">
            <v>98</v>
          </cell>
          <cell r="I3958">
            <v>60</v>
          </cell>
          <cell r="J3958">
            <v>0</v>
          </cell>
          <cell r="K3958">
            <v>0</v>
          </cell>
          <cell r="L3958">
            <v>1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 t="e">
            <v>#DIV/0!</v>
          </cell>
        </row>
        <row r="3959">
          <cell r="A3959" t="str">
            <v>Y056-111</v>
          </cell>
          <cell r="B3959" t="str">
            <v>CGXG-04</v>
          </cell>
          <cell r="C3959" t="str">
            <v>Y056</v>
          </cell>
          <cell r="D3959" t="str">
            <v>72006-55橱柜下柜</v>
          </cell>
          <cell r="E3959" t="str">
            <v>企柱下饰块CGXG-04</v>
          </cell>
          <cell r="F3959" t="str">
            <v>118*98*60</v>
          </cell>
          <cell r="G3959">
            <v>118</v>
          </cell>
          <cell r="H3959">
            <v>98</v>
          </cell>
          <cell r="I3959">
            <v>60</v>
          </cell>
          <cell r="J3959">
            <v>0</v>
          </cell>
          <cell r="K3959">
            <v>0</v>
          </cell>
          <cell r="L3959">
            <v>1.18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 t="e">
            <v>#DIV/0!</v>
          </cell>
        </row>
        <row r="3960">
          <cell r="A3960" t="str">
            <v>Y056-112</v>
          </cell>
          <cell r="B3960" t="str">
            <v>CGXG-05L</v>
          </cell>
          <cell r="C3960" t="str">
            <v>Y056</v>
          </cell>
          <cell r="D3960" t="str">
            <v>72006-55橱柜下柜</v>
          </cell>
          <cell r="E3960" t="str">
            <v>左上企柱贴花CGXG-05L</v>
          </cell>
          <cell r="F3960" t="str">
            <v>275*78*6</v>
          </cell>
          <cell r="G3960">
            <v>275</v>
          </cell>
          <cell r="H3960">
            <v>78</v>
          </cell>
          <cell r="I3960">
            <v>6</v>
          </cell>
          <cell r="J3960">
            <v>147</v>
          </cell>
          <cell r="K3960">
            <v>0</v>
          </cell>
          <cell r="L3960">
            <v>0.42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2.8571428571428572</v>
          </cell>
        </row>
        <row r="3961">
          <cell r="A3961" t="str">
            <v>Y056-113</v>
          </cell>
          <cell r="B3961" t="str">
            <v>CGXG-05R</v>
          </cell>
          <cell r="C3961" t="str">
            <v>Y056</v>
          </cell>
          <cell r="D3961" t="str">
            <v>72006-55橱柜下柜</v>
          </cell>
          <cell r="E3961" t="str">
            <v>右上企柱贴花CGXG-05R</v>
          </cell>
          <cell r="F3961" t="str">
            <v>275*78*6</v>
          </cell>
          <cell r="G3961">
            <v>275</v>
          </cell>
          <cell r="H3961">
            <v>78</v>
          </cell>
          <cell r="I3961">
            <v>6</v>
          </cell>
          <cell r="J3961">
            <v>147</v>
          </cell>
          <cell r="K3961">
            <v>0</v>
          </cell>
          <cell r="L3961">
            <v>0.42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2.8571428571428572</v>
          </cell>
        </row>
        <row r="3962">
          <cell r="A3962" t="str">
            <v>Y056-114</v>
          </cell>
          <cell r="B3962" t="str">
            <v>CGXG-06L</v>
          </cell>
          <cell r="C3962" t="str">
            <v>Y056</v>
          </cell>
          <cell r="D3962" t="str">
            <v>72006-55橱柜下柜</v>
          </cell>
          <cell r="E3962" t="str">
            <v>左下企柱贴花CGXG-06L</v>
          </cell>
          <cell r="F3962" t="str">
            <v>290*78*6</v>
          </cell>
          <cell r="G3962">
            <v>290</v>
          </cell>
          <cell r="H3962">
            <v>78</v>
          </cell>
          <cell r="I3962">
            <v>6</v>
          </cell>
          <cell r="J3962">
            <v>0</v>
          </cell>
          <cell r="K3962">
            <v>0</v>
          </cell>
          <cell r="L3962">
            <v>0.43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 t="e">
            <v>#DIV/0!</v>
          </cell>
        </row>
        <row r="3963">
          <cell r="A3963" t="str">
            <v>Y056-115</v>
          </cell>
          <cell r="B3963" t="str">
            <v>CGXG-06R</v>
          </cell>
          <cell r="C3963" t="str">
            <v>Y056</v>
          </cell>
          <cell r="D3963" t="str">
            <v>72006-55橱柜下柜</v>
          </cell>
          <cell r="E3963" t="str">
            <v>右下企柱贴花CGXG-06R</v>
          </cell>
          <cell r="F3963" t="str">
            <v>290*78*6</v>
          </cell>
          <cell r="G3963">
            <v>290</v>
          </cell>
          <cell r="H3963">
            <v>78</v>
          </cell>
          <cell r="I3963">
            <v>6</v>
          </cell>
          <cell r="J3963">
            <v>0</v>
          </cell>
          <cell r="K3963">
            <v>0</v>
          </cell>
          <cell r="L3963">
            <v>0.43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 t="e">
            <v>#DIV/0!</v>
          </cell>
        </row>
        <row r="3964">
          <cell r="A3964" t="str">
            <v>Y056-116</v>
          </cell>
          <cell r="B3964" t="str">
            <v>CGXG-07</v>
          </cell>
          <cell r="C3964" t="str">
            <v>Y056</v>
          </cell>
          <cell r="D3964" t="str">
            <v>72006-55橱柜下柜</v>
          </cell>
          <cell r="E3964" t="str">
            <v>门板半圆饰条CGXG-07</v>
          </cell>
          <cell r="F3964" t="str">
            <v>235*85*7</v>
          </cell>
          <cell r="G3964">
            <v>235</v>
          </cell>
          <cell r="H3964">
            <v>85</v>
          </cell>
          <cell r="I3964">
            <v>7</v>
          </cell>
          <cell r="J3964">
            <v>0</v>
          </cell>
          <cell r="K3964">
            <v>0</v>
          </cell>
          <cell r="L3964">
            <v>0.13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 t="e">
            <v>#DIV/0!</v>
          </cell>
        </row>
        <row r="3965">
          <cell r="A3965" t="str">
            <v>Y056-117</v>
          </cell>
          <cell r="B3965" t="str">
            <v>CGXG-08</v>
          </cell>
          <cell r="C3965" t="str">
            <v>Y056</v>
          </cell>
          <cell r="D3965" t="str">
            <v>72006-55橱柜下柜</v>
          </cell>
          <cell r="E3965" t="str">
            <v>门板内饰条CGXG-08</v>
          </cell>
          <cell r="F3965" t="str">
            <v>900*12*7</v>
          </cell>
          <cell r="G3965">
            <v>900</v>
          </cell>
          <cell r="H3965">
            <v>12</v>
          </cell>
          <cell r="I3965">
            <v>7</v>
          </cell>
          <cell r="J3965">
            <v>0</v>
          </cell>
          <cell r="K3965">
            <v>0</v>
          </cell>
          <cell r="L3965">
            <v>0.33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 t="e">
            <v>#DIV/0!</v>
          </cell>
        </row>
        <row r="3966">
          <cell r="A3966" t="str">
            <v>Y056-118</v>
          </cell>
          <cell r="B3966" t="str">
            <v>CGXG-09</v>
          </cell>
          <cell r="C3966" t="str">
            <v>Y056</v>
          </cell>
          <cell r="D3966" t="str">
            <v>72006-55橱柜下柜</v>
          </cell>
          <cell r="E3966" t="str">
            <v>门板外饰条CGXG-09</v>
          </cell>
          <cell r="F3966" t="str">
            <v>750*31*12</v>
          </cell>
          <cell r="G3966">
            <v>750</v>
          </cell>
          <cell r="H3966">
            <v>31</v>
          </cell>
          <cell r="I3966">
            <v>12</v>
          </cell>
          <cell r="J3966">
            <v>0</v>
          </cell>
          <cell r="K3966">
            <v>0</v>
          </cell>
          <cell r="L3966">
            <v>1.04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 t="e">
            <v>#DIV/0!</v>
          </cell>
        </row>
        <row r="3967">
          <cell r="A3967" t="str">
            <v>Y056-119</v>
          </cell>
          <cell r="B3967" t="str">
            <v>CGXG-10</v>
          </cell>
          <cell r="C3967" t="str">
            <v>Y056</v>
          </cell>
          <cell r="D3967" t="str">
            <v>72006-55橱柜下柜</v>
          </cell>
          <cell r="E3967" t="str">
            <v>侧板饰条CGXG-10</v>
          </cell>
          <cell r="F3967" t="str">
            <v>800*11*6</v>
          </cell>
          <cell r="G3967">
            <v>800</v>
          </cell>
          <cell r="H3967">
            <v>11</v>
          </cell>
          <cell r="I3967">
            <v>6</v>
          </cell>
          <cell r="J3967">
            <v>0</v>
          </cell>
          <cell r="K3967">
            <v>0</v>
          </cell>
          <cell r="L3967">
            <v>0.25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 t="e">
            <v>#DIV/0!</v>
          </cell>
        </row>
        <row r="3968">
          <cell r="A3968" t="str">
            <v>Y056-120</v>
          </cell>
          <cell r="B3968" t="str">
            <v>CGXG-11</v>
          </cell>
          <cell r="C3968" t="str">
            <v>Y056</v>
          </cell>
          <cell r="D3968" t="str">
            <v>72006-55橱柜下柜</v>
          </cell>
          <cell r="E3968" t="str">
            <v>侧板中饰条CGXG-11</v>
          </cell>
          <cell r="F3968" t="str">
            <v>720*32*20</v>
          </cell>
          <cell r="G3968">
            <v>720</v>
          </cell>
          <cell r="H3968">
            <v>32</v>
          </cell>
          <cell r="I3968">
            <v>20</v>
          </cell>
          <cell r="J3968">
            <v>0</v>
          </cell>
          <cell r="K3968">
            <v>0</v>
          </cell>
          <cell r="L3968">
            <v>1.45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 t="e">
            <v>#DIV/0!</v>
          </cell>
        </row>
        <row r="3969">
          <cell r="A3969" t="str">
            <v>Y056-121</v>
          </cell>
          <cell r="B3969" t="str">
            <v>CGXG-12</v>
          </cell>
          <cell r="C3969" t="str">
            <v>Y056</v>
          </cell>
          <cell r="D3969" t="str">
            <v>72006-55橱柜下柜</v>
          </cell>
          <cell r="E3969" t="str">
            <v>侧板内饰条CGXG-12</v>
          </cell>
          <cell r="F3969" t="str">
            <v>225*70*6</v>
          </cell>
          <cell r="G3969">
            <v>225</v>
          </cell>
          <cell r="H3969">
            <v>70</v>
          </cell>
          <cell r="I3969">
            <v>6</v>
          </cell>
          <cell r="J3969">
            <v>0</v>
          </cell>
          <cell r="K3969">
            <v>0</v>
          </cell>
          <cell r="L3969">
            <v>0.13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 t="e">
            <v>#DIV/0!</v>
          </cell>
        </row>
        <row r="3970">
          <cell r="A3970" t="str">
            <v>Y056-122</v>
          </cell>
          <cell r="B3970" t="str">
            <v>CGXG-13</v>
          </cell>
          <cell r="C3970" t="str">
            <v>Y056</v>
          </cell>
          <cell r="D3970" t="str">
            <v>72006-55橱柜下柜</v>
          </cell>
          <cell r="E3970" t="str">
            <v>前侧下饰条CGXG-13</v>
          </cell>
          <cell r="F3970" t="str">
            <v>2250*32*15</v>
          </cell>
          <cell r="G3970">
            <v>2250</v>
          </cell>
          <cell r="H3970">
            <v>32</v>
          </cell>
          <cell r="I3970">
            <v>15</v>
          </cell>
          <cell r="J3970">
            <v>0</v>
          </cell>
          <cell r="K3970">
            <v>0</v>
          </cell>
          <cell r="L3970">
            <v>3.5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 t="e">
            <v>#DIV/0!</v>
          </cell>
        </row>
        <row r="3971">
          <cell r="A3971" t="str">
            <v>Y056-123</v>
          </cell>
          <cell r="B3971" t="str">
            <v>CGXG-14</v>
          </cell>
          <cell r="C3971" t="str">
            <v>Y056</v>
          </cell>
          <cell r="D3971" t="str">
            <v>72006-55橱柜下柜</v>
          </cell>
          <cell r="E3971" t="str">
            <v>前侧下饰花CGXG-14</v>
          </cell>
          <cell r="F3971" t="str">
            <v>2250*68*13</v>
          </cell>
          <cell r="G3971">
            <v>2250</v>
          </cell>
          <cell r="H3971">
            <v>68</v>
          </cell>
          <cell r="I3971">
            <v>13</v>
          </cell>
          <cell r="J3971">
            <v>0</v>
          </cell>
          <cell r="K3971">
            <v>0</v>
          </cell>
          <cell r="L3971">
            <v>5.7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 t="e">
            <v>#DIV/0!</v>
          </cell>
        </row>
        <row r="3972">
          <cell r="A3972" t="str">
            <v>Y056-124</v>
          </cell>
          <cell r="B3972" t="str">
            <v>CTG-013</v>
          </cell>
          <cell r="C3972" t="str">
            <v>Y056</v>
          </cell>
          <cell r="D3972" t="str">
            <v>72040-55小床头柜</v>
          </cell>
          <cell r="E3972" t="str">
            <v>抽面内饰框 CTG-013</v>
          </cell>
          <cell r="F3972" t="str">
            <v>455*80*4</v>
          </cell>
          <cell r="G3972">
            <v>455</v>
          </cell>
          <cell r="H3972">
            <v>80</v>
          </cell>
          <cell r="I3972">
            <v>4</v>
          </cell>
          <cell r="J3972">
            <v>0</v>
          </cell>
          <cell r="K3972">
            <v>0</v>
          </cell>
          <cell r="L3972">
            <v>0.12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 t="e">
            <v>#DIV/0!</v>
          </cell>
        </row>
        <row r="3973">
          <cell r="A3973" t="str">
            <v>Y056-125</v>
          </cell>
          <cell r="B3973" t="str">
            <v>CJZ-015</v>
          </cell>
          <cell r="C3973" t="str">
            <v>Y056</v>
          </cell>
          <cell r="D3973" t="str">
            <v>72007-55餐具柜</v>
          </cell>
          <cell r="E3973" t="str">
            <v>上抽面内饰框 CJZ-015</v>
          </cell>
          <cell r="F3973" t="str">
            <v>280*80*5</v>
          </cell>
          <cell r="G3973">
            <v>280</v>
          </cell>
          <cell r="H3973">
            <v>80</v>
          </cell>
          <cell r="I3973">
            <v>5</v>
          </cell>
          <cell r="J3973">
            <v>0</v>
          </cell>
          <cell r="K3973">
            <v>0</v>
          </cell>
          <cell r="L3973">
            <v>0.1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 t="e">
            <v>#DIV/0!</v>
          </cell>
          <cell r="S3973">
            <v>0</v>
          </cell>
        </row>
        <row r="3974">
          <cell r="A3974" t="str">
            <v>Y056-126</v>
          </cell>
          <cell r="B3974" t="str">
            <v>CJZ-016</v>
          </cell>
          <cell r="C3974" t="str">
            <v>Y056</v>
          </cell>
          <cell r="D3974" t="str">
            <v>72007-55餐具柜</v>
          </cell>
          <cell r="E3974" t="str">
            <v>上中抽面内饰框 CJZ-016</v>
          </cell>
          <cell r="F3974" t="str">
            <v>435*70*7.5</v>
          </cell>
          <cell r="G3974">
            <v>435</v>
          </cell>
          <cell r="H3974">
            <v>70</v>
          </cell>
          <cell r="I3974">
            <v>7.5</v>
          </cell>
          <cell r="J3974">
            <v>0</v>
          </cell>
          <cell r="K3974">
            <v>0</v>
          </cell>
          <cell r="L3974">
            <v>0.2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 t="e">
            <v>#DIV/0!</v>
          </cell>
          <cell r="S3974">
            <v>0</v>
          </cell>
        </row>
        <row r="3975">
          <cell r="A3975" t="str">
            <v>Y056-127</v>
          </cell>
          <cell r="B3975" t="str">
            <v>CGXG-015</v>
          </cell>
          <cell r="C3975" t="str">
            <v>Y056</v>
          </cell>
          <cell r="D3975" t="str">
            <v>72006-55橱柜下柜</v>
          </cell>
          <cell r="E3975" t="str">
            <v>上抽面内饰框CGXG-015</v>
          </cell>
          <cell r="F3975" t="str">
            <v>296*65*7.5</v>
          </cell>
          <cell r="G3975">
            <v>296</v>
          </cell>
          <cell r="H3975">
            <v>65</v>
          </cell>
          <cell r="I3975">
            <v>7.5</v>
          </cell>
          <cell r="J3975">
            <v>0</v>
          </cell>
          <cell r="K3975">
            <v>0</v>
          </cell>
          <cell r="L3975">
            <v>0.12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 t="e">
            <v>#DIV/0!</v>
          </cell>
          <cell r="S3975">
            <v>0</v>
          </cell>
        </row>
        <row r="3976">
          <cell r="A3976" t="str">
            <v>Y056-128</v>
          </cell>
          <cell r="B3976" t="str">
            <v>CGXG-016</v>
          </cell>
          <cell r="C3976" t="str">
            <v>Y056</v>
          </cell>
          <cell r="D3976" t="str">
            <v>72006-55橱柜下柜</v>
          </cell>
          <cell r="E3976" t="str">
            <v>上中抽面内饰框 CGXG-016</v>
          </cell>
          <cell r="F3976" t="str">
            <v>621*80*5</v>
          </cell>
          <cell r="G3976">
            <v>621</v>
          </cell>
          <cell r="H3976">
            <v>80</v>
          </cell>
          <cell r="I3976">
            <v>5</v>
          </cell>
          <cell r="J3976">
            <v>0</v>
          </cell>
          <cell r="K3976">
            <v>0</v>
          </cell>
          <cell r="L3976">
            <v>0.19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 t="e">
            <v>#DIV/0!</v>
          </cell>
          <cell r="S3976">
            <v>0</v>
          </cell>
        </row>
        <row r="3977">
          <cell r="A3977" t="str">
            <v>Y056-129</v>
          </cell>
          <cell r="B3977" t="str">
            <v>ZT-031</v>
          </cell>
          <cell r="C3977" t="str">
            <v>Y056</v>
          </cell>
          <cell r="D3977" t="str">
            <v>72050-55-妝台</v>
          </cell>
          <cell r="E3977" t="str">
            <v>中门板内坚饰条 ZT-031</v>
          </cell>
          <cell r="F3977" t="str">
            <v>280*38*12</v>
          </cell>
          <cell r="G3977">
            <v>280</v>
          </cell>
          <cell r="H3977">
            <v>38</v>
          </cell>
          <cell r="I3977">
            <v>12</v>
          </cell>
          <cell r="J3977">
            <v>0</v>
          </cell>
          <cell r="K3977">
            <v>0</v>
          </cell>
          <cell r="L3977">
            <v>0.53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 t="e">
            <v>#DIV/0!</v>
          </cell>
          <cell r="S3977">
            <v>0</v>
          </cell>
        </row>
        <row r="3978">
          <cell r="A3978" t="str">
            <v>Y056-130</v>
          </cell>
          <cell r="B3978" t="str">
            <v>CGSG-02</v>
          </cell>
          <cell r="C3978" t="str">
            <v>Y056</v>
          </cell>
          <cell r="D3978" t="str">
            <v>72050-55-妝台</v>
          </cell>
          <cell r="E3978" t="str">
            <v>顶饰花 CGSG-02</v>
          </cell>
          <cell r="F3978" t="str">
            <v>605*105*37</v>
          </cell>
          <cell r="G3978">
            <v>605</v>
          </cell>
          <cell r="H3978">
            <v>105</v>
          </cell>
          <cell r="I3978">
            <v>37</v>
          </cell>
          <cell r="J3978">
            <v>0</v>
          </cell>
          <cell r="K3978">
            <v>0</v>
          </cell>
          <cell r="L3978">
            <v>2.35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 t="e">
            <v>#DIV/0!</v>
          </cell>
          <cell r="S3978">
            <v>0</v>
          </cell>
        </row>
        <row r="3979">
          <cell r="A3979" t="str">
            <v>Y056-131</v>
          </cell>
          <cell r="B3979" t="str">
            <v>CJZ-017(同ZT-015)</v>
          </cell>
          <cell r="C3979" t="str">
            <v>Y056</v>
          </cell>
          <cell r="D3979" t="str">
            <v>72007-55</v>
          </cell>
          <cell r="E3979" t="str">
            <v>抽面外饰条 CJZ-017(同ZT-015)</v>
          </cell>
          <cell r="F3979" t="str">
            <v>550*12*6</v>
          </cell>
          <cell r="G3979">
            <v>550</v>
          </cell>
          <cell r="H3979">
            <v>12</v>
          </cell>
          <cell r="I3979">
            <v>6</v>
          </cell>
          <cell r="J3979">
            <v>0</v>
          </cell>
          <cell r="K3979">
            <v>0</v>
          </cell>
          <cell r="L3979">
            <v>0.16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 t="e">
            <v>#DIV/0!</v>
          </cell>
          <cell r="S3979">
            <v>0</v>
          </cell>
        </row>
        <row r="3980">
          <cell r="A3980" t="str">
            <v>Y056-132</v>
          </cell>
          <cell r="B3980" t="str">
            <v>CGXG-017(同ZT-015)</v>
          </cell>
          <cell r="C3980" t="str">
            <v>Y056</v>
          </cell>
          <cell r="D3980" t="str">
            <v>72006-55</v>
          </cell>
          <cell r="E3980" t="str">
            <v>抽面外饰条</v>
          </cell>
          <cell r="F3980" t="str">
            <v>1500*12*6</v>
          </cell>
          <cell r="G3980">
            <v>1500</v>
          </cell>
          <cell r="H3980">
            <v>12</v>
          </cell>
          <cell r="I3980">
            <v>6</v>
          </cell>
          <cell r="J3980">
            <v>0</v>
          </cell>
          <cell r="K3980">
            <v>0</v>
          </cell>
          <cell r="L3980">
            <v>0.43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 t="e">
            <v>#DIV/0!</v>
          </cell>
          <cell r="S3980">
            <v>0</v>
          </cell>
        </row>
        <row r="3981">
          <cell r="A3981" t="str">
            <v>Y056-133</v>
          </cell>
          <cell r="B3981" t="str">
            <v>BZ-01</v>
          </cell>
          <cell r="C3981" t="str">
            <v>Y056</v>
          </cell>
          <cell r="D3981" t="str">
            <v>72222-55 -邊桌</v>
          </cell>
          <cell r="E3981" t="str">
            <v>上饰花 BZ-01</v>
          </cell>
          <cell r="F3981" t="str">
            <v>1475*37*8</v>
          </cell>
          <cell r="G3981">
            <v>1475</v>
          </cell>
          <cell r="H3981">
            <v>37</v>
          </cell>
          <cell r="I3981">
            <v>8</v>
          </cell>
          <cell r="J3981">
            <v>0</v>
          </cell>
          <cell r="K3981">
            <v>0</v>
          </cell>
          <cell r="L3981">
            <v>1.53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 t="e">
            <v>#DIV/0!</v>
          </cell>
          <cell r="S3981">
            <v>0</v>
          </cell>
        </row>
        <row r="3982">
          <cell r="A3982" t="str">
            <v>Y056-134</v>
          </cell>
          <cell r="B3982" t="str">
            <v>CTG-007 (同ZT-020)</v>
          </cell>
          <cell r="C3982" t="str">
            <v>Y056</v>
          </cell>
          <cell r="D3982" t="str">
            <v>72040-55</v>
          </cell>
          <cell r="E3982" t="str">
            <v xml:space="preserve">门板内饰条  </v>
          </cell>
          <cell r="F3982" t="str">
            <v>1350*12*7</v>
          </cell>
          <cell r="G3982">
            <v>1350</v>
          </cell>
          <cell r="H3982">
            <v>12</v>
          </cell>
          <cell r="I3982">
            <v>7</v>
          </cell>
          <cell r="J3982">
            <v>170</v>
          </cell>
          <cell r="K3982">
            <v>0</v>
          </cell>
          <cell r="L3982">
            <v>0.5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2.9411764705882351</v>
          </cell>
          <cell r="S3982">
            <v>0</v>
          </cell>
        </row>
        <row r="3983">
          <cell r="A3983">
            <v>0</v>
          </cell>
          <cell r="B3983">
            <v>0</v>
          </cell>
          <cell r="C3983" t="str">
            <v>Y056</v>
          </cell>
          <cell r="D3983">
            <v>0</v>
          </cell>
          <cell r="E3983">
            <v>0</v>
          </cell>
          <cell r="F3983">
            <v>0</v>
          </cell>
          <cell r="G3983">
            <v>200</v>
          </cell>
          <cell r="H3983">
            <v>20</v>
          </cell>
          <cell r="I3983">
            <v>5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 t="e">
            <v>#DIV/0!</v>
          </cell>
          <cell r="S3983">
            <v>0</v>
          </cell>
        </row>
        <row r="3984">
          <cell r="A3984">
            <v>0</v>
          </cell>
          <cell r="B3984">
            <v>0</v>
          </cell>
          <cell r="C3984" t="str">
            <v>Y056</v>
          </cell>
          <cell r="D3984">
            <v>0</v>
          </cell>
          <cell r="E3984">
            <v>0</v>
          </cell>
          <cell r="F3984">
            <v>0</v>
          </cell>
          <cell r="G3984">
            <v>225</v>
          </cell>
          <cell r="H3984">
            <v>70</v>
          </cell>
          <cell r="I3984">
            <v>6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 t="e">
            <v>#DIV/0!</v>
          </cell>
          <cell r="S3984">
            <v>0</v>
          </cell>
        </row>
        <row r="3985">
          <cell r="A3985" t="str">
            <v>Y056-135</v>
          </cell>
          <cell r="B3985" t="str">
            <v>CTG-001</v>
          </cell>
          <cell r="C3985" t="str">
            <v>Y056</v>
          </cell>
          <cell r="D3985" t="str">
            <v>72040-55 小床头柜</v>
          </cell>
          <cell r="E3985" t="str">
            <v>P0199 企柱上饰块</v>
          </cell>
          <cell r="F3985" t="str">
            <v>124*92*103</v>
          </cell>
          <cell r="G3985">
            <v>124</v>
          </cell>
          <cell r="H3985">
            <v>92</v>
          </cell>
          <cell r="I3985">
            <v>103</v>
          </cell>
          <cell r="J3985">
            <v>501</v>
          </cell>
          <cell r="K3985">
            <v>0</v>
          </cell>
          <cell r="L3985">
            <v>1.41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 t="str">
            <v>1010</v>
          </cell>
          <cell r="R3985">
            <v>2.8143712574850297</v>
          </cell>
          <cell r="S3985" t="str">
            <v>木75*70*70</v>
          </cell>
        </row>
        <row r="3986">
          <cell r="A3986" t="str">
            <v>Y056-136</v>
          </cell>
          <cell r="B3986" t="str">
            <v>CTG-002</v>
          </cell>
          <cell r="C3986" t="str">
            <v>Y056</v>
          </cell>
          <cell r="D3986" t="str">
            <v>72040-55 小床头柜</v>
          </cell>
          <cell r="E3986" t="str">
            <v>P0200 企柱下饰块</v>
          </cell>
          <cell r="F3986" t="str">
            <v>120*103*64</v>
          </cell>
          <cell r="G3986">
            <v>120</v>
          </cell>
          <cell r="H3986">
            <v>103</v>
          </cell>
          <cell r="I3986">
            <v>64</v>
          </cell>
          <cell r="J3986">
            <v>0</v>
          </cell>
          <cell r="K3986">
            <v>0</v>
          </cell>
          <cell r="L3986">
            <v>1.27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 t="str">
            <v>1010</v>
          </cell>
          <cell r="R3986" t="e">
            <v>#DIV/0!</v>
          </cell>
          <cell r="S3986" t="str">
            <v>木56*70*70</v>
          </cell>
        </row>
        <row r="3987">
          <cell r="A3987" t="str">
            <v>Y056-137</v>
          </cell>
          <cell r="B3987" t="str">
            <v>CTG-003-1</v>
          </cell>
          <cell r="C3987" t="str">
            <v>Y056</v>
          </cell>
          <cell r="D3987" t="str">
            <v>72040-55 小床头柜</v>
          </cell>
          <cell r="E3987" t="str">
            <v xml:space="preserve">P0201 企柱中饰花 1 </v>
          </cell>
          <cell r="F3987" t="str">
            <v>280*80*4.5</v>
          </cell>
          <cell r="G3987">
            <v>280</v>
          </cell>
          <cell r="H3987">
            <v>80</v>
          </cell>
          <cell r="I3987">
            <v>4.5</v>
          </cell>
          <cell r="J3987">
            <v>0</v>
          </cell>
          <cell r="K3987">
            <v>0</v>
          </cell>
          <cell r="L3987">
            <v>0.43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 t="str">
            <v>1075</v>
          </cell>
          <cell r="R3987" t="e">
            <v>#DIV/0!</v>
          </cell>
          <cell r="S3987">
            <v>0</v>
          </cell>
        </row>
        <row r="3988">
          <cell r="A3988" t="str">
            <v>Y056-138</v>
          </cell>
          <cell r="B3988" t="str">
            <v>CTG-003-2</v>
          </cell>
          <cell r="C3988" t="str">
            <v>Y056</v>
          </cell>
          <cell r="D3988" t="str">
            <v>72040-55 小床头柜</v>
          </cell>
          <cell r="E3988" t="str">
            <v xml:space="preserve">P0202 企柱中饰花 2  </v>
          </cell>
          <cell r="F3988" t="str">
            <v>280*80*1.5</v>
          </cell>
          <cell r="G3988">
            <v>280</v>
          </cell>
          <cell r="H3988">
            <v>80</v>
          </cell>
          <cell r="I3988">
            <v>4.5</v>
          </cell>
          <cell r="J3988">
            <v>0</v>
          </cell>
          <cell r="K3988">
            <v>0</v>
          </cell>
          <cell r="L3988">
            <v>0.43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 t="str">
            <v>1075</v>
          </cell>
          <cell r="R3988" t="e">
            <v>#DIV/0!</v>
          </cell>
          <cell r="S3988">
            <v>0</v>
          </cell>
        </row>
        <row r="3989">
          <cell r="A3989" t="str">
            <v>Y056-139</v>
          </cell>
          <cell r="B3989" t="str">
            <v>CTG-004L</v>
          </cell>
          <cell r="C3989" t="str">
            <v>Y056</v>
          </cell>
          <cell r="D3989" t="str">
            <v>72040-55 小床头柜</v>
          </cell>
          <cell r="E3989" t="str">
            <v xml:space="preserve">P0203 企柱左上转角 </v>
          </cell>
          <cell r="F3989" t="str">
            <v>190*176*120</v>
          </cell>
          <cell r="G3989">
            <v>190</v>
          </cell>
          <cell r="H3989">
            <v>176</v>
          </cell>
          <cell r="I3989">
            <v>120</v>
          </cell>
          <cell r="J3989">
            <v>0</v>
          </cell>
          <cell r="K3989">
            <v>0</v>
          </cell>
          <cell r="L3989">
            <v>4.3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 t="str">
            <v>1010</v>
          </cell>
          <cell r="R3989" t="e">
            <v>#DIV/0!</v>
          </cell>
          <cell r="S3989" t="str">
            <v>木180*112*54</v>
          </cell>
        </row>
        <row r="3990">
          <cell r="A3990" t="str">
            <v>Y056-140</v>
          </cell>
          <cell r="B3990" t="str">
            <v>CTG-005R</v>
          </cell>
          <cell r="C3990" t="str">
            <v>Y056</v>
          </cell>
          <cell r="D3990" t="str">
            <v>72040-55 小床头柜</v>
          </cell>
          <cell r="E3990" t="str">
            <v xml:space="preserve">P0204企柱右上转角  </v>
          </cell>
          <cell r="F3990" t="str">
            <v>190*176*120</v>
          </cell>
          <cell r="G3990">
            <v>190</v>
          </cell>
          <cell r="H3990">
            <v>176</v>
          </cell>
          <cell r="I3990">
            <v>120</v>
          </cell>
          <cell r="J3990">
            <v>0</v>
          </cell>
          <cell r="K3990">
            <v>0</v>
          </cell>
          <cell r="L3990">
            <v>4.3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 t="str">
            <v>1010</v>
          </cell>
          <cell r="R3990" t="e">
            <v>#DIV/0!</v>
          </cell>
          <cell r="S3990" t="str">
            <v>木180*112*54</v>
          </cell>
        </row>
        <row r="3991">
          <cell r="A3991" t="str">
            <v>Y056-141</v>
          </cell>
          <cell r="B3991" t="str">
            <v>CTG-010L</v>
          </cell>
          <cell r="C3991" t="str">
            <v>Y056</v>
          </cell>
          <cell r="D3991" t="str">
            <v>72040-55 小床头柜</v>
          </cell>
          <cell r="E3991" t="str">
            <v xml:space="preserve">P0205 側板上饰框     </v>
          </cell>
          <cell r="F3991" t="str">
            <v>282*86*6</v>
          </cell>
          <cell r="G3991">
            <v>282</v>
          </cell>
          <cell r="H3991">
            <v>86</v>
          </cell>
          <cell r="I3991">
            <v>6</v>
          </cell>
          <cell r="J3991">
            <v>0</v>
          </cell>
          <cell r="K3991">
            <v>0</v>
          </cell>
          <cell r="L3991">
            <v>0.16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 t="str">
            <v>1010</v>
          </cell>
          <cell r="R3991" t="e">
            <v>#DIV/0!</v>
          </cell>
          <cell r="S3991">
            <v>0</v>
          </cell>
        </row>
        <row r="3992">
          <cell r="A3992" t="str">
            <v>Y056-142</v>
          </cell>
          <cell r="B3992" t="str">
            <v>CTG-010R</v>
          </cell>
          <cell r="C3992" t="str">
            <v>Y056</v>
          </cell>
          <cell r="D3992" t="str">
            <v>72040-55 小床头柜</v>
          </cell>
          <cell r="E3992" t="str">
            <v xml:space="preserve">P0206 側板上饰框    </v>
          </cell>
          <cell r="F3992" t="str">
            <v>282*86*6</v>
          </cell>
          <cell r="G3992">
            <v>282</v>
          </cell>
          <cell r="H3992">
            <v>86</v>
          </cell>
          <cell r="I3992">
            <v>6</v>
          </cell>
          <cell r="J3992">
            <v>0</v>
          </cell>
          <cell r="K3992">
            <v>0</v>
          </cell>
          <cell r="L3992">
            <v>0.16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 t="str">
            <v>1010</v>
          </cell>
          <cell r="R3992" t="e">
            <v>#DIV/0!</v>
          </cell>
          <cell r="S3992">
            <v>0</v>
          </cell>
        </row>
        <row r="3993">
          <cell r="A3993" t="str">
            <v>Y056-143</v>
          </cell>
          <cell r="B3993" t="str">
            <v>CTG-006(同ZT-016)</v>
          </cell>
          <cell r="C3993" t="str">
            <v>Y056</v>
          </cell>
          <cell r="D3993" t="str">
            <v>72040-55 小床头柜</v>
          </cell>
          <cell r="E3993" t="str">
            <v xml:space="preserve">P0207 门板外饰条 </v>
          </cell>
          <cell r="F3993" t="str">
            <v>580*31*12</v>
          </cell>
          <cell r="G3993">
            <v>580</v>
          </cell>
          <cell r="H3993">
            <v>31</v>
          </cell>
          <cell r="I3993">
            <v>12</v>
          </cell>
          <cell r="J3993">
            <v>0</v>
          </cell>
          <cell r="K3993">
            <v>0</v>
          </cell>
          <cell r="L3993">
            <v>0.88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 t="str">
            <v>1010</v>
          </cell>
          <cell r="R3993" t="e">
            <v>#DIV/0!</v>
          </cell>
          <cell r="S3993">
            <v>0</v>
          </cell>
        </row>
        <row r="3994">
          <cell r="A3994" t="str">
            <v>Y056-144</v>
          </cell>
          <cell r="B3994" t="str">
            <v>CTG-007 (同ZT-020)</v>
          </cell>
          <cell r="C3994" t="str">
            <v>Y056</v>
          </cell>
          <cell r="D3994" t="str">
            <v>72040-55 小床头柜</v>
          </cell>
          <cell r="E3994" t="str">
            <v>门板内饰条</v>
          </cell>
          <cell r="F3994" t="str">
            <v>1350*12*7</v>
          </cell>
          <cell r="G3994">
            <v>1350</v>
          </cell>
          <cell r="H3994">
            <v>12</v>
          </cell>
          <cell r="I3994">
            <v>7</v>
          </cell>
          <cell r="J3994">
            <v>170</v>
          </cell>
          <cell r="K3994">
            <v>0</v>
          </cell>
          <cell r="L3994">
            <v>0.5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 t="str">
            <v>1010</v>
          </cell>
          <cell r="R3994">
            <v>2.9411764705882351</v>
          </cell>
          <cell r="S3994">
            <v>0</v>
          </cell>
        </row>
        <row r="3995">
          <cell r="A3995" t="str">
            <v>Y056-145</v>
          </cell>
          <cell r="B3995" t="str">
            <v>CTG-008 (同ZT-004)</v>
          </cell>
          <cell r="C3995" t="str">
            <v>Y056</v>
          </cell>
          <cell r="D3995" t="str">
            <v>72040-55 小床头柜</v>
          </cell>
          <cell r="E3995" t="str">
            <v>P0209 前侧下饰条</v>
          </cell>
          <cell r="F3995" t="str">
            <v>1400*32*15</v>
          </cell>
          <cell r="G3995">
            <v>1400</v>
          </cell>
          <cell r="H3995">
            <v>32</v>
          </cell>
          <cell r="I3995">
            <v>15</v>
          </cell>
          <cell r="J3995">
            <v>810</v>
          </cell>
          <cell r="K3995">
            <v>0</v>
          </cell>
          <cell r="L3995">
            <v>2.27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 t="str">
            <v>1010</v>
          </cell>
          <cell r="R3995">
            <v>2.8024691358024691</v>
          </cell>
          <cell r="S3995">
            <v>0</v>
          </cell>
        </row>
        <row r="3996">
          <cell r="A3996" t="str">
            <v>Y056-146</v>
          </cell>
          <cell r="B3996" t="str">
            <v>CTG-009 (同ZT-027)</v>
          </cell>
          <cell r="C3996" t="str">
            <v>Y056</v>
          </cell>
          <cell r="D3996" t="str">
            <v>72040-55 小床头柜</v>
          </cell>
          <cell r="E3996" t="str">
            <v xml:space="preserve">P0210 前侧下饰花 </v>
          </cell>
          <cell r="F3996" t="str">
            <v>1400*68*13</v>
          </cell>
          <cell r="G3996">
            <v>1400</v>
          </cell>
          <cell r="H3996">
            <v>68</v>
          </cell>
          <cell r="I3996">
            <v>13</v>
          </cell>
          <cell r="J3996">
            <v>1290</v>
          </cell>
          <cell r="K3996">
            <v>0</v>
          </cell>
          <cell r="L3996">
            <v>3.5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 t="str">
            <v>1010</v>
          </cell>
          <cell r="R3996">
            <v>2.7131782945736433</v>
          </cell>
          <cell r="S3996">
            <v>0</v>
          </cell>
        </row>
        <row r="3997">
          <cell r="A3997" t="str">
            <v>Y056-147</v>
          </cell>
          <cell r="B3997" t="str">
            <v>CTG-011 (同ZT-015)</v>
          </cell>
          <cell r="C3997" t="str">
            <v>Y056</v>
          </cell>
          <cell r="D3997" t="str">
            <v>72040-55 小床头柜</v>
          </cell>
          <cell r="E3997" t="str">
            <v>P0211 抽面外饰条</v>
          </cell>
          <cell r="F3997" t="str">
            <v>1500*12*6</v>
          </cell>
          <cell r="G3997">
            <v>1500</v>
          </cell>
          <cell r="H3997">
            <v>12</v>
          </cell>
          <cell r="I3997">
            <v>6</v>
          </cell>
          <cell r="J3997">
            <v>152</v>
          </cell>
          <cell r="K3997">
            <v>0</v>
          </cell>
          <cell r="L3997">
            <v>0.43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 t="str">
            <v>1010</v>
          </cell>
          <cell r="R3997">
            <v>2.8289473684210527</v>
          </cell>
          <cell r="S3997">
            <v>0</v>
          </cell>
        </row>
        <row r="3998">
          <cell r="A3998" t="str">
            <v>Y056-148</v>
          </cell>
          <cell r="B3998" t="str">
            <v>CTG-012 同ZT-017</v>
          </cell>
          <cell r="C3998" t="str">
            <v>Y056</v>
          </cell>
          <cell r="D3998" t="str">
            <v>72040-55 小床头柜</v>
          </cell>
          <cell r="E3998" t="str">
            <v>侧板上中饰条</v>
          </cell>
          <cell r="F3998" t="str">
            <v>720*31*20</v>
          </cell>
          <cell r="G3998">
            <v>720</v>
          </cell>
          <cell r="H3998">
            <v>31</v>
          </cell>
          <cell r="I3998">
            <v>20</v>
          </cell>
          <cell r="J3998">
            <v>505</v>
          </cell>
          <cell r="K3998">
            <v>0</v>
          </cell>
          <cell r="L3998">
            <v>1.47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 t="str">
            <v>1010</v>
          </cell>
          <cell r="R3998">
            <v>2.9108910891089108</v>
          </cell>
          <cell r="S3998">
            <v>0</v>
          </cell>
        </row>
        <row r="3999">
          <cell r="A3999" t="str">
            <v>Y056-149</v>
          </cell>
          <cell r="B3999" t="str">
            <v>CTG-013</v>
          </cell>
          <cell r="C3999" t="str">
            <v>Y056</v>
          </cell>
          <cell r="D3999" t="str">
            <v>72040-55小床头柜</v>
          </cell>
          <cell r="E3999" t="str">
            <v>抽面内饰框 第二次</v>
          </cell>
          <cell r="F3999" t="str">
            <v>453*60*6</v>
          </cell>
          <cell r="G3999">
            <v>453</v>
          </cell>
          <cell r="H3999">
            <v>60</v>
          </cell>
          <cell r="I3999">
            <v>6</v>
          </cell>
          <cell r="J3999">
            <v>0</v>
          </cell>
          <cell r="K3999">
            <v>0</v>
          </cell>
          <cell r="L3999">
            <v>0.12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 t="str">
            <v>1010</v>
          </cell>
          <cell r="R3999" t="e">
            <v>#DIV/0!</v>
          </cell>
          <cell r="S3999">
            <v>0</v>
          </cell>
        </row>
        <row r="4000">
          <cell r="A4000" t="str">
            <v>Y056-150</v>
          </cell>
          <cell r="B4000" t="str">
            <v>Z T-001</v>
          </cell>
          <cell r="C4000" t="str">
            <v>Y056</v>
          </cell>
          <cell r="D4000" t="str">
            <v>72050-55 妆台</v>
          </cell>
          <cell r="E4000" t="str">
            <v xml:space="preserve">P0223 暗抽面上饰花 </v>
          </cell>
          <cell r="F4000" t="str">
            <v>132*69*43</v>
          </cell>
          <cell r="G4000">
            <v>132</v>
          </cell>
          <cell r="H4000">
            <v>69</v>
          </cell>
          <cell r="I4000">
            <v>43</v>
          </cell>
          <cell r="J4000">
            <v>0</v>
          </cell>
          <cell r="K4000">
            <v>0</v>
          </cell>
          <cell r="L4000">
            <v>0.5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 t="str">
            <v>1010</v>
          </cell>
          <cell r="R4000" t="e">
            <v>#DIV/0!</v>
          </cell>
          <cell r="S4000">
            <v>0</v>
          </cell>
        </row>
        <row r="4001">
          <cell r="A4001" t="str">
            <v>Y056-151</v>
          </cell>
          <cell r="B4001" t="str">
            <v>Z T-002L</v>
          </cell>
          <cell r="C4001" t="str">
            <v>Y056</v>
          </cell>
          <cell r="D4001" t="str">
            <v>72050-55 妝台</v>
          </cell>
          <cell r="E4001" t="str">
            <v>P0224 暗抽面中饰花（左）</v>
          </cell>
          <cell r="F4001" t="str">
            <v>275*50*7.5</v>
          </cell>
          <cell r="G4001">
            <v>275</v>
          </cell>
          <cell r="H4001">
            <v>50</v>
          </cell>
          <cell r="I4001">
            <v>7.5</v>
          </cell>
          <cell r="J4001">
            <v>0</v>
          </cell>
          <cell r="K4001">
            <v>0</v>
          </cell>
          <cell r="L4001">
            <v>0.16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 t="str">
            <v>1010</v>
          </cell>
          <cell r="R4001" t="e">
            <v>#DIV/0!</v>
          </cell>
          <cell r="S4001">
            <v>0</v>
          </cell>
        </row>
        <row r="4002">
          <cell r="A4002" t="str">
            <v>Y056-152</v>
          </cell>
          <cell r="B4002" t="str">
            <v>Z T-002R</v>
          </cell>
          <cell r="C4002" t="str">
            <v>Y056</v>
          </cell>
          <cell r="D4002" t="str">
            <v>72050-55 妝台</v>
          </cell>
          <cell r="E4002" t="str">
            <v>P0225 暗抽面中饰花（右）</v>
          </cell>
          <cell r="F4002" t="str">
            <v>275*50*7.5</v>
          </cell>
          <cell r="G4002">
            <v>275</v>
          </cell>
          <cell r="H4002">
            <v>50</v>
          </cell>
          <cell r="I4002">
            <v>7.5</v>
          </cell>
          <cell r="J4002">
            <v>0</v>
          </cell>
          <cell r="K4002">
            <v>0</v>
          </cell>
          <cell r="L4002">
            <v>0.16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 t="str">
            <v>1010</v>
          </cell>
          <cell r="R4002" t="e">
            <v>#DIV/0!</v>
          </cell>
          <cell r="S4002">
            <v>0</v>
          </cell>
        </row>
        <row r="4003">
          <cell r="A4003" t="str">
            <v>Y056-153</v>
          </cell>
          <cell r="B4003" t="str">
            <v>Z T-003</v>
          </cell>
          <cell r="C4003" t="str">
            <v>Y056</v>
          </cell>
          <cell r="D4003" t="str">
            <v>72050-55 妝台</v>
          </cell>
          <cell r="E4003" t="str">
            <v xml:space="preserve">P0226 暗抽面下饰花 </v>
          </cell>
          <cell r="F4003" t="str">
            <v>125*65*33</v>
          </cell>
          <cell r="G4003">
            <v>125</v>
          </cell>
          <cell r="H4003">
            <v>65</v>
          </cell>
          <cell r="I4003">
            <v>33</v>
          </cell>
          <cell r="J4003">
            <v>0</v>
          </cell>
          <cell r="K4003">
            <v>0</v>
          </cell>
          <cell r="L4003">
            <v>0.56000000000000005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 t="str">
            <v>1010</v>
          </cell>
          <cell r="R4003" t="e">
            <v>#DIV/0!</v>
          </cell>
          <cell r="S4003">
            <v>0</v>
          </cell>
        </row>
        <row r="4004">
          <cell r="A4004" t="str">
            <v>Y056-154</v>
          </cell>
          <cell r="B4004" t="str">
            <v>Z T-004</v>
          </cell>
          <cell r="C4004" t="str">
            <v>Y056</v>
          </cell>
          <cell r="D4004" t="str">
            <v>72050-55 妆台</v>
          </cell>
          <cell r="E4004" t="str">
            <v xml:space="preserve">P0227 前侧下饰条 </v>
          </cell>
          <cell r="F4004" t="str">
            <v>2300*32*15</v>
          </cell>
          <cell r="G4004">
            <v>2300</v>
          </cell>
          <cell r="H4004">
            <v>32</v>
          </cell>
          <cell r="I4004">
            <v>15</v>
          </cell>
          <cell r="J4004">
            <v>0</v>
          </cell>
          <cell r="K4004">
            <v>0</v>
          </cell>
          <cell r="L4004">
            <v>3.6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 t="str">
            <v>1010</v>
          </cell>
          <cell r="R4004" t="e">
            <v>#DIV/0!</v>
          </cell>
          <cell r="S4004">
            <v>0</v>
          </cell>
        </row>
        <row r="4005">
          <cell r="A4005" t="str">
            <v>Y056-155</v>
          </cell>
          <cell r="B4005" t="str">
            <v>Z T-005</v>
          </cell>
          <cell r="C4005" t="str">
            <v>Y056</v>
          </cell>
          <cell r="D4005" t="str">
            <v>72050-55 妆台</v>
          </cell>
          <cell r="E4005" t="str">
            <v>P0228 前企柱上饰块</v>
          </cell>
          <cell r="F4005" t="str">
            <v>100*120*120</v>
          </cell>
          <cell r="G4005">
            <v>100</v>
          </cell>
          <cell r="H4005">
            <v>120</v>
          </cell>
          <cell r="I4005">
            <v>120</v>
          </cell>
          <cell r="J4005">
            <v>0</v>
          </cell>
          <cell r="K4005">
            <v>0</v>
          </cell>
          <cell r="L4005">
            <v>1.26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 t="str">
            <v>1010</v>
          </cell>
          <cell r="R4005" t="e">
            <v>#DIV/0!</v>
          </cell>
          <cell r="S4005" t="str">
            <v>木83*70*70</v>
          </cell>
        </row>
        <row r="4006">
          <cell r="A4006" t="str">
            <v>Y056-156</v>
          </cell>
          <cell r="B4006" t="str">
            <v>Z T-006</v>
          </cell>
          <cell r="C4006" t="str">
            <v>Y056</v>
          </cell>
          <cell r="D4006" t="str">
            <v>72050-55 妆台</v>
          </cell>
          <cell r="E4006" t="str">
            <v>P0229 前企柱下饰块</v>
          </cell>
          <cell r="F4006" t="str">
            <v>130*100*100</v>
          </cell>
          <cell r="G4006">
            <v>130</v>
          </cell>
          <cell r="H4006">
            <v>100</v>
          </cell>
          <cell r="I4006">
            <v>100</v>
          </cell>
          <cell r="J4006">
            <v>0</v>
          </cell>
          <cell r="K4006">
            <v>0</v>
          </cell>
          <cell r="L4006">
            <v>1.47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 t="str">
            <v>1010</v>
          </cell>
          <cell r="R4006" t="e">
            <v>#DIV/0!</v>
          </cell>
          <cell r="S4006" t="str">
            <v>木93*108*85</v>
          </cell>
        </row>
        <row r="4007">
          <cell r="A4007" t="str">
            <v>Y056-157</v>
          </cell>
          <cell r="B4007" t="str">
            <v>Z T-007L</v>
          </cell>
          <cell r="C4007" t="str">
            <v>Y056</v>
          </cell>
          <cell r="D4007" t="str">
            <v>72050-55 妆台</v>
          </cell>
          <cell r="E4007" t="str">
            <v>P0230 側板上饰框（左）</v>
          </cell>
          <cell r="F4007" t="str">
            <v>255*85*6.5</v>
          </cell>
          <cell r="G4007">
            <v>255</v>
          </cell>
          <cell r="H4007">
            <v>85</v>
          </cell>
          <cell r="I4007">
            <v>6.5</v>
          </cell>
          <cell r="J4007">
            <v>0</v>
          </cell>
          <cell r="K4007">
            <v>0</v>
          </cell>
          <cell r="L4007">
            <v>0.15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 t="str">
            <v>1010</v>
          </cell>
          <cell r="R4007" t="e">
            <v>#DIV/0!</v>
          </cell>
          <cell r="S4007">
            <v>0</v>
          </cell>
        </row>
        <row r="4008">
          <cell r="A4008" t="str">
            <v>Y056-158</v>
          </cell>
          <cell r="B4008" t="str">
            <v>Z T-008R</v>
          </cell>
          <cell r="C4008" t="str">
            <v>Y056</v>
          </cell>
          <cell r="D4008" t="str">
            <v>72050-55 妆台</v>
          </cell>
          <cell r="E4008" t="str">
            <v>P0231 側板上饰框 （右）</v>
          </cell>
          <cell r="F4008" t="str">
            <v>255*85*6.5</v>
          </cell>
          <cell r="G4008">
            <v>255</v>
          </cell>
          <cell r="H4008">
            <v>85</v>
          </cell>
          <cell r="I4008">
            <v>6.5</v>
          </cell>
          <cell r="J4008">
            <v>0</v>
          </cell>
          <cell r="K4008">
            <v>0</v>
          </cell>
          <cell r="L4008">
            <v>0.15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 t="str">
            <v>1010</v>
          </cell>
          <cell r="R4008" t="e">
            <v>#DIV/0!</v>
          </cell>
          <cell r="S4008">
            <v>0</v>
          </cell>
        </row>
        <row r="4009">
          <cell r="A4009" t="str">
            <v>Y056-159</v>
          </cell>
          <cell r="B4009" t="str">
            <v>Z T-009</v>
          </cell>
          <cell r="C4009" t="str">
            <v>Y056</v>
          </cell>
          <cell r="D4009" t="str">
            <v>72050-55 妆台</v>
          </cell>
          <cell r="E4009" t="str">
            <v xml:space="preserve">P0232 上侧抽面饰框 </v>
          </cell>
          <cell r="F4009" t="str">
            <v>303*69*6.5</v>
          </cell>
          <cell r="G4009">
            <v>303</v>
          </cell>
          <cell r="H4009">
            <v>69</v>
          </cell>
          <cell r="I4009">
            <v>6.5</v>
          </cell>
          <cell r="J4009">
            <v>0</v>
          </cell>
          <cell r="K4009">
            <v>0</v>
          </cell>
          <cell r="L4009">
            <v>0.14000000000000001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 t="str">
            <v>1010</v>
          </cell>
          <cell r="R4009" t="e">
            <v>#DIV/0!</v>
          </cell>
          <cell r="S4009">
            <v>0</v>
          </cell>
        </row>
        <row r="4010">
          <cell r="A4010" t="str">
            <v>Y056-160</v>
          </cell>
          <cell r="B4010" t="str">
            <v>Z T-010</v>
          </cell>
          <cell r="C4010" t="str">
            <v>Y056</v>
          </cell>
          <cell r="D4010" t="str">
            <v>72050-55 妆台</v>
          </cell>
          <cell r="E4010" t="str">
            <v>P0233 中侧抽面饰框</v>
          </cell>
          <cell r="F4010" t="str">
            <v>324*10.6*9</v>
          </cell>
          <cell r="G4010">
            <v>324</v>
          </cell>
          <cell r="H4010">
            <v>10.6</v>
          </cell>
          <cell r="I4010">
            <v>9</v>
          </cell>
          <cell r="J4010">
            <v>0</v>
          </cell>
          <cell r="K4010">
            <v>0</v>
          </cell>
          <cell r="L4010">
            <v>0.34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 t="str">
            <v>1010</v>
          </cell>
          <cell r="R4010" t="e">
            <v>#DIV/0!</v>
          </cell>
          <cell r="S4010">
            <v>0</v>
          </cell>
        </row>
        <row r="4011">
          <cell r="A4011" t="str">
            <v>Y056-161</v>
          </cell>
          <cell r="B4011" t="str">
            <v>Z T-011</v>
          </cell>
          <cell r="C4011" t="str">
            <v>Y056</v>
          </cell>
          <cell r="D4011" t="str">
            <v>72050-55 妆台</v>
          </cell>
          <cell r="E4011" t="str">
            <v xml:space="preserve">P0234 中下侧抽面饰框 </v>
          </cell>
          <cell r="F4011" t="str">
            <v>323*138*9.5</v>
          </cell>
          <cell r="G4011">
            <v>323</v>
          </cell>
          <cell r="H4011">
            <v>138</v>
          </cell>
          <cell r="I4011">
            <v>9.5</v>
          </cell>
          <cell r="J4011">
            <v>0</v>
          </cell>
          <cell r="K4011">
            <v>0</v>
          </cell>
          <cell r="L4011">
            <v>0.35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 t="str">
            <v>1010</v>
          </cell>
          <cell r="R4011" t="e">
            <v>#DIV/0!</v>
          </cell>
          <cell r="S4011">
            <v>0</v>
          </cell>
        </row>
        <row r="4012">
          <cell r="A4012" t="str">
            <v>Y056-162</v>
          </cell>
          <cell r="B4012" t="str">
            <v>Z T-012</v>
          </cell>
          <cell r="C4012" t="str">
            <v>Y056</v>
          </cell>
          <cell r="D4012" t="str">
            <v>72050-55 妆台</v>
          </cell>
          <cell r="E4012" t="str">
            <v>P0235 中上侧抽面饰框</v>
          </cell>
          <cell r="F4012" t="str">
            <v>478*67*6</v>
          </cell>
          <cell r="G4012">
            <v>478</v>
          </cell>
          <cell r="H4012">
            <v>67</v>
          </cell>
          <cell r="I4012">
            <v>6</v>
          </cell>
          <cell r="J4012">
            <v>0</v>
          </cell>
          <cell r="K4012">
            <v>0</v>
          </cell>
          <cell r="L4012">
            <v>0.21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 t="str">
            <v>1010</v>
          </cell>
          <cell r="R4012" t="e">
            <v>#DIV/0!</v>
          </cell>
          <cell r="S4012">
            <v>0</v>
          </cell>
        </row>
        <row r="4013">
          <cell r="A4013" t="str">
            <v>Y056-163</v>
          </cell>
          <cell r="B4013" t="str">
            <v>Z T-014-1</v>
          </cell>
          <cell r="C4013" t="str">
            <v>Y056</v>
          </cell>
          <cell r="D4013" t="str">
            <v>72050-55 妆台</v>
          </cell>
          <cell r="E4013" t="str">
            <v xml:space="preserve">P0236 前企柱中饰花1 </v>
          </cell>
          <cell r="F4013" t="str">
            <v>315*80*4.5</v>
          </cell>
          <cell r="G4013">
            <v>315</v>
          </cell>
          <cell r="H4013">
            <v>80</v>
          </cell>
          <cell r="I4013">
            <v>4.5</v>
          </cell>
          <cell r="J4013">
            <v>0</v>
          </cell>
          <cell r="K4013">
            <v>0</v>
          </cell>
          <cell r="L4013">
            <v>0.45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 t="str">
            <v>1075</v>
          </cell>
          <cell r="R4013" t="e">
            <v>#DIV/0!</v>
          </cell>
          <cell r="S4013">
            <v>0</v>
          </cell>
        </row>
        <row r="4014">
          <cell r="A4014" t="str">
            <v>Y056-164</v>
          </cell>
          <cell r="B4014" t="str">
            <v>Z T-014-2R</v>
          </cell>
          <cell r="C4014" t="str">
            <v>Y056</v>
          </cell>
          <cell r="D4014" t="str">
            <v>72050-55 妆台</v>
          </cell>
          <cell r="E4014" t="str">
            <v>P0237 前企柱中饰花 2R  (左鈎)</v>
          </cell>
          <cell r="F4014" t="str">
            <v>350*80*4.5</v>
          </cell>
          <cell r="G4014">
            <v>350</v>
          </cell>
          <cell r="H4014">
            <v>80</v>
          </cell>
          <cell r="I4014">
            <v>4.5</v>
          </cell>
          <cell r="J4014">
            <v>0</v>
          </cell>
          <cell r="K4014">
            <v>0</v>
          </cell>
          <cell r="L4014">
            <v>0.46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 t="str">
            <v>1075</v>
          </cell>
          <cell r="R4014" t="e">
            <v>#DIV/0!</v>
          </cell>
          <cell r="S4014">
            <v>0</v>
          </cell>
        </row>
        <row r="4015">
          <cell r="A4015" t="str">
            <v>Y056-165</v>
          </cell>
          <cell r="B4015" t="str">
            <v>Z T-014-3L</v>
          </cell>
          <cell r="C4015" t="str">
            <v>Y056</v>
          </cell>
          <cell r="D4015" t="str">
            <v>72050-55 妆台</v>
          </cell>
          <cell r="E4015" t="str">
            <v>P0135 前企柱中饰花 3L   (右鈎)</v>
          </cell>
          <cell r="F4015" t="str">
            <v>350*80*4.5</v>
          </cell>
          <cell r="G4015">
            <v>350</v>
          </cell>
          <cell r="H4015">
            <v>80</v>
          </cell>
          <cell r="I4015">
            <v>4.5</v>
          </cell>
          <cell r="J4015">
            <v>0</v>
          </cell>
          <cell r="K4015">
            <v>0</v>
          </cell>
          <cell r="L4015">
            <v>0.46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 t="str">
            <v>1075</v>
          </cell>
          <cell r="R4015" t="e">
            <v>#DIV/0!</v>
          </cell>
          <cell r="S4015">
            <v>0</v>
          </cell>
        </row>
        <row r="4016">
          <cell r="A4016" t="str">
            <v>Y056-166</v>
          </cell>
          <cell r="B4016" t="str">
            <v>Z T-014-4</v>
          </cell>
          <cell r="C4016" t="str">
            <v>Y056</v>
          </cell>
          <cell r="D4016" t="str">
            <v>72050-55 妆台</v>
          </cell>
          <cell r="E4016" t="str">
            <v>P0239 前企柱中饰花4</v>
          </cell>
          <cell r="F4016" t="str">
            <v>315*80*4.5</v>
          </cell>
          <cell r="G4016">
            <v>315</v>
          </cell>
          <cell r="H4016">
            <v>80</v>
          </cell>
          <cell r="I4016">
            <v>4.5</v>
          </cell>
          <cell r="J4016">
            <v>0</v>
          </cell>
          <cell r="K4016">
            <v>0</v>
          </cell>
          <cell r="L4016">
            <v>0.45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 t="str">
            <v>1075</v>
          </cell>
          <cell r="R4016" t="e">
            <v>#DIV/0!</v>
          </cell>
          <cell r="S4016">
            <v>0</v>
          </cell>
        </row>
        <row r="4017">
          <cell r="A4017" t="str">
            <v>Y056-167</v>
          </cell>
          <cell r="B4017" t="str">
            <v>Z T-015</v>
          </cell>
          <cell r="C4017" t="str">
            <v>Y056</v>
          </cell>
          <cell r="D4017" t="str">
            <v>72050-55 妆台</v>
          </cell>
          <cell r="E4017" t="str">
            <v xml:space="preserve">P0240 抽面外饰条 </v>
          </cell>
          <cell r="F4017" t="str">
            <v>1200*12*6</v>
          </cell>
          <cell r="G4017">
            <v>1200</v>
          </cell>
          <cell r="H4017">
            <v>12</v>
          </cell>
          <cell r="I4017">
            <v>6</v>
          </cell>
          <cell r="J4017">
            <v>0</v>
          </cell>
          <cell r="K4017">
            <v>0</v>
          </cell>
          <cell r="L4017">
            <v>0.34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 t="str">
            <v>1010</v>
          </cell>
          <cell r="R4017" t="e">
            <v>#DIV/0!</v>
          </cell>
          <cell r="S4017">
            <v>0</v>
          </cell>
        </row>
        <row r="4018">
          <cell r="A4018" t="str">
            <v>Y056-168</v>
          </cell>
          <cell r="B4018" t="str">
            <v>Z T-016</v>
          </cell>
          <cell r="C4018" t="str">
            <v>Y056</v>
          </cell>
          <cell r="D4018" t="str">
            <v>72050-55 妆台</v>
          </cell>
          <cell r="E4018" t="str">
            <v xml:space="preserve">P0241门板外饰条 </v>
          </cell>
          <cell r="F4018" t="str">
            <v>600*31*12</v>
          </cell>
          <cell r="G4018">
            <v>600</v>
          </cell>
          <cell r="H4018">
            <v>31</v>
          </cell>
          <cell r="I4018">
            <v>12</v>
          </cell>
          <cell r="J4018">
            <v>0</v>
          </cell>
          <cell r="K4018">
            <v>0</v>
          </cell>
          <cell r="L4018">
            <v>0.92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 t="str">
            <v>1010</v>
          </cell>
          <cell r="R4018" t="e">
            <v>#DIV/0!</v>
          </cell>
          <cell r="S4018">
            <v>0</v>
          </cell>
        </row>
        <row r="4019">
          <cell r="A4019" t="str">
            <v>Y056-169</v>
          </cell>
          <cell r="B4019" t="str">
            <v>Z T-017</v>
          </cell>
          <cell r="C4019" t="str">
            <v>Y056</v>
          </cell>
          <cell r="D4019" t="str">
            <v>72050-55 妆台</v>
          </cell>
          <cell r="E4019" t="str">
            <v xml:space="preserve">P0242 侧板中上饰条 </v>
          </cell>
          <cell r="F4019" t="str">
            <v>720*31*20</v>
          </cell>
          <cell r="G4019">
            <v>720</v>
          </cell>
          <cell r="H4019">
            <v>31</v>
          </cell>
          <cell r="I4019">
            <v>20</v>
          </cell>
          <cell r="J4019">
            <v>0</v>
          </cell>
          <cell r="K4019">
            <v>0</v>
          </cell>
          <cell r="L4019">
            <v>1.47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 t="str">
            <v>1010</v>
          </cell>
          <cell r="R4019" t="e">
            <v>#DIV/0!</v>
          </cell>
          <cell r="S4019">
            <v>0</v>
          </cell>
        </row>
        <row r="4020">
          <cell r="A4020" t="str">
            <v>Y056-170</v>
          </cell>
          <cell r="B4020" t="str">
            <v>Z T-018L</v>
          </cell>
          <cell r="C4020" t="str">
            <v>Y056</v>
          </cell>
          <cell r="D4020" t="str">
            <v>72050-55 妆台</v>
          </cell>
          <cell r="E4020" t="str">
            <v xml:space="preserve">P0243 左上转角 </v>
          </cell>
          <cell r="F4020" t="str">
            <v>190*173*142</v>
          </cell>
          <cell r="G4020">
            <v>190</v>
          </cell>
          <cell r="H4020">
            <v>173</v>
          </cell>
          <cell r="I4020">
            <v>142</v>
          </cell>
          <cell r="J4020">
            <v>0</v>
          </cell>
          <cell r="K4020">
            <v>0</v>
          </cell>
          <cell r="L4020">
            <v>4.2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 t="str">
            <v>1010</v>
          </cell>
          <cell r="R4020" t="e">
            <v>#DIV/0!</v>
          </cell>
          <cell r="S4020" t="str">
            <v>木186*147*126</v>
          </cell>
        </row>
        <row r="4021">
          <cell r="A4021" t="str">
            <v>Y056-171</v>
          </cell>
          <cell r="B4021" t="str">
            <v>Z T-019R</v>
          </cell>
          <cell r="C4021" t="str">
            <v>Y056</v>
          </cell>
          <cell r="D4021" t="str">
            <v>72050-55 妆台</v>
          </cell>
          <cell r="E4021" t="str">
            <v>P0244 右上转角</v>
          </cell>
          <cell r="F4021" t="str">
            <v>190*173*142</v>
          </cell>
          <cell r="G4021">
            <v>190</v>
          </cell>
          <cell r="H4021">
            <v>173</v>
          </cell>
          <cell r="I4021">
            <v>142</v>
          </cell>
          <cell r="J4021">
            <v>0</v>
          </cell>
          <cell r="K4021">
            <v>0</v>
          </cell>
          <cell r="L4021">
            <v>4.2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 t="str">
            <v>1010</v>
          </cell>
          <cell r="R4021" t="e">
            <v>#DIV/0!</v>
          </cell>
          <cell r="S4021" t="str">
            <v>木186*147*126</v>
          </cell>
        </row>
        <row r="4022">
          <cell r="A4022" t="str">
            <v>Y056-172</v>
          </cell>
          <cell r="B4022" t="str">
            <v>Z T-020</v>
          </cell>
          <cell r="C4022" t="str">
            <v>Y056</v>
          </cell>
          <cell r="D4022" t="str">
            <v>72050-55 妆台</v>
          </cell>
          <cell r="E4022" t="str">
            <v>P0245 侧板中饰条</v>
          </cell>
          <cell r="F4022" t="str">
            <v>530*12*7</v>
          </cell>
          <cell r="G4022">
            <v>530</v>
          </cell>
          <cell r="H4022">
            <v>12</v>
          </cell>
          <cell r="I4022">
            <v>7</v>
          </cell>
          <cell r="J4022">
            <v>0</v>
          </cell>
          <cell r="K4022">
            <v>0</v>
          </cell>
          <cell r="L4022">
            <v>0.2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 t="str">
            <v>1010</v>
          </cell>
          <cell r="R4022" t="e">
            <v>#DIV/0!</v>
          </cell>
          <cell r="S4022">
            <v>0</v>
          </cell>
        </row>
        <row r="4023">
          <cell r="A4023" t="str">
            <v>Y056-173</v>
          </cell>
          <cell r="B4023" t="str">
            <v>Z T-021</v>
          </cell>
          <cell r="C4023" t="str">
            <v>Y056</v>
          </cell>
          <cell r="D4023" t="str">
            <v>72050-55 妆台</v>
          </cell>
          <cell r="E4023" t="str">
            <v xml:space="preserve">P0246 左上中转角 </v>
          </cell>
          <cell r="F4023" t="str">
            <v>195*110*85</v>
          </cell>
          <cell r="G4023">
            <v>204</v>
          </cell>
          <cell r="H4023">
            <v>120</v>
          </cell>
          <cell r="I4023">
            <v>90</v>
          </cell>
          <cell r="J4023">
            <v>0</v>
          </cell>
          <cell r="K4023">
            <v>0</v>
          </cell>
          <cell r="L4023">
            <v>3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 t="str">
            <v>1010</v>
          </cell>
          <cell r="R4023" t="e">
            <v>#DIV/0!</v>
          </cell>
          <cell r="S4023" t="str">
            <v>木</v>
          </cell>
        </row>
        <row r="4024">
          <cell r="A4024" t="str">
            <v>Y056-174</v>
          </cell>
          <cell r="B4024" t="str">
            <v>Z T-022</v>
          </cell>
          <cell r="C4024" t="str">
            <v>Y056</v>
          </cell>
          <cell r="D4024" t="str">
            <v>72050-55 妆台</v>
          </cell>
          <cell r="E4024" t="str">
            <v>P0247 右上中转角</v>
          </cell>
          <cell r="F4024" t="str">
            <v>195*110*85</v>
          </cell>
          <cell r="G4024">
            <v>204</v>
          </cell>
          <cell r="H4024">
            <v>120</v>
          </cell>
          <cell r="I4024">
            <v>90</v>
          </cell>
          <cell r="J4024">
            <v>0</v>
          </cell>
          <cell r="K4024">
            <v>0</v>
          </cell>
          <cell r="L4024">
            <v>3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 t="str">
            <v>1010</v>
          </cell>
          <cell r="R4024" t="e">
            <v>#DIV/0!</v>
          </cell>
          <cell r="S4024" t="str">
            <v>木</v>
          </cell>
        </row>
        <row r="4025">
          <cell r="A4025" t="str">
            <v>Y056-175</v>
          </cell>
          <cell r="B4025" t="str">
            <v>Z T-023</v>
          </cell>
          <cell r="C4025" t="str">
            <v>Y056</v>
          </cell>
          <cell r="D4025" t="str">
            <v>72050-55 妆台</v>
          </cell>
          <cell r="E4025" t="str">
            <v>P0248 门板左下饰条</v>
          </cell>
          <cell r="F4025" t="str">
            <v>185*90*14</v>
          </cell>
          <cell r="G4025">
            <v>228</v>
          </cell>
          <cell r="H4025">
            <v>75</v>
          </cell>
          <cell r="I4025">
            <v>13</v>
          </cell>
          <cell r="J4025">
            <v>0</v>
          </cell>
          <cell r="K4025">
            <v>0</v>
          </cell>
          <cell r="L4025">
            <v>0.44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 t="str">
            <v>1010</v>
          </cell>
          <cell r="R4025" t="e">
            <v>#DIV/0!</v>
          </cell>
          <cell r="S4025">
            <v>0</v>
          </cell>
        </row>
        <row r="4026">
          <cell r="A4026" t="str">
            <v>Y056-176</v>
          </cell>
          <cell r="B4026" t="str">
            <v>Z T-024</v>
          </cell>
          <cell r="C4026" t="str">
            <v>Y056</v>
          </cell>
          <cell r="D4026" t="str">
            <v>72050-55 妆台</v>
          </cell>
          <cell r="E4026" t="str">
            <v>P0249 门板右下饰条</v>
          </cell>
          <cell r="F4026" t="str">
            <v>185*90*14</v>
          </cell>
          <cell r="G4026">
            <v>215</v>
          </cell>
          <cell r="H4026">
            <v>75</v>
          </cell>
          <cell r="I4026">
            <v>13</v>
          </cell>
          <cell r="J4026">
            <v>0</v>
          </cell>
          <cell r="K4026">
            <v>0</v>
          </cell>
          <cell r="L4026">
            <v>0.42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 t="str">
            <v>1010</v>
          </cell>
          <cell r="R4026" t="e">
            <v>#DIV/0!</v>
          </cell>
          <cell r="S4026">
            <v>0</v>
          </cell>
        </row>
        <row r="4027">
          <cell r="A4027" t="str">
            <v>Y056-177</v>
          </cell>
          <cell r="B4027" t="str">
            <v>Z T-025</v>
          </cell>
          <cell r="C4027" t="str">
            <v>Y056</v>
          </cell>
          <cell r="D4027" t="str">
            <v>72050-55 妆台</v>
          </cell>
          <cell r="E4027" t="str">
            <v>P0250 门板左上饰条</v>
          </cell>
          <cell r="F4027" t="str">
            <v>180*60*14</v>
          </cell>
          <cell r="G4027">
            <v>233</v>
          </cell>
          <cell r="H4027">
            <v>61</v>
          </cell>
          <cell r="I4027">
            <v>13</v>
          </cell>
          <cell r="J4027">
            <v>0</v>
          </cell>
          <cell r="K4027">
            <v>0</v>
          </cell>
          <cell r="L4027">
            <v>0.45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 t="str">
            <v>1010</v>
          </cell>
          <cell r="R4027" t="e">
            <v>#DIV/0!</v>
          </cell>
          <cell r="S4027">
            <v>0</v>
          </cell>
        </row>
        <row r="4028">
          <cell r="A4028" t="str">
            <v>Y056-178</v>
          </cell>
          <cell r="B4028" t="str">
            <v>Z T-026</v>
          </cell>
          <cell r="C4028" t="str">
            <v>Y056</v>
          </cell>
          <cell r="D4028" t="str">
            <v>72050-55 妆台</v>
          </cell>
          <cell r="E4028" t="str">
            <v xml:space="preserve">P0251 门板右上饰条 </v>
          </cell>
          <cell r="F4028" t="str">
            <v>180*60*14</v>
          </cell>
          <cell r="G4028">
            <v>218</v>
          </cell>
          <cell r="H4028">
            <v>56</v>
          </cell>
          <cell r="I4028">
            <v>13</v>
          </cell>
          <cell r="J4028">
            <v>0</v>
          </cell>
          <cell r="K4028">
            <v>0</v>
          </cell>
          <cell r="L4028">
            <v>0.4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 t="str">
            <v>1010</v>
          </cell>
          <cell r="R4028" t="e">
            <v>#DIV/0!</v>
          </cell>
          <cell r="S4028">
            <v>0</v>
          </cell>
        </row>
        <row r="4029">
          <cell r="A4029" t="str">
            <v>Y056-179</v>
          </cell>
          <cell r="B4029" t="str">
            <v>Z T-027</v>
          </cell>
          <cell r="C4029" t="str">
            <v>Y056</v>
          </cell>
          <cell r="D4029" t="str">
            <v>72050-55 妆台</v>
          </cell>
          <cell r="E4029" t="str">
            <v xml:space="preserve">P0252 前侧下饰花 </v>
          </cell>
          <cell r="F4029" t="str">
            <v>2300*684</v>
          </cell>
          <cell r="G4029">
            <v>2300</v>
          </cell>
          <cell r="H4029">
            <v>68</v>
          </cell>
          <cell r="I4029">
            <v>13</v>
          </cell>
          <cell r="J4029">
            <v>0</v>
          </cell>
          <cell r="K4029">
            <v>0</v>
          </cell>
          <cell r="L4029">
            <v>5.6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 t="str">
            <v>1010</v>
          </cell>
          <cell r="R4029" t="e">
            <v>#DIV/0!</v>
          </cell>
          <cell r="S4029">
            <v>0</v>
          </cell>
        </row>
        <row r="4030">
          <cell r="A4030" t="str">
            <v>Y056-180</v>
          </cell>
          <cell r="B4030" t="str">
            <v>Z T-028</v>
          </cell>
          <cell r="C4030" t="str">
            <v>Y056</v>
          </cell>
          <cell r="D4030" t="str">
            <v>72050-55 妆台</v>
          </cell>
          <cell r="E4030" t="str">
            <v>P0253 侧层板饰条</v>
          </cell>
          <cell r="F4030" t="str">
            <v>1550*21*6</v>
          </cell>
          <cell r="G4030">
            <v>1550</v>
          </cell>
          <cell r="H4030">
            <v>21</v>
          </cell>
          <cell r="I4030">
            <v>6</v>
          </cell>
          <cell r="J4030">
            <v>0</v>
          </cell>
          <cell r="K4030">
            <v>0</v>
          </cell>
          <cell r="L4030">
            <v>0.82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 t="str">
            <v>1010</v>
          </cell>
          <cell r="R4030" t="e">
            <v>#DIV/0!</v>
          </cell>
          <cell r="S4030">
            <v>0</v>
          </cell>
        </row>
        <row r="4031">
          <cell r="A4031" t="str">
            <v>Y056-181</v>
          </cell>
          <cell r="B4031" t="str">
            <v>Z J-001L</v>
          </cell>
          <cell r="C4031" t="str">
            <v>Y056</v>
          </cell>
          <cell r="D4031" t="str">
            <v>72060-55 妝鏡</v>
          </cell>
          <cell r="E4031" t="str">
            <v>P0214 顶饰花（左）</v>
          </cell>
          <cell r="F4031" t="str">
            <v>385*142*14</v>
          </cell>
          <cell r="G4031">
            <v>385</v>
          </cell>
          <cell r="H4031">
            <v>142</v>
          </cell>
          <cell r="I4031">
            <v>14</v>
          </cell>
          <cell r="J4031">
            <v>0</v>
          </cell>
          <cell r="K4031">
            <v>0</v>
          </cell>
          <cell r="L4031">
            <v>0.87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 t="str">
            <v>1010</v>
          </cell>
          <cell r="R4031" t="e">
            <v>#DIV/0!</v>
          </cell>
          <cell r="S4031">
            <v>0</v>
          </cell>
        </row>
        <row r="4032">
          <cell r="A4032" t="str">
            <v>Y056-182</v>
          </cell>
          <cell r="B4032" t="str">
            <v>Z J-002R</v>
          </cell>
          <cell r="C4032" t="str">
            <v>Y056</v>
          </cell>
          <cell r="D4032" t="str">
            <v>72060-55 妝鏡</v>
          </cell>
          <cell r="E4032" t="str">
            <v>P0215 顶饰花（右）</v>
          </cell>
          <cell r="F4032" t="str">
            <v>385*142*14</v>
          </cell>
          <cell r="G4032">
            <v>385</v>
          </cell>
          <cell r="H4032">
            <v>142</v>
          </cell>
          <cell r="I4032">
            <v>14</v>
          </cell>
          <cell r="J4032">
            <v>0</v>
          </cell>
          <cell r="K4032">
            <v>0</v>
          </cell>
          <cell r="L4032">
            <v>0.87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 t="str">
            <v>1010</v>
          </cell>
          <cell r="R4032" t="e">
            <v>#DIV/0!</v>
          </cell>
          <cell r="S4032">
            <v>0</v>
          </cell>
        </row>
        <row r="4033">
          <cell r="A4033" t="str">
            <v>Y056-183</v>
          </cell>
          <cell r="B4033" t="str">
            <v>Z J-003</v>
          </cell>
          <cell r="C4033" t="str">
            <v>Y056</v>
          </cell>
          <cell r="D4033" t="str">
            <v>72060-55 妝鏡</v>
          </cell>
          <cell r="E4033" t="str">
            <v>P0216 下側饰花</v>
          </cell>
          <cell r="F4033" t="str">
            <v>177*125*14</v>
          </cell>
          <cell r="G4033">
            <v>177</v>
          </cell>
          <cell r="H4033">
            <v>125</v>
          </cell>
          <cell r="I4033">
            <v>14</v>
          </cell>
          <cell r="J4033">
            <v>0</v>
          </cell>
          <cell r="K4033">
            <v>0</v>
          </cell>
          <cell r="L4033">
            <v>0.44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 t="str">
            <v>1010</v>
          </cell>
          <cell r="R4033" t="e">
            <v>#DIV/0!</v>
          </cell>
          <cell r="S4033">
            <v>0</v>
          </cell>
        </row>
        <row r="4034">
          <cell r="A4034" t="str">
            <v>Y056-184</v>
          </cell>
          <cell r="B4034" t="str">
            <v>Z J-004</v>
          </cell>
          <cell r="C4034" t="str">
            <v>Y056</v>
          </cell>
          <cell r="D4034" t="str">
            <v>72060-55 妝鏡</v>
          </cell>
          <cell r="E4034" t="str">
            <v xml:space="preserve">P0217 下中饰花 </v>
          </cell>
          <cell r="F4034" t="str">
            <v>308*67*14</v>
          </cell>
          <cell r="G4034">
            <v>308</v>
          </cell>
          <cell r="H4034">
            <v>67</v>
          </cell>
          <cell r="I4034">
            <v>14</v>
          </cell>
          <cell r="J4034">
            <v>0</v>
          </cell>
          <cell r="K4034">
            <v>0</v>
          </cell>
          <cell r="L4034">
            <v>0.51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 t="str">
            <v>1010</v>
          </cell>
          <cell r="R4034" t="e">
            <v>#DIV/0!</v>
          </cell>
          <cell r="S4034">
            <v>0</v>
          </cell>
        </row>
        <row r="4035">
          <cell r="A4035" t="str">
            <v>Y056-185</v>
          </cell>
          <cell r="B4035" t="str">
            <v>Z J-005</v>
          </cell>
          <cell r="C4035" t="str">
            <v>Y056</v>
          </cell>
          <cell r="D4035" t="str">
            <v>72060-55 妆镜</v>
          </cell>
          <cell r="E4035" t="str">
            <v>P0218 顶饰块</v>
          </cell>
          <cell r="F4035" t="str">
            <v>75*55*20</v>
          </cell>
          <cell r="G4035">
            <v>75</v>
          </cell>
          <cell r="H4035">
            <v>55</v>
          </cell>
          <cell r="I4035">
            <v>20</v>
          </cell>
          <cell r="J4035">
            <v>0</v>
          </cell>
          <cell r="K4035">
            <v>0</v>
          </cell>
          <cell r="L4035">
            <v>0.16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 t="str">
            <v>1010</v>
          </cell>
          <cell r="R4035" t="e">
            <v>#DIV/0!</v>
          </cell>
          <cell r="S4035" t="str">
            <v>木66*48*9</v>
          </cell>
        </row>
        <row r="4036">
          <cell r="A4036" t="str">
            <v>Y056-186</v>
          </cell>
          <cell r="B4036" t="str">
            <v>Z J-006</v>
          </cell>
          <cell r="C4036" t="str">
            <v>Y056</v>
          </cell>
          <cell r="D4036" t="str">
            <v>72060-55 妆镜</v>
          </cell>
          <cell r="E4036" t="str">
            <v>P0219 上下饰条  (配ZJ-010)</v>
          </cell>
          <cell r="F4036" t="str">
            <v>1900*25*8</v>
          </cell>
          <cell r="G4036">
            <v>2200</v>
          </cell>
          <cell r="H4036">
            <v>25</v>
          </cell>
          <cell r="I4036">
            <v>8</v>
          </cell>
          <cell r="J4036">
            <v>0</v>
          </cell>
          <cell r="K4036">
            <v>0</v>
          </cell>
          <cell r="L4036">
            <v>1.35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 t="str">
            <v>1075</v>
          </cell>
          <cell r="R4036" t="e">
            <v>#DIV/0!</v>
          </cell>
          <cell r="S4036">
            <v>0</v>
          </cell>
        </row>
        <row r="4037">
          <cell r="A4037" t="str">
            <v>Y056-187</v>
          </cell>
          <cell r="B4037" t="str">
            <v>Z J-007</v>
          </cell>
          <cell r="C4037" t="str">
            <v>Y056</v>
          </cell>
          <cell r="D4037" t="str">
            <v>72060-55 妆镜</v>
          </cell>
          <cell r="E4037" t="str">
            <v xml:space="preserve">P0220 饰柱线圈 </v>
          </cell>
          <cell r="F4037" t="str">
            <v>170*8*7</v>
          </cell>
          <cell r="G4037">
            <v>170</v>
          </cell>
          <cell r="H4037">
            <v>8</v>
          </cell>
          <cell r="I4037">
            <v>7</v>
          </cell>
          <cell r="J4037">
            <v>0</v>
          </cell>
          <cell r="K4037">
            <v>0</v>
          </cell>
          <cell r="L4037">
            <v>0.06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 t="str">
            <v>1010</v>
          </cell>
          <cell r="R4037" t="e">
            <v>#DIV/0!</v>
          </cell>
          <cell r="S4037">
            <v>0</v>
          </cell>
        </row>
        <row r="4038">
          <cell r="A4038" t="str">
            <v>Y056-188</v>
          </cell>
          <cell r="B4038" t="str">
            <v>Z J-008</v>
          </cell>
          <cell r="C4038" t="str">
            <v>Y056</v>
          </cell>
          <cell r="D4038" t="str">
            <v>72060-55 妝鏡</v>
          </cell>
          <cell r="E4038" t="str">
            <v>P0221 顶板饰条</v>
          </cell>
          <cell r="F4038" t="str">
            <v>1800*17*8</v>
          </cell>
          <cell r="G4038">
            <v>1800</v>
          </cell>
          <cell r="H4038">
            <v>17</v>
          </cell>
          <cell r="I4038">
            <v>8</v>
          </cell>
          <cell r="J4038">
            <v>0</v>
          </cell>
          <cell r="K4038">
            <v>0</v>
          </cell>
          <cell r="L4038">
            <v>0.8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 t="str">
            <v>1010</v>
          </cell>
          <cell r="R4038" t="e">
            <v>#DIV/0!</v>
          </cell>
          <cell r="S4038">
            <v>0</v>
          </cell>
        </row>
        <row r="4039">
          <cell r="A4039" t="str">
            <v>Y056-189</v>
          </cell>
          <cell r="B4039" t="str">
            <v>Z J-010 用ZJ-006彎圓</v>
          </cell>
          <cell r="C4039" t="str">
            <v>Y056</v>
          </cell>
          <cell r="D4039" t="str">
            <v>72060-55 妝鏡</v>
          </cell>
          <cell r="E4039" t="str">
            <v>P0222下圓飾條  配ZJ-006</v>
          </cell>
          <cell r="F4039" t="str">
            <v>240*25*8</v>
          </cell>
          <cell r="G4039">
            <v>240</v>
          </cell>
          <cell r="H4039">
            <v>25</v>
          </cell>
          <cell r="I4039">
            <v>8</v>
          </cell>
          <cell r="J4039">
            <v>0</v>
          </cell>
          <cell r="K4039">
            <v>0</v>
          </cell>
          <cell r="L4039">
            <v>0.18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 t="str">
            <v>1075</v>
          </cell>
          <cell r="R4039" t="e">
            <v>#DIV/0!</v>
          </cell>
          <cell r="S4039">
            <v>0</v>
          </cell>
        </row>
        <row r="4040">
          <cell r="A4040" t="str">
            <v>Y056-190</v>
          </cell>
          <cell r="B4040" t="str">
            <v>LMH-01</v>
          </cell>
          <cell r="C4040" t="str">
            <v>Y056</v>
          </cell>
          <cell r="D4040" t="str">
            <v>72315-55 床頭羅馬柱</v>
          </cell>
          <cell r="E4040" t="str">
            <v>P0196 床头柱饰花</v>
          </cell>
          <cell r="F4040" t="str">
            <v>1250*114*5</v>
          </cell>
          <cell r="G4040">
            <v>1250</v>
          </cell>
          <cell r="H4040">
            <v>114</v>
          </cell>
          <cell r="I4040">
            <v>5</v>
          </cell>
          <cell r="J4040">
            <v>0</v>
          </cell>
          <cell r="K4040">
            <v>0</v>
          </cell>
          <cell r="L4040">
            <v>2.86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 t="str">
            <v>1075</v>
          </cell>
          <cell r="R4040" t="e">
            <v>#DIV/0!</v>
          </cell>
          <cell r="S4040">
            <v>0</v>
          </cell>
        </row>
        <row r="4041">
          <cell r="A4041" t="str">
            <v>Y056-191</v>
          </cell>
          <cell r="B4041" t="str">
            <v>LMH-05</v>
          </cell>
          <cell r="C4041" t="str">
            <v>Y056</v>
          </cell>
          <cell r="D4041" t="str">
            <v>72315-55 床頭羅馬柱</v>
          </cell>
          <cell r="E4041" t="str">
            <v>P0197 床尾柱饰花</v>
          </cell>
          <cell r="F4041" t="str">
            <v>2150*114*5</v>
          </cell>
          <cell r="G4041">
            <v>2150</v>
          </cell>
          <cell r="H4041">
            <v>114</v>
          </cell>
          <cell r="I4041">
            <v>5</v>
          </cell>
          <cell r="J4041">
            <v>0</v>
          </cell>
          <cell r="K4041">
            <v>0</v>
          </cell>
          <cell r="L4041">
            <v>4.9000000000000004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 t="str">
            <v>1075</v>
          </cell>
          <cell r="R4041" t="e">
            <v>#DIV/0!</v>
          </cell>
          <cell r="S4041">
            <v>0</v>
          </cell>
        </row>
        <row r="4042">
          <cell r="A4042" t="str">
            <v>Y056-192</v>
          </cell>
          <cell r="B4042" t="str">
            <v>FCZ-01</v>
          </cell>
          <cell r="C4042" t="str">
            <v>Y056</v>
          </cell>
          <cell r="D4042" t="str">
            <v>72002B-55方形餐桌支柱</v>
          </cell>
          <cell r="E4042" t="str">
            <v>P0287 支柱</v>
          </cell>
          <cell r="F4042" t="str">
            <v>545*430*430</v>
          </cell>
          <cell r="G4042">
            <v>545</v>
          </cell>
          <cell r="H4042">
            <v>430</v>
          </cell>
          <cell r="I4042">
            <v>430</v>
          </cell>
          <cell r="J4042">
            <v>17600</v>
          </cell>
          <cell r="K4042">
            <v>0</v>
          </cell>
          <cell r="L4042">
            <v>42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 t="str">
            <v>1010</v>
          </cell>
          <cell r="R4042">
            <v>2.3863636363636362</v>
          </cell>
          <cell r="S4042" t="str">
            <v>木</v>
          </cell>
        </row>
        <row r="4043">
          <cell r="A4043" t="str">
            <v>Y056-193</v>
          </cell>
          <cell r="B4043" t="str">
            <v>FCZ-02</v>
          </cell>
          <cell r="C4043" t="str">
            <v>Y056</v>
          </cell>
          <cell r="D4043" t="str">
            <v>72002BP-55方形餐桌底座</v>
          </cell>
          <cell r="E4043" t="str">
            <v>P0288 底座长饰条</v>
          </cell>
          <cell r="F4043" t="str">
            <v>1380*160*43</v>
          </cell>
          <cell r="G4043">
            <v>1380</v>
          </cell>
          <cell r="H4043">
            <v>160</v>
          </cell>
          <cell r="I4043">
            <v>43</v>
          </cell>
          <cell r="J4043">
            <v>0</v>
          </cell>
          <cell r="K4043">
            <v>0</v>
          </cell>
          <cell r="L4043">
            <v>3.4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 t="str">
            <v>1010</v>
          </cell>
          <cell r="R4043" t="e">
            <v>#DIV/0!</v>
          </cell>
          <cell r="S4043">
            <v>0</v>
          </cell>
        </row>
        <row r="4044">
          <cell r="A4044" t="str">
            <v>Y056-194</v>
          </cell>
          <cell r="B4044" t="str">
            <v>FCZ-03</v>
          </cell>
          <cell r="C4044" t="str">
            <v>Y056</v>
          </cell>
          <cell r="D4044" t="str">
            <v>72002BP-55方形餐桌底座</v>
          </cell>
          <cell r="E4044" t="str">
            <v>P0289 底座短饰条</v>
          </cell>
          <cell r="F4044" t="str">
            <v>480*42*20</v>
          </cell>
          <cell r="G4044">
            <v>480</v>
          </cell>
          <cell r="H4044">
            <v>42</v>
          </cell>
          <cell r="I4044">
            <v>20</v>
          </cell>
          <cell r="J4044">
            <v>0</v>
          </cell>
          <cell r="K4044">
            <v>0</v>
          </cell>
          <cell r="L4044">
            <v>1.1599999999999999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 t="str">
            <v>1010</v>
          </cell>
          <cell r="R4044" t="e">
            <v>#DIV/0!</v>
          </cell>
          <cell r="S4044">
            <v>0</v>
          </cell>
        </row>
        <row r="4045">
          <cell r="A4045" t="str">
            <v>Y056-195</v>
          </cell>
          <cell r="B4045" t="str">
            <v>FCZ-04</v>
          </cell>
          <cell r="C4045" t="str">
            <v>Y056</v>
          </cell>
          <cell r="D4045" t="str">
            <v>72002T-55方形餐桌面板</v>
          </cell>
          <cell r="E4045" t="str">
            <v>侧立水饰条</v>
          </cell>
          <cell r="F4045" t="str">
            <v>840*69*30</v>
          </cell>
          <cell r="G4045">
            <v>840</v>
          </cell>
          <cell r="H4045">
            <v>69</v>
          </cell>
          <cell r="I4045">
            <v>30</v>
          </cell>
          <cell r="J4045">
            <v>938</v>
          </cell>
          <cell r="K4045">
            <v>0</v>
          </cell>
          <cell r="L4045">
            <v>2.5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 t="str">
            <v>1010</v>
          </cell>
          <cell r="R4045">
            <v>2.6652452025586357</v>
          </cell>
          <cell r="S4045">
            <v>0</v>
          </cell>
        </row>
        <row r="4046">
          <cell r="A4046" t="str">
            <v>Y056-196</v>
          </cell>
          <cell r="B4046" t="str">
            <v>FCZ-05</v>
          </cell>
          <cell r="C4046" t="str">
            <v>Y056</v>
          </cell>
          <cell r="D4046" t="str">
            <v>72002T-55方形餐桌面板</v>
          </cell>
          <cell r="E4046" t="str">
            <v>前后立水饰条</v>
          </cell>
          <cell r="F4046" t="str">
            <v>670*669*11</v>
          </cell>
          <cell r="G4046">
            <v>670</v>
          </cell>
          <cell r="H4046">
            <v>69</v>
          </cell>
          <cell r="I4046">
            <v>11</v>
          </cell>
          <cell r="J4046">
            <v>805</v>
          </cell>
          <cell r="K4046">
            <v>0</v>
          </cell>
          <cell r="L4046">
            <v>2.1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 t="str">
            <v>1010</v>
          </cell>
          <cell r="R4046">
            <v>2.6086956521739131</v>
          </cell>
          <cell r="S4046">
            <v>0</v>
          </cell>
        </row>
        <row r="4047">
          <cell r="A4047" t="str">
            <v>Y056-197</v>
          </cell>
          <cell r="B4047" t="str">
            <v>FCZ-06L</v>
          </cell>
          <cell r="C4047" t="str">
            <v>Y056</v>
          </cell>
          <cell r="D4047" t="str">
            <v>72002T-55方形餐桌面板</v>
          </cell>
          <cell r="E4047" t="str">
            <v>转角立水饰条</v>
          </cell>
          <cell r="F4047" t="str">
            <v>205*68*10</v>
          </cell>
          <cell r="G4047">
            <v>205</v>
          </cell>
          <cell r="H4047">
            <v>68</v>
          </cell>
          <cell r="I4047">
            <v>10</v>
          </cell>
          <cell r="J4047">
            <v>260</v>
          </cell>
          <cell r="K4047">
            <v>0</v>
          </cell>
          <cell r="L4047">
            <v>0.74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 t="str">
            <v>1010</v>
          </cell>
          <cell r="R4047">
            <v>2.8461538461538458</v>
          </cell>
          <cell r="S4047">
            <v>0</v>
          </cell>
        </row>
        <row r="4048">
          <cell r="A4048" t="str">
            <v>Y056-198</v>
          </cell>
          <cell r="B4048" t="str">
            <v>FCZ-06R</v>
          </cell>
          <cell r="C4048" t="str">
            <v>Y056</v>
          </cell>
          <cell r="D4048" t="str">
            <v>72002T-55方形餐桌面板</v>
          </cell>
          <cell r="E4048" t="str">
            <v>转角立水饰条</v>
          </cell>
          <cell r="F4048" t="str">
            <v>205*68*10</v>
          </cell>
          <cell r="G4048">
            <v>205</v>
          </cell>
          <cell r="H4048">
            <v>68</v>
          </cell>
          <cell r="I4048">
            <v>10</v>
          </cell>
          <cell r="J4048">
            <v>260</v>
          </cell>
          <cell r="K4048">
            <v>0</v>
          </cell>
          <cell r="L4048">
            <v>0.74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 t="str">
            <v>1010</v>
          </cell>
          <cell r="R4048">
            <v>2.8461538461538458</v>
          </cell>
          <cell r="S4048">
            <v>0</v>
          </cell>
        </row>
        <row r="4049">
          <cell r="A4049" t="str">
            <v>Y056-199</v>
          </cell>
          <cell r="B4049" t="str">
            <v>FCZ-07</v>
          </cell>
          <cell r="C4049" t="str">
            <v>Y056</v>
          </cell>
          <cell r="D4049" t="str">
            <v>72002T-55方形餐桌面板</v>
          </cell>
          <cell r="E4049" t="str">
            <v>中立水饰条</v>
          </cell>
          <cell r="F4049" t="str">
            <v>530*69*11</v>
          </cell>
          <cell r="G4049">
            <v>530</v>
          </cell>
          <cell r="H4049">
            <v>69</v>
          </cell>
          <cell r="I4049">
            <v>11</v>
          </cell>
          <cell r="J4049">
            <v>649</v>
          </cell>
          <cell r="K4049">
            <v>0</v>
          </cell>
          <cell r="L4049">
            <v>1.76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 t="str">
            <v>1010</v>
          </cell>
          <cell r="R4049">
            <v>2.7118644067796609</v>
          </cell>
          <cell r="S4049">
            <v>0</v>
          </cell>
        </row>
        <row r="4050">
          <cell r="A4050" t="str">
            <v>Y056-200</v>
          </cell>
          <cell r="B4050" t="str">
            <v>CGSG-01</v>
          </cell>
          <cell r="C4050" t="str">
            <v>Y056</v>
          </cell>
          <cell r="D4050" t="str">
            <v>72005-55橱柜上柜</v>
          </cell>
          <cell r="E4050" t="str">
            <v>P0315顶饰条</v>
          </cell>
          <cell r="F4050" t="str">
            <v>2800(1400)*17*8</v>
          </cell>
          <cell r="G4050" t="str">
            <v>2800(1400)</v>
          </cell>
          <cell r="H4050">
            <v>17</v>
          </cell>
          <cell r="I4050">
            <v>8</v>
          </cell>
          <cell r="J4050">
            <v>0</v>
          </cell>
          <cell r="K4050">
            <v>0</v>
          </cell>
          <cell r="L4050">
            <v>1.25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 t="str">
            <v>1075</v>
          </cell>
          <cell r="R4050" t="e">
            <v>#DIV/0!</v>
          </cell>
          <cell r="S4050">
            <v>0</v>
          </cell>
        </row>
        <row r="4051">
          <cell r="A4051" t="str">
            <v>Y056-201</v>
          </cell>
          <cell r="B4051" t="str">
            <v>CGSG-02</v>
          </cell>
          <cell r="C4051" t="str">
            <v>Y056</v>
          </cell>
          <cell r="D4051" t="str">
            <v>72005-55橱柜上柜</v>
          </cell>
          <cell r="E4051" t="str">
            <v xml:space="preserve">P0316 顶饰花 </v>
          </cell>
          <cell r="F4051" t="str">
            <v>605*105*37</v>
          </cell>
          <cell r="G4051">
            <v>605</v>
          </cell>
          <cell r="H4051">
            <v>105</v>
          </cell>
          <cell r="I4051">
            <v>37</v>
          </cell>
          <cell r="J4051">
            <v>0</v>
          </cell>
          <cell r="K4051">
            <v>0</v>
          </cell>
          <cell r="L4051">
            <v>2.35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 t="str">
            <v>1010</v>
          </cell>
          <cell r="R4051" t="e">
            <v>#DIV/0!</v>
          </cell>
          <cell r="S4051">
            <v>0</v>
          </cell>
        </row>
        <row r="4052">
          <cell r="A4052" t="str">
            <v>Y056-202</v>
          </cell>
          <cell r="B4052" t="str">
            <v>CGXG-01L</v>
          </cell>
          <cell r="C4052" t="str">
            <v>Y056</v>
          </cell>
          <cell r="D4052" t="str">
            <v>72006-55橱柜下柜</v>
          </cell>
          <cell r="E4052" t="str">
            <v>P0318 左转角 (第二次+第三次)</v>
          </cell>
          <cell r="F4052" t="str">
            <v>191*178*126</v>
          </cell>
          <cell r="G4052">
            <v>191</v>
          </cell>
          <cell r="H4052">
            <v>178</v>
          </cell>
          <cell r="I4052">
            <v>126</v>
          </cell>
          <cell r="J4052">
            <v>0</v>
          </cell>
          <cell r="K4052">
            <v>0</v>
          </cell>
          <cell r="L4052">
            <v>5.2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 t="str">
            <v>1010</v>
          </cell>
          <cell r="R4052" t="e">
            <v>#DIV/0!</v>
          </cell>
          <cell r="S4052" t="str">
            <v>木 181*125*68</v>
          </cell>
        </row>
        <row r="4053">
          <cell r="A4053" t="str">
            <v>Y056-203</v>
          </cell>
          <cell r="B4053" t="str">
            <v>CGXG-01R</v>
          </cell>
          <cell r="C4053" t="str">
            <v>Y056</v>
          </cell>
          <cell r="D4053" t="str">
            <v>72006-55橱柜下柜</v>
          </cell>
          <cell r="E4053" t="str">
            <v>P0319 右转角(第二次+第三次)</v>
          </cell>
          <cell r="F4053" t="str">
            <v>191*178*126</v>
          </cell>
          <cell r="G4053">
            <v>191</v>
          </cell>
          <cell r="H4053">
            <v>178</v>
          </cell>
          <cell r="I4053">
            <v>126</v>
          </cell>
          <cell r="J4053">
            <v>0</v>
          </cell>
          <cell r="K4053">
            <v>0</v>
          </cell>
          <cell r="L4053">
            <v>5.2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 t="str">
            <v>1010</v>
          </cell>
          <cell r="R4053" t="e">
            <v>#DIV/0!</v>
          </cell>
          <cell r="S4053" t="str">
            <v>木 181*125*68</v>
          </cell>
        </row>
        <row r="4054">
          <cell r="A4054" t="str">
            <v>Y056-204</v>
          </cell>
          <cell r="B4054" t="str">
            <v>CGXG-02L</v>
          </cell>
          <cell r="C4054" t="str">
            <v>Y056</v>
          </cell>
          <cell r="D4054" t="str">
            <v>72006-55橱柜下柜</v>
          </cell>
          <cell r="E4054" t="str">
            <v>P0320 左中转角 (第二次)</v>
          </cell>
          <cell r="F4054" t="str">
            <v>162*84*60</v>
          </cell>
          <cell r="G4054">
            <v>162</v>
          </cell>
          <cell r="H4054">
            <v>84</v>
          </cell>
          <cell r="I4054">
            <v>60</v>
          </cell>
          <cell r="J4054">
            <v>0</v>
          </cell>
          <cell r="K4054">
            <v>0</v>
          </cell>
          <cell r="L4054">
            <v>1.22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 t="str">
            <v>1010</v>
          </cell>
          <cell r="R4054" t="e">
            <v>#DIV/0!</v>
          </cell>
          <cell r="S4054" t="str">
            <v>木 146*53*44</v>
          </cell>
        </row>
        <row r="4055">
          <cell r="A4055" t="str">
            <v>Y056-205</v>
          </cell>
          <cell r="B4055" t="str">
            <v>CGXG-02R</v>
          </cell>
          <cell r="C4055" t="str">
            <v>Y056</v>
          </cell>
          <cell r="D4055" t="str">
            <v>72006-55橱柜下柜</v>
          </cell>
          <cell r="E4055" t="str">
            <v>P0321右中转角 (第二次)</v>
          </cell>
          <cell r="F4055" t="str">
            <v>162*84*60</v>
          </cell>
          <cell r="G4055">
            <v>162</v>
          </cell>
          <cell r="H4055">
            <v>84</v>
          </cell>
          <cell r="I4055">
            <v>60</v>
          </cell>
          <cell r="J4055">
            <v>0</v>
          </cell>
          <cell r="K4055">
            <v>0</v>
          </cell>
          <cell r="L4055">
            <v>1.22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 t="str">
            <v>1010</v>
          </cell>
          <cell r="R4055" t="e">
            <v>#DIV/0!</v>
          </cell>
          <cell r="S4055" t="str">
            <v>木 146*53*44</v>
          </cell>
        </row>
        <row r="4056">
          <cell r="A4056" t="str">
            <v>Y056-206</v>
          </cell>
          <cell r="B4056" t="str">
            <v>CGXG-03</v>
          </cell>
          <cell r="C4056" t="str">
            <v>Y056</v>
          </cell>
          <cell r="D4056" t="str">
            <v>72006-55橱柜下柜</v>
          </cell>
          <cell r="E4056" t="str">
            <v>P0322 企柱上饰块</v>
          </cell>
          <cell r="F4056" t="str">
            <v>118*98*60</v>
          </cell>
          <cell r="G4056">
            <v>118</v>
          </cell>
          <cell r="H4056">
            <v>98</v>
          </cell>
          <cell r="I4056">
            <v>60</v>
          </cell>
          <cell r="J4056">
            <v>0</v>
          </cell>
          <cell r="K4056">
            <v>0</v>
          </cell>
          <cell r="L4056">
            <v>1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 t="str">
            <v>1010</v>
          </cell>
          <cell r="R4056" t="e">
            <v>#DIV/0!</v>
          </cell>
          <cell r="S4056" t="str">
            <v>木 63*75*75</v>
          </cell>
        </row>
        <row r="4057">
          <cell r="A4057" t="str">
            <v>Y056-207</v>
          </cell>
          <cell r="B4057" t="str">
            <v>CGXG-04</v>
          </cell>
          <cell r="C4057" t="str">
            <v>Y056</v>
          </cell>
          <cell r="D4057" t="str">
            <v>72006-55橱柜下柜</v>
          </cell>
          <cell r="E4057" t="str">
            <v>P0323 企柱下饰块</v>
          </cell>
          <cell r="F4057" t="str">
            <v>118*98*60</v>
          </cell>
          <cell r="G4057">
            <v>118</v>
          </cell>
          <cell r="H4057">
            <v>98</v>
          </cell>
          <cell r="I4057">
            <v>60</v>
          </cell>
          <cell r="J4057">
            <v>0</v>
          </cell>
          <cell r="K4057">
            <v>0</v>
          </cell>
          <cell r="L4057">
            <v>1.18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 t="str">
            <v>1010</v>
          </cell>
          <cell r="R4057" t="e">
            <v>#DIV/0!</v>
          </cell>
          <cell r="S4057" t="str">
            <v>木 63*75*75</v>
          </cell>
        </row>
        <row r="4058">
          <cell r="A4058" t="str">
            <v>Y056-208</v>
          </cell>
          <cell r="B4058" t="str">
            <v>CGXG-05L</v>
          </cell>
          <cell r="C4058" t="str">
            <v>Y056</v>
          </cell>
          <cell r="D4058" t="str">
            <v>72006-55橱柜下柜</v>
          </cell>
          <cell r="E4058" t="str">
            <v>P0324 左上企柱贴花</v>
          </cell>
          <cell r="F4058" t="str">
            <v>275*78*6</v>
          </cell>
          <cell r="G4058">
            <v>275</v>
          </cell>
          <cell r="H4058">
            <v>78</v>
          </cell>
          <cell r="I4058">
            <v>6</v>
          </cell>
          <cell r="J4058">
            <v>0</v>
          </cell>
          <cell r="K4058">
            <v>0</v>
          </cell>
          <cell r="L4058">
            <v>0.42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 t="str">
            <v>1075</v>
          </cell>
          <cell r="R4058" t="e">
            <v>#DIV/0!</v>
          </cell>
          <cell r="S4058">
            <v>0</v>
          </cell>
        </row>
        <row r="4059">
          <cell r="A4059" t="str">
            <v>Y056-209</v>
          </cell>
          <cell r="B4059" t="str">
            <v>CGXG-05R</v>
          </cell>
          <cell r="C4059" t="str">
            <v>Y056</v>
          </cell>
          <cell r="D4059" t="str">
            <v>72006-55橱柜下柜</v>
          </cell>
          <cell r="E4059" t="str">
            <v>P0325 右上企柱贴花</v>
          </cell>
          <cell r="F4059" t="str">
            <v>275*78*6</v>
          </cell>
          <cell r="G4059">
            <v>275</v>
          </cell>
          <cell r="H4059">
            <v>78</v>
          </cell>
          <cell r="I4059">
            <v>6</v>
          </cell>
          <cell r="J4059">
            <v>0</v>
          </cell>
          <cell r="K4059">
            <v>0</v>
          </cell>
          <cell r="L4059">
            <v>0.42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 t="str">
            <v>1075</v>
          </cell>
          <cell r="R4059" t="e">
            <v>#DIV/0!</v>
          </cell>
          <cell r="S4059">
            <v>0</v>
          </cell>
        </row>
        <row r="4060">
          <cell r="A4060" t="str">
            <v>Y056-210</v>
          </cell>
          <cell r="B4060" t="str">
            <v>CGXG-06L</v>
          </cell>
          <cell r="C4060" t="str">
            <v>Y056</v>
          </cell>
          <cell r="D4060" t="str">
            <v>72006-55橱柜下柜</v>
          </cell>
          <cell r="E4060" t="str">
            <v>P0326 左下企柱贴花</v>
          </cell>
          <cell r="F4060" t="str">
            <v>290*78*6</v>
          </cell>
          <cell r="G4060">
            <v>290</v>
          </cell>
          <cell r="H4060">
            <v>78</v>
          </cell>
          <cell r="I4060">
            <v>6</v>
          </cell>
          <cell r="J4060">
            <v>0</v>
          </cell>
          <cell r="K4060">
            <v>0</v>
          </cell>
          <cell r="L4060">
            <v>0.43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 t="str">
            <v>1075</v>
          </cell>
          <cell r="R4060" t="e">
            <v>#DIV/0!</v>
          </cell>
          <cell r="S4060">
            <v>0</v>
          </cell>
        </row>
        <row r="4061">
          <cell r="A4061" t="str">
            <v>Y056-211</v>
          </cell>
          <cell r="B4061" t="str">
            <v>CGXG-06R</v>
          </cell>
          <cell r="C4061" t="str">
            <v>Y056</v>
          </cell>
          <cell r="D4061" t="str">
            <v>72006-55橱柜下柜</v>
          </cell>
          <cell r="E4061" t="str">
            <v>P0327 右下企柱贴花</v>
          </cell>
          <cell r="F4061" t="str">
            <v>290*78*6</v>
          </cell>
          <cell r="G4061">
            <v>290</v>
          </cell>
          <cell r="H4061">
            <v>78</v>
          </cell>
          <cell r="I4061">
            <v>6</v>
          </cell>
          <cell r="J4061">
            <v>0</v>
          </cell>
          <cell r="K4061">
            <v>0</v>
          </cell>
          <cell r="L4061">
            <v>0.43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 t="str">
            <v>1075</v>
          </cell>
          <cell r="R4061" t="e">
            <v>#DIV/0!</v>
          </cell>
          <cell r="S4061">
            <v>0</v>
          </cell>
        </row>
        <row r="4062">
          <cell r="A4062" t="str">
            <v>Y056-212</v>
          </cell>
          <cell r="B4062" t="str">
            <v>CGXG-07</v>
          </cell>
          <cell r="C4062" t="str">
            <v>Y056</v>
          </cell>
          <cell r="D4062" t="str">
            <v>72006-55橱柜下柜</v>
          </cell>
          <cell r="E4062" t="str">
            <v>P0328 门板半圆饰条</v>
          </cell>
          <cell r="F4062" t="str">
            <v>235*85*7</v>
          </cell>
          <cell r="G4062">
            <v>235</v>
          </cell>
          <cell r="H4062">
            <v>85</v>
          </cell>
          <cell r="I4062">
            <v>7</v>
          </cell>
          <cell r="J4062">
            <v>0</v>
          </cell>
          <cell r="K4062">
            <v>0</v>
          </cell>
          <cell r="L4062">
            <v>0.13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 t="str">
            <v>1010</v>
          </cell>
          <cell r="R4062" t="e">
            <v>#DIV/0!</v>
          </cell>
          <cell r="S4062">
            <v>0</v>
          </cell>
        </row>
        <row r="4063">
          <cell r="A4063" t="str">
            <v>Y056-213</v>
          </cell>
          <cell r="B4063" t="str">
            <v>CGXG-08</v>
          </cell>
          <cell r="C4063" t="str">
            <v>Y056</v>
          </cell>
          <cell r="D4063" t="str">
            <v>72006-55橱柜下柜</v>
          </cell>
          <cell r="E4063" t="str">
            <v>P0329 门板内饰条</v>
          </cell>
          <cell r="F4063" t="str">
            <v>900*12*7</v>
          </cell>
          <cell r="G4063">
            <v>900</v>
          </cell>
          <cell r="H4063">
            <v>12</v>
          </cell>
          <cell r="I4063">
            <v>7</v>
          </cell>
          <cell r="J4063">
            <v>0</v>
          </cell>
          <cell r="K4063">
            <v>0</v>
          </cell>
          <cell r="L4063">
            <v>0.33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 t="str">
            <v>1010</v>
          </cell>
          <cell r="R4063" t="e">
            <v>#DIV/0!</v>
          </cell>
          <cell r="S4063">
            <v>0</v>
          </cell>
        </row>
        <row r="4064">
          <cell r="A4064" t="str">
            <v>Y056-214</v>
          </cell>
          <cell r="B4064" t="str">
            <v>CGXG-09</v>
          </cell>
          <cell r="C4064" t="str">
            <v>Y056</v>
          </cell>
          <cell r="D4064" t="str">
            <v>72006-55橱柜下柜</v>
          </cell>
          <cell r="E4064" t="str">
            <v>P0330 门板外饰条</v>
          </cell>
          <cell r="F4064" t="str">
            <v>750*31*12</v>
          </cell>
          <cell r="G4064">
            <v>750</v>
          </cell>
          <cell r="H4064">
            <v>31</v>
          </cell>
          <cell r="I4064">
            <v>12</v>
          </cell>
          <cell r="J4064">
            <v>0</v>
          </cell>
          <cell r="K4064">
            <v>0</v>
          </cell>
          <cell r="L4064">
            <v>1.04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 t="str">
            <v>1010</v>
          </cell>
          <cell r="R4064" t="e">
            <v>#DIV/0!</v>
          </cell>
          <cell r="S4064">
            <v>0</v>
          </cell>
        </row>
        <row r="4065">
          <cell r="A4065" t="str">
            <v>Y056-215</v>
          </cell>
          <cell r="B4065" t="str">
            <v>CGXG-10</v>
          </cell>
          <cell r="C4065" t="str">
            <v>Y056</v>
          </cell>
          <cell r="D4065" t="str">
            <v>72006-55橱柜下柜</v>
          </cell>
          <cell r="E4065" t="str">
            <v>P0331 侧板饰条</v>
          </cell>
          <cell r="F4065" t="str">
            <v>800*11*6</v>
          </cell>
          <cell r="G4065">
            <v>800</v>
          </cell>
          <cell r="H4065">
            <v>11</v>
          </cell>
          <cell r="I4065">
            <v>6</v>
          </cell>
          <cell r="J4065">
            <v>0</v>
          </cell>
          <cell r="K4065">
            <v>0</v>
          </cell>
          <cell r="L4065">
            <v>0.25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 t="str">
            <v>1010</v>
          </cell>
          <cell r="R4065" t="e">
            <v>#DIV/0!</v>
          </cell>
          <cell r="S4065">
            <v>0</v>
          </cell>
        </row>
        <row r="4066">
          <cell r="A4066" t="str">
            <v>Y056-216</v>
          </cell>
          <cell r="B4066" t="str">
            <v>CGXG-11</v>
          </cell>
          <cell r="C4066" t="str">
            <v>Y056</v>
          </cell>
          <cell r="D4066" t="str">
            <v>72006-55橱柜下柜</v>
          </cell>
          <cell r="E4066" t="str">
            <v>P0332 侧板中饰条</v>
          </cell>
          <cell r="F4066" t="str">
            <v>720*32*20</v>
          </cell>
          <cell r="G4066">
            <v>720</v>
          </cell>
          <cell r="H4066">
            <v>32</v>
          </cell>
          <cell r="I4066">
            <v>20</v>
          </cell>
          <cell r="J4066">
            <v>0</v>
          </cell>
          <cell r="K4066">
            <v>0</v>
          </cell>
          <cell r="L4066">
            <v>1.45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 t="str">
            <v>1010</v>
          </cell>
          <cell r="R4066" t="e">
            <v>#DIV/0!</v>
          </cell>
          <cell r="S4066">
            <v>0</v>
          </cell>
        </row>
        <row r="4067">
          <cell r="A4067" t="str">
            <v>Y056-217</v>
          </cell>
          <cell r="B4067" t="str">
            <v>CGXG-12</v>
          </cell>
          <cell r="C4067" t="str">
            <v>Y056</v>
          </cell>
          <cell r="D4067" t="str">
            <v>72006-55橱柜下柜</v>
          </cell>
          <cell r="E4067" t="str">
            <v>P0333 侧板内饰框 第二次</v>
          </cell>
          <cell r="F4067" t="str">
            <v>201*67*5</v>
          </cell>
          <cell r="G4067">
            <v>201</v>
          </cell>
          <cell r="H4067">
            <v>67</v>
          </cell>
          <cell r="I4067">
            <v>5</v>
          </cell>
          <cell r="J4067">
            <v>0</v>
          </cell>
          <cell r="K4067">
            <v>0</v>
          </cell>
          <cell r="L4067">
            <v>0.13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 t="str">
            <v>1010</v>
          </cell>
          <cell r="R4067" t="e">
            <v>#DIV/0!</v>
          </cell>
          <cell r="S4067">
            <v>0</v>
          </cell>
        </row>
        <row r="4068">
          <cell r="A4068" t="str">
            <v>Y056-218</v>
          </cell>
          <cell r="B4068" t="str">
            <v>CGXG-13</v>
          </cell>
          <cell r="C4068" t="str">
            <v>Y056</v>
          </cell>
          <cell r="D4068" t="str">
            <v>72006-55橱柜下柜</v>
          </cell>
          <cell r="E4068" t="str">
            <v>P0334 前侧下饰条</v>
          </cell>
          <cell r="F4068" t="str">
            <v>2250*32*15</v>
          </cell>
          <cell r="G4068">
            <v>2250</v>
          </cell>
          <cell r="H4068">
            <v>32</v>
          </cell>
          <cell r="I4068">
            <v>15</v>
          </cell>
          <cell r="J4068">
            <v>0</v>
          </cell>
          <cell r="K4068">
            <v>0</v>
          </cell>
          <cell r="L4068">
            <v>3.5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 t="str">
            <v>1010</v>
          </cell>
          <cell r="R4068" t="e">
            <v>#DIV/0!</v>
          </cell>
          <cell r="S4068">
            <v>0</v>
          </cell>
        </row>
        <row r="4069">
          <cell r="A4069" t="str">
            <v>Y056-219</v>
          </cell>
          <cell r="B4069" t="str">
            <v>CGXG-14</v>
          </cell>
          <cell r="C4069" t="str">
            <v>Y056</v>
          </cell>
          <cell r="D4069" t="str">
            <v>72006-55橱柜下柜</v>
          </cell>
          <cell r="E4069" t="str">
            <v>P0335 前侧下饰花</v>
          </cell>
          <cell r="F4069" t="str">
            <v>2250*68*13</v>
          </cell>
          <cell r="G4069">
            <v>2250</v>
          </cell>
          <cell r="H4069">
            <v>68</v>
          </cell>
          <cell r="I4069">
            <v>13</v>
          </cell>
          <cell r="J4069">
            <v>0</v>
          </cell>
          <cell r="K4069">
            <v>0</v>
          </cell>
          <cell r="L4069">
            <v>5.7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 t="str">
            <v>1010</v>
          </cell>
          <cell r="R4069" t="e">
            <v>#DIV/0!</v>
          </cell>
          <cell r="S4069">
            <v>0</v>
          </cell>
        </row>
        <row r="4070">
          <cell r="A4070" t="str">
            <v>Y056-220</v>
          </cell>
          <cell r="B4070" t="str">
            <v>CGXG-15</v>
          </cell>
          <cell r="C4070" t="str">
            <v>Y056</v>
          </cell>
          <cell r="D4070" t="str">
            <v>72006-55橱柜下柜</v>
          </cell>
          <cell r="E4070" t="str">
            <v>P0336 上抽面内饰框 第二次</v>
          </cell>
          <cell r="F4070" t="str">
            <v>296*65*7.5</v>
          </cell>
          <cell r="G4070">
            <v>296</v>
          </cell>
          <cell r="H4070">
            <v>65</v>
          </cell>
          <cell r="I4070">
            <v>7.5</v>
          </cell>
          <cell r="J4070">
            <v>0</v>
          </cell>
          <cell r="K4070">
            <v>0</v>
          </cell>
          <cell r="L4070">
            <v>0.14000000000000001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 t="str">
            <v>1010</v>
          </cell>
          <cell r="R4070" t="e">
            <v>#DIV/0!</v>
          </cell>
          <cell r="S4070">
            <v>0</v>
          </cell>
        </row>
        <row r="4071">
          <cell r="A4071" t="str">
            <v>Y056-221</v>
          </cell>
          <cell r="B4071" t="str">
            <v>CGXG-16</v>
          </cell>
          <cell r="C4071" t="str">
            <v>Y056</v>
          </cell>
          <cell r="D4071" t="str">
            <v>72006-55橱柜下柜</v>
          </cell>
          <cell r="E4071" t="str">
            <v>P0337 上中抽面内饰框 第二次</v>
          </cell>
          <cell r="F4071" t="str">
            <v>617*67*6</v>
          </cell>
          <cell r="G4071">
            <v>617</v>
          </cell>
          <cell r="H4071">
            <v>67</v>
          </cell>
          <cell r="I4071">
            <v>6</v>
          </cell>
          <cell r="J4071">
            <v>0</v>
          </cell>
          <cell r="K4071">
            <v>0</v>
          </cell>
          <cell r="L4071">
            <v>0.24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 t="str">
            <v>1010</v>
          </cell>
          <cell r="R4071" t="e">
            <v>#DIV/0!</v>
          </cell>
          <cell r="S4071">
            <v>0</v>
          </cell>
        </row>
        <row r="4072">
          <cell r="A4072" t="str">
            <v>Y056-222</v>
          </cell>
          <cell r="B4072" t="str">
            <v>CGXG-017(同ZT-015)</v>
          </cell>
          <cell r="C4072" t="str">
            <v>Y056</v>
          </cell>
          <cell r="D4072" t="str">
            <v>72006-55橱柜下柜</v>
          </cell>
          <cell r="E4072" t="str">
            <v>P0338 抽面外饰条</v>
          </cell>
          <cell r="F4072" t="str">
            <v>1500*12*6</v>
          </cell>
          <cell r="G4072">
            <v>1500</v>
          </cell>
          <cell r="H4072">
            <v>12</v>
          </cell>
          <cell r="I4072">
            <v>6</v>
          </cell>
          <cell r="J4072">
            <v>0</v>
          </cell>
          <cell r="K4072">
            <v>0</v>
          </cell>
          <cell r="L4072">
            <v>0.43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 t="str">
            <v>1010</v>
          </cell>
          <cell r="R4072" t="e">
            <v>#DIV/0!</v>
          </cell>
          <cell r="S4072">
            <v>0</v>
          </cell>
        </row>
        <row r="4073">
          <cell r="A4073" t="str">
            <v>Y056-223</v>
          </cell>
          <cell r="B4073" t="str">
            <v>CTG-007 (同ZT-020)</v>
          </cell>
          <cell r="C4073" t="str">
            <v>Y056</v>
          </cell>
          <cell r="D4073" t="str">
            <v>72040-55小床头柜</v>
          </cell>
          <cell r="E4073" t="str">
            <v>P0208 门板内饰条</v>
          </cell>
          <cell r="F4073" t="str">
            <v>860*12*7</v>
          </cell>
          <cell r="G4073">
            <v>860</v>
          </cell>
          <cell r="H4073">
            <v>12</v>
          </cell>
          <cell r="I4073">
            <v>7</v>
          </cell>
          <cell r="J4073">
            <v>108</v>
          </cell>
          <cell r="K4073">
            <v>0</v>
          </cell>
          <cell r="L4073">
            <v>0.32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 t="str">
            <v>1010</v>
          </cell>
          <cell r="R4073">
            <v>2.9629629629629632</v>
          </cell>
          <cell r="S4073">
            <v>0</v>
          </cell>
        </row>
        <row r="4074">
          <cell r="A4074" t="str">
            <v>Y056-224</v>
          </cell>
          <cell r="B4074" t="str">
            <v>CTG-014</v>
          </cell>
          <cell r="C4074" t="str">
            <v>Y056</v>
          </cell>
          <cell r="D4074" t="str">
            <v>72040-55小床头柜</v>
          </cell>
          <cell r="E4074" t="str">
            <v xml:space="preserve">中门饰条 </v>
          </cell>
          <cell r="F4074" t="str">
            <v>260*133*12*7</v>
          </cell>
          <cell r="G4074" t="str">
            <v>260*133</v>
          </cell>
          <cell r="H4074">
            <v>12</v>
          </cell>
          <cell r="I4074">
            <v>7</v>
          </cell>
          <cell r="J4074">
            <v>0</v>
          </cell>
          <cell r="K4074">
            <v>0</v>
          </cell>
          <cell r="L4074">
            <v>0.14000000000000001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 t="str">
            <v>1010</v>
          </cell>
          <cell r="R4074" t="e">
            <v>#DIV/0!</v>
          </cell>
          <cell r="S4074">
            <v>0</v>
          </cell>
        </row>
        <row r="4075">
          <cell r="A4075" t="str">
            <v>Y056-225</v>
          </cell>
          <cell r="B4075" t="str">
            <v>CTG-015</v>
          </cell>
          <cell r="C4075" t="str">
            <v>Y056</v>
          </cell>
          <cell r="D4075" t="str">
            <v>72040-55小床头柜</v>
          </cell>
          <cell r="E4075" t="str">
            <v>P0371 侧板上中饰条</v>
          </cell>
          <cell r="F4075" t="str">
            <v>360*75*32*20</v>
          </cell>
          <cell r="G4075" t="str">
            <v>360*75</v>
          </cell>
          <cell r="H4075">
            <v>32</v>
          </cell>
          <cell r="I4075">
            <v>20</v>
          </cell>
          <cell r="J4075">
            <v>0</v>
          </cell>
          <cell r="K4075">
            <v>0</v>
          </cell>
          <cell r="L4075">
            <v>0.84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 t="str">
            <v>1010</v>
          </cell>
          <cell r="R4075" t="e">
            <v>#DIV/0!</v>
          </cell>
          <cell r="S4075">
            <v>0</v>
          </cell>
        </row>
        <row r="4076">
          <cell r="A4076" t="str">
            <v>Y056-226</v>
          </cell>
          <cell r="B4076" t="str">
            <v>CGSG-04</v>
          </cell>
          <cell r="C4076" t="str">
            <v>Y056</v>
          </cell>
          <cell r="D4076" t="str">
            <v>72005-55橱柜上柜</v>
          </cell>
          <cell r="E4076" t="str">
            <v>P0317半圓飾塊</v>
          </cell>
          <cell r="F4076" t="str">
            <v>85*62*9</v>
          </cell>
          <cell r="G4076">
            <v>85</v>
          </cell>
          <cell r="H4076">
            <v>62</v>
          </cell>
          <cell r="I4076">
            <v>9</v>
          </cell>
          <cell r="J4076">
            <v>0</v>
          </cell>
          <cell r="K4076">
            <v>0</v>
          </cell>
          <cell r="L4076">
            <v>0.2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 t="str">
            <v>1010</v>
          </cell>
          <cell r="R4076" t="e">
            <v>#DIV/0!</v>
          </cell>
          <cell r="S4076">
            <v>0</v>
          </cell>
        </row>
        <row r="4077">
          <cell r="A4077" t="str">
            <v>Y056-227</v>
          </cell>
          <cell r="B4077" t="str">
            <v>ZT-004</v>
          </cell>
          <cell r="C4077" t="str">
            <v>Y056</v>
          </cell>
          <cell r="D4077" t="str">
            <v>72050-55 妆台</v>
          </cell>
          <cell r="E4077" t="str">
            <v xml:space="preserve">前侧下饰条 </v>
          </cell>
          <cell r="F4077" t="str">
            <v>2200*32*15</v>
          </cell>
          <cell r="G4077">
            <v>2200</v>
          </cell>
          <cell r="H4077">
            <v>32</v>
          </cell>
          <cell r="I4077">
            <v>15</v>
          </cell>
          <cell r="J4077">
            <v>0</v>
          </cell>
          <cell r="K4077">
            <v>0</v>
          </cell>
          <cell r="L4077">
            <v>3.5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 t="str">
            <v>1010</v>
          </cell>
          <cell r="R4077" t="e">
            <v>#DIV/0!</v>
          </cell>
          <cell r="S4077">
            <v>0</v>
          </cell>
        </row>
        <row r="4078">
          <cell r="A4078" t="str">
            <v>Y056-228</v>
          </cell>
          <cell r="B4078" t="str">
            <v>CTG-013</v>
          </cell>
          <cell r="C4078" t="str">
            <v>Y056</v>
          </cell>
          <cell r="D4078" t="str">
            <v>72040-55小床头柜</v>
          </cell>
          <cell r="E4078" t="str">
            <v>P0212 抽面内饰框  第4次</v>
          </cell>
          <cell r="F4078" t="str">
            <v>470*75*5</v>
          </cell>
          <cell r="G4078">
            <v>473</v>
          </cell>
          <cell r="H4078">
            <v>71.5</v>
          </cell>
          <cell r="I4078">
            <v>5</v>
          </cell>
          <cell r="J4078">
            <v>0</v>
          </cell>
          <cell r="K4078">
            <v>0</v>
          </cell>
          <cell r="L4078">
            <v>0.16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 t="str">
            <v>1010</v>
          </cell>
          <cell r="R4078" t="e">
            <v>#DIV/0!</v>
          </cell>
          <cell r="S4078">
            <v>0</v>
          </cell>
        </row>
        <row r="4079">
          <cell r="A4079" t="str">
            <v>Y056-229</v>
          </cell>
          <cell r="B4079" t="str">
            <v>CGXG-12</v>
          </cell>
          <cell r="C4079" t="str">
            <v>Y056</v>
          </cell>
          <cell r="D4079" t="str">
            <v>72006-55橱柜下柜</v>
          </cell>
          <cell r="E4079" t="str">
            <v>侧板内饰框 第二次</v>
          </cell>
          <cell r="F4079" t="str">
            <v>220*68*6</v>
          </cell>
          <cell r="G4079">
            <v>220</v>
          </cell>
          <cell r="H4079">
            <v>68</v>
          </cell>
          <cell r="I4079">
            <v>6</v>
          </cell>
          <cell r="J4079">
            <v>0</v>
          </cell>
          <cell r="K4079">
            <v>0</v>
          </cell>
          <cell r="L4079">
            <v>0.14000000000000001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 t="str">
            <v>1010</v>
          </cell>
          <cell r="R4079" t="e">
            <v>#DIV/0!</v>
          </cell>
          <cell r="S4079">
            <v>0</v>
          </cell>
        </row>
        <row r="4080">
          <cell r="A4080" t="str">
            <v>Y056-230</v>
          </cell>
          <cell r="B4080" t="str">
            <v>CGXG-16</v>
          </cell>
          <cell r="C4080" t="str">
            <v>Y056</v>
          </cell>
          <cell r="D4080" t="str">
            <v>72006-55橱柜下柜</v>
          </cell>
          <cell r="E4080" t="str">
            <v>上中抽面内饰框 第三次</v>
          </cell>
          <cell r="F4080" t="str">
            <v>630*68*6</v>
          </cell>
          <cell r="G4080">
            <v>630</v>
          </cell>
          <cell r="H4080">
            <v>68</v>
          </cell>
          <cell r="I4080">
            <v>6</v>
          </cell>
          <cell r="J4080">
            <v>0</v>
          </cell>
          <cell r="K4080">
            <v>0</v>
          </cell>
          <cell r="L4080">
            <v>0.26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 t="str">
            <v>1010</v>
          </cell>
          <cell r="R4080" t="e">
            <v>#DIV/0!</v>
          </cell>
          <cell r="S4080">
            <v>0</v>
          </cell>
        </row>
        <row r="4081">
          <cell r="A4081" t="str">
            <v>Y056-231</v>
          </cell>
          <cell r="B4081" t="str">
            <v>ZT-014-2R</v>
          </cell>
          <cell r="C4081" t="str">
            <v>Y056</v>
          </cell>
          <cell r="D4081" t="str">
            <v>72095-B 視听柜下柜</v>
          </cell>
          <cell r="E4081" t="str">
            <v>前企柱中饰花 2R  (左鈎)</v>
          </cell>
          <cell r="F4081">
            <v>0</v>
          </cell>
          <cell r="G4081">
            <v>350</v>
          </cell>
          <cell r="H4081">
            <v>80</v>
          </cell>
          <cell r="I4081">
            <v>5</v>
          </cell>
          <cell r="J4081">
            <v>0</v>
          </cell>
          <cell r="K4081">
            <v>0</v>
          </cell>
          <cell r="L4081">
            <v>0.46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 t="str">
            <v>1075</v>
          </cell>
          <cell r="R4081" t="e">
            <v>#DIV/0!</v>
          </cell>
          <cell r="S4081">
            <v>0</v>
          </cell>
        </row>
        <row r="4082">
          <cell r="A4082" t="str">
            <v>Y056-232</v>
          </cell>
          <cell r="B4082" t="str">
            <v>ZT-014-3L</v>
          </cell>
          <cell r="C4082" t="str">
            <v>Y056</v>
          </cell>
          <cell r="D4082" t="str">
            <v>72095-B 視听柜下柜</v>
          </cell>
          <cell r="E4082" t="str">
            <v xml:space="preserve">前企柱中饰花 3L   (右鈎) </v>
          </cell>
          <cell r="F4082">
            <v>0</v>
          </cell>
          <cell r="G4082">
            <v>350</v>
          </cell>
          <cell r="H4082">
            <v>80</v>
          </cell>
          <cell r="I4082">
            <v>5</v>
          </cell>
          <cell r="J4082">
            <v>0</v>
          </cell>
          <cell r="K4082">
            <v>0</v>
          </cell>
          <cell r="L4082">
            <v>0.46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 t="str">
            <v>1075</v>
          </cell>
          <cell r="R4082" t="e">
            <v>#DIV/0!</v>
          </cell>
          <cell r="S4082">
            <v>0</v>
          </cell>
        </row>
        <row r="4083">
          <cell r="A4083" t="str">
            <v>Y056-233</v>
          </cell>
          <cell r="B4083" t="str">
            <v>KFZ-01</v>
          </cell>
          <cell r="C4083" t="str">
            <v>Y056</v>
          </cell>
          <cell r="D4083" t="str">
            <v>72201T-55咖啡桌面板和底板</v>
          </cell>
          <cell r="E4083" t="str">
            <v xml:space="preserve">转角 </v>
          </cell>
          <cell r="F4083" t="str">
            <v>155*115*69</v>
          </cell>
          <cell r="G4083">
            <v>155</v>
          </cell>
          <cell r="H4083">
            <v>115</v>
          </cell>
          <cell r="I4083">
            <v>70</v>
          </cell>
          <cell r="J4083">
            <v>0</v>
          </cell>
          <cell r="K4083" t="str">
            <v>未確認</v>
          </cell>
          <cell r="L4083">
            <v>1.4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 t="str">
            <v>1010</v>
          </cell>
          <cell r="R4083" t="e">
            <v>#DIV/0!</v>
          </cell>
          <cell r="S4083">
            <v>0</v>
          </cell>
        </row>
        <row r="4084">
          <cell r="A4084" t="str">
            <v>Y056-234</v>
          </cell>
          <cell r="B4084" t="str">
            <v>KFZ-02</v>
          </cell>
          <cell r="C4084" t="str">
            <v>Y056</v>
          </cell>
          <cell r="D4084" t="str">
            <v>72201T-55咖啡桌面板和底板</v>
          </cell>
          <cell r="E4084" t="str">
            <v xml:space="preserve">长贴花 </v>
          </cell>
          <cell r="F4084" t="str">
            <v>990*128*70</v>
          </cell>
          <cell r="G4084">
            <v>990</v>
          </cell>
          <cell r="H4084">
            <v>128</v>
          </cell>
          <cell r="I4084">
            <v>70</v>
          </cell>
          <cell r="J4084">
            <v>0</v>
          </cell>
          <cell r="K4084" t="str">
            <v>"</v>
          </cell>
          <cell r="L4084">
            <v>7.4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 t="str">
            <v>1010</v>
          </cell>
          <cell r="R4084" t="e">
            <v>#DIV/0!</v>
          </cell>
          <cell r="S4084">
            <v>0</v>
          </cell>
        </row>
        <row r="4085">
          <cell r="A4085" t="str">
            <v>Y056-235</v>
          </cell>
          <cell r="B4085" t="str">
            <v>KFZ-03</v>
          </cell>
          <cell r="C4085" t="str">
            <v>Y056</v>
          </cell>
          <cell r="D4085" t="str">
            <v>72201T-55咖啡桌面板和底板</v>
          </cell>
          <cell r="E4085" t="str">
            <v xml:space="preserve">短贴花 </v>
          </cell>
          <cell r="F4085" t="str">
            <v>495*173*70</v>
          </cell>
          <cell r="G4085">
            <v>495</v>
          </cell>
          <cell r="H4085">
            <v>170</v>
          </cell>
          <cell r="I4085">
            <v>70</v>
          </cell>
          <cell r="J4085">
            <v>0</v>
          </cell>
          <cell r="K4085">
            <v>0</v>
          </cell>
          <cell r="L4085">
            <v>4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 t="str">
            <v>1010</v>
          </cell>
          <cell r="R4085" t="e">
            <v>#DIV/0!</v>
          </cell>
          <cell r="S4085">
            <v>0</v>
          </cell>
        </row>
        <row r="4086">
          <cell r="A4086" t="str">
            <v>Y056-236</v>
          </cell>
          <cell r="B4086" t="str">
            <v>KFZ-04L</v>
          </cell>
          <cell r="C4086" t="str">
            <v>Y056</v>
          </cell>
          <cell r="D4086" t="str">
            <v>72201C-55咖啡桌大理右支柱</v>
          </cell>
          <cell r="E4086" t="str">
            <v xml:space="preserve">左贴花 </v>
          </cell>
          <cell r="F4086" t="str">
            <v>620*65*6</v>
          </cell>
          <cell r="G4086">
            <v>620</v>
          </cell>
          <cell r="H4086">
            <v>65</v>
          </cell>
          <cell r="I4086">
            <v>6</v>
          </cell>
          <cell r="J4086">
            <v>0</v>
          </cell>
          <cell r="K4086">
            <v>0</v>
          </cell>
          <cell r="L4086">
            <v>0.89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 t="str">
            <v>1010</v>
          </cell>
          <cell r="R4086" t="e">
            <v>#DIV/0!</v>
          </cell>
          <cell r="S4086">
            <v>0</v>
          </cell>
        </row>
        <row r="4087">
          <cell r="A4087" t="str">
            <v>Y056-237</v>
          </cell>
          <cell r="B4087" t="str">
            <v>KFZ-04R</v>
          </cell>
          <cell r="C4087" t="str">
            <v>Y056</v>
          </cell>
          <cell r="D4087" t="str">
            <v>72201C-55咖啡桌大理右支柱</v>
          </cell>
          <cell r="E4087" t="str">
            <v xml:space="preserve">右贴花 </v>
          </cell>
          <cell r="F4087" t="str">
            <v>620*65*6</v>
          </cell>
          <cell r="G4087">
            <v>620</v>
          </cell>
          <cell r="H4087">
            <v>65</v>
          </cell>
          <cell r="I4087">
            <v>6</v>
          </cell>
          <cell r="J4087">
            <v>0</v>
          </cell>
          <cell r="K4087">
            <v>0</v>
          </cell>
          <cell r="L4087">
            <v>0.89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 t="str">
            <v>1010</v>
          </cell>
          <cell r="R4087" t="e">
            <v>#DIV/0!</v>
          </cell>
          <cell r="S4087">
            <v>0</v>
          </cell>
        </row>
        <row r="4088">
          <cell r="A4088" t="str">
            <v>Y056-238</v>
          </cell>
          <cell r="B4088" t="str">
            <v>CJZ-01</v>
          </cell>
          <cell r="C4088" t="str">
            <v>Y056</v>
          </cell>
          <cell r="D4088" t="str">
            <v>72202T-55茶几桌面板和底板</v>
          </cell>
          <cell r="E4088" t="str">
            <v>转角</v>
          </cell>
          <cell r="F4088" t="str">
            <v>143*154*106</v>
          </cell>
          <cell r="G4088">
            <v>143</v>
          </cell>
          <cell r="H4088">
            <v>156</v>
          </cell>
          <cell r="I4088">
            <v>106</v>
          </cell>
          <cell r="J4088">
            <v>0</v>
          </cell>
          <cell r="K4088">
            <v>0</v>
          </cell>
          <cell r="L4088">
            <v>2.5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 t="str">
            <v>1010</v>
          </cell>
          <cell r="R4088" t="e">
            <v>#DIV/0!</v>
          </cell>
          <cell r="S4088">
            <v>0</v>
          </cell>
        </row>
        <row r="4089">
          <cell r="A4089" t="str">
            <v>Y056-239</v>
          </cell>
          <cell r="B4089" t="str">
            <v>CJZ-02</v>
          </cell>
          <cell r="C4089" t="str">
            <v>Y056</v>
          </cell>
          <cell r="D4089" t="str">
            <v>72202T-55茶几桌面板和底板</v>
          </cell>
          <cell r="E4089" t="str">
            <v>立水饰条</v>
          </cell>
          <cell r="F4089" t="str">
            <v>430*16*10</v>
          </cell>
          <cell r="G4089">
            <v>430</v>
          </cell>
          <cell r="H4089">
            <v>16</v>
          </cell>
          <cell r="I4089">
            <v>10</v>
          </cell>
          <cell r="J4089">
            <v>0</v>
          </cell>
          <cell r="K4089">
            <v>0</v>
          </cell>
          <cell r="L4089">
            <v>0.33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 t="str">
            <v>1010</v>
          </cell>
          <cell r="R4089" t="e">
            <v>#DIV/0!</v>
          </cell>
          <cell r="S4089">
            <v>0</v>
          </cell>
        </row>
        <row r="4090">
          <cell r="A4090" t="str">
            <v>Y056-240</v>
          </cell>
          <cell r="B4090" t="str">
            <v>CJZ-03</v>
          </cell>
          <cell r="C4090" t="str">
            <v>Y056</v>
          </cell>
          <cell r="D4090" t="str">
            <v>72202T-55茶几桌面板和底板</v>
          </cell>
          <cell r="E4090" t="str">
            <v>立水饰框</v>
          </cell>
          <cell r="F4090" t="str">
            <v>360*55*6</v>
          </cell>
          <cell r="G4090">
            <v>364</v>
          </cell>
          <cell r="H4090">
            <v>55</v>
          </cell>
          <cell r="I4090">
            <v>6</v>
          </cell>
          <cell r="J4090">
            <v>0</v>
          </cell>
          <cell r="K4090">
            <v>0</v>
          </cell>
          <cell r="L4090">
            <v>0.16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 t="str">
            <v>1010</v>
          </cell>
          <cell r="R4090" t="e">
            <v>#DIV/0!</v>
          </cell>
          <cell r="S4090">
            <v>0</v>
          </cell>
        </row>
        <row r="4091">
          <cell r="A4091" t="str">
            <v>Y056-241</v>
          </cell>
          <cell r="B4091" t="str">
            <v>CJZ-04L</v>
          </cell>
          <cell r="C4091" t="str">
            <v>Y056</v>
          </cell>
          <cell r="D4091" t="str">
            <v>72202C-55茶几桌大理右支柱</v>
          </cell>
          <cell r="E4091" t="str">
            <v>左贴花</v>
          </cell>
          <cell r="F4091" t="str">
            <v>740*780*6</v>
          </cell>
          <cell r="G4091">
            <v>740</v>
          </cell>
          <cell r="H4091">
            <v>68</v>
          </cell>
          <cell r="I4091">
            <v>6</v>
          </cell>
          <cell r="J4091">
            <v>0</v>
          </cell>
          <cell r="K4091">
            <v>0</v>
          </cell>
          <cell r="L4091">
            <v>0.98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 t="str">
            <v>1010</v>
          </cell>
          <cell r="R4091" t="e">
            <v>#DIV/0!</v>
          </cell>
          <cell r="S4091">
            <v>0</v>
          </cell>
        </row>
        <row r="4092">
          <cell r="A4092" t="str">
            <v>Y056-242</v>
          </cell>
          <cell r="B4092" t="str">
            <v>CJZ-04R</v>
          </cell>
          <cell r="C4092" t="str">
            <v>Y056</v>
          </cell>
          <cell r="D4092" t="str">
            <v>72202C-55茶几桌大理右支柱</v>
          </cell>
          <cell r="E4092" t="str">
            <v>右贴花</v>
          </cell>
          <cell r="F4092" t="str">
            <v>740*780*6</v>
          </cell>
          <cell r="G4092">
            <v>740</v>
          </cell>
          <cell r="H4092">
            <v>68</v>
          </cell>
          <cell r="I4092">
            <v>6</v>
          </cell>
          <cell r="J4092">
            <v>0</v>
          </cell>
          <cell r="K4092">
            <v>0</v>
          </cell>
          <cell r="L4092">
            <v>0.98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 t="str">
            <v>1010</v>
          </cell>
          <cell r="R4092" t="e">
            <v>#DIV/0!</v>
          </cell>
          <cell r="S4092">
            <v>0</v>
          </cell>
        </row>
        <row r="4093">
          <cell r="A4093" t="str">
            <v>Y056-243</v>
          </cell>
          <cell r="B4093" t="str">
            <v>SFZ-06L</v>
          </cell>
          <cell r="C4093" t="str">
            <v>Y056</v>
          </cell>
          <cell r="D4093" t="str">
            <v>72203C-55沙发桌大理右支柱</v>
          </cell>
          <cell r="E4093" t="str">
            <v>P0274 左贴花</v>
          </cell>
          <cell r="F4093" t="str">
            <v>925*78*6</v>
          </cell>
          <cell r="G4093">
            <v>925</v>
          </cell>
          <cell r="H4093">
            <v>78</v>
          </cell>
          <cell r="I4093">
            <v>6</v>
          </cell>
          <cell r="J4093">
            <v>0</v>
          </cell>
          <cell r="K4093">
            <v>0</v>
          </cell>
          <cell r="L4093">
            <v>1.21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 t="str">
            <v>1010</v>
          </cell>
          <cell r="R4093" t="e">
            <v>#DIV/0!</v>
          </cell>
        </row>
        <row r="4094">
          <cell r="A4094" t="str">
            <v>Y056-244</v>
          </cell>
          <cell r="B4094" t="str">
            <v>SFZ-06R</v>
          </cell>
          <cell r="C4094" t="str">
            <v>Y056</v>
          </cell>
          <cell r="D4094" t="str">
            <v>72203C-55沙发桌大理右支柱</v>
          </cell>
          <cell r="E4094" t="str">
            <v>P0275 右贴花</v>
          </cell>
          <cell r="F4094" t="str">
            <v>925*78*6</v>
          </cell>
          <cell r="G4094">
            <v>925</v>
          </cell>
          <cell r="H4094">
            <v>78</v>
          </cell>
          <cell r="I4094">
            <v>6</v>
          </cell>
          <cell r="J4094">
            <v>0</v>
          </cell>
          <cell r="K4094">
            <v>0</v>
          </cell>
          <cell r="L4094">
            <v>1.21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 t="str">
            <v>1010</v>
          </cell>
          <cell r="R4094" t="e">
            <v>#DIV/0!</v>
          </cell>
        </row>
        <row r="4095">
          <cell r="A4095" t="str">
            <v>Y056-245</v>
          </cell>
          <cell r="B4095" t="str">
            <v>SFZ-01</v>
          </cell>
          <cell r="C4095" t="str">
            <v>Y056</v>
          </cell>
          <cell r="D4095" t="str">
            <v>72203T-55沙发桌</v>
          </cell>
          <cell r="E4095" t="str">
            <v xml:space="preserve">P0276 转角 </v>
          </cell>
          <cell r="F4095" t="str">
            <v>143*149*102</v>
          </cell>
          <cell r="G4095">
            <v>143</v>
          </cell>
          <cell r="H4095">
            <v>149</v>
          </cell>
          <cell r="I4095">
            <v>102</v>
          </cell>
          <cell r="J4095">
            <v>0</v>
          </cell>
          <cell r="K4095">
            <v>0</v>
          </cell>
          <cell r="L4095">
            <v>2.38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 t="str">
            <v>1010</v>
          </cell>
          <cell r="R4095" t="e">
            <v>#DIV/0!</v>
          </cell>
          <cell r="S4095" t="str">
            <v>木136*76*67</v>
          </cell>
        </row>
        <row r="4096">
          <cell r="A4096" t="str">
            <v>Y056-246</v>
          </cell>
          <cell r="B4096" t="str">
            <v>SFZ-02</v>
          </cell>
          <cell r="C4096" t="str">
            <v>Y056</v>
          </cell>
          <cell r="D4096" t="str">
            <v>72203T-55沙发桌</v>
          </cell>
          <cell r="E4096" t="str">
            <v>P0277 长立水饰条</v>
          </cell>
          <cell r="F4096" t="str">
            <v>820*18*11</v>
          </cell>
          <cell r="G4096">
            <v>820</v>
          </cell>
          <cell r="H4096">
            <v>18</v>
          </cell>
          <cell r="I4096">
            <v>11</v>
          </cell>
          <cell r="J4096">
            <v>0</v>
          </cell>
          <cell r="K4096">
            <v>0</v>
          </cell>
          <cell r="L4096">
            <v>0.62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 t="str">
            <v>1010</v>
          </cell>
          <cell r="R4096" t="e">
            <v>#DIV/0!</v>
          </cell>
          <cell r="S4096" t="str">
            <v/>
          </cell>
        </row>
        <row r="4097">
          <cell r="A4097" t="str">
            <v>Y056-247</v>
          </cell>
          <cell r="B4097" t="str">
            <v>SFZ-03</v>
          </cell>
          <cell r="C4097" t="str">
            <v>Y056</v>
          </cell>
          <cell r="D4097" t="str">
            <v>72203T-55沙发桌</v>
          </cell>
          <cell r="E4097" t="str">
            <v xml:space="preserve">P0278 长立水饰框 </v>
          </cell>
          <cell r="F4097" t="str">
            <v>742*56*5</v>
          </cell>
          <cell r="G4097">
            <v>746</v>
          </cell>
          <cell r="H4097">
            <v>55</v>
          </cell>
          <cell r="I4097">
            <v>6</v>
          </cell>
          <cell r="J4097">
            <v>0</v>
          </cell>
          <cell r="K4097">
            <v>0</v>
          </cell>
          <cell r="L4097">
            <v>0.28999999999999998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 t="str">
            <v>1010</v>
          </cell>
          <cell r="R4097" t="e">
            <v>#DIV/0!</v>
          </cell>
        </row>
        <row r="4098">
          <cell r="A4098" t="str">
            <v>Y056-248</v>
          </cell>
          <cell r="B4098" t="str">
            <v>SFZ-04</v>
          </cell>
          <cell r="C4098" t="str">
            <v>Y056</v>
          </cell>
          <cell r="D4098" t="str">
            <v>72203T-55沙发桌</v>
          </cell>
          <cell r="E4098" t="str">
            <v>短立水饰条</v>
          </cell>
          <cell r="F4098" t="str">
            <v>165*18*11</v>
          </cell>
          <cell r="G4098">
            <v>165</v>
          </cell>
          <cell r="H4098">
            <v>18</v>
          </cell>
          <cell r="I4098">
            <v>11</v>
          </cell>
          <cell r="J4098">
            <v>0</v>
          </cell>
          <cell r="K4098">
            <v>0</v>
          </cell>
          <cell r="L4098">
            <v>0.16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 t="str">
            <v>1010</v>
          </cell>
          <cell r="R4098" t="e">
            <v>#DIV/0!</v>
          </cell>
        </row>
        <row r="4099">
          <cell r="A4099" t="str">
            <v>Y056-249</v>
          </cell>
          <cell r="B4099" t="str">
            <v>SFZ-05</v>
          </cell>
          <cell r="C4099" t="str">
            <v>Y056</v>
          </cell>
          <cell r="D4099" t="str">
            <v>72203T-55沙发桌</v>
          </cell>
          <cell r="E4099" t="str">
            <v xml:space="preserve">P0280 短立水饰框 </v>
          </cell>
          <cell r="F4099" t="str">
            <v>210*55*6</v>
          </cell>
          <cell r="G4099">
            <v>205</v>
          </cell>
          <cell r="H4099">
            <v>55</v>
          </cell>
          <cell r="I4099">
            <v>6</v>
          </cell>
          <cell r="J4099">
            <v>0</v>
          </cell>
          <cell r="K4099">
            <v>0</v>
          </cell>
          <cell r="L4099">
            <v>0.12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 t="str">
            <v>1010</v>
          </cell>
          <cell r="R4099" t="e">
            <v>#DIV/0!</v>
          </cell>
        </row>
        <row r="4100">
          <cell r="A4100" t="str">
            <v>Y056-250</v>
          </cell>
          <cell r="B4100" t="str">
            <v xml:space="preserve"> SFZ-07</v>
          </cell>
          <cell r="C4100" t="str">
            <v>Y056</v>
          </cell>
          <cell r="D4100" t="str">
            <v>72203T-55沙发桌</v>
          </cell>
          <cell r="E4100" t="str">
            <v>P0281 后立水饰条</v>
          </cell>
          <cell r="F4100" t="str">
            <v>1130*18*11</v>
          </cell>
          <cell r="G4100">
            <v>1130</v>
          </cell>
          <cell r="H4100">
            <v>18</v>
          </cell>
          <cell r="I4100">
            <v>11</v>
          </cell>
          <cell r="J4100">
            <v>0</v>
          </cell>
          <cell r="K4100">
            <v>0</v>
          </cell>
          <cell r="L4100">
            <v>0.9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 t="str">
            <v>1010</v>
          </cell>
          <cell r="R4100" t="e">
            <v>#DIV/0!</v>
          </cell>
        </row>
        <row r="4101">
          <cell r="A4101" t="str">
            <v>Y056-251</v>
          </cell>
          <cell r="B4101" t="str">
            <v xml:space="preserve"> SFZ-08</v>
          </cell>
          <cell r="C4101" t="str">
            <v>Y056</v>
          </cell>
          <cell r="D4101" t="str">
            <v>72203T-55沙发桌</v>
          </cell>
          <cell r="E4101" t="str">
            <v>P0282 后立水饰框</v>
          </cell>
          <cell r="F4101" t="str">
            <v>1073*57*6</v>
          </cell>
          <cell r="G4101">
            <v>1090</v>
          </cell>
          <cell r="H4101">
            <v>55</v>
          </cell>
          <cell r="I4101">
            <v>6</v>
          </cell>
          <cell r="J4101">
            <v>0</v>
          </cell>
          <cell r="K4101">
            <v>0</v>
          </cell>
          <cell r="L4101">
            <v>0.35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 t="str">
            <v>1010</v>
          </cell>
          <cell r="R4101" t="e">
            <v>#DIV/0!</v>
          </cell>
        </row>
        <row r="4102">
          <cell r="A4102" t="str">
            <v>Y056-252</v>
          </cell>
          <cell r="B4102" t="str">
            <v>CTG-001</v>
          </cell>
          <cell r="C4102" t="str">
            <v>Y056</v>
          </cell>
          <cell r="D4102" t="str">
            <v>72042-55 大床头柜</v>
          </cell>
          <cell r="E4102" t="str">
            <v>企柱上饰瑰</v>
          </cell>
          <cell r="F4102" t="str">
            <v>124*92*103</v>
          </cell>
          <cell r="G4102">
            <v>124</v>
          </cell>
          <cell r="H4102">
            <v>92</v>
          </cell>
          <cell r="I4102">
            <v>103</v>
          </cell>
          <cell r="J4102">
            <v>501</v>
          </cell>
          <cell r="K4102">
            <v>0</v>
          </cell>
          <cell r="L4102">
            <v>1.4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 t="str">
            <v>1010</v>
          </cell>
          <cell r="R4102">
            <v>2.7944111776447103</v>
          </cell>
          <cell r="S4102">
            <v>0</v>
          </cell>
          <cell r="T4102">
            <v>0</v>
          </cell>
        </row>
        <row r="4103">
          <cell r="A4103" t="str">
            <v>Y056-253</v>
          </cell>
          <cell r="B4103" t="str">
            <v>CTG-002</v>
          </cell>
          <cell r="C4103" t="str">
            <v>Y056</v>
          </cell>
          <cell r="D4103" t="str">
            <v>72042-55 大床头柜</v>
          </cell>
          <cell r="E4103" t="str">
            <v>企柱下饰瑰</v>
          </cell>
          <cell r="F4103" t="str">
            <v>120*103*64</v>
          </cell>
          <cell r="G4103">
            <v>120</v>
          </cell>
          <cell r="H4103">
            <v>103</v>
          </cell>
          <cell r="I4103">
            <v>64</v>
          </cell>
          <cell r="J4103">
            <v>454</v>
          </cell>
          <cell r="K4103">
            <v>0</v>
          </cell>
          <cell r="L4103">
            <v>1.27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 t="str">
            <v>1010</v>
          </cell>
          <cell r="R4103">
            <v>2.7973568281938324</v>
          </cell>
          <cell r="S4103">
            <v>0</v>
          </cell>
          <cell r="T4103">
            <v>0</v>
          </cell>
        </row>
        <row r="4104">
          <cell r="A4104" t="str">
            <v>Y056-254</v>
          </cell>
          <cell r="B4104" t="str">
            <v>CTG-003-1</v>
          </cell>
          <cell r="C4104" t="str">
            <v>Y056</v>
          </cell>
          <cell r="D4104" t="str">
            <v>72042-55 大床头柜</v>
          </cell>
          <cell r="E4104" t="str">
            <v>企柱中饰花 1</v>
          </cell>
          <cell r="F4104" t="str">
            <v>280*80*5</v>
          </cell>
          <cell r="G4104">
            <v>280</v>
          </cell>
          <cell r="H4104">
            <v>80</v>
          </cell>
          <cell r="I4104">
            <v>5</v>
          </cell>
          <cell r="J4104">
            <v>148</v>
          </cell>
          <cell r="K4104">
            <v>0</v>
          </cell>
          <cell r="L4104">
            <v>0.43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 t="str">
            <v>1075</v>
          </cell>
          <cell r="R4104">
            <v>2.9054054054054057</v>
          </cell>
          <cell r="S4104">
            <v>0</v>
          </cell>
          <cell r="T4104">
            <v>0</v>
          </cell>
        </row>
        <row r="4105">
          <cell r="A4105" t="str">
            <v>Y056-255</v>
          </cell>
          <cell r="B4105" t="str">
            <v>CTG-003-2</v>
          </cell>
          <cell r="C4105" t="str">
            <v>Y056</v>
          </cell>
          <cell r="D4105" t="str">
            <v>72042-55 大床头柜</v>
          </cell>
          <cell r="E4105" t="str">
            <v xml:space="preserve">企柱中饰花 2  </v>
          </cell>
          <cell r="F4105" t="str">
            <v>280*80*5</v>
          </cell>
          <cell r="G4105">
            <v>280</v>
          </cell>
          <cell r="H4105">
            <v>80</v>
          </cell>
          <cell r="I4105">
            <v>5</v>
          </cell>
          <cell r="J4105">
            <v>148</v>
          </cell>
          <cell r="K4105">
            <v>0</v>
          </cell>
          <cell r="L4105">
            <v>0.43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 t="str">
            <v>1075</v>
          </cell>
          <cell r="R4105">
            <v>2.9054054054054057</v>
          </cell>
          <cell r="S4105">
            <v>0</v>
          </cell>
          <cell r="T4105">
            <v>0</v>
          </cell>
        </row>
        <row r="4106">
          <cell r="A4106" t="str">
            <v>Y056-256</v>
          </cell>
          <cell r="B4106" t="str">
            <v>CTG-004L</v>
          </cell>
          <cell r="C4106" t="str">
            <v>Y056</v>
          </cell>
          <cell r="D4106" t="str">
            <v>72042-55 大床头柜</v>
          </cell>
          <cell r="E4106" t="str">
            <v>企柱左上转角  L</v>
          </cell>
          <cell r="F4106" t="str">
            <v>190*176*120</v>
          </cell>
          <cell r="G4106">
            <v>190</v>
          </cell>
          <cell r="H4106">
            <v>176</v>
          </cell>
          <cell r="I4106">
            <v>120</v>
          </cell>
          <cell r="J4106">
            <v>1631</v>
          </cell>
          <cell r="K4106">
            <v>0</v>
          </cell>
          <cell r="L4106">
            <v>4.0999999999999996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 t="str">
            <v>1010</v>
          </cell>
          <cell r="R4106">
            <v>2.5137952176578784</v>
          </cell>
          <cell r="S4106">
            <v>0</v>
          </cell>
          <cell r="T4106">
            <v>0</v>
          </cell>
        </row>
        <row r="4107">
          <cell r="A4107" t="str">
            <v>Y056-257</v>
          </cell>
          <cell r="B4107" t="str">
            <v>CTG-005R</v>
          </cell>
          <cell r="C4107" t="str">
            <v>Y056</v>
          </cell>
          <cell r="D4107" t="str">
            <v>72042-55 大床头柜</v>
          </cell>
          <cell r="E4107" t="str">
            <v>企柱右上转角  R</v>
          </cell>
          <cell r="F4107" t="str">
            <v>190*176*120</v>
          </cell>
          <cell r="G4107">
            <v>190</v>
          </cell>
          <cell r="H4107">
            <v>176</v>
          </cell>
          <cell r="I4107">
            <v>120</v>
          </cell>
          <cell r="J4107">
            <v>1631</v>
          </cell>
          <cell r="K4107">
            <v>0</v>
          </cell>
          <cell r="L4107">
            <v>4.0999999999999996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 t="str">
            <v>1010</v>
          </cell>
          <cell r="R4107">
            <v>2.5137952176578784</v>
          </cell>
          <cell r="S4107">
            <v>0</v>
          </cell>
          <cell r="T4107">
            <v>0</v>
          </cell>
        </row>
        <row r="4108">
          <cell r="A4108" t="str">
            <v>Y056-258</v>
          </cell>
          <cell r="B4108" t="str">
            <v>CTG-010L</v>
          </cell>
          <cell r="C4108" t="str">
            <v>Y056</v>
          </cell>
          <cell r="D4108" t="str">
            <v>72042-55 大床头柜</v>
          </cell>
          <cell r="E4108" t="str">
            <v xml:space="preserve">側板上饰框  L    </v>
          </cell>
          <cell r="F4108" t="str">
            <v>282*86*6</v>
          </cell>
          <cell r="G4108">
            <v>282</v>
          </cell>
          <cell r="H4108">
            <v>86</v>
          </cell>
          <cell r="I4108">
            <v>6</v>
          </cell>
          <cell r="J4108">
            <v>0</v>
          </cell>
          <cell r="K4108">
            <v>0</v>
          </cell>
          <cell r="L4108">
            <v>0.16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 t="str">
            <v>1010</v>
          </cell>
          <cell r="R4108" t="e">
            <v>#DIV/0!</v>
          </cell>
          <cell r="S4108">
            <v>0</v>
          </cell>
          <cell r="T4108">
            <v>0</v>
          </cell>
        </row>
        <row r="4109">
          <cell r="A4109" t="str">
            <v>Y056-259</v>
          </cell>
          <cell r="B4109" t="str">
            <v>CTG-010R</v>
          </cell>
          <cell r="C4109" t="str">
            <v>Y056</v>
          </cell>
          <cell r="D4109" t="str">
            <v>72042-55 大床头柜</v>
          </cell>
          <cell r="E4109" t="str">
            <v xml:space="preserve">側板上饰框  R </v>
          </cell>
          <cell r="F4109" t="str">
            <v>282*86*6</v>
          </cell>
          <cell r="G4109">
            <v>282</v>
          </cell>
          <cell r="H4109">
            <v>86</v>
          </cell>
          <cell r="I4109">
            <v>6</v>
          </cell>
          <cell r="J4109">
            <v>0</v>
          </cell>
          <cell r="K4109">
            <v>0</v>
          </cell>
          <cell r="L4109">
            <v>0.16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 t="str">
            <v>1010</v>
          </cell>
          <cell r="R4109" t="e">
            <v>#DIV/0!</v>
          </cell>
          <cell r="S4109">
            <v>0</v>
          </cell>
          <cell r="T4109">
            <v>0</v>
          </cell>
        </row>
        <row r="4110">
          <cell r="A4110" t="str">
            <v>Y056-260</v>
          </cell>
          <cell r="B4110" t="str">
            <v>CTG-006(同ZT-016)</v>
          </cell>
          <cell r="C4110" t="str">
            <v>Y056</v>
          </cell>
          <cell r="D4110" t="str">
            <v>72042-55 大床头柜</v>
          </cell>
          <cell r="E4110" t="str">
            <v xml:space="preserve">门板外饰条  </v>
          </cell>
          <cell r="F4110" t="str">
            <v>400*31*12</v>
          </cell>
          <cell r="G4110">
            <v>400</v>
          </cell>
          <cell r="H4110">
            <v>31</v>
          </cell>
          <cell r="I4110">
            <v>12</v>
          </cell>
          <cell r="J4110">
            <v>180</v>
          </cell>
          <cell r="K4110">
            <v>0</v>
          </cell>
          <cell r="L4110">
            <v>0.61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 t="str">
            <v>1010</v>
          </cell>
          <cell r="R4110">
            <v>3.3888888888888888</v>
          </cell>
          <cell r="S4110">
            <v>0</v>
          </cell>
          <cell r="T4110">
            <v>0</v>
          </cell>
        </row>
        <row r="4111">
          <cell r="A4111" t="str">
            <v>Y056-261</v>
          </cell>
          <cell r="B4111" t="str">
            <v>CTG-007 (同ZT-020)</v>
          </cell>
          <cell r="C4111" t="str">
            <v>Y056</v>
          </cell>
          <cell r="D4111" t="str">
            <v>72042-55 大床头柜</v>
          </cell>
          <cell r="E4111" t="str">
            <v xml:space="preserve">内板内横饰条 </v>
          </cell>
          <cell r="F4111" t="str">
            <v>700*12*7</v>
          </cell>
          <cell r="G4111">
            <v>700</v>
          </cell>
          <cell r="H4111">
            <v>12</v>
          </cell>
          <cell r="I4111">
            <v>7</v>
          </cell>
          <cell r="J4111">
            <v>88</v>
          </cell>
          <cell r="K4111">
            <v>0</v>
          </cell>
          <cell r="L4111">
            <v>0.26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 t="str">
            <v>1010</v>
          </cell>
          <cell r="R4111">
            <v>2.954545454545455</v>
          </cell>
          <cell r="S4111">
            <v>0</v>
          </cell>
          <cell r="T4111">
            <v>0</v>
          </cell>
        </row>
        <row r="4112">
          <cell r="A4112" t="str">
            <v>Y056-262</v>
          </cell>
          <cell r="B4112" t="str">
            <v>CTG-007 (同ZT-020)</v>
          </cell>
          <cell r="C4112" t="str">
            <v>Y056</v>
          </cell>
          <cell r="D4112" t="str">
            <v>72042-55 大床头柜</v>
          </cell>
          <cell r="E4112" t="str">
            <v>门板内豎饰条</v>
          </cell>
          <cell r="F4112" t="str">
            <v>860*12*7</v>
          </cell>
          <cell r="G4112">
            <v>860</v>
          </cell>
          <cell r="H4112">
            <v>12</v>
          </cell>
          <cell r="I4112">
            <v>7</v>
          </cell>
          <cell r="J4112">
            <v>108</v>
          </cell>
          <cell r="K4112">
            <v>0</v>
          </cell>
          <cell r="L4112">
            <v>0.32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 t="str">
            <v>1010</v>
          </cell>
          <cell r="R4112">
            <v>2.9629629629629632</v>
          </cell>
          <cell r="S4112">
            <v>0</v>
          </cell>
          <cell r="T4112">
            <v>0</v>
          </cell>
        </row>
        <row r="4113">
          <cell r="A4113" t="str">
            <v>Y056-263</v>
          </cell>
          <cell r="B4113" t="str">
            <v>CTG-008 (同ZT-004)</v>
          </cell>
          <cell r="C4113" t="str">
            <v>Y056</v>
          </cell>
          <cell r="D4113" t="str">
            <v>72042-55 大床头柜</v>
          </cell>
          <cell r="E4113" t="str">
            <v>前下饰条</v>
          </cell>
          <cell r="F4113" t="str">
            <v>820*32*15</v>
          </cell>
          <cell r="G4113">
            <v>820</v>
          </cell>
          <cell r="H4113">
            <v>32</v>
          </cell>
          <cell r="I4113">
            <v>15</v>
          </cell>
          <cell r="J4113">
            <v>475</v>
          </cell>
          <cell r="K4113">
            <v>0</v>
          </cell>
          <cell r="L4113">
            <v>1.33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 t="str">
            <v>1010</v>
          </cell>
          <cell r="R4113">
            <v>2.8000000000000003</v>
          </cell>
          <cell r="S4113">
            <v>0</v>
          </cell>
          <cell r="T4113">
            <v>0</v>
          </cell>
        </row>
        <row r="4114">
          <cell r="A4114" t="str">
            <v>Y056-264</v>
          </cell>
          <cell r="B4114" t="str">
            <v>CTG-008 (同ZT-004)</v>
          </cell>
          <cell r="C4114" t="str">
            <v>Y056</v>
          </cell>
          <cell r="D4114" t="str">
            <v>72042-55 大床头柜</v>
          </cell>
          <cell r="E4114" t="str">
            <v xml:space="preserve">侧下饰条 </v>
          </cell>
          <cell r="F4114" t="str">
            <v>730*32*15</v>
          </cell>
          <cell r="G4114">
            <v>730</v>
          </cell>
          <cell r="H4114">
            <v>32</v>
          </cell>
          <cell r="I4114">
            <v>15</v>
          </cell>
          <cell r="J4114">
            <v>423</v>
          </cell>
          <cell r="K4114">
            <v>0</v>
          </cell>
          <cell r="L4114">
            <v>1.19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 t="str">
            <v>1010</v>
          </cell>
          <cell r="R4114">
            <v>2.813238770685579</v>
          </cell>
          <cell r="S4114">
            <v>0</v>
          </cell>
          <cell r="T4114">
            <v>0</v>
          </cell>
        </row>
        <row r="4115">
          <cell r="A4115" t="str">
            <v>Y056-265</v>
          </cell>
          <cell r="B4115" t="str">
            <v>CTG-009 (同ZT-027)</v>
          </cell>
          <cell r="C4115" t="str">
            <v>Y056</v>
          </cell>
          <cell r="D4115" t="str">
            <v>72042-55 大床头柜</v>
          </cell>
          <cell r="E4115" t="str">
            <v>前下饰花</v>
          </cell>
          <cell r="F4115" t="str">
            <v>820*68*13</v>
          </cell>
          <cell r="G4115">
            <v>820</v>
          </cell>
          <cell r="H4115">
            <v>68</v>
          </cell>
          <cell r="I4115">
            <v>13</v>
          </cell>
          <cell r="J4115">
            <v>767</v>
          </cell>
          <cell r="K4115">
            <v>0</v>
          </cell>
          <cell r="L4115">
            <v>2.06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 t="str">
            <v>1010</v>
          </cell>
          <cell r="R4115">
            <v>2.6857887874837028</v>
          </cell>
          <cell r="S4115">
            <v>0</v>
          </cell>
          <cell r="T4115">
            <v>0</v>
          </cell>
        </row>
        <row r="4116">
          <cell r="A4116" t="str">
            <v>Y056-266</v>
          </cell>
          <cell r="B4116" t="str">
            <v>CTG-009 (同ZT-027)</v>
          </cell>
          <cell r="C4116" t="str">
            <v>Y056</v>
          </cell>
          <cell r="D4116" t="str">
            <v>72042-55 大床头柜</v>
          </cell>
          <cell r="E4116" t="str">
            <v xml:space="preserve">侧下饰花  </v>
          </cell>
          <cell r="F4116" t="str">
            <v>730*68*13</v>
          </cell>
          <cell r="G4116">
            <v>730</v>
          </cell>
          <cell r="H4116">
            <v>68</v>
          </cell>
          <cell r="I4116">
            <v>13</v>
          </cell>
          <cell r="J4116">
            <v>683</v>
          </cell>
          <cell r="K4116">
            <v>0</v>
          </cell>
          <cell r="L4116">
            <v>1.83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 t="str">
            <v>1010</v>
          </cell>
          <cell r="R4116">
            <v>2.6793557833089312</v>
          </cell>
          <cell r="S4116">
            <v>0</v>
          </cell>
          <cell r="T4116">
            <v>0</v>
          </cell>
        </row>
        <row r="4117">
          <cell r="A4117" t="str">
            <v>Y056-267</v>
          </cell>
          <cell r="B4117" t="str">
            <v>CTG-011 (同ZT-015)</v>
          </cell>
          <cell r="C4117" t="str">
            <v>Y056</v>
          </cell>
          <cell r="D4117" t="str">
            <v>72042-55 大床头柜</v>
          </cell>
          <cell r="E4117" t="str">
            <v xml:space="preserve">抽面外饰条  </v>
          </cell>
          <cell r="F4117" t="str">
            <v>960*12*6</v>
          </cell>
          <cell r="G4117">
            <v>960</v>
          </cell>
          <cell r="H4117">
            <v>12</v>
          </cell>
          <cell r="I4117">
            <v>6</v>
          </cell>
          <cell r="J4117">
            <v>99</v>
          </cell>
          <cell r="K4117">
            <v>0</v>
          </cell>
          <cell r="L4117">
            <v>0.28000000000000003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 t="str">
            <v>1010</v>
          </cell>
          <cell r="R4117">
            <v>2.8282828282828283</v>
          </cell>
          <cell r="S4117">
            <v>0</v>
          </cell>
          <cell r="T4117">
            <v>0</v>
          </cell>
        </row>
        <row r="4118">
          <cell r="A4118" t="str">
            <v>Y056-268</v>
          </cell>
          <cell r="B4118" t="str">
            <v>CTG-014</v>
          </cell>
          <cell r="C4118" t="str">
            <v>Y056</v>
          </cell>
          <cell r="D4118" t="str">
            <v>72042-55 大床头柜</v>
          </cell>
          <cell r="E4118" t="str">
            <v>P0372 中门圆饰条</v>
          </cell>
          <cell r="F4118" t="str">
            <v>260*133*12*7</v>
          </cell>
          <cell r="G4118">
            <v>260</v>
          </cell>
          <cell r="H4118">
            <v>133</v>
          </cell>
          <cell r="I4118" t="str">
            <v>12*7</v>
          </cell>
          <cell r="J4118">
            <v>48</v>
          </cell>
          <cell r="K4118">
            <v>0</v>
          </cell>
          <cell r="L4118">
            <v>0.14000000000000001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 t="str">
            <v>1010</v>
          </cell>
          <cell r="R4118">
            <v>2.916666666666667</v>
          </cell>
          <cell r="S4118">
            <v>0</v>
          </cell>
          <cell r="T4118">
            <v>0</v>
          </cell>
        </row>
        <row r="4119">
          <cell r="A4119" t="str">
            <v>Y056-269</v>
          </cell>
          <cell r="B4119" t="str">
            <v>CTG-012 同ZT-017</v>
          </cell>
          <cell r="C4119" t="str">
            <v>Y056</v>
          </cell>
          <cell r="D4119" t="str">
            <v>72042-55 大床头柜</v>
          </cell>
          <cell r="E4119" t="str">
            <v>侧板上中饰条</v>
          </cell>
          <cell r="F4119" t="str">
            <v>720*31*20</v>
          </cell>
          <cell r="G4119">
            <v>720</v>
          </cell>
          <cell r="H4119">
            <v>31</v>
          </cell>
          <cell r="I4119">
            <v>20</v>
          </cell>
          <cell r="J4119">
            <v>505</v>
          </cell>
          <cell r="K4119">
            <v>0</v>
          </cell>
          <cell r="L4119">
            <v>1.47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 t="str">
            <v>1010</v>
          </cell>
          <cell r="R4119">
            <v>2.9108910891089108</v>
          </cell>
          <cell r="S4119">
            <v>0</v>
          </cell>
          <cell r="T4119">
            <v>0</v>
          </cell>
        </row>
        <row r="4120">
          <cell r="A4120" t="str">
            <v>Y056-270</v>
          </cell>
          <cell r="B4120" t="str">
            <v>DTG-010</v>
          </cell>
          <cell r="C4120" t="str">
            <v>Y056</v>
          </cell>
          <cell r="D4120" t="str">
            <v>72042-55 大床头柜</v>
          </cell>
          <cell r="E4120" t="str">
            <v>抽面内饰框</v>
          </cell>
          <cell r="F4120" t="str">
            <v>680*72*5.5</v>
          </cell>
          <cell r="G4120">
            <v>680</v>
          </cell>
          <cell r="H4120">
            <v>72</v>
          </cell>
          <cell r="I4120">
            <v>5.5</v>
          </cell>
          <cell r="J4120">
            <v>94</v>
          </cell>
          <cell r="K4120">
            <v>0</v>
          </cell>
          <cell r="L4120">
            <v>0.26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 t="str">
            <v>1010</v>
          </cell>
          <cell r="R4120">
            <v>2.7659574468085109</v>
          </cell>
          <cell r="S4120">
            <v>0</v>
          </cell>
          <cell r="T4120">
            <v>0</v>
          </cell>
        </row>
        <row r="4121">
          <cell r="A4121" t="str">
            <v>Y056-271</v>
          </cell>
          <cell r="B4121" t="str">
            <v>SZM-001 (~)</v>
          </cell>
          <cell r="C4121" t="str">
            <v>Y056</v>
          </cell>
          <cell r="D4121" t="str">
            <v>72277T-55写字桌面板</v>
          </cell>
          <cell r="E4121" t="str">
            <v>P0153 面板前后花条 1075 彎弧型</v>
          </cell>
          <cell r="F4121" t="str">
            <v>1146-23*23</v>
          </cell>
          <cell r="G4121">
            <v>1146</v>
          </cell>
          <cell r="H4121">
            <v>23</v>
          </cell>
          <cell r="I4121">
            <v>23</v>
          </cell>
          <cell r="J4121">
            <v>417</v>
          </cell>
          <cell r="K4121">
            <v>0</v>
          </cell>
          <cell r="L4121">
            <v>1.1000000000000001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 t="str">
            <v>1075</v>
          </cell>
          <cell r="R4121">
            <v>2.637889688249401</v>
          </cell>
          <cell r="S4121">
            <v>0</v>
          </cell>
          <cell r="T4121">
            <v>0</v>
          </cell>
        </row>
        <row r="4122">
          <cell r="A4122" t="str">
            <v>Y056-272</v>
          </cell>
          <cell r="B4122" t="str">
            <v>SZM-001 (~)</v>
          </cell>
          <cell r="C4122" t="str">
            <v>Y056</v>
          </cell>
          <cell r="D4122">
            <v>0</v>
          </cell>
          <cell r="E4122" t="str">
            <v>P0154 底框前花条 1075 彎弧型</v>
          </cell>
          <cell r="F4122" t="str">
            <v>1483*23*23</v>
          </cell>
          <cell r="G4122">
            <v>1483</v>
          </cell>
          <cell r="H4122">
            <v>23</v>
          </cell>
          <cell r="I4122">
            <v>23</v>
          </cell>
          <cell r="J4122">
            <v>540</v>
          </cell>
          <cell r="K4122">
            <v>0</v>
          </cell>
          <cell r="L4122">
            <v>1.44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 t="str">
            <v>1075</v>
          </cell>
          <cell r="R4122">
            <v>2.6666666666666665</v>
          </cell>
          <cell r="S4122">
            <v>0</v>
          </cell>
          <cell r="T4122">
            <v>0</v>
          </cell>
        </row>
        <row r="4123">
          <cell r="A4123" t="str">
            <v>Y056-273</v>
          </cell>
          <cell r="B4123" t="str">
            <v>SZM-001 (~)</v>
          </cell>
          <cell r="C4123" t="str">
            <v>Y056</v>
          </cell>
          <cell r="D4123" t="str">
            <v>72277T-55写字桌面板</v>
          </cell>
          <cell r="E4123" t="str">
            <v>P0155 底框后花条 1075 彎弧型</v>
          </cell>
          <cell r="F4123" t="str">
            <v>1250*23*23</v>
          </cell>
          <cell r="G4123">
            <v>1250</v>
          </cell>
          <cell r="H4123">
            <v>23</v>
          </cell>
          <cell r="I4123">
            <v>23</v>
          </cell>
          <cell r="J4123">
            <v>455</v>
          </cell>
          <cell r="K4123">
            <v>0</v>
          </cell>
          <cell r="L4123">
            <v>1.21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 t="str">
            <v>1075</v>
          </cell>
          <cell r="R4123">
            <v>2.6593406593406592</v>
          </cell>
          <cell r="S4123">
            <v>0</v>
          </cell>
          <cell r="T4123">
            <v>0</v>
          </cell>
        </row>
        <row r="4124">
          <cell r="A4124" t="str">
            <v>Y056-274</v>
          </cell>
          <cell r="B4124" t="str">
            <v>SZM-002</v>
          </cell>
          <cell r="C4124" t="str">
            <v>Y056</v>
          </cell>
          <cell r="D4124" t="str">
            <v>72277T-55写字桌面板</v>
          </cell>
          <cell r="E4124" t="str">
            <v xml:space="preserve">P0156 面板側花条 1075 </v>
          </cell>
          <cell r="F4124" t="str">
            <v>715*145*23</v>
          </cell>
          <cell r="G4124">
            <v>715</v>
          </cell>
          <cell r="H4124">
            <v>145</v>
          </cell>
          <cell r="I4124">
            <v>23</v>
          </cell>
          <cell r="J4124">
            <v>328</v>
          </cell>
          <cell r="K4124">
            <v>0</v>
          </cell>
          <cell r="L4124">
            <v>0.88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 t="str">
            <v>1075</v>
          </cell>
          <cell r="R4124">
            <v>2.6829268292682924</v>
          </cell>
          <cell r="S4124">
            <v>0</v>
          </cell>
          <cell r="T4124">
            <v>0</v>
          </cell>
        </row>
        <row r="4125">
          <cell r="A4125" t="str">
            <v>Y056-275</v>
          </cell>
          <cell r="B4125" t="str">
            <v>SZM-005</v>
          </cell>
          <cell r="C4125" t="str">
            <v>Y056</v>
          </cell>
          <cell r="D4125" t="str">
            <v>72277T-55写字桌面板</v>
          </cell>
          <cell r="E4125" t="str">
            <v>P0157 底框側花条 1075</v>
          </cell>
          <cell r="F4125" t="str">
            <v>660*116*23</v>
          </cell>
          <cell r="G4125">
            <v>660</v>
          </cell>
          <cell r="H4125">
            <v>116</v>
          </cell>
          <cell r="I4125">
            <v>23</v>
          </cell>
          <cell r="J4125">
            <v>295</v>
          </cell>
          <cell r="K4125">
            <v>0</v>
          </cell>
          <cell r="L4125">
            <v>0.79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 t="str">
            <v>1075</v>
          </cell>
          <cell r="R4125">
            <v>2.6779661016949157</v>
          </cell>
          <cell r="S4125">
            <v>0</v>
          </cell>
          <cell r="T4125">
            <v>0</v>
          </cell>
        </row>
        <row r="4126">
          <cell r="A4126" t="str">
            <v>Y056-276</v>
          </cell>
          <cell r="B4126" t="str">
            <v>SZM-006</v>
          </cell>
          <cell r="C4126" t="str">
            <v>Y056</v>
          </cell>
          <cell r="D4126" t="str">
            <v>72277T-55写字桌面板</v>
          </cell>
          <cell r="E4126" t="str">
            <v>P0158 桩脚柱</v>
          </cell>
          <cell r="F4126" t="str">
            <v>107*89*53</v>
          </cell>
          <cell r="G4126">
            <v>107</v>
          </cell>
          <cell r="H4126">
            <v>89</v>
          </cell>
          <cell r="I4126">
            <v>53</v>
          </cell>
          <cell r="J4126">
            <v>261</v>
          </cell>
          <cell r="K4126">
            <v>0</v>
          </cell>
          <cell r="L4126">
            <v>0.7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 t="str">
            <v>1010</v>
          </cell>
          <cell r="R4126">
            <v>2.6819923371647505</v>
          </cell>
          <cell r="S4126">
            <v>0</v>
          </cell>
          <cell r="T4126">
            <v>0</v>
          </cell>
        </row>
        <row r="4127">
          <cell r="A4127" t="str">
            <v>Y056-277</v>
          </cell>
          <cell r="B4127" t="str">
            <v>SZM-007</v>
          </cell>
          <cell r="C4127" t="str">
            <v>Y056</v>
          </cell>
          <cell r="D4127" t="str">
            <v>72277T-55写字桌面板</v>
          </cell>
          <cell r="E4127" t="str">
            <v>P0159 中背板饰条框</v>
          </cell>
          <cell r="F4127" t="str">
            <v>522*81*5.5</v>
          </cell>
          <cell r="G4127">
            <v>522</v>
          </cell>
          <cell r="H4127">
            <v>81</v>
          </cell>
          <cell r="I4127">
            <v>5.5</v>
          </cell>
          <cell r="J4127">
            <v>116</v>
          </cell>
          <cell r="K4127">
            <v>0</v>
          </cell>
          <cell r="L4127">
            <v>0.31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 t="str">
            <v>1010</v>
          </cell>
          <cell r="R4127">
            <v>2.672413793103448</v>
          </cell>
          <cell r="S4127">
            <v>0</v>
          </cell>
          <cell r="T4127">
            <v>0</v>
          </cell>
        </row>
        <row r="4128">
          <cell r="A4128" t="str">
            <v>Y056-278</v>
          </cell>
          <cell r="B4128" t="str">
            <v>SZM-008</v>
          </cell>
          <cell r="C4128" t="str">
            <v>Y056</v>
          </cell>
          <cell r="D4128" t="str">
            <v>72277T-55写字桌面板</v>
          </cell>
          <cell r="E4128" t="str">
            <v xml:space="preserve">P0160 側背板饰条框 </v>
          </cell>
          <cell r="F4128" t="str">
            <v>284*81*5.5</v>
          </cell>
          <cell r="G4128">
            <v>284</v>
          </cell>
          <cell r="H4128">
            <v>81</v>
          </cell>
          <cell r="I4128">
            <v>5.5</v>
          </cell>
          <cell r="J4128">
            <v>76</v>
          </cell>
          <cell r="K4128">
            <v>0</v>
          </cell>
          <cell r="L4128">
            <v>0.2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 t="str">
            <v>1010</v>
          </cell>
          <cell r="R4128">
            <v>2.6315789473684212</v>
          </cell>
          <cell r="S4128">
            <v>0</v>
          </cell>
          <cell r="T4128">
            <v>0</v>
          </cell>
        </row>
        <row r="4129">
          <cell r="A4129" t="str">
            <v>Y056-279</v>
          </cell>
          <cell r="B4129" t="str">
            <v>ZT-015</v>
          </cell>
          <cell r="C4129" t="str">
            <v>Y056</v>
          </cell>
          <cell r="D4129" t="str">
            <v>72277T-55写字桌面板</v>
          </cell>
          <cell r="E4129" t="str">
            <v>P0161 抽面外饰条 （中）</v>
          </cell>
          <cell r="F4129" t="str">
            <v>650*12*6</v>
          </cell>
          <cell r="G4129">
            <v>650</v>
          </cell>
          <cell r="H4129">
            <v>12</v>
          </cell>
          <cell r="I4129">
            <v>6</v>
          </cell>
          <cell r="J4129">
            <v>0</v>
          </cell>
          <cell r="K4129">
            <v>0</v>
          </cell>
          <cell r="L4129">
            <v>0.19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 t="str">
            <v>1010</v>
          </cell>
          <cell r="R4129" t="e">
            <v>#DIV/0!</v>
          </cell>
          <cell r="S4129">
            <v>0</v>
          </cell>
          <cell r="T4129">
            <v>0</v>
          </cell>
        </row>
        <row r="4130">
          <cell r="A4130" t="str">
            <v>Y056-280</v>
          </cell>
          <cell r="B4130" t="str">
            <v>ZT-015</v>
          </cell>
          <cell r="C4130" t="str">
            <v>Y056</v>
          </cell>
          <cell r="D4130" t="str">
            <v>72277T-55写字桌面板</v>
          </cell>
          <cell r="E4130" t="str">
            <v>P0162 抽面外饰条 （側）</v>
          </cell>
          <cell r="F4130" t="str">
            <v>810*12*6</v>
          </cell>
          <cell r="G4130">
            <v>810</v>
          </cell>
          <cell r="H4130">
            <v>12</v>
          </cell>
          <cell r="I4130">
            <v>6</v>
          </cell>
          <cell r="J4130">
            <v>0</v>
          </cell>
          <cell r="K4130">
            <v>0</v>
          </cell>
          <cell r="L4130">
            <v>0.23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 t="str">
            <v>1010</v>
          </cell>
          <cell r="R4130" t="e">
            <v>#DIV/0!</v>
          </cell>
          <cell r="S4130">
            <v>0</v>
          </cell>
          <cell r="T4130">
            <v>0</v>
          </cell>
        </row>
        <row r="4131">
          <cell r="A4131" t="str">
            <v>Y056-281</v>
          </cell>
          <cell r="B4131" t="str">
            <v>SZM-009</v>
          </cell>
          <cell r="C4131" t="str">
            <v>Y056</v>
          </cell>
          <cell r="D4131" t="str">
            <v>72277T-55写字桌面板</v>
          </cell>
          <cell r="E4131" t="str">
            <v>P0163 側立水饰花</v>
          </cell>
          <cell r="F4131" t="str">
            <v>512*82*14</v>
          </cell>
          <cell r="G4131">
            <v>512</v>
          </cell>
          <cell r="H4131">
            <v>82</v>
          </cell>
          <cell r="I4131">
            <v>14</v>
          </cell>
          <cell r="J4131">
            <v>682</v>
          </cell>
          <cell r="K4131">
            <v>0</v>
          </cell>
          <cell r="L4131">
            <v>1.82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 t="str">
            <v>1010</v>
          </cell>
          <cell r="R4131">
            <v>2.6686217008797652</v>
          </cell>
          <cell r="S4131">
            <v>0</v>
          </cell>
          <cell r="T4131">
            <v>0</v>
          </cell>
        </row>
        <row r="4132">
          <cell r="A4132" t="str">
            <v>Y056-282</v>
          </cell>
          <cell r="B4132">
            <v>0</v>
          </cell>
          <cell r="C4132" t="str">
            <v>Y056</v>
          </cell>
          <cell r="D4132" t="str">
            <v>72277T-55写字桌面板</v>
          </cell>
          <cell r="E4132" t="str">
            <v xml:space="preserve">P0164 側板饰条 </v>
          </cell>
          <cell r="F4132" t="str">
            <v>545*13*10</v>
          </cell>
          <cell r="G4132">
            <v>545</v>
          </cell>
          <cell r="H4132">
            <v>13</v>
          </cell>
          <cell r="I4132">
            <v>10</v>
          </cell>
          <cell r="J4132">
            <v>134</v>
          </cell>
          <cell r="K4132">
            <v>0</v>
          </cell>
          <cell r="L4132">
            <v>0.36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 t="str">
            <v>1010</v>
          </cell>
          <cell r="R4132">
            <v>2.6865671641791042</v>
          </cell>
          <cell r="S4132">
            <v>0</v>
          </cell>
          <cell r="T4132">
            <v>0</v>
          </cell>
        </row>
        <row r="4133">
          <cell r="A4133" t="str">
            <v>Y056-283</v>
          </cell>
          <cell r="B4133">
            <v>0</v>
          </cell>
          <cell r="C4133">
            <v>0</v>
          </cell>
          <cell r="D4133" t="str">
            <v>72277B-55写字桌脚柱</v>
          </cell>
          <cell r="E4133" t="str">
            <v>P0165 大理左柱花-L   1075</v>
          </cell>
          <cell r="F4133" t="str">
            <v>610*69*5</v>
          </cell>
          <cell r="G4133">
            <v>610</v>
          </cell>
          <cell r="H4133">
            <v>69</v>
          </cell>
          <cell r="I4133">
            <v>5</v>
          </cell>
          <cell r="J4133">
            <v>246</v>
          </cell>
          <cell r="K4133">
            <v>0</v>
          </cell>
          <cell r="L4133">
            <v>0.66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 t="str">
            <v>1075</v>
          </cell>
          <cell r="R4133">
            <v>2.6829268292682928</v>
          </cell>
          <cell r="S4133">
            <v>0</v>
          </cell>
          <cell r="T4133">
            <v>0</v>
          </cell>
        </row>
        <row r="4134">
          <cell r="A4134" t="str">
            <v>Y056-284</v>
          </cell>
          <cell r="B4134" t="str">
            <v>SZM-011-R</v>
          </cell>
          <cell r="C4134" t="str">
            <v>Y056</v>
          </cell>
          <cell r="D4134" t="str">
            <v>72277B-55写字桌脚柱</v>
          </cell>
          <cell r="E4134" t="str">
            <v>P0166 大理右柱花-R  1075</v>
          </cell>
          <cell r="F4134" t="str">
            <v>610*69*5</v>
          </cell>
          <cell r="G4134">
            <v>610</v>
          </cell>
          <cell r="H4134">
            <v>69</v>
          </cell>
          <cell r="I4134">
            <v>5</v>
          </cell>
          <cell r="J4134">
            <v>246</v>
          </cell>
          <cell r="K4134">
            <v>0</v>
          </cell>
          <cell r="L4134">
            <v>0.66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 t="str">
            <v>1075</v>
          </cell>
          <cell r="R4134">
            <v>2.6829268292682928</v>
          </cell>
          <cell r="S4134">
            <v>0</v>
          </cell>
          <cell r="T4134">
            <v>0</v>
          </cell>
        </row>
        <row r="4135">
          <cell r="A4135" t="str">
            <v>Y056-285</v>
          </cell>
          <cell r="B4135" t="str">
            <v>FCZ-04</v>
          </cell>
          <cell r="C4135">
            <v>0</v>
          </cell>
          <cell r="D4135" t="str">
            <v>72002T-55方形餐桌面板</v>
          </cell>
          <cell r="E4135" t="str">
            <v>P0290 侧立水饰条FCZ-04</v>
          </cell>
          <cell r="F4135" t="str">
            <v>958*71*12.5</v>
          </cell>
          <cell r="G4135">
            <v>958</v>
          </cell>
          <cell r="H4135">
            <v>71</v>
          </cell>
          <cell r="I4135">
            <v>12.5</v>
          </cell>
          <cell r="J4135">
            <v>956</v>
          </cell>
          <cell r="K4135">
            <v>0</v>
          </cell>
          <cell r="L4135">
            <v>2.5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 t="str">
            <v>1010</v>
          </cell>
          <cell r="R4135">
            <v>2.6150627615062763</v>
          </cell>
          <cell r="S4135">
            <v>0</v>
          </cell>
          <cell r="T4135">
            <v>0</v>
          </cell>
        </row>
        <row r="4136">
          <cell r="A4136" t="str">
            <v>Y056-286</v>
          </cell>
          <cell r="B4136">
            <v>0</v>
          </cell>
          <cell r="C4136" t="str">
            <v>Y056</v>
          </cell>
          <cell r="D4136" t="str">
            <v>72002T-55方形餐桌面板</v>
          </cell>
          <cell r="E4136" t="str">
            <v>P0291 前后立水饰条FCZ-05</v>
          </cell>
          <cell r="F4136" t="str">
            <v>669*71*12.5</v>
          </cell>
          <cell r="G4136">
            <v>669</v>
          </cell>
          <cell r="H4136">
            <v>71</v>
          </cell>
          <cell r="I4136">
            <v>12.5</v>
          </cell>
          <cell r="J4136">
            <v>688</v>
          </cell>
          <cell r="K4136">
            <v>0</v>
          </cell>
          <cell r="L4136">
            <v>2.1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 t="str">
            <v>1010</v>
          </cell>
          <cell r="R4136">
            <v>3.0523255813953494</v>
          </cell>
          <cell r="S4136">
            <v>0</v>
          </cell>
          <cell r="T4136">
            <v>0</v>
          </cell>
        </row>
        <row r="4137">
          <cell r="A4137" t="str">
            <v>Y056-287</v>
          </cell>
          <cell r="B4137" t="str">
            <v>FCZ-06-L</v>
          </cell>
          <cell r="C4137" t="str">
            <v>Y056</v>
          </cell>
          <cell r="D4137" t="str">
            <v>72002T-55方形餐桌面板</v>
          </cell>
          <cell r="E4137" t="str">
            <v>P0292 转角立水饰条FCZ-06L</v>
          </cell>
          <cell r="F4137" t="str">
            <v>242*71*12.5</v>
          </cell>
          <cell r="G4137">
            <v>242</v>
          </cell>
          <cell r="H4137">
            <v>71</v>
          </cell>
          <cell r="I4137">
            <v>12.5</v>
          </cell>
          <cell r="J4137">
            <v>261</v>
          </cell>
          <cell r="K4137">
            <v>0</v>
          </cell>
          <cell r="L4137">
            <v>0.74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 t="str">
            <v>1010</v>
          </cell>
          <cell r="R4137">
            <v>2.8352490421455938</v>
          </cell>
          <cell r="S4137">
            <v>0</v>
          </cell>
          <cell r="T4137">
            <v>0</v>
          </cell>
        </row>
        <row r="4138">
          <cell r="A4138" t="str">
            <v>Y056-288</v>
          </cell>
          <cell r="B4138" t="str">
            <v>FCZ-06-R</v>
          </cell>
          <cell r="C4138" t="str">
            <v>Y056</v>
          </cell>
          <cell r="D4138" t="str">
            <v>72002T-55方形餐桌面板</v>
          </cell>
          <cell r="E4138" t="str">
            <v xml:space="preserve"> 转角立水饰条FCZ-06R</v>
          </cell>
          <cell r="F4138" t="str">
            <v>242*71*12.5</v>
          </cell>
          <cell r="G4138">
            <v>242</v>
          </cell>
          <cell r="H4138">
            <v>71</v>
          </cell>
          <cell r="I4138">
            <v>12.5</v>
          </cell>
          <cell r="J4138">
            <v>261</v>
          </cell>
          <cell r="K4138">
            <v>0</v>
          </cell>
          <cell r="L4138">
            <v>0.74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 t="str">
            <v>1010</v>
          </cell>
          <cell r="R4138">
            <v>2.8352490421455938</v>
          </cell>
          <cell r="S4138">
            <v>0</v>
          </cell>
          <cell r="T4138">
            <v>0</v>
          </cell>
        </row>
        <row r="4139">
          <cell r="A4139" t="str">
            <v>Y056-289</v>
          </cell>
          <cell r="B4139" t="str">
            <v>FCZ-07</v>
          </cell>
          <cell r="C4139" t="str">
            <v>Y056</v>
          </cell>
          <cell r="D4139" t="str">
            <v>72002T-55方形餐桌面板</v>
          </cell>
          <cell r="E4139" t="str">
            <v>P0293中立水饰条FCZ-07</v>
          </cell>
          <cell r="F4139" t="str">
            <v>568*71*12.5</v>
          </cell>
          <cell r="G4139">
            <v>568</v>
          </cell>
          <cell r="H4139">
            <v>71</v>
          </cell>
          <cell r="I4139">
            <v>12.5</v>
          </cell>
          <cell r="J4139">
            <v>573</v>
          </cell>
          <cell r="K4139">
            <v>0</v>
          </cell>
          <cell r="L4139">
            <v>1.76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 t="str">
            <v>1010</v>
          </cell>
          <cell r="R4139">
            <v>3.0715532286212919</v>
          </cell>
          <cell r="S4139">
            <v>0</v>
          </cell>
          <cell r="T4139">
            <v>0</v>
          </cell>
        </row>
        <row r="4140">
          <cell r="A4140" t="str">
            <v>Y056-290</v>
          </cell>
          <cell r="B4140" t="str">
            <v>YCZ-001</v>
          </cell>
          <cell r="C4140" t="str">
            <v>Y056</v>
          </cell>
          <cell r="D4140" t="str">
            <v>72001T-55 圆餐桌面板</v>
          </cell>
          <cell r="E4140" t="str">
            <v>边板饰条 YCZ-001</v>
          </cell>
          <cell r="F4140" t="str">
            <v>2412*70*11</v>
          </cell>
          <cell r="G4140">
            <v>2412</v>
          </cell>
          <cell r="H4140">
            <v>70</v>
          </cell>
          <cell r="I4140">
            <v>11</v>
          </cell>
          <cell r="J4140">
            <v>2393</v>
          </cell>
          <cell r="K4140">
            <v>0</v>
          </cell>
          <cell r="L4140">
            <v>6.6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 t="str">
            <v>1010</v>
          </cell>
          <cell r="R4140">
            <v>2.7580442958629336</v>
          </cell>
          <cell r="S4140">
            <v>0</v>
          </cell>
          <cell r="T4140">
            <v>0</v>
          </cell>
        </row>
        <row r="4141">
          <cell r="A4141" t="str">
            <v>Y056-291</v>
          </cell>
          <cell r="B4141" t="str">
            <v>YCZ-002</v>
          </cell>
          <cell r="C4141" t="str">
            <v>Y056</v>
          </cell>
          <cell r="D4141" t="str">
            <v>72001T-55 圆餐桌面板</v>
          </cell>
          <cell r="E4141" t="str">
            <v>中板饰条 YCZ-002</v>
          </cell>
          <cell r="F4141" t="str">
            <v>649*70*11</v>
          </cell>
          <cell r="G4141">
            <v>649</v>
          </cell>
          <cell r="H4141">
            <v>70</v>
          </cell>
          <cell r="I4141">
            <v>11</v>
          </cell>
          <cell r="J4141">
            <v>745</v>
          </cell>
          <cell r="K4141">
            <v>0</v>
          </cell>
          <cell r="L4141">
            <v>2.06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 t="str">
            <v>1010</v>
          </cell>
          <cell r="R4141">
            <v>2.7651006711409396</v>
          </cell>
          <cell r="S4141">
            <v>0</v>
          </cell>
          <cell r="T4141">
            <v>0</v>
          </cell>
        </row>
        <row r="4142">
          <cell r="A4142" t="str">
            <v>Y056-292</v>
          </cell>
          <cell r="B4142" t="str">
            <v>FCZ-001</v>
          </cell>
          <cell r="C4142" t="str">
            <v>Y056</v>
          </cell>
          <cell r="D4142" t="str">
            <v>72001B-55 圆餐桌底座</v>
          </cell>
          <cell r="E4142" t="str">
            <v>P0287 支柱 FCZ-001</v>
          </cell>
          <cell r="F4142" t="str">
            <v>545*430*430</v>
          </cell>
          <cell r="G4142">
            <v>545</v>
          </cell>
          <cell r="H4142">
            <v>430</v>
          </cell>
          <cell r="I4142">
            <v>430</v>
          </cell>
          <cell r="J4142">
            <v>17600</v>
          </cell>
          <cell r="K4142">
            <v>0</v>
          </cell>
          <cell r="L4142">
            <v>42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 t="str">
            <v>5510</v>
          </cell>
          <cell r="R4142">
            <v>2.3863636363636362</v>
          </cell>
          <cell r="S4142" t="str">
            <v>木</v>
          </cell>
          <cell r="T4142">
            <v>0</v>
          </cell>
        </row>
        <row r="4143">
          <cell r="A4143" t="str">
            <v>Y056-293</v>
          </cell>
          <cell r="B4143">
            <v>0</v>
          </cell>
          <cell r="C4143" t="str">
            <v>Y056</v>
          </cell>
          <cell r="D4143" t="str">
            <v>72001B-55 圆餐桌底座</v>
          </cell>
          <cell r="E4143" t="str">
            <v>底座饰条 YCZ-003</v>
          </cell>
          <cell r="F4143" t="str">
            <v>2110*40*20</v>
          </cell>
          <cell r="G4143">
            <v>2110</v>
          </cell>
          <cell r="H4143">
            <v>40</v>
          </cell>
          <cell r="I4143">
            <v>20</v>
          </cell>
          <cell r="J4143">
            <v>1560</v>
          </cell>
          <cell r="K4143">
            <v>0</v>
          </cell>
          <cell r="L4143">
            <v>4.22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 t="str">
            <v>1010</v>
          </cell>
          <cell r="R4143">
            <v>2.7051282051282048</v>
          </cell>
          <cell r="S4143">
            <v>0</v>
          </cell>
          <cell r="T4143">
            <v>0</v>
          </cell>
        </row>
        <row r="4144">
          <cell r="A4144" t="str">
            <v>Y056-294</v>
          </cell>
          <cell r="B4144" t="str">
            <v>CJZ-02L</v>
          </cell>
          <cell r="C4144" t="str">
            <v>Y056</v>
          </cell>
          <cell r="D4144" t="str">
            <v>72007-55餐具柜</v>
          </cell>
          <cell r="E4144" t="str">
            <v>左中转脚 CJZ-02L</v>
          </cell>
          <cell r="F4144" t="str">
            <v>161*84*59</v>
          </cell>
          <cell r="G4144">
            <v>161</v>
          </cell>
          <cell r="H4144">
            <v>84</v>
          </cell>
          <cell r="I4144">
            <v>59</v>
          </cell>
          <cell r="J4144">
            <v>0</v>
          </cell>
          <cell r="K4144">
            <v>0</v>
          </cell>
          <cell r="L4144">
            <v>1.22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 t="e">
            <v>#DIV/0!</v>
          </cell>
        </row>
        <row r="4145">
          <cell r="A4145" t="str">
            <v>Y056-295</v>
          </cell>
          <cell r="B4145" t="str">
            <v>CJZ-02R</v>
          </cell>
          <cell r="C4145" t="str">
            <v>Y056</v>
          </cell>
          <cell r="D4145" t="str">
            <v>72007-55餐具柜</v>
          </cell>
          <cell r="E4145" t="str">
            <v>右中转脚 CJZ-02R</v>
          </cell>
          <cell r="F4145" t="str">
            <v>161*84*59</v>
          </cell>
          <cell r="G4145">
            <v>161</v>
          </cell>
          <cell r="H4145">
            <v>84</v>
          </cell>
          <cell r="I4145">
            <v>59</v>
          </cell>
          <cell r="J4145">
            <v>0</v>
          </cell>
          <cell r="K4145">
            <v>0</v>
          </cell>
          <cell r="L4145">
            <v>1.22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 t="e">
            <v>#DIV/0!</v>
          </cell>
        </row>
        <row r="4146">
          <cell r="A4146" t="str">
            <v>Y056-296</v>
          </cell>
          <cell r="B4146" t="str">
            <v>CJZ-09</v>
          </cell>
          <cell r="C4146" t="str">
            <v>Y056</v>
          </cell>
          <cell r="D4146" t="str">
            <v>72007-55餐具柜</v>
          </cell>
          <cell r="E4146" t="str">
            <v>侧板内饰框CJZ-09</v>
          </cell>
          <cell r="F4146" t="str">
            <v>205*68*6</v>
          </cell>
          <cell r="G4146">
            <v>205</v>
          </cell>
          <cell r="H4146">
            <v>68</v>
          </cell>
          <cell r="I4146">
            <v>6</v>
          </cell>
          <cell r="J4146">
            <v>0</v>
          </cell>
          <cell r="K4146">
            <v>0</v>
          </cell>
          <cell r="L4146">
            <v>0.13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 t="e">
            <v>#DIV/0!</v>
          </cell>
        </row>
        <row r="4147">
          <cell r="A4147" t="str">
            <v>Y056-297</v>
          </cell>
          <cell r="B4147" t="str">
            <v>CJZ-015</v>
          </cell>
          <cell r="C4147" t="str">
            <v>Y056</v>
          </cell>
          <cell r="D4147" t="str">
            <v>72007-55餐具柜</v>
          </cell>
          <cell r="E4147" t="str">
            <v>上抽面内饰框 CJZ-015</v>
          </cell>
          <cell r="F4147" t="str">
            <v>289*65*6</v>
          </cell>
          <cell r="G4147">
            <v>289</v>
          </cell>
          <cell r="H4147">
            <v>65</v>
          </cell>
          <cell r="I4147">
            <v>6</v>
          </cell>
          <cell r="J4147">
            <v>0</v>
          </cell>
          <cell r="K4147">
            <v>0</v>
          </cell>
          <cell r="L4147">
            <v>0.14000000000000001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 t="e">
            <v>#DIV/0!</v>
          </cell>
        </row>
        <row r="4148">
          <cell r="A4148" t="str">
            <v>Y056-298</v>
          </cell>
          <cell r="B4148" t="str">
            <v>CJZ-016</v>
          </cell>
          <cell r="C4148" t="str">
            <v>Y056</v>
          </cell>
          <cell r="D4148" t="str">
            <v>72007-55餐具柜</v>
          </cell>
          <cell r="E4148" t="str">
            <v>上中抽面内饰框 CJZ-016</v>
          </cell>
          <cell r="F4148" t="str">
            <v>440*65*6</v>
          </cell>
          <cell r="G4148">
            <v>440</v>
          </cell>
          <cell r="H4148">
            <v>65</v>
          </cell>
          <cell r="I4148">
            <v>6</v>
          </cell>
          <cell r="J4148">
            <v>0</v>
          </cell>
          <cell r="K4148">
            <v>0</v>
          </cell>
          <cell r="L4148">
            <v>0.21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 t="e">
            <v>#DIV/0!</v>
          </cell>
        </row>
        <row r="4149">
          <cell r="A4149" t="str">
            <v>Y056-299</v>
          </cell>
          <cell r="B4149" t="str">
            <v>SFZ-04</v>
          </cell>
          <cell r="C4149" t="str">
            <v>Y056</v>
          </cell>
          <cell r="D4149" t="str">
            <v>72203T-55沙发桌</v>
          </cell>
          <cell r="E4149" t="str">
            <v>P0279 短立水饰条</v>
          </cell>
          <cell r="F4149" t="str">
            <v>280*18*11</v>
          </cell>
          <cell r="G4149">
            <v>280</v>
          </cell>
          <cell r="H4149">
            <v>18</v>
          </cell>
          <cell r="I4149">
            <v>11</v>
          </cell>
          <cell r="J4149">
            <v>0</v>
          </cell>
          <cell r="K4149">
            <v>0</v>
          </cell>
          <cell r="L4149">
            <v>0.16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 t="e">
            <v>#DIV/0!</v>
          </cell>
        </row>
        <row r="4150">
          <cell r="A4150" t="str">
            <v>Y056-300</v>
          </cell>
          <cell r="B4150" t="str">
            <v>ZJ-006</v>
          </cell>
          <cell r="C4150" t="str">
            <v>Y056</v>
          </cell>
          <cell r="D4150" t="str">
            <v>72060-55妆镜</v>
          </cell>
          <cell r="E4150" t="str">
            <v>上下饰条  (配ZJ-010)</v>
          </cell>
          <cell r="F4150" t="str">
            <v>2000*25*8</v>
          </cell>
          <cell r="G4150">
            <v>2000</v>
          </cell>
          <cell r="H4150">
            <v>25</v>
          </cell>
          <cell r="I4150">
            <v>8</v>
          </cell>
          <cell r="J4150">
            <v>0</v>
          </cell>
          <cell r="K4150">
            <v>0</v>
          </cell>
          <cell r="L4150">
            <v>1.35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 t="e">
            <v>#DIV/0!</v>
          </cell>
        </row>
        <row r="4151">
          <cell r="A4151" t="str">
            <v>Y056-301</v>
          </cell>
          <cell r="B4151" t="str">
            <v>CTG-013</v>
          </cell>
          <cell r="C4151" t="str">
            <v>Y056</v>
          </cell>
          <cell r="D4151" t="str">
            <v>72040-55小床头柜</v>
          </cell>
          <cell r="E4151" t="str">
            <v>抽面内饰框 第4次</v>
          </cell>
          <cell r="F4151" t="str">
            <v>470*75*5</v>
          </cell>
          <cell r="G4151">
            <v>470</v>
          </cell>
          <cell r="H4151">
            <v>75</v>
          </cell>
          <cell r="I4151">
            <v>5</v>
          </cell>
          <cell r="J4151">
            <v>0</v>
          </cell>
          <cell r="K4151">
            <v>0</v>
          </cell>
          <cell r="L4151">
            <v>0.16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 t="e">
            <v>#DIV/0!</v>
          </cell>
        </row>
        <row r="4152">
          <cell r="A4152" t="str">
            <v>Y056-302</v>
          </cell>
          <cell r="B4152" t="str">
            <v>ZT-001</v>
          </cell>
          <cell r="C4152" t="str">
            <v>Y056</v>
          </cell>
          <cell r="D4152" t="str">
            <v>9058050-120/201妆台</v>
          </cell>
          <cell r="E4152" t="str">
            <v>面前饰花</v>
          </cell>
          <cell r="F4152" t="str">
            <v>1704*78/45*64</v>
          </cell>
          <cell r="G4152">
            <v>1704</v>
          </cell>
          <cell r="H4152" t="str">
            <v>78/45</v>
          </cell>
          <cell r="I4152">
            <v>64</v>
          </cell>
          <cell r="J4152">
            <v>0</v>
          </cell>
          <cell r="K4152">
            <v>0</v>
          </cell>
          <cell r="L4152">
            <v>9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 t="e">
            <v>#DIV/0!</v>
          </cell>
          <cell r="S4152">
            <v>0</v>
          </cell>
        </row>
        <row r="4153">
          <cell r="A4153" t="str">
            <v>Y056-303</v>
          </cell>
          <cell r="B4153" t="str">
            <v>ZT-002</v>
          </cell>
          <cell r="C4153" t="str">
            <v>Y056</v>
          </cell>
          <cell r="D4153" t="str">
            <v>9058050-120/201妆台</v>
          </cell>
          <cell r="E4153" t="str">
            <v>面侧饰花</v>
          </cell>
          <cell r="F4153" t="str">
            <v>380*64*29</v>
          </cell>
          <cell r="G4153">
            <v>380</v>
          </cell>
          <cell r="H4153">
            <v>64</v>
          </cell>
          <cell r="I4153">
            <v>29</v>
          </cell>
          <cell r="J4153">
            <v>0</v>
          </cell>
          <cell r="K4153">
            <v>0</v>
          </cell>
          <cell r="L4153">
            <v>1.1200000000000001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 t="e">
            <v>#DIV/0!</v>
          </cell>
          <cell r="S4153">
            <v>0</v>
          </cell>
        </row>
        <row r="4154">
          <cell r="A4154" t="str">
            <v>Y056-304</v>
          </cell>
          <cell r="B4154" t="str">
            <v>ZT-003</v>
          </cell>
          <cell r="C4154" t="str">
            <v>Y056</v>
          </cell>
          <cell r="D4154" t="str">
            <v>9058050-120/201妆台</v>
          </cell>
          <cell r="E4154" t="str">
            <v>左侧柱饰条</v>
          </cell>
          <cell r="F4154" t="str">
            <v>145*16*16</v>
          </cell>
          <cell r="G4154">
            <v>145</v>
          </cell>
          <cell r="H4154">
            <v>16</v>
          </cell>
          <cell r="I4154">
            <v>16</v>
          </cell>
          <cell r="J4154">
            <v>0</v>
          </cell>
          <cell r="K4154">
            <v>0</v>
          </cell>
          <cell r="L4154">
            <v>7.0000000000000007E-2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 t="e">
            <v>#DIV/0!</v>
          </cell>
          <cell r="S4154">
            <v>0</v>
          </cell>
        </row>
        <row r="4155">
          <cell r="A4155" t="str">
            <v>Y056-305</v>
          </cell>
          <cell r="B4155" t="str">
            <v>ZT-004</v>
          </cell>
          <cell r="C4155" t="str">
            <v>Y056</v>
          </cell>
          <cell r="D4155" t="str">
            <v>9058050-120/201妆台</v>
          </cell>
          <cell r="E4155" t="str">
            <v>右侧柱饰条</v>
          </cell>
          <cell r="F4155" t="str">
            <v>145*16*16</v>
          </cell>
          <cell r="G4155">
            <v>145</v>
          </cell>
          <cell r="H4155">
            <v>16</v>
          </cell>
          <cell r="I4155">
            <v>16</v>
          </cell>
          <cell r="J4155">
            <v>0</v>
          </cell>
          <cell r="K4155">
            <v>0</v>
          </cell>
          <cell r="L4155">
            <v>7.0000000000000007E-2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 t="e">
            <v>#DIV/0!</v>
          </cell>
          <cell r="S4155">
            <v>0</v>
          </cell>
        </row>
        <row r="4156">
          <cell r="A4156" t="str">
            <v>Y056-306</v>
          </cell>
          <cell r="B4156" t="str">
            <v>ZT-005</v>
          </cell>
          <cell r="C4156" t="str">
            <v>Y056</v>
          </cell>
          <cell r="D4156" t="str">
            <v>9058050-120/201妆台</v>
          </cell>
          <cell r="E4156" t="str">
            <v>左侧柱饰花</v>
          </cell>
          <cell r="F4156" t="str">
            <v>154*62*6</v>
          </cell>
          <cell r="G4156">
            <v>154</v>
          </cell>
          <cell r="H4156">
            <v>62</v>
          </cell>
          <cell r="I4156">
            <v>6</v>
          </cell>
          <cell r="J4156">
            <v>0</v>
          </cell>
          <cell r="K4156">
            <v>0</v>
          </cell>
          <cell r="L4156">
            <v>0.09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 t="e">
            <v>#DIV/0!</v>
          </cell>
          <cell r="S4156">
            <v>0</v>
          </cell>
        </row>
        <row r="4157">
          <cell r="A4157" t="str">
            <v>Y056-307</v>
          </cell>
          <cell r="B4157" t="str">
            <v>ZT-006</v>
          </cell>
          <cell r="C4157" t="str">
            <v>Y056</v>
          </cell>
          <cell r="D4157" t="str">
            <v>9058050-120/201妆台</v>
          </cell>
          <cell r="E4157" t="str">
            <v>右侧柱饰花</v>
          </cell>
          <cell r="F4157" t="str">
            <v>154*62*6</v>
          </cell>
          <cell r="G4157">
            <v>154</v>
          </cell>
          <cell r="H4157">
            <v>62</v>
          </cell>
          <cell r="I4157">
            <v>6</v>
          </cell>
          <cell r="J4157">
            <v>0</v>
          </cell>
          <cell r="K4157">
            <v>0</v>
          </cell>
          <cell r="L4157">
            <v>0.09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 t="e">
            <v>#DIV/0!</v>
          </cell>
          <cell r="S4157">
            <v>0</v>
          </cell>
        </row>
        <row r="4158">
          <cell r="A4158" t="str">
            <v>Y056-308</v>
          </cell>
          <cell r="B4158" t="str">
            <v>ZT-007</v>
          </cell>
          <cell r="C4158">
            <v>0</v>
          </cell>
          <cell r="D4158" t="str">
            <v>9058050-120/201妆台</v>
          </cell>
          <cell r="E4158" t="str">
            <v>上抽内饰条框</v>
          </cell>
          <cell r="F4158" t="str">
            <v>663*70*6</v>
          </cell>
          <cell r="G4158">
            <v>663</v>
          </cell>
          <cell r="H4158">
            <v>70</v>
          </cell>
          <cell r="I4158">
            <v>6</v>
          </cell>
          <cell r="J4158">
            <v>0</v>
          </cell>
          <cell r="K4158">
            <v>0</v>
          </cell>
          <cell r="L4158">
            <v>0.35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 t="e">
            <v>#DIV/0!</v>
          </cell>
          <cell r="S4158">
            <v>0</v>
          </cell>
        </row>
        <row r="4159">
          <cell r="A4159" t="str">
            <v>Y056-309</v>
          </cell>
          <cell r="B4159" t="str">
            <v>ZT-008</v>
          </cell>
          <cell r="C4159" t="str">
            <v>Y056</v>
          </cell>
          <cell r="D4159" t="str">
            <v>9058050-120/201妆台</v>
          </cell>
          <cell r="E4159" t="str">
            <v>下抽内饰条框</v>
          </cell>
          <cell r="F4159" t="str">
            <v>386*102*6</v>
          </cell>
          <cell r="G4159">
            <v>386</v>
          </cell>
          <cell r="H4159">
            <v>102</v>
          </cell>
          <cell r="I4159">
            <v>6</v>
          </cell>
          <cell r="J4159">
            <v>0</v>
          </cell>
          <cell r="K4159">
            <v>0</v>
          </cell>
          <cell r="L4159">
            <v>0.22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 t="e">
            <v>#DIV/0!</v>
          </cell>
          <cell r="S4159">
            <v>0</v>
          </cell>
        </row>
        <row r="4160">
          <cell r="A4160" t="str">
            <v>Y056-310</v>
          </cell>
          <cell r="B4160" t="str">
            <v>ZT-009</v>
          </cell>
          <cell r="C4160" t="str">
            <v>Y056</v>
          </cell>
          <cell r="D4160" t="str">
            <v>9058050-120/201妆台</v>
          </cell>
          <cell r="E4160" t="str">
            <v>上抽外饰条（1横1竖）</v>
          </cell>
          <cell r="F4160" t="str">
            <v>930*21*12</v>
          </cell>
          <cell r="G4160">
            <v>930</v>
          </cell>
          <cell r="H4160">
            <v>21</v>
          </cell>
          <cell r="I4160">
            <v>12</v>
          </cell>
          <cell r="J4160">
            <v>0</v>
          </cell>
          <cell r="K4160">
            <v>0</v>
          </cell>
          <cell r="L4160">
            <v>0.84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 t="e">
            <v>#DIV/0!</v>
          </cell>
          <cell r="S4160">
            <v>0</v>
          </cell>
        </row>
        <row r="4161">
          <cell r="A4161" t="str">
            <v>Y056-311</v>
          </cell>
          <cell r="B4161">
            <v>0</v>
          </cell>
          <cell r="C4161" t="str">
            <v>Y056</v>
          </cell>
          <cell r="D4161" t="str">
            <v>9058050-120/201妆台</v>
          </cell>
          <cell r="E4161">
            <v>0</v>
          </cell>
          <cell r="F4161" t="str">
            <v>690*21*12</v>
          </cell>
          <cell r="G4161">
            <v>690</v>
          </cell>
          <cell r="H4161">
            <v>21</v>
          </cell>
          <cell r="I4161">
            <v>12</v>
          </cell>
          <cell r="J4161">
            <v>0</v>
          </cell>
          <cell r="K4161">
            <v>0</v>
          </cell>
          <cell r="L4161">
            <v>0.63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 t="e">
            <v>#DIV/0!</v>
          </cell>
          <cell r="S4161">
            <v>0</v>
          </cell>
        </row>
        <row r="4162">
          <cell r="A4162" t="str">
            <v>Y056-312</v>
          </cell>
          <cell r="B4162">
            <v>0</v>
          </cell>
          <cell r="C4162" t="str">
            <v>Y056</v>
          </cell>
          <cell r="D4162" t="str">
            <v>9058050-120/201妆台</v>
          </cell>
          <cell r="E4162" t="str">
            <v>们框饰条（1横1竖）</v>
          </cell>
          <cell r="F4162" t="str">
            <v>740*19*17</v>
          </cell>
          <cell r="G4162">
            <v>740</v>
          </cell>
          <cell r="H4162">
            <v>19</v>
          </cell>
          <cell r="I4162">
            <v>17</v>
          </cell>
          <cell r="J4162">
            <v>0</v>
          </cell>
          <cell r="K4162">
            <v>0</v>
          </cell>
          <cell r="L4162">
            <v>0.55000000000000004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 t="e">
            <v>#DIV/0!</v>
          </cell>
          <cell r="S4162">
            <v>0</v>
          </cell>
        </row>
        <row r="4163">
          <cell r="A4163" t="str">
            <v>Y056-313</v>
          </cell>
          <cell r="B4163" t="str">
            <v>ZT-012</v>
          </cell>
          <cell r="C4163" t="str">
            <v>Y056</v>
          </cell>
          <cell r="D4163" t="str">
            <v>9058050-120/201妆台</v>
          </cell>
          <cell r="E4163" t="str">
            <v>们半圆线条（1横1竖）</v>
          </cell>
          <cell r="F4163" t="str">
            <v>520*Φ6*3</v>
          </cell>
          <cell r="G4163">
            <v>520</v>
          </cell>
          <cell r="H4163" t="str">
            <v>Φ6</v>
          </cell>
          <cell r="I4163">
            <v>3</v>
          </cell>
          <cell r="J4163">
            <v>0</v>
          </cell>
          <cell r="K4163">
            <v>0</v>
          </cell>
          <cell r="L4163">
            <v>0.08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 t="e">
            <v>#DIV/0!</v>
          </cell>
          <cell r="S4163">
            <v>0</v>
          </cell>
        </row>
        <row r="4164">
          <cell r="A4164" t="str">
            <v>Y056-314</v>
          </cell>
          <cell r="B4164" t="str">
            <v>CXG-005</v>
          </cell>
          <cell r="C4164" t="str">
            <v>Y056</v>
          </cell>
          <cell r="D4164" t="str">
            <v>9058060-120/201妆镜</v>
          </cell>
          <cell r="E4164" t="str">
            <v>左侧柱饰花</v>
          </cell>
          <cell r="F4164" t="str">
            <v>124*50*6</v>
          </cell>
          <cell r="G4164">
            <v>124</v>
          </cell>
          <cell r="H4164">
            <v>50</v>
          </cell>
          <cell r="I4164">
            <v>6</v>
          </cell>
          <cell r="J4164">
            <v>0</v>
          </cell>
          <cell r="K4164">
            <v>0</v>
          </cell>
          <cell r="L4164">
            <v>0.05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 t="e">
            <v>#DIV/0!</v>
          </cell>
          <cell r="S4164">
            <v>0</v>
          </cell>
        </row>
        <row r="4165">
          <cell r="A4165" t="str">
            <v>Y056-315</v>
          </cell>
          <cell r="B4165" t="str">
            <v>CXG-006</v>
          </cell>
          <cell r="C4165" t="str">
            <v>Y056</v>
          </cell>
          <cell r="D4165" t="str">
            <v>9058060-120/201妆镜</v>
          </cell>
          <cell r="E4165" t="str">
            <v>右侧柱饰花</v>
          </cell>
          <cell r="F4165" t="str">
            <v>124*50*6</v>
          </cell>
          <cell r="G4165">
            <v>124</v>
          </cell>
          <cell r="H4165">
            <v>50</v>
          </cell>
          <cell r="I4165">
            <v>6</v>
          </cell>
          <cell r="J4165">
            <v>0</v>
          </cell>
          <cell r="K4165">
            <v>0</v>
          </cell>
          <cell r="L4165">
            <v>0.05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 t="e">
            <v>#DIV/0!</v>
          </cell>
          <cell r="S4165">
            <v>0</v>
          </cell>
        </row>
        <row r="4166">
          <cell r="A4166" t="str">
            <v>Y056-316</v>
          </cell>
          <cell r="B4166" t="str">
            <v>DCG-001</v>
          </cell>
          <cell r="C4166">
            <v>0</v>
          </cell>
          <cell r="D4166" t="str">
            <v>9058070B-120/201头柜下柜</v>
          </cell>
          <cell r="E4166" t="str">
            <v>面前饰花</v>
          </cell>
          <cell r="F4166" t="str">
            <v>1118*73*64</v>
          </cell>
          <cell r="G4166">
            <v>1118</v>
          </cell>
          <cell r="H4166">
            <v>73</v>
          </cell>
          <cell r="I4166">
            <v>64</v>
          </cell>
          <cell r="J4166">
            <v>0</v>
          </cell>
          <cell r="K4166">
            <v>0</v>
          </cell>
          <cell r="L4166">
            <v>7.5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 t="e">
            <v>#DIV/0!</v>
          </cell>
          <cell r="S4166">
            <v>0</v>
          </cell>
        </row>
        <row r="4167">
          <cell r="A4167" t="str">
            <v>Y056-317</v>
          </cell>
          <cell r="B4167" t="str">
            <v>DCG-005</v>
          </cell>
          <cell r="C4167" t="str">
            <v>Y056</v>
          </cell>
          <cell r="D4167" t="str">
            <v>9058070B-120/201头柜下柜</v>
          </cell>
          <cell r="E4167" t="str">
            <v>面侧饰花</v>
          </cell>
          <cell r="F4167" t="str">
            <v>390*64*29</v>
          </cell>
          <cell r="G4167">
            <v>390</v>
          </cell>
          <cell r="H4167">
            <v>64</v>
          </cell>
          <cell r="I4167">
            <v>29</v>
          </cell>
          <cell r="J4167">
            <v>0</v>
          </cell>
          <cell r="K4167">
            <v>0</v>
          </cell>
          <cell r="L4167">
            <v>1.1499999999999999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 t="e">
            <v>#DIV/0!</v>
          </cell>
          <cell r="S4167">
            <v>0</v>
          </cell>
        </row>
        <row r="4168">
          <cell r="A4168" t="str">
            <v>Y056-318</v>
          </cell>
          <cell r="B4168" t="str">
            <v>DCG-002</v>
          </cell>
          <cell r="C4168" t="str">
            <v>Y056</v>
          </cell>
          <cell r="D4168" t="str">
            <v>9058070B-120/201头柜下柜</v>
          </cell>
          <cell r="E4168" t="str">
            <v>上抽内饰条框</v>
          </cell>
          <cell r="F4168" t="str">
            <v>851*70*6</v>
          </cell>
          <cell r="G4168">
            <v>851</v>
          </cell>
          <cell r="H4168">
            <v>70</v>
          </cell>
          <cell r="I4168">
            <v>6</v>
          </cell>
          <cell r="J4168">
            <v>0</v>
          </cell>
          <cell r="K4168">
            <v>0</v>
          </cell>
          <cell r="L4168">
            <v>0.43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 t="e">
            <v>#DIV/0!</v>
          </cell>
          <cell r="S4168">
            <v>0</v>
          </cell>
        </row>
        <row r="4169">
          <cell r="A4169" t="str">
            <v>Y056-319</v>
          </cell>
          <cell r="B4169" t="str">
            <v>DCG-003</v>
          </cell>
          <cell r="C4169" t="str">
            <v>Y056</v>
          </cell>
          <cell r="D4169" t="str">
            <v>9058070B-120/201头柜下柜</v>
          </cell>
          <cell r="E4169" t="str">
            <v>下抽内饰条框</v>
          </cell>
          <cell r="F4169" t="str">
            <v>851*102*6</v>
          </cell>
          <cell r="G4169">
            <v>851</v>
          </cell>
          <cell r="H4169">
            <v>102</v>
          </cell>
          <cell r="I4169">
            <v>6</v>
          </cell>
          <cell r="J4169">
            <v>0</v>
          </cell>
          <cell r="K4169">
            <v>0</v>
          </cell>
          <cell r="L4169">
            <v>0.52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 t="e">
            <v>#DIV/0!</v>
          </cell>
          <cell r="S4169">
            <v>0</v>
          </cell>
        </row>
        <row r="4170">
          <cell r="A4170" t="str">
            <v>Y056-320</v>
          </cell>
          <cell r="B4170" t="str">
            <v>DCG-004</v>
          </cell>
          <cell r="C4170" t="str">
            <v>Y056</v>
          </cell>
          <cell r="D4170" t="str">
            <v>9058070B-120/201头柜下柜</v>
          </cell>
          <cell r="E4170" t="str">
            <v>抽外饰条(1横1竖)</v>
          </cell>
          <cell r="F4170" t="str">
            <v>1140*21*12</v>
          </cell>
          <cell r="G4170">
            <v>1140</v>
          </cell>
          <cell r="H4170">
            <v>21</v>
          </cell>
          <cell r="I4170">
            <v>12</v>
          </cell>
          <cell r="J4170">
            <v>0</v>
          </cell>
          <cell r="K4170">
            <v>0</v>
          </cell>
          <cell r="L4170">
            <v>1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 t="e">
            <v>#DIV/0!</v>
          </cell>
          <cell r="S4170">
            <v>0</v>
          </cell>
        </row>
        <row r="4171">
          <cell r="A4171" t="str">
            <v>Y056-321</v>
          </cell>
          <cell r="B4171">
            <v>0</v>
          </cell>
          <cell r="C4171" t="str">
            <v>Y056</v>
          </cell>
          <cell r="D4171" t="str">
            <v>9058070T-120/201头柜上柜</v>
          </cell>
          <cell r="E4171" t="str">
            <v>面前饰花</v>
          </cell>
          <cell r="F4171" t="str">
            <v>1132*77/50*64</v>
          </cell>
          <cell r="G4171">
            <v>1132</v>
          </cell>
          <cell r="H4171" t="str">
            <v>77/50</v>
          </cell>
          <cell r="I4171">
            <v>64</v>
          </cell>
          <cell r="J4171">
            <v>0</v>
          </cell>
          <cell r="K4171">
            <v>0</v>
          </cell>
          <cell r="L4171">
            <v>7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 t="e">
            <v>#DIV/0!</v>
          </cell>
          <cell r="S4171">
            <v>0</v>
          </cell>
        </row>
        <row r="4172">
          <cell r="A4172" t="str">
            <v>Y056-322</v>
          </cell>
          <cell r="B4172" t="str">
            <v>ZT-002</v>
          </cell>
          <cell r="C4172" t="str">
            <v>Y056</v>
          </cell>
          <cell r="D4172" t="str">
            <v>9058070T-120/201头柜上柜</v>
          </cell>
          <cell r="E4172" t="str">
            <v>面侧饰花</v>
          </cell>
          <cell r="F4172" t="str">
            <v>380*64*29</v>
          </cell>
          <cell r="G4172">
            <v>380</v>
          </cell>
          <cell r="H4172">
            <v>64</v>
          </cell>
          <cell r="I4172">
            <v>29</v>
          </cell>
          <cell r="J4172">
            <v>0</v>
          </cell>
          <cell r="K4172">
            <v>0</v>
          </cell>
          <cell r="L4172">
            <v>1.1200000000000001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 t="e">
            <v>#DIV/0!</v>
          </cell>
          <cell r="S4172">
            <v>0</v>
          </cell>
        </row>
        <row r="4173">
          <cell r="A4173" t="str">
            <v>Y056-323</v>
          </cell>
          <cell r="B4173" t="str">
            <v>ZT-003</v>
          </cell>
          <cell r="C4173" t="str">
            <v>Y056</v>
          </cell>
          <cell r="D4173" t="str">
            <v>9058070T-120/201头柜上柜</v>
          </cell>
          <cell r="E4173" t="str">
            <v>左侧柱饰条</v>
          </cell>
          <cell r="F4173" t="str">
            <v>145*16*16</v>
          </cell>
          <cell r="G4173">
            <v>145</v>
          </cell>
          <cell r="H4173">
            <v>16</v>
          </cell>
          <cell r="I4173">
            <v>16</v>
          </cell>
          <cell r="J4173">
            <v>0</v>
          </cell>
          <cell r="K4173">
            <v>0</v>
          </cell>
          <cell r="L4173">
            <v>7.0000000000000007E-2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 t="e">
            <v>#DIV/0!</v>
          </cell>
          <cell r="S4173">
            <v>0</v>
          </cell>
        </row>
        <row r="4174">
          <cell r="A4174">
            <v>0</v>
          </cell>
          <cell r="B4174" t="str">
            <v>ZT-004</v>
          </cell>
          <cell r="C4174" t="str">
            <v>Y056</v>
          </cell>
          <cell r="D4174" t="str">
            <v>9058070T-120/201头柜上柜</v>
          </cell>
          <cell r="E4174" t="str">
            <v>右侧柱饰条</v>
          </cell>
          <cell r="F4174" t="str">
            <v>145*16*16</v>
          </cell>
          <cell r="G4174">
            <v>145</v>
          </cell>
          <cell r="H4174">
            <v>16</v>
          </cell>
          <cell r="I4174">
            <v>16</v>
          </cell>
          <cell r="J4174">
            <v>0</v>
          </cell>
          <cell r="K4174">
            <v>0</v>
          </cell>
          <cell r="L4174">
            <v>7.0000000000000007E-2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 t="e">
            <v>#DIV/0!</v>
          </cell>
          <cell r="S4174">
            <v>0</v>
          </cell>
        </row>
        <row r="4175">
          <cell r="A4175" t="str">
            <v>Y056-325</v>
          </cell>
          <cell r="B4175" t="str">
            <v>ZT-005</v>
          </cell>
          <cell r="C4175" t="str">
            <v>Y056</v>
          </cell>
          <cell r="D4175" t="str">
            <v>9058070T-120/201头柜上柜</v>
          </cell>
          <cell r="E4175" t="str">
            <v>左侧柱饰花</v>
          </cell>
          <cell r="F4175" t="str">
            <v>154*62*6</v>
          </cell>
          <cell r="G4175">
            <v>154</v>
          </cell>
          <cell r="H4175">
            <v>62</v>
          </cell>
          <cell r="I4175">
            <v>6</v>
          </cell>
          <cell r="J4175">
            <v>0</v>
          </cell>
          <cell r="K4175">
            <v>0</v>
          </cell>
          <cell r="L4175">
            <v>0.09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 t="e">
            <v>#DIV/0!</v>
          </cell>
          <cell r="S4175">
            <v>0</v>
          </cell>
        </row>
        <row r="4176">
          <cell r="A4176" t="str">
            <v>Y056-326</v>
          </cell>
          <cell r="B4176" t="str">
            <v>ZT-006</v>
          </cell>
          <cell r="C4176" t="str">
            <v>Y056</v>
          </cell>
          <cell r="D4176" t="str">
            <v>9058070T-120/201头柜上柜</v>
          </cell>
          <cell r="E4176" t="str">
            <v>右侧柱饰花</v>
          </cell>
          <cell r="F4176" t="str">
            <v>154*62*6</v>
          </cell>
          <cell r="G4176">
            <v>154</v>
          </cell>
          <cell r="H4176">
            <v>62</v>
          </cell>
          <cell r="I4176">
            <v>6</v>
          </cell>
          <cell r="J4176">
            <v>0</v>
          </cell>
          <cell r="K4176">
            <v>0</v>
          </cell>
          <cell r="L4176">
            <v>0.09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 t="e">
            <v>#DIV/0!</v>
          </cell>
          <cell r="S4176">
            <v>0</v>
          </cell>
        </row>
        <row r="4177">
          <cell r="A4177" t="str">
            <v>Y056-327</v>
          </cell>
          <cell r="B4177" t="str">
            <v>DGS-002</v>
          </cell>
          <cell r="C4177" t="str">
            <v>Y056</v>
          </cell>
          <cell r="D4177" t="str">
            <v>9058070T-120/201头柜上柜</v>
          </cell>
          <cell r="E4177" t="str">
            <v>上抽内饰条框</v>
          </cell>
          <cell r="F4177" t="str">
            <v>369*70*6</v>
          </cell>
          <cell r="G4177">
            <v>369</v>
          </cell>
          <cell r="H4177">
            <v>70</v>
          </cell>
          <cell r="I4177">
            <v>6</v>
          </cell>
          <cell r="J4177">
            <v>0</v>
          </cell>
          <cell r="K4177">
            <v>0</v>
          </cell>
          <cell r="L4177">
            <v>0.2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 t="e">
            <v>#DIV/0!</v>
          </cell>
          <cell r="S4177">
            <v>0</v>
          </cell>
        </row>
        <row r="4178">
          <cell r="A4178" t="str">
            <v>Y056-328</v>
          </cell>
          <cell r="B4178" t="str">
            <v>DGS-003</v>
          </cell>
          <cell r="C4178" t="str">
            <v>Y056</v>
          </cell>
          <cell r="D4178" t="str">
            <v>9058070T-120/201头柜上柜</v>
          </cell>
          <cell r="E4178" t="str">
            <v>下抽内饰条框</v>
          </cell>
          <cell r="F4178" t="str">
            <v>828*112*6</v>
          </cell>
          <cell r="G4178">
            <v>828</v>
          </cell>
          <cell r="H4178">
            <v>112</v>
          </cell>
          <cell r="I4178">
            <v>6</v>
          </cell>
          <cell r="J4178">
            <v>0</v>
          </cell>
          <cell r="K4178">
            <v>0</v>
          </cell>
          <cell r="L4178">
            <v>0.45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 t="e">
            <v>#DIV/0!</v>
          </cell>
          <cell r="S4178">
            <v>0</v>
          </cell>
        </row>
        <row r="4179">
          <cell r="A4179" t="str">
            <v>Y056-329</v>
          </cell>
          <cell r="B4179" t="str">
            <v>DGS-004</v>
          </cell>
          <cell r="C4179">
            <v>0</v>
          </cell>
          <cell r="D4179" t="str">
            <v>9058070T-120/201头柜上柜</v>
          </cell>
          <cell r="E4179" t="str">
            <v>上抽外饰条(1横1竖)</v>
          </cell>
          <cell r="F4179" t="str">
            <v>630*21*12</v>
          </cell>
          <cell r="G4179">
            <v>630</v>
          </cell>
          <cell r="H4179">
            <v>21</v>
          </cell>
          <cell r="I4179">
            <v>12</v>
          </cell>
          <cell r="J4179">
            <v>0</v>
          </cell>
          <cell r="K4179">
            <v>0</v>
          </cell>
          <cell r="L4179">
            <v>0.54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 t="e">
            <v>#DIV/0!</v>
          </cell>
          <cell r="S4179">
            <v>0</v>
          </cell>
        </row>
        <row r="4180">
          <cell r="A4180" t="str">
            <v>Y056-330</v>
          </cell>
          <cell r="B4180" t="str">
            <v>DGS-005</v>
          </cell>
          <cell r="C4180" t="str">
            <v>Y056</v>
          </cell>
          <cell r="D4180" t="str">
            <v>9058070T-120/201头柜上柜</v>
          </cell>
          <cell r="E4180" t="str">
            <v>下抽外饰条(1横1竖)</v>
          </cell>
          <cell r="F4180" t="str">
            <v>1140*21*12</v>
          </cell>
          <cell r="G4180">
            <v>1140</v>
          </cell>
          <cell r="H4180">
            <v>21</v>
          </cell>
          <cell r="I4180">
            <v>12</v>
          </cell>
          <cell r="J4180">
            <v>0</v>
          </cell>
          <cell r="K4180">
            <v>0</v>
          </cell>
          <cell r="L4180">
            <v>1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 t="e">
            <v>#DIV/0!</v>
          </cell>
          <cell r="S4180">
            <v>0</v>
          </cell>
        </row>
        <row r="4181">
          <cell r="A4181" t="str">
            <v>Y056-331</v>
          </cell>
          <cell r="B4181" t="str">
            <v>CT-006</v>
          </cell>
          <cell r="C4181" t="str">
            <v>Y056</v>
          </cell>
          <cell r="D4181" t="str">
            <v>9058014-120/201床头66</v>
          </cell>
          <cell r="E4181" t="str">
            <v>床头板上中饰条</v>
          </cell>
          <cell r="F4181" t="str">
            <v>420*83/19*14</v>
          </cell>
          <cell r="G4181">
            <v>420</v>
          </cell>
          <cell r="H4181" t="str">
            <v>83/19</v>
          </cell>
          <cell r="I4181">
            <v>14</v>
          </cell>
          <cell r="J4181">
            <v>0</v>
          </cell>
          <cell r="K4181">
            <v>0</v>
          </cell>
          <cell r="L4181">
            <v>0.56999999999999995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 t="e">
            <v>#DIV/0!</v>
          </cell>
          <cell r="S4181">
            <v>0</v>
          </cell>
        </row>
        <row r="4182">
          <cell r="A4182" t="str">
            <v>Y056-332</v>
          </cell>
          <cell r="B4182" t="str">
            <v>CT-007</v>
          </cell>
          <cell r="C4182" t="str">
            <v>Y056</v>
          </cell>
          <cell r="D4182" t="str">
            <v>9058014-120/201床头66</v>
          </cell>
          <cell r="E4182" t="str">
            <v>床头板左横饰条</v>
          </cell>
          <cell r="F4182" t="str">
            <v>822*160/19*14</v>
          </cell>
          <cell r="G4182">
            <v>822</v>
          </cell>
          <cell r="H4182" t="str">
            <v>160/19</v>
          </cell>
          <cell r="I4182">
            <v>14</v>
          </cell>
          <cell r="J4182">
            <v>0</v>
          </cell>
          <cell r="K4182">
            <v>0</v>
          </cell>
          <cell r="L4182">
            <v>1.45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 t="e">
            <v>#DIV/0!</v>
          </cell>
          <cell r="S4182">
            <v>0</v>
          </cell>
        </row>
        <row r="4183">
          <cell r="A4183" t="str">
            <v>Y056-333</v>
          </cell>
          <cell r="B4183" t="str">
            <v>CT-008</v>
          </cell>
          <cell r="C4183" t="str">
            <v>Y056</v>
          </cell>
          <cell r="D4183" t="str">
            <v>9058014-120/201床头66</v>
          </cell>
          <cell r="E4183" t="str">
            <v>床头板右横饰条</v>
          </cell>
          <cell r="F4183" t="str">
            <v>822*160/19*14</v>
          </cell>
          <cell r="G4183">
            <v>822</v>
          </cell>
          <cell r="H4183" t="str">
            <v>160/19</v>
          </cell>
          <cell r="I4183">
            <v>14</v>
          </cell>
          <cell r="J4183">
            <v>0</v>
          </cell>
          <cell r="K4183">
            <v>0</v>
          </cell>
          <cell r="L4183">
            <v>1.45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 t="e">
            <v>#DIV/0!</v>
          </cell>
          <cell r="S4183">
            <v>0</v>
          </cell>
        </row>
        <row r="4184">
          <cell r="A4184" t="str">
            <v>Y056-334</v>
          </cell>
          <cell r="B4184" t="str">
            <v>CT-009</v>
          </cell>
          <cell r="C4184">
            <v>0</v>
          </cell>
          <cell r="D4184" t="str">
            <v>9058014-120/201床头66</v>
          </cell>
          <cell r="E4184" t="str">
            <v>床头板左竖饰条</v>
          </cell>
          <cell r="F4184" t="str">
            <v>625*74/19*14</v>
          </cell>
          <cell r="G4184">
            <v>625</v>
          </cell>
          <cell r="H4184" t="str">
            <v>74/19</v>
          </cell>
          <cell r="I4184">
            <v>14</v>
          </cell>
          <cell r="J4184">
            <v>0</v>
          </cell>
          <cell r="K4184">
            <v>0</v>
          </cell>
          <cell r="L4184">
            <v>0.83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 t="e">
            <v>#DIV/0!</v>
          </cell>
          <cell r="S4184">
            <v>0</v>
          </cell>
        </row>
        <row r="4185">
          <cell r="A4185" t="str">
            <v>Y056-335</v>
          </cell>
          <cell r="B4185" t="str">
            <v>CT-010</v>
          </cell>
          <cell r="C4185" t="str">
            <v>Y056</v>
          </cell>
          <cell r="D4185" t="str">
            <v>9058014-120/201床头66</v>
          </cell>
          <cell r="E4185" t="str">
            <v>床头板右竖饰条</v>
          </cell>
          <cell r="F4185" t="str">
            <v>625*74/19*14</v>
          </cell>
          <cell r="G4185">
            <v>625</v>
          </cell>
          <cell r="H4185" t="str">
            <v>74/19</v>
          </cell>
          <cell r="I4185">
            <v>14</v>
          </cell>
          <cell r="J4185">
            <v>0</v>
          </cell>
          <cell r="K4185">
            <v>0</v>
          </cell>
          <cell r="L4185">
            <v>0.83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 t="e">
            <v>#DIV/0!</v>
          </cell>
          <cell r="S4185">
            <v>0</v>
          </cell>
        </row>
        <row r="4186">
          <cell r="A4186" t="str">
            <v>Y056-336</v>
          </cell>
          <cell r="B4186" t="str">
            <v>CW-002</v>
          </cell>
          <cell r="C4186" t="str">
            <v>Y056</v>
          </cell>
          <cell r="D4186" t="str">
            <v>9058024-120/201床尾66</v>
          </cell>
          <cell r="E4186" t="str">
            <v>床尾板左饰框</v>
          </cell>
          <cell r="F4186" t="str">
            <v>895*352*15</v>
          </cell>
          <cell r="G4186">
            <v>895</v>
          </cell>
          <cell r="H4186">
            <v>352</v>
          </cell>
          <cell r="I4186">
            <v>15</v>
          </cell>
          <cell r="J4186">
            <v>0</v>
          </cell>
          <cell r="K4186">
            <v>0</v>
          </cell>
          <cell r="L4186">
            <v>3.25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 t="e">
            <v>#DIV/0!</v>
          </cell>
          <cell r="S4186">
            <v>0</v>
          </cell>
        </row>
        <row r="4187">
          <cell r="A4187" t="str">
            <v>Y056-337</v>
          </cell>
          <cell r="B4187" t="str">
            <v>CW-003</v>
          </cell>
          <cell r="C4187" t="str">
            <v>Y056</v>
          </cell>
          <cell r="D4187" t="str">
            <v>9058024-120/201床尾66</v>
          </cell>
          <cell r="E4187" t="str">
            <v>床尾板右饰框</v>
          </cell>
          <cell r="F4187" t="str">
            <v>895*352*15</v>
          </cell>
          <cell r="G4187">
            <v>895</v>
          </cell>
          <cell r="H4187">
            <v>352</v>
          </cell>
          <cell r="I4187">
            <v>15</v>
          </cell>
          <cell r="J4187">
            <v>0</v>
          </cell>
          <cell r="K4187">
            <v>0</v>
          </cell>
          <cell r="L4187">
            <v>3.25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 t="e">
            <v>#DIV/0!</v>
          </cell>
          <cell r="S4187">
            <v>0</v>
          </cell>
        </row>
        <row r="4188">
          <cell r="A4188" t="str">
            <v>Y056-338</v>
          </cell>
          <cell r="B4188" t="str">
            <v>FXZ-001</v>
          </cell>
          <cell r="C4188" t="str">
            <v>Y056</v>
          </cell>
          <cell r="D4188" t="str">
            <v>9058002T-120/201方形餐桌面板</v>
          </cell>
          <cell r="E4188" t="str">
            <v>边板端头饰花</v>
          </cell>
          <cell r="F4188" t="str">
            <v>910*21*15</v>
          </cell>
          <cell r="G4188">
            <v>910</v>
          </cell>
          <cell r="H4188">
            <v>21</v>
          </cell>
          <cell r="I4188">
            <v>15</v>
          </cell>
          <cell r="J4188">
            <v>0</v>
          </cell>
          <cell r="K4188">
            <v>0</v>
          </cell>
          <cell r="L4188">
            <v>1.24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 t="e">
            <v>#DIV/0!</v>
          </cell>
          <cell r="S4188">
            <v>0</v>
          </cell>
        </row>
        <row r="4189">
          <cell r="A4189" t="str">
            <v>Y056-339</v>
          </cell>
          <cell r="B4189" t="str">
            <v>FXZ-002</v>
          </cell>
          <cell r="C4189" t="str">
            <v>Y056</v>
          </cell>
          <cell r="D4189" t="str">
            <v>9058002T-120/201方形餐桌面板</v>
          </cell>
          <cell r="E4189" t="str">
            <v>边板左饰花</v>
          </cell>
          <cell r="F4189" t="str">
            <v>1000*160/21*15</v>
          </cell>
          <cell r="G4189">
            <v>1000</v>
          </cell>
          <cell r="H4189" t="str">
            <v>160/21</v>
          </cell>
          <cell r="I4189">
            <v>15</v>
          </cell>
          <cell r="J4189">
            <v>0</v>
          </cell>
          <cell r="K4189">
            <v>0</v>
          </cell>
          <cell r="L4189">
            <v>1.55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 t="e">
            <v>#DIV/0!</v>
          </cell>
          <cell r="S4189">
            <v>0</v>
          </cell>
        </row>
        <row r="4190">
          <cell r="A4190" t="str">
            <v>Y056-340</v>
          </cell>
          <cell r="B4190" t="str">
            <v>FXZ-003</v>
          </cell>
          <cell r="C4190" t="str">
            <v>Y056</v>
          </cell>
          <cell r="D4190" t="str">
            <v>9058002T-120/201方形餐桌面板</v>
          </cell>
          <cell r="E4190" t="str">
            <v>边板右饰花</v>
          </cell>
          <cell r="F4190" t="str">
            <v>1000*160/21*15</v>
          </cell>
          <cell r="G4190">
            <v>1000</v>
          </cell>
          <cell r="H4190" t="str">
            <v>160/21</v>
          </cell>
          <cell r="I4190">
            <v>15</v>
          </cell>
          <cell r="J4190">
            <v>0</v>
          </cell>
          <cell r="K4190">
            <v>0</v>
          </cell>
          <cell r="L4190">
            <v>1.55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 t="e">
            <v>#DIV/0!</v>
          </cell>
          <cell r="S4190">
            <v>0</v>
          </cell>
        </row>
        <row r="4191">
          <cell r="A4191" t="str">
            <v>Y056-341</v>
          </cell>
          <cell r="B4191" t="str">
            <v>FXZ-004</v>
          </cell>
          <cell r="C4191" t="str">
            <v>Y056</v>
          </cell>
          <cell r="D4191" t="str">
            <v>9058002T-120/201方形餐桌面板</v>
          </cell>
          <cell r="E4191" t="str">
            <v>中板饰花</v>
          </cell>
          <cell r="F4191" t="str">
            <v>620*21*15</v>
          </cell>
          <cell r="G4191">
            <v>620</v>
          </cell>
          <cell r="H4191">
            <v>21</v>
          </cell>
          <cell r="I4191">
            <v>15</v>
          </cell>
          <cell r="J4191">
            <v>0</v>
          </cell>
          <cell r="K4191">
            <v>0</v>
          </cell>
          <cell r="L4191">
            <v>0.9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 t="e">
            <v>#DIV/0!</v>
          </cell>
          <cell r="S4191">
            <v>0</v>
          </cell>
        </row>
        <row r="4192">
          <cell r="A4192" t="str">
            <v>Y056-342</v>
          </cell>
          <cell r="B4192" t="str">
            <v>FXZ-005</v>
          </cell>
          <cell r="C4192" t="str">
            <v>Y056</v>
          </cell>
          <cell r="D4192" t="str">
            <v>9058002B-120/201方形餐桌脚柱</v>
          </cell>
          <cell r="E4192" t="str">
            <v>脚柱</v>
          </cell>
          <cell r="F4192" t="str">
            <v>505*368*368</v>
          </cell>
          <cell r="G4192">
            <v>505</v>
          </cell>
          <cell r="H4192">
            <v>368</v>
          </cell>
          <cell r="I4192">
            <v>368</v>
          </cell>
          <cell r="J4192">
            <v>0</v>
          </cell>
          <cell r="K4192">
            <v>0</v>
          </cell>
          <cell r="L4192">
            <v>27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 t="e">
            <v>#DIV/0!</v>
          </cell>
          <cell r="S4192">
            <v>0</v>
          </cell>
        </row>
        <row r="4193">
          <cell r="A4193" t="str">
            <v>Y056-343</v>
          </cell>
          <cell r="B4193" t="str">
            <v>CY-001</v>
          </cell>
          <cell r="C4193" t="str">
            <v>Y056</v>
          </cell>
          <cell r="D4193" t="str">
            <v>9058003/4-120/201有无扶手椅</v>
          </cell>
          <cell r="E4193" t="str">
            <v>背板圆花</v>
          </cell>
          <cell r="F4193" t="str">
            <v>645*419*7</v>
          </cell>
          <cell r="G4193">
            <v>645</v>
          </cell>
          <cell r="H4193">
            <v>419</v>
          </cell>
          <cell r="I4193">
            <v>7</v>
          </cell>
          <cell r="J4193">
            <v>0</v>
          </cell>
          <cell r="K4193">
            <v>0</v>
          </cell>
          <cell r="L4193">
            <v>1.1299999999999999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 t="e">
            <v>#DIV/0!</v>
          </cell>
          <cell r="S4193">
            <v>0</v>
          </cell>
        </row>
        <row r="4194">
          <cell r="A4194" t="str">
            <v>Y056-344</v>
          </cell>
          <cell r="B4194" t="str">
            <v>CSG-001</v>
          </cell>
          <cell r="C4194" t="str">
            <v>Y056</v>
          </cell>
          <cell r="D4194" t="str">
            <v>9058005-120/201橱柜上柜</v>
          </cell>
          <cell r="E4194" t="str">
            <v>前顶冠花</v>
          </cell>
          <cell r="F4194" t="str">
            <v>1789*140/49*64</v>
          </cell>
          <cell r="G4194">
            <v>1789</v>
          </cell>
          <cell r="H4194" t="str">
            <v>140/49</v>
          </cell>
          <cell r="I4194">
            <v>64</v>
          </cell>
          <cell r="J4194">
            <v>0</v>
          </cell>
          <cell r="K4194">
            <v>0</v>
          </cell>
          <cell r="L4194">
            <v>9.5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 t="e">
            <v>#DIV/0!</v>
          </cell>
          <cell r="S4194">
            <v>0</v>
          </cell>
        </row>
        <row r="4195">
          <cell r="A4195" t="str">
            <v>Y056-345</v>
          </cell>
          <cell r="B4195" t="str">
            <v>CSG-002</v>
          </cell>
          <cell r="C4195" t="str">
            <v>Y056</v>
          </cell>
          <cell r="D4195" t="str">
            <v>9058005-120/201橱柜上柜</v>
          </cell>
          <cell r="E4195" t="str">
            <v>顶冠侧饰花</v>
          </cell>
          <cell r="F4195" t="str">
            <v>310*64*29</v>
          </cell>
          <cell r="G4195">
            <v>310</v>
          </cell>
          <cell r="H4195">
            <v>64</v>
          </cell>
          <cell r="I4195">
            <v>29</v>
          </cell>
          <cell r="J4195">
            <v>0</v>
          </cell>
          <cell r="K4195">
            <v>0</v>
          </cell>
          <cell r="L4195">
            <v>0.9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 t="e">
            <v>#DIV/0!</v>
          </cell>
          <cell r="S4195">
            <v>0</v>
          </cell>
        </row>
        <row r="4196">
          <cell r="A4196" t="str">
            <v>Y056-346</v>
          </cell>
          <cell r="B4196" t="str">
            <v>ZT-003</v>
          </cell>
          <cell r="C4196" t="str">
            <v>Y056</v>
          </cell>
          <cell r="D4196" t="str">
            <v>9058005-120/201橱柜上柜</v>
          </cell>
          <cell r="E4196" t="str">
            <v>左侧柱饰条</v>
          </cell>
          <cell r="F4196" t="str">
            <v>145*16*16</v>
          </cell>
          <cell r="G4196">
            <v>145</v>
          </cell>
          <cell r="H4196">
            <v>16</v>
          </cell>
          <cell r="I4196">
            <v>16</v>
          </cell>
          <cell r="J4196">
            <v>0</v>
          </cell>
          <cell r="K4196">
            <v>0</v>
          </cell>
          <cell r="L4196">
            <v>7.0000000000000007E-2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 t="e">
            <v>#DIV/0!</v>
          </cell>
          <cell r="S4196">
            <v>0</v>
          </cell>
        </row>
        <row r="4197">
          <cell r="A4197" t="str">
            <v>Y056-347</v>
          </cell>
          <cell r="B4197" t="str">
            <v>ZT-004</v>
          </cell>
          <cell r="C4197" t="str">
            <v>Y056</v>
          </cell>
          <cell r="D4197" t="str">
            <v>9058005-120/201橱柜上柜</v>
          </cell>
          <cell r="E4197" t="str">
            <v>右侧柱饰条</v>
          </cell>
          <cell r="F4197" t="str">
            <v>145*16*16</v>
          </cell>
          <cell r="G4197">
            <v>145</v>
          </cell>
          <cell r="H4197">
            <v>16</v>
          </cell>
          <cell r="I4197">
            <v>16</v>
          </cell>
          <cell r="J4197">
            <v>0</v>
          </cell>
          <cell r="K4197">
            <v>0</v>
          </cell>
          <cell r="L4197">
            <v>7.0000000000000007E-2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 t="e">
            <v>#DIV/0!</v>
          </cell>
          <cell r="S4197">
            <v>0</v>
          </cell>
        </row>
        <row r="4198">
          <cell r="A4198" t="str">
            <v>Y056-348</v>
          </cell>
          <cell r="B4198" t="str">
            <v>ZT-005</v>
          </cell>
          <cell r="C4198" t="str">
            <v>Y056</v>
          </cell>
          <cell r="D4198" t="str">
            <v>9058005-120/201橱柜上柜</v>
          </cell>
          <cell r="E4198" t="str">
            <v>左侧柱饰花</v>
          </cell>
          <cell r="F4198" t="str">
            <v>154*62*6</v>
          </cell>
          <cell r="G4198">
            <v>154</v>
          </cell>
          <cell r="H4198">
            <v>62</v>
          </cell>
          <cell r="I4198">
            <v>6</v>
          </cell>
          <cell r="J4198">
            <v>0</v>
          </cell>
          <cell r="K4198">
            <v>0</v>
          </cell>
          <cell r="L4198">
            <v>0.09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 t="e">
            <v>#DIV/0!</v>
          </cell>
          <cell r="S4198">
            <v>0</v>
          </cell>
        </row>
        <row r="4199">
          <cell r="A4199" t="str">
            <v>Y056-349</v>
          </cell>
          <cell r="B4199" t="str">
            <v>ZT-006</v>
          </cell>
          <cell r="C4199" t="str">
            <v>Y056</v>
          </cell>
          <cell r="D4199" t="str">
            <v>9058005-120/201橱柜上柜</v>
          </cell>
          <cell r="E4199" t="str">
            <v>右侧柱饰花</v>
          </cell>
          <cell r="F4199" t="str">
            <v>154*62*6</v>
          </cell>
          <cell r="G4199">
            <v>154</v>
          </cell>
          <cell r="H4199">
            <v>62</v>
          </cell>
          <cell r="I4199">
            <v>6</v>
          </cell>
          <cell r="J4199">
            <v>0</v>
          </cell>
          <cell r="K4199">
            <v>0</v>
          </cell>
          <cell r="L4199">
            <v>0.09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 t="e">
            <v>#DIV/0!</v>
          </cell>
          <cell r="S4199">
            <v>0</v>
          </cell>
        </row>
        <row r="4200">
          <cell r="A4200" t="str">
            <v>Y056-350</v>
          </cell>
          <cell r="B4200" t="str">
            <v>CXG-001</v>
          </cell>
          <cell r="C4200" t="str">
            <v>Y056</v>
          </cell>
          <cell r="D4200" t="str">
            <v>9058006-120/201橱柜下柜</v>
          </cell>
          <cell r="E4200" t="str">
            <v>面前饰花</v>
          </cell>
          <cell r="F4200" t="str">
            <v>1768*142/53*64</v>
          </cell>
          <cell r="G4200">
            <v>1768</v>
          </cell>
          <cell r="H4200" t="str">
            <v>142/53</v>
          </cell>
          <cell r="I4200">
            <v>64</v>
          </cell>
          <cell r="J4200">
            <v>0</v>
          </cell>
          <cell r="K4200">
            <v>0</v>
          </cell>
          <cell r="L4200">
            <v>10.5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 t="e">
            <v>#DIV/0!</v>
          </cell>
          <cell r="S4200">
            <v>0</v>
          </cell>
        </row>
        <row r="4201">
          <cell r="A4201" t="str">
            <v>Y056-351</v>
          </cell>
          <cell r="B4201" t="str">
            <v>CXG-002</v>
          </cell>
          <cell r="C4201" t="str">
            <v>Y056</v>
          </cell>
          <cell r="D4201" t="str">
            <v>9058006-120/201橱柜下柜</v>
          </cell>
          <cell r="E4201" t="str">
            <v>面侧饰花</v>
          </cell>
          <cell r="F4201" t="str">
            <v>320*64*29</v>
          </cell>
          <cell r="G4201">
            <v>320</v>
          </cell>
          <cell r="H4201">
            <v>64</v>
          </cell>
          <cell r="I4201">
            <v>29</v>
          </cell>
          <cell r="J4201">
            <v>0</v>
          </cell>
          <cell r="K4201">
            <v>0</v>
          </cell>
          <cell r="L4201">
            <v>0.95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 t="e">
            <v>#DIV/0!</v>
          </cell>
          <cell r="S4201">
            <v>0</v>
          </cell>
        </row>
        <row r="4202">
          <cell r="A4202" t="str">
            <v>Y056-352</v>
          </cell>
          <cell r="B4202" t="str">
            <v>ZT-003</v>
          </cell>
          <cell r="C4202" t="str">
            <v>Y056</v>
          </cell>
          <cell r="D4202" t="str">
            <v>9058006-120/201橱柜下柜</v>
          </cell>
          <cell r="E4202" t="str">
            <v>左侧柱饰条</v>
          </cell>
          <cell r="F4202" t="str">
            <v>145*16*16</v>
          </cell>
          <cell r="G4202">
            <v>145</v>
          </cell>
          <cell r="H4202">
            <v>16</v>
          </cell>
          <cell r="I4202">
            <v>16</v>
          </cell>
          <cell r="J4202">
            <v>0</v>
          </cell>
          <cell r="K4202">
            <v>0</v>
          </cell>
          <cell r="L4202">
            <v>7.0000000000000007E-2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 t="e">
            <v>#DIV/0!</v>
          </cell>
          <cell r="S4202">
            <v>0</v>
          </cell>
        </row>
        <row r="4203">
          <cell r="A4203" t="str">
            <v>Y056-353</v>
          </cell>
          <cell r="B4203" t="str">
            <v>ZT-004</v>
          </cell>
          <cell r="C4203" t="str">
            <v>Y056</v>
          </cell>
          <cell r="D4203" t="str">
            <v>9058006-120/201橱柜下柜</v>
          </cell>
          <cell r="E4203" t="str">
            <v>右侧柱饰条</v>
          </cell>
          <cell r="F4203" t="str">
            <v>145*16*16</v>
          </cell>
          <cell r="G4203">
            <v>145</v>
          </cell>
          <cell r="H4203">
            <v>16</v>
          </cell>
          <cell r="I4203">
            <v>16</v>
          </cell>
          <cell r="J4203">
            <v>0</v>
          </cell>
          <cell r="K4203">
            <v>0</v>
          </cell>
          <cell r="L4203">
            <v>7.0000000000000007E-2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 t="e">
            <v>#DIV/0!</v>
          </cell>
          <cell r="S4203">
            <v>0</v>
          </cell>
        </row>
        <row r="4204">
          <cell r="A4204" t="str">
            <v>Y056-354</v>
          </cell>
          <cell r="B4204" t="str">
            <v>CXG-005</v>
          </cell>
          <cell r="C4204" t="str">
            <v>Y056</v>
          </cell>
          <cell r="D4204" t="str">
            <v>9058006-120/201橱柜下柜</v>
          </cell>
          <cell r="E4204" t="str">
            <v>左侧柱饰花</v>
          </cell>
          <cell r="F4204" t="str">
            <v>124*50*6</v>
          </cell>
          <cell r="G4204">
            <v>124</v>
          </cell>
          <cell r="H4204">
            <v>50</v>
          </cell>
          <cell r="I4204">
            <v>6</v>
          </cell>
          <cell r="J4204">
            <v>0</v>
          </cell>
          <cell r="K4204">
            <v>0</v>
          </cell>
          <cell r="L4204">
            <v>0.05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 t="e">
            <v>#DIV/0!</v>
          </cell>
          <cell r="S4204">
            <v>0</v>
          </cell>
        </row>
        <row r="4205">
          <cell r="A4205" t="str">
            <v>Y056-355</v>
          </cell>
          <cell r="B4205" t="str">
            <v>CXG-006</v>
          </cell>
          <cell r="C4205" t="str">
            <v>Y056</v>
          </cell>
          <cell r="D4205" t="str">
            <v>9058006-120/201橱柜下柜</v>
          </cell>
          <cell r="E4205" t="str">
            <v>右侧柱饰花</v>
          </cell>
          <cell r="F4205" t="str">
            <v>124*50*6</v>
          </cell>
          <cell r="G4205">
            <v>124</v>
          </cell>
          <cell r="H4205">
            <v>50</v>
          </cell>
          <cell r="I4205">
            <v>6</v>
          </cell>
          <cell r="J4205">
            <v>0</v>
          </cell>
          <cell r="K4205">
            <v>0</v>
          </cell>
          <cell r="L4205">
            <v>0.05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 t="e">
            <v>#DIV/0!</v>
          </cell>
          <cell r="S4205">
            <v>0</v>
          </cell>
        </row>
        <row r="4206">
          <cell r="A4206" t="str">
            <v>Y056-356</v>
          </cell>
          <cell r="B4206" t="str">
            <v>CXG-007</v>
          </cell>
          <cell r="C4206" t="str">
            <v>Y056</v>
          </cell>
          <cell r="D4206" t="str">
            <v>9058006-120/201橱柜下柜</v>
          </cell>
          <cell r="E4206" t="str">
            <v>上抽内饰条框</v>
          </cell>
          <cell r="F4206" t="str">
            <v>721*70*6</v>
          </cell>
          <cell r="G4206">
            <v>721</v>
          </cell>
          <cell r="H4206">
            <v>70</v>
          </cell>
          <cell r="I4206">
            <v>6</v>
          </cell>
          <cell r="J4206">
            <v>0</v>
          </cell>
          <cell r="K4206">
            <v>0</v>
          </cell>
          <cell r="L4206">
            <v>0.4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 t="e">
            <v>#DIV/0!</v>
          </cell>
          <cell r="S4206">
            <v>0</v>
          </cell>
        </row>
        <row r="4207">
          <cell r="A4207" t="str">
            <v>Y056-357</v>
          </cell>
          <cell r="B4207" t="str">
            <v>CXG-003</v>
          </cell>
          <cell r="C4207" t="str">
            <v>Y056</v>
          </cell>
          <cell r="D4207" t="str">
            <v>9058006-120/201橱柜下柜</v>
          </cell>
          <cell r="E4207" t="str">
            <v>下抽内饰条框</v>
          </cell>
          <cell r="F4207" t="str">
            <v>706*70*6</v>
          </cell>
          <cell r="G4207">
            <v>706</v>
          </cell>
          <cell r="H4207">
            <v>70</v>
          </cell>
          <cell r="I4207">
            <v>6</v>
          </cell>
          <cell r="J4207">
            <v>0</v>
          </cell>
          <cell r="K4207">
            <v>0</v>
          </cell>
          <cell r="L4207">
            <v>0.4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 t="e">
            <v>#DIV/0!</v>
          </cell>
          <cell r="S4207">
            <v>0</v>
          </cell>
        </row>
        <row r="4208">
          <cell r="A4208" t="str">
            <v>Y056-358</v>
          </cell>
          <cell r="B4208" t="str">
            <v>CXG-004</v>
          </cell>
          <cell r="C4208" t="str">
            <v>Y056</v>
          </cell>
          <cell r="D4208" t="str">
            <v>9058006-120/201橱柜下柜</v>
          </cell>
          <cell r="E4208" t="str">
            <v>抽面外饰条</v>
          </cell>
          <cell r="F4208" t="str">
            <v>990*21*12</v>
          </cell>
          <cell r="G4208">
            <v>990</v>
          </cell>
          <cell r="H4208">
            <v>21</v>
          </cell>
          <cell r="I4208">
            <v>12</v>
          </cell>
          <cell r="J4208">
            <v>0</v>
          </cell>
          <cell r="K4208">
            <v>0</v>
          </cell>
          <cell r="L4208">
            <v>0.9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 t="e">
            <v>#DIV/0!</v>
          </cell>
          <cell r="S4208">
            <v>0</v>
          </cell>
        </row>
        <row r="4209">
          <cell r="A4209" t="str">
            <v>Y056-359</v>
          </cell>
          <cell r="B4209" t="str">
            <v>ZT-011</v>
          </cell>
          <cell r="C4209" t="str">
            <v>Y056</v>
          </cell>
          <cell r="D4209" t="str">
            <v>9058006-120/201橱柜下柜</v>
          </cell>
          <cell r="E4209" t="str">
            <v>门框门饰条(1横1竖)</v>
          </cell>
          <cell r="F4209" t="str">
            <v>740*19*17</v>
          </cell>
          <cell r="G4209">
            <v>740</v>
          </cell>
          <cell r="H4209">
            <v>19</v>
          </cell>
          <cell r="I4209">
            <v>17</v>
          </cell>
          <cell r="J4209">
            <v>0</v>
          </cell>
          <cell r="K4209">
            <v>0</v>
          </cell>
          <cell r="L4209">
            <v>0.54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 t="e">
            <v>#DIV/0!</v>
          </cell>
          <cell r="S4209">
            <v>0</v>
          </cell>
        </row>
        <row r="4210">
          <cell r="A4210" t="str">
            <v>Y056-360</v>
          </cell>
          <cell r="B4210" t="str">
            <v>ZT-012</v>
          </cell>
          <cell r="C4210" t="str">
            <v>Y056</v>
          </cell>
          <cell r="D4210" t="str">
            <v>9058006-120/201橱柜下柜</v>
          </cell>
          <cell r="E4210" t="str">
            <v>门半圆线条(1横1竖)</v>
          </cell>
          <cell r="F4210" t="str">
            <v>520*Φ6*3</v>
          </cell>
          <cell r="G4210">
            <v>520</v>
          </cell>
          <cell r="H4210" t="str">
            <v>Φ6</v>
          </cell>
          <cell r="I4210">
            <v>3</v>
          </cell>
          <cell r="J4210">
            <v>0</v>
          </cell>
          <cell r="K4210">
            <v>0</v>
          </cell>
          <cell r="L4210">
            <v>0.08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 t="e">
            <v>#DIV/0!</v>
          </cell>
          <cell r="S4210">
            <v>0</v>
          </cell>
        </row>
        <row r="4211">
          <cell r="A4211" t="str">
            <v>Y056-361</v>
          </cell>
          <cell r="B4211" t="str">
            <v>CJG-001</v>
          </cell>
          <cell r="C4211" t="str">
            <v>Y056</v>
          </cell>
          <cell r="D4211" t="str">
            <v>9058007-120/201餐具柜</v>
          </cell>
          <cell r="E4211" t="str">
            <v>面前饰花</v>
          </cell>
          <cell r="F4211" t="str">
            <v>1806*136/50*64</v>
          </cell>
          <cell r="G4211">
            <v>1806</v>
          </cell>
          <cell r="H4211" t="str">
            <v>136/50</v>
          </cell>
          <cell r="I4211">
            <v>64</v>
          </cell>
          <cell r="J4211">
            <v>0</v>
          </cell>
          <cell r="K4211">
            <v>0</v>
          </cell>
          <cell r="L4211">
            <v>9.5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 t="e">
            <v>#DIV/0!</v>
          </cell>
          <cell r="S4211">
            <v>0</v>
          </cell>
        </row>
        <row r="4212">
          <cell r="A4212" t="str">
            <v>Y056-362</v>
          </cell>
          <cell r="B4212" t="str">
            <v>CXG-002</v>
          </cell>
          <cell r="C4212" t="str">
            <v>Y056</v>
          </cell>
          <cell r="D4212" t="str">
            <v>9058007-120/201餐具柜</v>
          </cell>
          <cell r="E4212" t="str">
            <v>面侧饰花</v>
          </cell>
          <cell r="F4212" t="str">
            <v>320*64*29</v>
          </cell>
          <cell r="G4212">
            <v>320</v>
          </cell>
          <cell r="H4212">
            <v>64</v>
          </cell>
          <cell r="I4212">
            <v>29</v>
          </cell>
          <cell r="J4212">
            <v>0</v>
          </cell>
          <cell r="K4212">
            <v>0</v>
          </cell>
          <cell r="L4212">
            <v>0.95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 t="e">
            <v>#DIV/0!</v>
          </cell>
          <cell r="S4212">
            <v>0</v>
          </cell>
        </row>
        <row r="4213">
          <cell r="A4213" t="str">
            <v>Y056-363</v>
          </cell>
          <cell r="B4213" t="str">
            <v>ZT-003</v>
          </cell>
          <cell r="C4213" t="str">
            <v>Y056</v>
          </cell>
          <cell r="D4213" t="str">
            <v>9058007-120/201餐具柜</v>
          </cell>
          <cell r="E4213" t="str">
            <v>左侧柱饰条</v>
          </cell>
          <cell r="F4213" t="str">
            <v>145*16*16</v>
          </cell>
          <cell r="G4213">
            <v>145</v>
          </cell>
          <cell r="H4213">
            <v>16</v>
          </cell>
          <cell r="I4213">
            <v>16</v>
          </cell>
          <cell r="J4213">
            <v>0</v>
          </cell>
          <cell r="K4213">
            <v>0</v>
          </cell>
          <cell r="L4213">
            <v>7.0000000000000007E-2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 t="e">
            <v>#DIV/0!</v>
          </cell>
          <cell r="S4213">
            <v>0</v>
          </cell>
        </row>
        <row r="4214">
          <cell r="A4214" t="str">
            <v>Y056-364</v>
          </cell>
          <cell r="B4214" t="str">
            <v>ZT-004</v>
          </cell>
          <cell r="C4214" t="str">
            <v>Y056</v>
          </cell>
          <cell r="D4214" t="str">
            <v>9058007-120/201餐具柜</v>
          </cell>
          <cell r="E4214" t="str">
            <v>右侧柱饰条</v>
          </cell>
          <cell r="F4214" t="str">
            <v>145*16*16</v>
          </cell>
          <cell r="G4214">
            <v>145</v>
          </cell>
          <cell r="H4214">
            <v>16</v>
          </cell>
          <cell r="I4214">
            <v>16</v>
          </cell>
          <cell r="J4214">
            <v>0</v>
          </cell>
          <cell r="K4214">
            <v>0</v>
          </cell>
          <cell r="L4214">
            <v>7.0000000000000007E-2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 t="e">
            <v>#DIV/0!</v>
          </cell>
          <cell r="S4214">
            <v>0</v>
          </cell>
        </row>
        <row r="4215">
          <cell r="A4215" t="str">
            <v>Y056-365</v>
          </cell>
          <cell r="B4215" t="str">
            <v>ZT-005</v>
          </cell>
          <cell r="C4215" t="str">
            <v>Y056</v>
          </cell>
          <cell r="D4215" t="str">
            <v>9058007-120/201餐具柜</v>
          </cell>
          <cell r="E4215" t="str">
            <v>左侧柱饰花</v>
          </cell>
          <cell r="F4215" t="str">
            <v>154*62*6</v>
          </cell>
          <cell r="G4215">
            <v>154</v>
          </cell>
          <cell r="H4215">
            <v>62</v>
          </cell>
          <cell r="I4215">
            <v>6</v>
          </cell>
          <cell r="J4215">
            <v>0</v>
          </cell>
          <cell r="K4215">
            <v>0</v>
          </cell>
          <cell r="L4215">
            <v>0.09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 t="e">
            <v>#DIV/0!</v>
          </cell>
          <cell r="S4215">
            <v>0</v>
          </cell>
        </row>
        <row r="4216">
          <cell r="A4216" t="str">
            <v>Y056-366</v>
          </cell>
          <cell r="B4216" t="str">
            <v>ZT-006</v>
          </cell>
          <cell r="C4216" t="str">
            <v>Y056</v>
          </cell>
          <cell r="D4216" t="str">
            <v>9058007-120/201餐具柜</v>
          </cell>
          <cell r="E4216" t="str">
            <v>右侧柱饰花</v>
          </cell>
          <cell r="F4216" t="str">
            <v>154*62*6</v>
          </cell>
          <cell r="G4216">
            <v>154</v>
          </cell>
          <cell r="H4216">
            <v>62</v>
          </cell>
          <cell r="I4216">
            <v>6</v>
          </cell>
          <cell r="J4216">
            <v>0</v>
          </cell>
          <cell r="K4216">
            <v>0</v>
          </cell>
          <cell r="L4216">
            <v>0.09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 t="e">
            <v>#DIV/0!</v>
          </cell>
          <cell r="S4216">
            <v>0</v>
          </cell>
        </row>
        <row r="4217">
          <cell r="A4217" t="str">
            <v>Y056-367</v>
          </cell>
          <cell r="B4217" t="str">
            <v>CJG-002</v>
          </cell>
          <cell r="C4217" t="str">
            <v>Y056</v>
          </cell>
          <cell r="D4217" t="str">
            <v>9058007-120/201餐具柜</v>
          </cell>
          <cell r="E4217" t="str">
            <v>抽饰条框</v>
          </cell>
          <cell r="F4217" t="str">
            <v>582*77*6</v>
          </cell>
          <cell r="G4217">
            <v>582</v>
          </cell>
          <cell r="H4217">
            <v>77</v>
          </cell>
          <cell r="I4217">
            <v>6</v>
          </cell>
          <cell r="J4217">
            <v>0</v>
          </cell>
          <cell r="K4217">
            <v>0</v>
          </cell>
          <cell r="L4217">
            <v>0.32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 t="e">
            <v>#DIV/0!</v>
          </cell>
          <cell r="S4217">
            <v>0</v>
          </cell>
        </row>
        <row r="4218">
          <cell r="A4218" t="str">
            <v>Y056-368</v>
          </cell>
          <cell r="B4218" t="str">
            <v>CJG-003</v>
          </cell>
          <cell r="C4218" t="str">
            <v>Y056</v>
          </cell>
          <cell r="D4218" t="str">
            <v>9058007-120/201餐具柜</v>
          </cell>
          <cell r="E4218" t="str">
            <v>抽面外饰条</v>
          </cell>
          <cell r="F4218" t="str">
            <v>850*21*12</v>
          </cell>
          <cell r="G4218">
            <v>850</v>
          </cell>
          <cell r="H4218">
            <v>21</v>
          </cell>
          <cell r="I4218">
            <v>12</v>
          </cell>
          <cell r="J4218">
            <v>0</v>
          </cell>
          <cell r="K4218">
            <v>0</v>
          </cell>
          <cell r="L4218">
            <v>0.77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 t="e">
            <v>#DIV/0!</v>
          </cell>
          <cell r="S4218">
            <v>0</v>
          </cell>
        </row>
        <row r="4219">
          <cell r="A4219" t="str">
            <v>Y056-369</v>
          </cell>
          <cell r="B4219" t="str">
            <v>CJJ-002</v>
          </cell>
          <cell r="C4219" t="str">
            <v>Y056</v>
          </cell>
          <cell r="D4219" t="str">
            <v>9058067-120/201餐具</v>
          </cell>
          <cell r="E4219" t="str">
            <v>左右花</v>
          </cell>
          <cell r="F4219" t="str">
            <v>88*63*8</v>
          </cell>
          <cell r="G4219">
            <v>88</v>
          </cell>
          <cell r="H4219">
            <v>63</v>
          </cell>
          <cell r="I4219">
            <v>8</v>
          </cell>
          <cell r="J4219">
            <v>0</v>
          </cell>
          <cell r="K4219">
            <v>0</v>
          </cell>
          <cell r="L4219">
            <v>0.04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 t="e">
            <v>#DIV/0!</v>
          </cell>
          <cell r="S4219">
            <v>0</v>
          </cell>
        </row>
        <row r="4220">
          <cell r="A4220" t="str">
            <v>Y056-370</v>
          </cell>
          <cell r="B4220" t="str">
            <v>XCG-001</v>
          </cell>
          <cell r="C4220" t="str">
            <v>Y056</v>
          </cell>
          <cell r="D4220" t="str">
            <v>9058040-120/201小床头柜</v>
          </cell>
          <cell r="E4220" t="str">
            <v>面前饰花</v>
          </cell>
          <cell r="F4220" t="str">
            <v>789*65*60</v>
          </cell>
          <cell r="G4220">
            <v>789</v>
          </cell>
          <cell r="H4220">
            <v>65</v>
          </cell>
          <cell r="I4220">
            <v>60</v>
          </cell>
          <cell r="J4220">
            <v>0</v>
          </cell>
          <cell r="K4220">
            <v>0</v>
          </cell>
          <cell r="L4220">
            <v>5.3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 t="e">
            <v>#DIV/0!</v>
          </cell>
          <cell r="S4220">
            <v>0</v>
          </cell>
        </row>
        <row r="4221">
          <cell r="A4221" t="str">
            <v>Y056-371</v>
          </cell>
          <cell r="B4221" t="str">
            <v>XCG-005</v>
          </cell>
          <cell r="C4221" t="str">
            <v>Y056</v>
          </cell>
          <cell r="D4221" t="str">
            <v>9058040-120/201小床头柜</v>
          </cell>
          <cell r="E4221" t="str">
            <v>面侧饰花</v>
          </cell>
          <cell r="F4221" t="str">
            <v>390*64*29</v>
          </cell>
          <cell r="G4221">
            <v>390</v>
          </cell>
          <cell r="H4221">
            <v>64</v>
          </cell>
          <cell r="I4221">
            <v>47</v>
          </cell>
          <cell r="J4221">
            <v>0</v>
          </cell>
          <cell r="K4221">
            <v>0</v>
          </cell>
          <cell r="L4221">
            <v>1.78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 t="e">
            <v>#DIV/0!</v>
          </cell>
          <cell r="S4221">
            <v>0</v>
          </cell>
        </row>
        <row r="4222">
          <cell r="A4222" t="str">
            <v>Y056-372</v>
          </cell>
          <cell r="B4222" t="str">
            <v>ZT-003</v>
          </cell>
          <cell r="C4222" t="str">
            <v>Y056</v>
          </cell>
          <cell r="D4222" t="str">
            <v>9058040-120/201小床头柜</v>
          </cell>
          <cell r="E4222" t="str">
            <v>左侧柱饰条</v>
          </cell>
          <cell r="F4222" t="str">
            <v>145*16*16</v>
          </cell>
          <cell r="G4222">
            <v>145</v>
          </cell>
          <cell r="H4222">
            <v>16</v>
          </cell>
          <cell r="I4222">
            <v>16</v>
          </cell>
          <cell r="J4222">
            <v>0</v>
          </cell>
          <cell r="K4222">
            <v>0</v>
          </cell>
          <cell r="L4222">
            <v>7.0000000000000007E-2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 t="e">
            <v>#DIV/0!</v>
          </cell>
          <cell r="S4222">
            <v>0</v>
          </cell>
        </row>
        <row r="4223">
          <cell r="A4223" t="str">
            <v>Y056-373</v>
          </cell>
          <cell r="B4223" t="str">
            <v>ZT-004</v>
          </cell>
          <cell r="C4223" t="str">
            <v>Y056</v>
          </cell>
          <cell r="D4223" t="str">
            <v>9058040-120/201小床头柜</v>
          </cell>
          <cell r="E4223" t="str">
            <v>右侧柱饰条</v>
          </cell>
          <cell r="F4223" t="str">
            <v>145*16*16</v>
          </cell>
          <cell r="G4223">
            <v>145</v>
          </cell>
          <cell r="H4223">
            <v>16</v>
          </cell>
          <cell r="I4223">
            <v>16</v>
          </cell>
          <cell r="J4223">
            <v>0</v>
          </cell>
          <cell r="K4223">
            <v>0</v>
          </cell>
          <cell r="L4223">
            <v>7.0000000000000007E-2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 t="e">
            <v>#DIV/0!</v>
          </cell>
          <cell r="S4223">
            <v>0</v>
          </cell>
        </row>
        <row r="4224">
          <cell r="A4224" t="str">
            <v>Y056-374</v>
          </cell>
          <cell r="B4224" t="str">
            <v>ZT-005</v>
          </cell>
          <cell r="C4224" t="str">
            <v>Y056</v>
          </cell>
          <cell r="D4224" t="str">
            <v>9058040-120/201小床头柜</v>
          </cell>
          <cell r="E4224" t="str">
            <v>左侧柱饰花</v>
          </cell>
          <cell r="F4224" t="str">
            <v>154*62*6</v>
          </cell>
          <cell r="G4224">
            <v>154</v>
          </cell>
          <cell r="H4224">
            <v>62</v>
          </cell>
          <cell r="I4224">
            <v>6</v>
          </cell>
          <cell r="J4224">
            <v>0</v>
          </cell>
          <cell r="K4224">
            <v>0</v>
          </cell>
          <cell r="L4224">
            <v>0.09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 t="e">
            <v>#DIV/0!</v>
          </cell>
          <cell r="S4224">
            <v>0</v>
          </cell>
        </row>
        <row r="4225">
          <cell r="A4225" t="str">
            <v>Y056-375</v>
          </cell>
          <cell r="B4225" t="str">
            <v>ZT-006</v>
          </cell>
          <cell r="C4225" t="str">
            <v>Y056</v>
          </cell>
          <cell r="D4225" t="str">
            <v>9058040-120/201小床头柜</v>
          </cell>
          <cell r="E4225" t="str">
            <v>右侧柱饰花</v>
          </cell>
          <cell r="F4225" t="str">
            <v>154*62*6</v>
          </cell>
          <cell r="G4225">
            <v>154</v>
          </cell>
          <cell r="H4225">
            <v>62</v>
          </cell>
          <cell r="I4225">
            <v>6</v>
          </cell>
          <cell r="J4225">
            <v>0</v>
          </cell>
          <cell r="K4225">
            <v>0</v>
          </cell>
          <cell r="L4225">
            <v>0.09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 t="e">
            <v>#DIV/0!</v>
          </cell>
          <cell r="S4225">
            <v>0</v>
          </cell>
        </row>
        <row r="4226">
          <cell r="A4226" t="str">
            <v>Y056-376</v>
          </cell>
          <cell r="B4226" t="str">
            <v>XCG-002</v>
          </cell>
          <cell r="C4226" t="str">
            <v>Y056</v>
          </cell>
          <cell r="D4226" t="str">
            <v>9058040-120/201小床头柜</v>
          </cell>
          <cell r="E4226" t="str">
            <v>上抽内饰条框</v>
          </cell>
          <cell r="F4226" t="str">
            <v>486*70*6</v>
          </cell>
          <cell r="G4226">
            <v>486</v>
          </cell>
          <cell r="H4226">
            <v>70</v>
          </cell>
          <cell r="I4226">
            <v>6</v>
          </cell>
          <cell r="J4226">
            <v>0</v>
          </cell>
          <cell r="K4226">
            <v>0</v>
          </cell>
          <cell r="L4226">
            <v>0.26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 t="e">
            <v>#DIV/0!</v>
          </cell>
          <cell r="S4226">
            <v>0</v>
          </cell>
        </row>
        <row r="4227">
          <cell r="A4227" t="str">
            <v>Y056-377</v>
          </cell>
          <cell r="B4227" t="str">
            <v>XCG-003</v>
          </cell>
          <cell r="C4227" t="str">
            <v>Y056</v>
          </cell>
          <cell r="D4227" t="str">
            <v>9058040-120/201小床头柜</v>
          </cell>
          <cell r="E4227" t="str">
            <v>下抽内饰条框</v>
          </cell>
          <cell r="F4227" t="str">
            <v>486*102*6</v>
          </cell>
          <cell r="G4227">
            <v>486</v>
          </cell>
          <cell r="H4227">
            <v>102</v>
          </cell>
          <cell r="I4227">
            <v>6</v>
          </cell>
          <cell r="J4227">
            <v>0</v>
          </cell>
          <cell r="K4227">
            <v>0</v>
          </cell>
          <cell r="L4227">
            <v>0.28000000000000003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 t="e">
            <v>#DIV/0!</v>
          </cell>
          <cell r="S4227">
            <v>0</v>
          </cell>
        </row>
        <row r="4228">
          <cell r="A4228" t="str">
            <v>Y056-378</v>
          </cell>
          <cell r="B4228" t="str">
            <v>XCG-004</v>
          </cell>
          <cell r="C4228" t="str">
            <v>Y056</v>
          </cell>
          <cell r="D4228" t="str">
            <v>9058040-120/201小床头柜</v>
          </cell>
          <cell r="E4228" t="str">
            <v>抽外饰条(1横1竖)</v>
          </cell>
          <cell r="F4228" t="str">
            <v>775*21*12</v>
          </cell>
          <cell r="G4228">
            <v>775</v>
          </cell>
          <cell r="H4228">
            <v>21</v>
          </cell>
          <cell r="I4228">
            <v>12</v>
          </cell>
          <cell r="J4228">
            <v>0</v>
          </cell>
          <cell r="K4228">
            <v>0</v>
          </cell>
          <cell r="L4228">
            <v>0.68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 t="e">
            <v>#DIV/0!</v>
          </cell>
          <cell r="S4228">
            <v>0</v>
          </cell>
        </row>
        <row r="4229">
          <cell r="A4229" t="str">
            <v>Y056-379</v>
          </cell>
          <cell r="B4229" t="str">
            <v>FXZ-006</v>
          </cell>
          <cell r="C4229" t="str">
            <v>Y056</v>
          </cell>
          <cell r="D4229" t="str">
            <v>9058070-BP-120/201方形餐桌</v>
          </cell>
          <cell r="E4229" t="str">
            <v>左飾花</v>
          </cell>
          <cell r="F4229" t="str">
            <v>89*33*5</v>
          </cell>
          <cell r="G4229">
            <v>89</v>
          </cell>
          <cell r="H4229">
            <v>33</v>
          </cell>
          <cell r="I4229">
            <v>5</v>
          </cell>
          <cell r="J4229">
            <v>0</v>
          </cell>
          <cell r="K4229">
            <v>0</v>
          </cell>
          <cell r="L4229">
            <v>0.05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 t="e">
            <v>#DIV/0!</v>
          </cell>
          <cell r="S4229">
            <v>0</v>
          </cell>
        </row>
        <row r="4230">
          <cell r="A4230" t="str">
            <v>Y056-380</v>
          </cell>
          <cell r="B4230" t="str">
            <v>FXZ-007</v>
          </cell>
          <cell r="C4230" t="str">
            <v>Y056</v>
          </cell>
          <cell r="D4230" t="str">
            <v>9058070-BP-120/201方形餐桌</v>
          </cell>
          <cell r="E4230" t="str">
            <v>右飾花</v>
          </cell>
          <cell r="F4230" t="str">
            <v>89*33*5</v>
          </cell>
          <cell r="G4230">
            <v>89</v>
          </cell>
          <cell r="H4230">
            <v>33</v>
          </cell>
          <cell r="I4230">
            <v>5</v>
          </cell>
          <cell r="J4230">
            <v>0</v>
          </cell>
          <cell r="K4230">
            <v>0</v>
          </cell>
          <cell r="L4230">
            <v>0.05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 t="e">
            <v>#DIV/0!</v>
          </cell>
          <cell r="S4230">
            <v>0</v>
          </cell>
        </row>
        <row r="4231">
          <cell r="A4231" t="str">
            <v>Y056-381</v>
          </cell>
          <cell r="B4231" t="str">
            <v>ZJ-006</v>
          </cell>
          <cell r="C4231" t="str">
            <v>Y056</v>
          </cell>
          <cell r="D4231" t="str">
            <v>72060-55 妆镜</v>
          </cell>
          <cell r="E4231" t="str">
            <v>下饰条</v>
          </cell>
          <cell r="F4231" t="str">
            <v>2200*25*8</v>
          </cell>
          <cell r="G4231">
            <v>2200</v>
          </cell>
          <cell r="H4231">
            <v>25</v>
          </cell>
          <cell r="I4231">
            <v>8</v>
          </cell>
          <cell r="J4231">
            <v>528</v>
          </cell>
          <cell r="K4231">
            <v>0</v>
          </cell>
          <cell r="L4231">
            <v>1.35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2.5568181818181817</v>
          </cell>
          <cell r="S4231">
            <v>0</v>
          </cell>
          <cell r="T4231">
            <v>0</v>
          </cell>
        </row>
        <row r="4232">
          <cell r="A4232" t="str">
            <v>Y056-800</v>
          </cell>
          <cell r="B4232" t="str">
            <v>CTG-001</v>
          </cell>
          <cell r="C4232" t="str">
            <v>Y056</v>
          </cell>
          <cell r="D4232" t="str">
            <v>72040-55 小床头柜</v>
          </cell>
          <cell r="E4232" t="str">
            <v>P0199 企柱上饰块</v>
          </cell>
          <cell r="F4232" t="str">
            <v>124*92*103</v>
          </cell>
          <cell r="G4232">
            <v>124</v>
          </cell>
          <cell r="H4232">
            <v>92</v>
          </cell>
          <cell r="I4232">
            <v>103</v>
          </cell>
          <cell r="J4232">
            <v>501</v>
          </cell>
          <cell r="K4232">
            <v>0</v>
          </cell>
          <cell r="L4232">
            <v>1.34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 t="str">
            <v>1010</v>
          </cell>
          <cell r="R4232">
            <v>2.6746506986027945</v>
          </cell>
          <cell r="S4232" t="str">
            <v>木75*70*70</v>
          </cell>
          <cell r="T4232">
            <v>0</v>
          </cell>
        </row>
        <row r="4233">
          <cell r="A4233" t="str">
            <v>Y056-801</v>
          </cell>
          <cell r="B4233" t="str">
            <v>CTG-002</v>
          </cell>
          <cell r="C4233" t="str">
            <v>Y056</v>
          </cell>
          <cell r="D4233" t="str">
            <v>72040-55 小床头柜</v>
          </cell>
          <cell r="E4233" t="str">
            <v>P0200 企柱下饰块</v>
          </cell>
          <cell r="F4233" t="str">
            <v>120*103*64</v>
          </cell>
          <cell r="G4233">
            <v>120</v>
          </cell>
          <cell r="H4233">
            <v>103</v>
          </cell>
          <cell r="I4233">
            <v>64</v>
          </cell>
          <cell r="J4233">
            <v>0</v>
          </cell>
          <cell r="K4233">
            <v>0</v>
          </cell>
          <cell r="L4233">
            <v>1.2070000000000001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 t="str">
            <v>1010</v>
          </cell>
          <cell r="R4233" t="e">
            <v>#DIV/0!</v>
          </cell>
          <cell r="S4233" t="str">
            <v>木56*70*70</v>
          </cell>
          <cell r="T4233">
            <v>0</v>
          </cell>
        </row>
        <row r="4234">
          <cell r="A4234" t="str">
            <v>Y056-802</v>
          </cell>
          <cell r="B4234" t="str">
            <v>CTG-003-1</v>
          </cell>
          <cell r="C4234" t="str">
            <v>Y056</v>
          </cell>
          <cell r="D4234" t="str">
            <v>72040-55 小床头柜</v>
          </cell>
          <cell r="E4234" t="str">
            <v xml:space="preserve">P0201 企柱中饰花 1 </v>
          </cell>
          <cell r="F4234" t="str">
            <v>280*80*4.5</v>
          </cell>
          <cell r="G4234">
            <v>280</v>
          </cell>
          <cell r="H4234">
            <v>80</v>
          </cell>
          <cell r="I4234">
            <v>4.5</v>
          </cell>
          <cell r="J4234">
            <v>0</v>
          </cell>
          <cell r="K4234">
            <v>0</v>
          </cell>
          <cell r="L4234">
            <v>0.40899999999999997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 t="str">
            <v>1075</v>
          </cell>
          <cell r="R4234" t="e">
            <v>#DIV/0!</v>
          </cell>
          <cell r="S4234">
            <v>0</v>
          </cell>
          <cell r="T4234">
            <v>0</v>
          </cell>
        </row>
        <row r="4235">
          <cell r="A4235" t="str">
            <v>Y056-803</v>
          </cell>
          <cell r="B4235" t="str">
            <v>CTG-003-2</v>
          </cell>
          <cell r="C4235" t="str">
            <v>Y056</v>
          </cell>
          <cell r="D4235" t="str">
            <v>72040-55 小床头柜</v>
          </cell>
          <cell r="E4235" t="str">
            <v xml:space="preserve">P0202 企柱中饰花 2  </v>
          </cell>
          <cell r="F4235" t="str">
            <v>280*80*1.5</v>
          </cell>
          <cell r="G4235">
            <v>280</v>
          </cell>
          <cell r="H4235">
            <v>80</v>
          </cell>
          <cell r="I4235">
            <v>4.5</v>
          </cell>
          <cell r="J4235">
            <v>0</v>
          </cell>
          <cell r="K4235">
            <v>0</v>
          </cell>
          <cell r="L4235">
            <v>0.40899999999999997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 t="str">
            <v>1075</v>
          </cell>
          <cell r="R4235" t="e">
            <v>#DIV/0!</v>
          </cell>
          <cell r="S4235">
            <v>0</v>
          </cell>
          <cell r="T4235">
            <v>0</v>
          </cell>
        </row>
        <row r="4236">
          <cell r="A4236" t="str">
            <v>Y056-804</v>
          </cell>
          <cell r="B4236" t="str">
            <v>CTG-004L</v>
          </cell>
          <cell r="C4236" t="str">
            <v>Y056</v>
          </cell>
          <cell r="D4236" t="str">
            <v>72040-55 小床头柜</v>
          </cell>
          <cell r="E4236" t="str">
            <v xml:space="preserve">P0203 企柱左上转角 </v>
          </cell>
          <cell r="F4236" t="str">
            <v>190*176*120</v>
          </cell>
          <cell r="G4236">
            <v>190</v>
          </cell>
          <cell r="H4236">
            <v>176</v>
          </cell>
          <cell r="I4236">
            <v>120</v>
          </cell>
          <cell r="J4236">
            <v>0</v>
          </cell>
          <cell r="K4236">
            <v>0</v>
          </cell>
          <cell r="L4236">
            <v>4.085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 t="str">
            <v>1010</v>
          </cell>
          <cell r="R4236" t="e">
            <v>#DIV/0!</v>
          </cell>
          <cell r="S4236" t="str">
            <v>木180*112*54</v>
          </cell>
          <cell r="T4236">
            <v>0</v>
          </cell>
        </row>
        <row r="4237">
          <cell r="A4237" t="str">
            <v>Y056-805</v>
          </cell>
          <cell r="B4237" t="str">
            <v>CTG-005R</v>
          </cell>
          <cell r="C4237" t="str">
            <v>Y056</v>
          </cell>
          <cell r="D4237" t="str">
            <v>72040-55 小床头柜</v>
          </cell>
          <cell r="E4237" t="str">
            <v xml:space="preserve">P0204企柱右上转角  </v>
          </cell>
          <cell r="F4237" t="str">
            <v>190*176*120</v>
          </cell>
          <cell r="G4237">
            <v>190</v>
          </cell>
          <cell r="H4237">
            <v>176</v>
          </cell>
          <cell r="I4237">
            <v>120</v>
          </cell>
          <cell r="J4237">
            <v>0</v>
          </cell>
          <cell r="K4237">
            <v>0</v>
          </cell>
          <cell r="L4237">
            <v>4.085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 t="str">
            <v>1010</v>
          </cell>
          <cell r="R4237" t="e">
            <v>#DIV/0!</v>
          </cell>
          <cell r="S4237" t="str">
            <v>木180*112*54</v>
          </cell>
          <cell r="T4237">
            <v>0</v>
          </cell>
        </row>
        <row r="4238">
          <cell r="A4238" t="str">
            <v>Y056-806</v>
          </cell>
          <cell r="B4238" t="str">
            <v>CTG-010L</v>
          </cell>
          <cell r="C4238" t="str">
            <v>Y056</v>
          </cell>
          <cell r="D4238" t="str">
            <v>72040-55 小床头柜</v>
          </cell>
          <cell r="E4238" t="str">
            <v xml:space="preserve">P0205 側板上饰框     </v>
          </cell>
          <cell r="F4238" t="str">
            <v>282*86*6</v>
          </cell>
          <cell r="G4238">
            <v>282</v>
          </cell>
          <cell r="H4238">
            <v>86</v>
          </cell>
          <cell r="I4238">
            <v>6</v>
          </cell>
          <cell r="J4238">
            <v>0</v>
          </cell>
          <cell r="K4238">
            <v>0</v>
          </cell>
          <cell r="L4238">
            <v>0.152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 t="str">
            <v>1010</v>
          </cell>
          <cell r="R4238" t="e">
            <v>#DIV/0!</v>
          </cell>
          <cell r="S4238">
            <v>0</v>
          </cell>
          <cell r="T4238">
            <v>0</v>
          </cell>
        </row>
        <row r="4239">
          <cell r="A4239" t="str">
            <v>Y056-807</v>
          </cell>
          <cell r="B4239" t="str">
            <v>CTG-010R</v>
          </cell>
          <cell r="C4239" t="str">
            <v>Y056</v>
          </cell>
          <cell r="D4239" t="str">
            <v>72040-55 小床头柜</v>
          </cell>
          <cell r="E4239" t="str">
            <v xml:space="preserve">P0206 側板上饰框    </v>
          </cell>
          <cell r="F4239" t="str">
            <v>282*86*6</v>
          </cell>
          <cell r="G4239">
            <v>282</v>
          </cell>
          <cell r="H4239">
            <v>86</v>
          </cell>
          <cell r="I4239">
            <v>6</v>
          </cell>
          <cell r="J4239">
            <v>0</v>
          </cell>
          <cell r="K4239">
            <v>0</v>
          </cell>
          <cell r="L4239">
            <v>0.152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 t="str">
            <v>1010</v>
          </cell>
          <cell r="R4239" t="e">
            <v>#DIV/0!</v>
          </cell>
          <cell r="S4239">
            <v>0</v>
          </cell>
          <cell r="T4239">
            <v>0</v>
          </cell>
        </row>
        <row r="4240">
          <cell r="A4240" t="str">
            <v>Y056-808</v>
          </cell>
          <cell r="B4240" t="str">
            <v>CTG-006(同ZT-016)</v>
          </cell>
          <cell r="C4240" t="str">
            <v>Y056</v>
          </cell>
          <cell r="D4240" t="str">
            <v>72040-55 小床头柜</v>
          </cell>
          <cell r="E4240" t="str">
            <v xml:space="preserve">P0207 门板外饰条 </v>
          </cell>
          <cell r="F4240" t="str">
            <v>580*31*12</v>
          </cell>
          <cell r="G4240">
            <v>580</v>
          </cell>
          <cell r="H4240">
            <v>31</v>
          </cell>
          <cell r="I4240">
            <v>12</v>
          </cell>
          <cell r="J4240">
            <v>0</v>
          </cell>
          <cell r="K4240">
            <v>0</v>
          </cell>
          <cell r="L4240">
            <v>0.83599999999999997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 t="str">
            <v>1010</v>
          </cell>
          <cell r="R4240" t="e">
            <v>#DIV/0!</v>
          </cell>
          <cell r="S4240">
            <v>0</v>
          </cell>
          <cell r="T4240">
            <v>0</v>
          </cell>
        </row>
        <row r="4241">
          <cell r="A4241" t="str">
            <v>Y056-809</v>
          </cell>
          <cell r="B4241" t="str">
            <v>CTG-007 (同ZT-020)</v>
          </cell>
          <cell r="C4241" t="str">
            <v>Y056</v>
          </cell>
          <cell r="D4241" t="str">
            <v>72040-55 小床头柜</v>
          </cell>
          <cell r="E4241" t="str">
            <v>门板内饰条</v>
          </cell>
          <cell r="F4241" t="str">
            <v>1350*12*7</v>
          </cell>
          <cell r="G4241">
            <v>1350</v>
          </cell>
          <cell r="H4241">
            <v>12</v>
          </cell>
          <cell r="I4241">
            <v>7</v>
          </cell>
          <cell r="J4241">
            <v>170</v>
          </cell>
          <cell r="K4241">
            <v>0</v>
          </cell>
          <cell r="L4241">
            <v>0.47499999999999998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 t="str">
            <v>1010</v>
          </cell>
          <cell r="R4241">
            <v>2.7941176470588234</v>
          </cell>
          <cell r="S4241">
            <v>0</v>
          </cell>
          <cell r="T4241">
            <v>0</v>
          </cell>
        </row>
        <row r="4242">
          <cell r="A4242" t="str">
            <v>Y056-810</v>
          </cell>
          <cell r="B4242" t="str">
            <v>CTG-008 (同ZT-004)</v>
          </cell>
          <cell r="C4242" t="str">
            <v>Y056</v>
          </cell>
          <cell r="D4242" t="str">
            <v>72040-55 小床头柜</v>
          </cell>
          <cell r="E4242" t="str">
            <v>P0209 前侧下饰条</v>
          </cell>
          <cell r="F4242" t="str">
            <v>1400*32*15</v>
          </cell>
          <cell r="G4242">
            <v>1400</v>
          </cell>
          <cell r="H4242">
            <v>32</v>
          </cell>
          <cell r="I4242">
            <v>15</v>
          </cell>
          <cell r="J4242">
            <v>810</v>
          </cell>
          <cell r="K4242">
            <v>0</v>
          </cell>
          <cell r="L4242">
            <v>2.157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 t="str">
            <v>1010</v>
          </cell>
          <cell r="R4242">
            <v>2.662962962962963</v>
          </cell>
          <cell r="S4242">
            <v>0</v>
          </cell>
          <cell r="T4242">
            <v>0</v>
          </cell>
        </row>
        <row r="4243">
          <cell r="A4243" t="str">
            <v>Y056-811</v>
          </cell>
          <cell r="B4243" t="str">
            <v>CTG-009 (同ZT-027)</v>
          </cell>
          <cell r="C4243" t="str">
            <v>Y056</v>
          </cell>
          <cell r="D4243" t="str">
            <v>72040-55 小床头柜</v>
          </cell>
          <cell r="E4243" t="str">
            <v xml:space="preserve">P0210 前侧下饰花 </v>
          </cell>
          <cell r="F4243" t="str">
            <v>1400*68*13</v>
          </cell>
          <cell r="G4243">
            <v>1400</v>
          </cell>
          <cell r="H4243">
            <v>68</v>
          </cell>
          <cell r="I4243">
            <v>13</v>
          </cell>
          <cell r="J4243">
            <v>1290</v>
          </cell>
          <cell r="K4243">
            <v>0</v>
          </cell>
          <cell r="L4243">
            <v>3.3250000000000002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 t="str">
            <v>1010</v>
          </cell>
          <cell r="R4243">
            <v>2.5775193798449614</v>
          </cell>
          <cell r="S4243">
            <v>0</v>
          </cell>
          <cell r="T4243">
            <v>0</v>
          </cell>
        </row>
        <row r="4244">
          <cell r="A4244" t="str">
            <v>Y056-812</v>
          </cell>
          <cell r="B4244" t="str">
            <v>CTG-011 (同ZT-015)</v>
          </cell>
          <cell r="C4244" t="str">
            <v>Y056</v>
          </cell>
          <cell r="D4244" t="str">
            <v>72040-55 小床头柜</v>
          </cell>
          <cell r="E4244" t="str">
            <v>P0211 抽面外饰条</v>
          </cell>
          <cell r="F4244" t="str">
            <v>1500*12*6</v>
          </cell>
          <cell r="G4244">
            <v>1500</v>
          </cell>
          <cell r="H4244">
            <v>12</v>
          </cell>
          <cell r="I4244">
            <v>6</v>
          </cell>
          <cell r="J4244">
            <v>152</v>
          </cell>
          <cell r="K4244">
            <v>0</v>
          </cell>
          <cell r="L4244">
            <v>0.40899999999999997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 t="str">
            <v>1010</v>
          </cell>
          <cell r="R4244">
            <v>2.6907894736842106</v>
          </cell>
          <cell r="S4244">
            <v>0</v>
          </cell>
          <cell r="T4244">
            <v>0</v>
          </cell>
        </row>
        <row r="4245">
          <cell r="A4245" t="str">
            <v>Y056-813</v>
          </cell>
          <cell r="B4245" t="str">
            <v>CTG-012 同ZT-017</v>
          </cell>
          <cell r="C4245" t="str">
            <v>Y056</v>
          </cell>
          <cell r="D4245" t="str">
            <v>72040-55 小床头柜</v>
          </cell>
          <cell r="E4245" t="str">
            <v>侧板上中饰条</v>
          </cell>
          <cell r="F4245" t="str">
            <v>720*31*20</v>
          </cell>
          <cell r="G4245">
            <v>720</v>
          </cell>
          <cell r="H4245">
            <v>31</v>
          </cell>
          <cell r="I4245">
            <v>20</v>
          </cell>
          <cell r="J4245">
            <v>505</v>
          </cell>
          <cell r="K4245">
            <v>0</v>
          </cell>
          <cell r="L4245">
            <v>1.397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 t="str">
            <v>1010</v>
          </cell>
          <cell r="R4245">
            <v>2.7663366336633661</v>
          </cell>
          <cell r="S4245">
            <v>0</v>
          </cell>
          <cell r="T4245">
            <v>0</v>
          </cell>
        </row>
        <row r="4246">
          <cell r="A4246" t="str">
            <v>Y056-814</v>
          </cell>
          <cell r="B4246" t="str">
            <v>CTG-013</v>
          </cell>
          <cell r="C4246" t="str">
            <v>Y056</v>
          </cell>
          <cell r="D4246" t="str">
            <v>72040-55小床头柜</v>
          </cell>
          <cell r="E4246" t="str">
            <v>抽面内饰框 第二次</v>
          </cell>
          <cell r="F4246" t="str">
            <v>453*60*6</v>
          </cell>
          <cell r="G4246">
            <v>453</v>
          </cell>
          <cell r="H4246">
            <v>60</v>
          </cell>
          <cell r="I4246">
            <v>6</v>
          </cell>
          <cell r="J4246">
            <v>0</v>
          </cell>
          <cell r="K4246">
            <v>0</v>
          </cell>
          <cell r="L4246">
            <v>0.114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 t="str">
            <v>1010</v>
          </cell>
          <cell r="R4246" t="e">
            <v>#DIV/0!</v>
          </cell>
          <cell r="S4246">
            <v>0</v>
          </cell>
          <cell r="T4246">
            <v>0</v>
          </cell>
        </row>
        <row r="4247">
          <cell r="A4247" t="str">
            <v>Y056-815</v>
          </cell>
          <cell r="B4247" t="str">
            <v>Z T-001</v>
          </cell>
          <cell r="C4247" t="str">
            <v>Y056</v>
          </cell>
          <cell r="D4247" t="str">
            <v>72050-55 妆台</v>
          </cell>
          <cell r="E4247" t="str">
            <v xml:space="preserve">P0223 暗抽面上饰花 </v>
          </cell>
          <cell r="F4247" t="str">
            <v>132*69*43</v>
          </cell>
          <cell r="G4247">
            <v>132</v>
          </cell>
          <cell r="H4247">
            <v>69</v>
          </cell>
          <cell r="I4247">
            <v>43</v>
          </cell>
          <cell r="J4247">
            <v>0</v>
          </cell>
          <cell r="K4247">
            <v>0</v>
          </cell>
          <cell r="L4247">
            <v>0.47499999999999998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 t="str">
            <v>1010</v>
          </cell>
          <cell r="R4247" t="e">
            <v>#DIV/0!</v>
          </cell>
          <cell r="S4247">
            <v>0</v>
          </cell>
          <cell r="T4247">
            <v>0</v>
          </cell>
        </row>
        <row r="4248">
          <cell r="A4248" t="str">
            <v>Y056-816</v>
          </cell>
          <cell r="B4248" t="str">
            <v>Z T-002L</v>
          </cell>
          <cell r="C4248" t="str">
            <v>Y056</v>
          </cell>
          <cell r="D4248" t="str">
            <v>72050-55 妝台</v>
          </cell>
          <cell r="E4248" t="str">
            <v>P0224 暗抽面中饰花（左）</v>
          </cell>
          <cell r="F4248" t="str">
            <v>275*50*7.5</v>
          </cell>
          <cell r="G4248">
            <v>275</v>
          </cell>
          <cell r="H4248">
            <v>50</v>
          </cell>
          <cell r="I4248">
            <v>7.5</v>
          </cell>
          <cell r="J4248">
            <v>0</v>
          </cell>
          <cell r="K4248">
            <v>0</v>
          </cell>
          <cell r="L4248">
            <v>0.152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 t="str">
            <v>1010</v>
          </cell>
          <cell r="R4248" t="e">
            <v>#DIV/0!</v>
          </cell>
          <cell r="S4248">
            <v>0</v>
          </cell>
          <cell r="T4248">
            <v>0</v>
          </cell>
        </row>
        <row r="4249">
          <cell r="A4249" t="str">
            <v>Y056-817</v>
          </cell>
          <cell r="B4249" t="str">
            <v>Z T-002R</v>
          </cell>
          <cell r="C4249" t="str">
            <v>Y056</v>
          </cell>
          <cell r="D4249" t="str">
            <v>72050-55 妝台</v>
          </cell>
          <cell r="E4249" t="str">
            <v>P0225 暗抽面中饰花（右）</v>
          </cell>
          <cell r="F4249" t="str">
            <v>275*50*7.5</v>
          </cell>
          <cell r="G4249">
            <v>275</v>
          </cell>
          <cell r="H4249">
            <v>50</v>
          </cell>
          <cell r="I4249">
            <v>7.5</v>
          </cell>
          <cell r="J4249">
            <v>0</v>
          </cell>
          <cell r="K4249">
            <v>0</v>
          </cell>
          <cell r="L4249">
            <v>0.152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 t="str">
            <v>1010</v>
          </cell>
          <cell r="R4249" t="e">
            <v>#DIV/0!</v>
          </cell>
          <cell r="S4249">
            <v>0</v>
          </cell>
          <cell r="T4249">
            <v>0</v>
          </cell>
        </row>
        <row r="4250">
          <cell r="A4250" t="str">
            <v>Y056-818</v>
          </cell>
          <cell r="B4250" t="str">
            <v>Z T-003</v>
          </cell>
          <cell r="C4250" t="str">
            <v>Y056</v>
          </cell>
          <cell r="D4250" t="str">
            <v>72050-55 妝台</v>
          </cell>
          <cell r="E4250" t="str">
            <v xml:space="preserve">P0226 暗抽面下饰花 </v>
          </cell>
          <cell r="F4250" t="str">
            <v>125*65*33</v>
          </cell>
          <cell r="G4250">
            <v>125</v>
          </cell>
          <cell r="H4250">
            <v>65</v>
          </cell>
          <cell r="I4250">
            <v>33</v>
          </cell>
          <cell r="J4250">
            <v>0</v>
          </cell>
          <cell r="K4250">
            <v>0</v>
          </cell>
          <cell r="L4250">
            <v>0.53200000000000003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 t="str">
            <v>1010</v>
          </cell>
          <cell r="R4250" t="e">
            <v>#DIV/0!</v>
          </cell>
          <cell r="S4250">
            <v>0</v>
          </cell>
          <cell r="T4250">
            <v>0</v>
          </cell>
        </row>
        <row r="4251">
          <cell r="A4251" t="str">
            <v>Y056-819</v>
          </cell>
          <cell r="B4251" t="str">
            <v>Z T-004</v>
          </cell>
          <cell r="C4251" t="str">
            <v>Y056</v>
          </cell>
          <cell r="D4251" t="str">
            <v>72050-55 妆台</v>
          </cell>
          <cell r="E4251" t="str">
            <v xml:space="preserve">P0227 前侧下饰条 </v>
          </cell>
          <cell r="F4251" t="str">
            <v>2300*32*15</v>
          </cell>
          <cell r="G4251">
            <v>2300</v>
          </cell>
          <cell r="H4251">
            <v>32</v>
          </cell>
          <cell r="I4251">
            <v>15</v>
          </cell>
          <cell r="J4251">
            <v>0</v>
          </cell>
          <cell r="K4251">
            <v>0</v>
          </cell>
          <cell r="L4251">
            <v>3.42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 t="str">
            <v>1010</v>
          </cell>
          <cell r="R4251" t="e">
            <v>#DIV/0!</v>
          </cell>
          <cell r="S4251">
            <v>0</v>
          </cell>
          <cell r="T4251">
            <v>0</v>
          </cell>
        </row>
        <row r="4252">
          <cell r="A4252" t="str">
            <v>Y056-820</v>
          </cell>
          <cell r="B4252" t="str">
            <v>Z T-005</v>
          </cell>
          <cell r="C4252" t="str">
            <v>Y056</v>
          </cell>
          <cell r="D4252" t="str">
            <v>72050-55 妆台</v>
          </cell>
          <cell r="E4252" t="str">
            <v>P0228 前企柱上饰块</v>
          </cell>
          <cell r="F4252" t="str">
            <v>100*120*120</v>
          </cell>
          <cell r="G4252">
            <v>100</v>
          </cell>
          <cell r="H4252">
            <v>120</v>
          </cell>
          <cell r="I4252">
            <v>120</v>
          </cell>
          <cell r="J4252">
            <v>0</v>
          </cell>
          <cell r="K4252">
            <v>0</v>
          </cell>
          <cell r="L4252">
            <v>1.1970000000000001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 t="str">
            <v>1010</v>
          </cell>
          <cell r="R4252" t="e">
            <v>#DIV/0!</v>
          </cell>
          <cell r="S4252" t="str">
            <v>木83*70*70</v>
          </cell>
          <cell r="T4252">
            <v>0</v>
          </cell>
        </row>
        <row r="4253">
          <cell r="A4253" t="str">
            <v>Y056-821</v>
          </cell>
          <cell r="B4253" t="str">
            <v>Z T-006</v>
          </cell>
          <cell r="C4253" t="str">
            <v>Y056</v>
          </cell>
          <cell r="D4253" t="str">
            <v>72050-55 妆台</v>
          </cell>
          <cell r="E4253" t="str">
            <v>P0229 前企柱下饰块</v>
          </cell>
          <cell r="F4253" t="str">
            <v>130*100*100</v>
          </cell>
          <cell r="G4253">
            <v>130</v>
          </cell>
          <cell r="H4253">
            <v>100</v>
          </cell>
          <cell r="I4253">
            <v>100</v>
          </cell>
          <cell r="J4253">
            <v>0</v>
          </cell>
          <cell r="K4253">
            <v>0</v>
          </cell>
          <cell r="L4253">
            <v>1.397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 t="str">
            <v>1010</v>
          </cell>
          <cell r="R4253" t="e">
            <v>#DIV/0!</v>
          </cell>
          <cell r="S4253" t="str">
            <v>木93*108*85</v>
          </cell>
          <cell r="T4253">
            <v>0</v>
          </cell>
        </row>
        <row r="4254">
          <cell r="A4254" t="str">
            <v>Y056-822</v>
          </cell>
          <cell r="B4254" t="str">
            <v>Z T-007L</v>
          </cell>
          <cell r="C4254" t="str">
            <v>Y056</v>
          </cell>
          <cell r="D4254" t="str">
            <v>72050-55 妆台</v>
          </cell>
          <cell r="E4254" t="str">
            <v>P0230 側板上饰框（左）</v>
          </cell>
          <cell r="F4254" t="str">
            <v>255*85*6.5</v>
          </cell>
          <cell r="G4254">
            <v>255</v>
          </cell>
          <cell r="H4254">
            <v>85</v>
          </cell>
          <cell r="I4254">
            <v>6.5</v>
          </cell>
          <cell r="J4254">
            <v>0</v>
          </cell>
          <cell r="K4254">
            <v>0</v>
          </cell>
          <cell r="L4254">
            <v>0.14299999999999999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 t="str">
            <v>1010</v>
          </cell>
          <cell r="R4254" t="e">
            <v>#DIV/0!</v>
          </cell>
          <cell r="S4254">
            <v>0</v>
          </cell>
          <cell r="T4254">
            <v>0</v>
          </cell>
        </row>
        <row r="4255">
          <cell r="A4255" t="str">
            <v>Y056-823</v>
          </cell>
          <cell r="B4255" t="str">
            <v>Z T-008R</v>
          </cell>
          <cell r="C4255" t="str">
            <v>Y056</v>
          </cell>
          <cell r="D4255" t="str">
            <v>72050-55 妆台</v>
          </cell>
          <cell r="E4255" t="str">
            <v>P0231 側板上饰框 （右）</v>
          </cell>
          <cell r="F4255" t="str">
            <v>255*85*6.5</v>
          </cell>
          <cell r="G4255">
            <v>255</v>
          </cell>
          <cell r="H4255">
            <v>85</v>
          </cell>
          <cell r="I4255">
            <v>6.5</v>
          </cell>
          <cell r="J4255">
            <v>0</v>
          </cell>
          <cell r="K4255">
            <v>0</v>
          </cell>
          <cell r="L4255">
            <v>0.14299999999999999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 t="str">
            <v>1010</v>
          </cell>
          <cell r="R4255" t="e">
            <v>#DIV/0!</v>
          </cell>
          <cell r="S4255">
            <v>0</v>
          </cell>
          <cell r="T4255">
            <v>0</v>
          </cell>
        </row>
        <row r="4256">
          <cell r="A4256" t="str">
            <v>Y056-824</v>
          </cell>
          <cell r="B4256" t="str">
            <v>Z T-009</v>
          </cell>
          <cell r="C4256" t="str">
            <v>Y056</v>
          </cell>
          <cell r="D4256" t="str">
            <v>72050-55 妆台</v>
          </cell>
          <cell r="E4256" t="str">
            <v xml:space="preserve">P0232 上侧抽面饰框 </v>
          </cell>
          <cell r="F4256" t="str">
            <v>303*69*6.5</v>
          </cell>
          <cell r="G4256">
            <v>303</v>
          </cell>
          <cell r="H4256">
            <v>69</v>
          </cell>
          <cell r="I4256">
            <v>6.5</v>
          </cell>
          <cell r="J4256">
            <v>0</v>
          </cell>
          <cell r="K4256">
            <v>0</v>
          </cell>
          <cell r="L4256">
            <v>0.13300000000000001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 t="str">
            <v>1010</v>
          </cell>
          <cell r="R4256" t="e">
            <v>#DIV/0!</v>
          </cell>
          <cell r="S4256">
            <v>0</v>
          </cell>
          <cell r="T4256">
            <v>0</v>
          </cell>
        </row>
        <row r="4257">
          <cell r="A4257" t="str">
            <v>Y056-825</v>
          </cell>
          <cell r="B4257" t="str">
            <v>Z T-010</v>
          </cell>
          <cell r="C4257" t="str">
            <v>Y056</v>
          </cell>
          <cell r="D4257" t="str">
            <v>72050-55 妆台</v>
          </cell>
          <cell r="E4257" t="str">
            <v>P0233 中侧抽面饰框</v>
          </cell>
          <cell r="F4257" t="str">
            <v>324*10.6*9</v>
          </cell>
          <cell r="G4257">
            <v>324</v>
          </cell>
          <cell r="H4257">
            <v>10.6</v>
          </cell>
          <cell r="I4257">
            <v>9</v>
          </cell>
          <cell r="J4257">
            <v>0</v>
          </cell>
          <cell r="K4257">
            <v>0</v>
          </cell>
          <cell r="L4257">
            <v>0.32300000000000001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 t="str">
            <v>1010</v>
          </cell>
          <cell r="R4257" t="e">
            <v>#DIV/0!</v>
          </cell>
          <cell r="S4257">
            <v>0</v>
          </cell>
          <cell r="T4257">
            <v>0</v>
          </cell>
        </row>
        <row r="4258">
          <cell r="A4258" t="str">
            <v>Y056-826</v>
          </cell>
          <cell r="B4258" t="str">
            <v>Z T-011</v>
          </cell>
          <cell r="C4258" t="str">
            <v>Y056</v>
          </cell>
          <cell r="D4258" t="str">
            <v>72050-55 妆台</v>
          </cell>
          <cell r="E4258" t="str">
            <v xml:space="preserve">P0234 中下侧抽面饰框 </v>
          </cell>
          <cell r="F4258" t="str">
            <v>323*138*9.5</v>
          </cell>
          <cell r="G4258">
            <v>323</v>
          </cell>
          <cell r="H4258">
            <v>138</v>
          </cell>
          <cell r="I4258">
            <v>9.5</v>
          </cell>
          <cell r="J4258">
            <v>0</v>
          </cell>
          <cell r="K4258">
            <v>0</v>
          </cell>
          <cell r="L4258">
            <v>0.33300000000000002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 t="str">
            <v>1010</v>
          </cell>
          <cell r="R4258" t="e">
            <v>#DIV/0!</v>
          </cell>
          <cell r="S4258">
            <v>0</v>
          </cell>
          <cell r="T4258">
            <v>0</v>
          </cell>
        </row>
        <row r="4259">
          <cell r="A4259" t="str">
            <v>Y056-827</v>
          </cell>
          <cell r="B4259" t="str">
            <v>Z T-012</v>
          </cell>
          <cell r="C4259" t="str">
            <v>Y056</v>
          </cell>
          <cell r="D4259" t="str">
            <v>72050-55 妆台</v>
          </cell>
          <cell r="E4259" t="str">
            <v>P0235 中上侧抽面饰框</v>
          </cell>
          <cell r="F4259" t="str">
            <v>478*67*6</v>
          </cell>
          <cell r="G4259">
            <v>478</v>
          </cell>
          <cell r="H4259">
            <v>67</v>
          </cell>
          <cell r="I4259">
            <v>6</v>
          </cell>
          <cell r="J4259">
            <v>0</v>
          </cell>
          <cell r="K4259">
            <v>0</v>
          </cell>
          <cell r="L4259">
            <v>0.2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 t="str">
            <v>1010</v>
          </cell>
          <cell r="R4259" t="e">
            <v>#DIV/0!</v>
          </cell>
          <cell r="S4259">
            <v>0</v>
          </cell>
          <cell r="T4259">
            <v>0</v>
          </cell>
        </row>
        <row r="4260">
          <cell r="A4260" t="str">
            <v>Y056-828</v>
          </cell>
          <cell r="B4260" t="str">
            <v>Z T-014-1</v>
          </cell>
          <cell r="C4260" t="str">
            <v>Y056</v>
          </cell>
          <cell r="D4260" t="str">
            <v>72050-55 妆台</v>
          </cell>
          <cell r="E4260" t="str">
            <v xml:space="preserve">P0236 前企柱中饰花1 </v>
          </cell>
          <cell r="F4260" t="str">
            <v>315*80*4.5</v>
          </cell>
          <cell r="G4260">
            <v>315</v>
          </cell>
          <cell r="H4260">
            <v>80</v>
          </cell>
          <cell r="I4260">
            <v>4.5</v>
          </cell>
          <cell r="J4260">
            <v>0</v>
          </cell>
          <cell r="K4260">
            <v>0</v>
          </cell>
          <cell r="L4260">
            <v>0.42799999999999999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 t="str">
            <v>1075</v>
          </cell>
          <cell r="R4260" t="e">
            <v>#DIV/0!</v>
          </cell>
          <cell r="S4260">
            <v>0</v>
          </cell>
          <cell r="T4260">
            <v>0</v>
          </cell>
        </row>
        <row r="4261">
          <cell r="A4261" t="str">
            <v>Y056-829</v>
          </cell>
          <cell r="B4261" t="str">
            <v>Z T-014-2R</v>
          </cell>
          <cell r="C4261" t="str">
            <v>Y056</v>
          </cell>
          <cell r="D4261" t="str">
            <v>72050-55 妆台</v>
          </cell>
          <cell r="E4261" t="str">
            <v>P0237 前企柱中饰花 2R  (左鈎)</v>
          </cell>
          <cell r="F4261" t="str">
            <v>350*80*4.5</v>
          </cell>
          <cell r="G4261">
            <v>350</v>
          </cell>
          <cell r="H4261">
            <v>80</v>
          </cell>
          <cell r="I4261">
            <v>4.5</v>
          </cell>
          <cell r="J4261">
            <v>0</v>
          </cell>
          <cell r="K4261">
            <v>0</v>
          </cell>
          <cell r="L4261">
            <v>0.437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 t="str">
            <v>1075</v>
          </cell>
          <cell r="R4261" t="e">
            <v>#DIV/0!</v>
          </cell>
          <cell r="S4261">
            <v>0</v>
          </cell>
          <cell r="T4261">
            <v>0</v>
          </cell>
        </row>
        <row r="4262">
          <cell r="A4262" t="str">
            <v>Y056-830</v>
          </cell>
          <cell r="B4262" t="str">
            <v>Z T-014-3L</v>
          </cell>
          <cell r="C4262" t="str">
            <v>Y056</v>
          </cell>
          <cell r="D4262" t="str">
            <v>72050-55 妆台</v>
          </cell>
          <cell r="E4262" t="str">
            <v>P0135 前企柱中饰花 3L   (右鈎)</v>
          </cell>
          <cell r="F4262" t="str">
            <v>350*80*4.5</v>
          </cell>
          <cell r="G4262">
            <v>350</v>
          </cell>
          <cell r="H4262">
            <v>80</v>
          </cell>
          <cell r="I4262">
            <v>4.5</v>
          </cell>
          <cell r="J4262">
            <v>0</v>
          </cell>
          <cell r="K4262">
            <v>0</v>
          </cell>
          <cell r="L4262">
            <v>0.437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 t="str">
            <v>1075</v>
          </cell>
          <cell r="R4262" t="e">
            <v>#DIV/0!</v>
          </cell>
          <cell r="S4262">
            <v>0</v>
          </cell>
          <cell r="T4262">
            <v>0</v>
          </cell>
        </row>
        <row r="4263">
          <cell r="A4263" t="str">
            <v>Y056-831</v>
          </cell>
          <cell r="B4263" t="str">
            <v>Z T-014-4</v>
          </cell>
          <cell r="C4263" t="str">
            <v>Y056</v>
          </cell>
          <cell r="D4263" t="str">
            <v>72050-55 妆台</v>
          </cell>
          <cell r="E4263" t="str">
            <v>P0239 前企柱中饰花4</v>
          </cell>
          <cell r="F4263" t="str">
            <v>315*80*4.5</v>
          </cell>
          <cell r="G4263">
            <v>315</v>
          </cell>
          <cell r="H4263">
            <v>80</v>
          </cell>
          <cell r="I4263">
            <v>4.5</v>
          </cell>
          <cell r="J4263">
            <v>0</v>
          </cell>
          <cell r="K4263">
            <v>0</v>
          </cell>
          <cell r="L4263">
            <v>0.42799999999999999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 t="str">
            <v>1075</v>
          </cell>
          <cell r="R4263" t="e">
            <v>#DIV/0!</v>
          </cell>
          <cell r="S4263">
            <v>0</v>
          </cell>
          <cell r="T4263">
            <v>0</v>
          </cell>
        </row>
        <row r="4264">
          <cell r="A4264" t="str">
            <v>Y056-832</v>
          </cell>
          <cell r="B4264" t="str">
            <v>Z T-015</v>
          </cell>
          <cell r="C4264" t="str">
            <v>Y056</v>
          </cell>
          <cell r="D4264" t="str">
            <v>72050-55 妆台</v>
          </cell>
          <cell r="E4264" t="str">
            <v xml:space="preserve">P0240 抽面外饰条 </v>
          </cell>
          <cell r="F4264" t="str">
            <v>1200*12*6</v>
          </cell>
          <cell r="G4264">
            <v>1200</v>
          </cell>
          <cell r="H4264">
            <v>12</v>
          </cell>
          <cell r="I4264">
            <v>6</v>
          </cell>
          <cell r="J4264">
            <v>0</v>
          </cell>
          <cell r="K4264">
            <v>0</v>
          </cell>
          <cell r="L4264">
            <v>0.32300000000000001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 t="str">
            <v>1010</v>
          </cell>
          <cell r="R4264" t="e">
            <v>#DIV/0!</v>
          </cell>
          <cell r="S4264">
            <v>0</v>
          </cell>
          <cell r="T4264">
            <v>0</v>
          </cell>
        </row>
        <row r="4265">
          <cell r="A4265" t="str">
            <v>Y056-833</v>
          </cell>
          <cell r="B4265" t="str">
            <v>Z T-016</v>
          </cell>
          <cell r="C4265" t="str">
            <v>Y056</v>
          </cell>
          <cell r="D4265" t="str">
            <v>72050-55 妆台</v>
          </cell>
          <cell r="E4265" t="str">
            <v xml:space="preserve">P0241门板外饰条 </v>
          </cell>
          <cell r="F4265" t="str">
            <v>600*31*12</v>
          </cell>
          <cell r="G4265">
            <v>600</v>
          </cell>
          <cell r="H4265">
            <v>31</v>
          </cell>
          <cell r="I4265">
            <v>12</v>
          </cell>
          <cell r="J4265">
            <v>0</v>
          </cell>
          <cell r="K4265">
            <v>0</v>
          </cell>
          <cell r="L4265">
            <v>0.874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 t="str">
            <v>1010</v>
          </cell>
          <cell r="R4265" t="e">
            <v>#DIV/0!</v>
          </cell>
          <cell r="S4265">
            <v>0</v>
          </cell>
          <cell r="T4265">
            <v>0</v>
          </cell>
        </row>
        <row r="4266">
          <cell r="A4266" t="str">
            <v>Y056-834</v>
          </cell>
          <cell r="B4266" t="str">
            <v>Z T-017</v>
          </cell>
          <cell r="C4266" t="str">
            <v>Y056</v>
          </cell>
          <cell r="D4266" t="str">
            <v>72050-55 妆台</v>
          </cell>
          <cell r="E4266" t="str">
            <v xml:space="preserve">P0242 侧板中上饰条 </v>
          </cell>
          <cell r="F4266" t="str">
            <v>720*31*20</v>
          </cell>
          <cell r="G4266">
            <v>720</v>
          </cell>
          <cell r="H4266">
            <v>31</v>
          </cell>
          <cell r="I4266">
            <v>20</v>
          </cell>
          <cell r="J4266">
            <v>0</v>
          </cell>
          <cell r="K4266">
            <v>0</v>
          </cell>
          <cell r="L4266">
            <v>1.397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 t="str">
            <v>1010</v>
          </cell>
          <cell r="R4266" t="e">
            <v>#DIV/0!</v>
          </cell>
          <cell r="S4266">
            <v>0</v>
          </cell>
          <cell r="T4266">
            <v>0</v>
          </cell>
        </row>
        <row r="4267">
          <cell r="A4267" t="str">
            <v>Y056-835</v>
          </cell>
          <cell r="B4267" t="str">
            <v>Z T-018L</v>
          </cell>
          <cell r="C4267" t="str">
            <v>Y056</v>
          </cell>
          <cell r="D4267" t="str">
            <v>72050-55 妆台</v>
          </cell>
          <cell r="E4267" t="str">
            <v xml:space="preserve">P0243 左上转角 </v>
          </cell>
          <cell r="F4267" t="str">
            <v>190*173*142</v>
          </cell>
          <cell r="G4267">
            <v>190</v>
          </cell>
          <cell r="H4267">
            <v>173</v>
          </cell>
          <cell r="I4267">
            <v>142</v>
          </cell>
          <cell r="J4267">
            <v>0</v>
          </cell>
          <cell r="K4267">
            <v>0</v>
          </cell>
          <cell r="L4267">
            <v>3.99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 t="str">
            <v>1010</v>
          </cell>
          <cell r="R4267" t="e">
            <v>#DIV/0!</v>
          </cell>
          <cell r="S4267" t="str">
            <v>木186*147*126</v>
          </cell>
          <cell r="T4267">
            <v>0</v>
          </cell>
        </row>
        <row r="4268">
          <cell r="A4268" t="str">
            <v>Y056-836</v>
          </cell>
          <cell r="B4268" t="str">
            <v>Z T-019R</v>
          </cell>
          <cell r="C4268" t="str">
            <v>Y056</v>
          </cell>
          <cell r="D4268" t="str">
            <v>72050-55 妆台</v>
          </cell>
          <cell r="E4268" t="str">
            <v>P0244 右上转角</v>
          </cell>
          <cell r="F4268" t="str">
            <v>190*173*142</v>
          </cell>
          <cell r="G4268">
            <v>190</v>
          </cell>
          <cell r="H4268">
            <v>173</v>
          </cell>
          <cell r="I4268">
            <v>142</v>
          </cell>
          <cell r="J4268">
            <v>0</v>
          </cell>
          <cell r="K4268">
            <v>0</v>
          </cell>
          <cell r="L4268">
            <v>3.99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 t="str">
            <v>1010</v>
          </cell>
          <cell r="R4268" t="e">
            <v>#DIV/0!</v>
          </cell>
          <cell r="S4268" t="str">
            <v>木186*147*126</v>
          </cell>
          <cell r="T4268">
            <v>0</v>
          </cell>
        </row>
        <row r="4269">
          <cell r="A4269" t="str">
            <v>Y056-837</v>
          </cell>
          <cell r="B4269" t="str">
            <v>Z T-020</v>
          </cell>
          <cell r="C4269" t="str">
            <v>Y056</v>
          </cell>
          <cell r="D4269" t="str">
            <v>72050-55 妆台</v>
          </cell>
          <cell r="E4269" t="str">
            <v>P0245 侧板中饰条</v>
          </cell>
          <cell r="F4269" t="str">
            <v>530*12*7</v>
          </cell>
          <cell r="G4269">
            <v>530</v>
          </cell>
          <cell r="H4269">
            <v>12</v>
          </cell>
          <cell r="I4269">
            <v>7</v>
          </cell>
          <cell r="J4269">
            <v>0</v>
          </cell>
          <cell r="K4269">
            <v>0</v>
          </cell>
          <cell r="L4269">
            <v>0.19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 t="str">
            <v>1010</v>
          </cell>
          <cell r="R4269" t="e">
            <v>#DIV/0!</v>
          </cell>
          <cell r="S4269">
            <v>0</v>
          </cell>
          <cell r="T4269">
            <v>0</v>
          </cell>
        </row>
        <row r="4270">
          <cell r="A4270" t="str">
            <v>Y056-838</v>
          </cell>
          <cell r="B4270" t="str">
            <v>Z T-021</v>
          </cell>
          <cell r="C4270" t="str">
            <v>Y056</v>
          </cell>
          <cell r="D4270" t="str">
            <v>72050-55 妆台</v>
          </cell>
          <cell r="E4270" t="str">
            <v xml:space="preserve">P0246 左上中转角 </v>
          </cell>
          <cell r="F4270" t="str">
            <v>195*110*85</v>
          </cell>
          <cell r="G4270">
            <v>204</v>
          </cell>
          <cell r="H4270">
            <v>120</v>
          </cell>
          <cell r="I4270">
            <v>90</v>
          </cell>
          <cell r="J4270">
            <v>0</v>
          </cell>
          <cell r="K4270">
            <v>0</v>
          </cell>
          <cell r="L4270">
            <v>2.85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 t="str">
            <v>1010</v>
          </cell>
          <cell r="R4270" t="e">
            <v>#DIV/0!</v>
          </cell>
          <cell r="S4270" t="str">
            <v>木</v>
          </cell>
          <cell r="T4270">
            <v>0</v>
          </cell>
        </row>
        <row r="4271">
          <cell r="A4271" t="str">
            <v>Y056-839</v>
          </cell>
          <cell r="B4271" t="str">
            <v>Z T-022</v>
          </cell>
          <cell r="C4271" t="str">
            <v>Y056</v>
          </cell>
          <cell r="D4271" t="str">
            <v>72050-55 妆台</v>
          </cell>
          <cell r="E4271" t="str">
            <v>P0247 右上中转角</v>
          </cell>
          <cell r="F4271" t="str">
            <v>195*110*85</v>
          </cell>
          <cell r="G4271">
            <v>204</v>
          </cell>
          <cell r="H4271">
            <v>120</v>
          </cell>
          <cell r="I4271">
            <v>90</v>
          </cell>
          <cell r="J4271">
            <v>0</v>
          </cell>
          <cell r="K4271">
            <v>0</v>
          </cell>
          <cell r="L4271">
            <v>2.85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 t="str">
            <v>1010</v>
          </cell>
          <cell r="R4271" t="e">
            <v>#DIV/0!</v>
          </cell>
          <cell r="S4271" t="str">
            <v>木</v>
          </cell>
          <cell r="T4271">
            <v>0</v>
          </cell>
        </row>
        <row r="4272">
          <cell r="A4272" t="str">
            <v>Y056-840</v>
          </cell>
          <cell r="B4272" t="str">
            <v>Z T-023</v>
          </cell>
          <cell r="C4272" t="str">
            <v>Y056</v>
          </cell>
          <cell r="D4272" t="str">
            <v>72050-55 妆台</v>
          </cell>
          <cell r="E4272" t="str">
            <v>P0248 门板左下饰条</v>
          </cell>
          <cell r="F4272" t="str">
            <v>185*90*14</v>
          </cell>
          <cell r="G4272">
            <v>228</v>
          </cell>
          <cell r="H4272">
            <v>75</v>
          </cell>
          <cell r="I4272">
            <v>13</v>
          </cell>
          <cell r="J4272">
            <v>0</v>
          </cell>
          <cell r="K4272">
            <v>0</v>
          </cell>
          <cell r="L4272">
            <v>0.41799999999999998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 t="str">
            <v>1010</v>
          </cell>
          <cell r="R4272" t="e">
            <v>#DIV/0!</v>
          </cell>
          <cell r="S4272">
            <v>0</v>
          </cell>
          <cell r="T4272">
            <v>0</v>
          </cell>
        </row>
        <row r="4273">
          <cell r="A4273" t="str">
            <v>Y056-841</v>
          </cell>
          <cell r="B4273" t="str">
            <v>Z T-024</v>
          </cell>
          <cell r="C4273" t="str">
            <v>Y056</v>
          </cell>
          <cell r="D4273" t="str">
            <v>72050-55 妆台</v>
          </cell>
          <cell r="E4273" t="str">
            <v>P0249 门板右下饰条</v>
          </cell>
          <cell r="F4273" t="str">
            <v>185*90*14</v>
          </cell>
          <cell r="G4273">
            <v>215</v>
          </cell>
          <cell r="H4273">
            <v>75</v>
          </cell>
          <cell r="I4273">
            <v>13</v>
          </cell>
          <cell r="J4273">
            <v>0</v>
          </cell>
          <cell r="K4273">
            <v>0</v>
          </cell>
          <cell r="L4273">
            <v>0.39900000000000002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 t="str">
            <v>1010</v>
          </cell>
          <cell r="R4273" t="e">
            <v>#DIV/0!</v>
          </cell>
          <cell r="S4273">
            <v>0</v>
          </cell>
          <cell r="T4273">
            <v>0</v>
          </cell>
        </row>
        <row r="4274">
          <cell r="A4274" t="str">
            <v>Y056-842</v>
          </cell>
          <cell r="B4274" t="str">
            <v>Z T-025</v>
          </cell>
          <cell r="C4274" t="str">
            <v>Y056</v>
          </cell>
          <cell r="D4274" t="str">
            <v>72050-55 妆台</v>
          </cell>
          <cell r="E4274" t="str">
            <v>P0250 门板左上饰条</v>
          </cell>
          <cell r="F4274" t="str">
            <v>180*60*14</v>
          </cell>
          <cell r="G4274">
            <v>233</v>
          </cell>
          <cell r="H4274">
            <v>61</v>
          </cell>
          <cell r="I4274">
            <v>13</v>
          </cell>
          <cell r="J4274">
            <v>0</v>
          </cell>
          <cell r="K4274">
            <v>0</v>
          </cell>
          <cell r="L4274">
            <v>0.42799999999999999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 t="str">
            <v>1010</v>
          </cell>
          <cell r="R4274" t="e">
            <v>#DIV/0!</v>
          </cell>
          <cell r="S4274">
            <v>0</v>
          </cell>
          <cell r="T4274">
            <v>0</v>
          </cell>
        </row>
        <row r="4275">
          <cell r="A4275" t="str">
            <v>Y056-843</v>
          </cell>
          <cell r="B4275" t="str">
            <v>Z T-026</v>
          </cell>
          <cell r="C4275" t="str">
            <v>Y056</v>
          </cell>
          <cell r="D4275" t="str">
            <v>72050-55 妆台</v>
          </cell>
          <cell r="E4275" t="str">
            <v xml:space="preserve">P0251 门板右上饰条 </v>
          </cell>
          <cell r="F4275" t="str">
            <v>180*60*14</v>
          </cell>
          <cell r="G4275">
            <v>218</v>
          </cell>
          <cell r="H4275">
            <v>56</v>
          </cell>
          <cell r="I4275">
            <v>13</v>
          </cell>
          <cell r="J4275">
            <v>0</v>
          </cell>
          <cell r="K4275">
            <v>0</v>
          </cell>
          <cell r="L4275">
            <v>0.38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 t="str">
            <v>1010</v>
          </cell>
          <cell r="R4275" t="e">
            <v>#DIV/0!</v>
          </cell>
          <cell r="S4275">
            <v>0</v>
          </cell>
          <cell r="T4275">
            <v>0</v>
          </cell>
        </row>
        <row r="4276">
          <cell r="A4276" t="str">
            <v>Y056-844</v>
          </cell>
          <cell r="B4276" t="str">
            <v>Z T-027</v>
          </cell>
          <cell r="C4276" t="str">
            <v>Y056</v>
          </cell>
          <cell r="D4276" t="str">
            <v>72050-55 妆台</v>
          </cell>
          <cell r="E4276" t="str">
            <v xml:space="preserve">P0252 前侧下饰花 </v>
          </cell>
          <cell r="F4276" t="str">
            <v>2300*684</v>
          </cell>
          <cell r="G4276">
            <v>2300</v>
          </cell>
          <cell r="H4276">
            <v>68</v>
          </cell>
          <cell r="I4276">
            <v>13</v>
          </cell>
          <cell r="J4276">
            <v>0</v>
          </cell>
          <cell r="K4276">
            <v>0</v>
          </cell>
          <cell r="L4276">
            <v>5.32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 t="str">
            <v>1010</v>
          </cell>
          <cell r="R4276" t="e">
            <v>#DIV/0!</v>
          </cell>
          <cell r="S4276">
            <v>0</v>
          </cell>
          <cell r="T4276">
            <v>0</v>
          </cell>
        </row>
        <row r="4277">
          <cell r="A4277" t="str">
            <v>Y056-845</v>
          </cell>
          <cell r="B4277" t="str">
            <v>Z T-028</v>
          </cell>
          <cell r="C4277" t="str">
            <v>Y056</v>
          </cell>
          <cell r="D4277" t="str">
            <v>72050-55 妆台</v>
          </cell>
          <cell r="E4277" t="str">
            <v>P0253 侧层板饰条</v>
          </cell>
          <cell r="F4277" t="str">
            <v>1550*21*6</v>
          </cell>
          <cell r="G4277">
            <v>1550</v>
          </cell>
          <cell r="H4277">
            <v>21</v>
          </cell>
          <cell r="I4277">
            <v>6</v>
          </cell>
          <cell r="J4277">
            <v>0</v>
          </cell>
          <cell r="K4277">
            <v>0</v>
          </cell>
          <cell r="L4277">
            <v>0.77900000000000003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 t="str">
            <v>1010</v>
          </cell>
          <cell r="R4277" t="e">
            <v>#DIV/0!</v>
          </cell>
          <cell r="S4277">
            <v>0</v>
          </cell>
          <cell r="T4277">
            <v>0</v>
          </cell>
        </row>
        <row r="4278">
          <cell r="A4278" t="str">
            <v>Y056-846</v>
          </cell>
          <cell r="B4278" t="str">
            <v>Z J-001L</v>
          </cell>
          <cell r="C4278" t="str">
            <v>Y056</v>
          </cell>
          <cell r="D4278" t="str">
            <v>72060-55 妝鏡</v>
          </cell>
          <cell r="E4278" t="str">
            <v>P0214 顶饰花（左）</v>
          </cell>
          <cell r="F4278" t="str">
            <v>385*142*14</v>
          </cell>
          <cell r="G4278">
            <v>385</v>
          </cell>
          <cell r="H4278">
            <v>142</v>
          </cell>
          <cell r="I4278">
            <v>14</v>
          </cell>
          <cell r="J4278">
            <v>0</v>
          </cell>
          <cell r="K4278">
            <v>0</v>
          </cell>
          <cell r="L4278">
            <v>0.82699999999999996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 t="str">
            <v>1010</v>
          </cell>
          <cell r="R4278" t="e">
            <v>#DIV/0!</v>
          </cell>
          <cell r="S4278">
            <v>0</v>
          </cell>
          <cell r="T4278">
            <v>0</v>
          </cell>
        </row>
        <row r="4279">
          <cell r="A4279" t="str">
            <v>Y056-847</v>
          </cell>
          <cell r="B4279" t="str">
            <v>Z J-002R</v>
          </cell>
          <cell r="C4279" t="str">
            <v>Y056</v>
          </cell>
          <cell r="D4279" t="str">
            <v>72060-55 妝鏡</v>
          </cell>
          <cell r="E4279" t="str">
            <v>P0215 顶饰花（右）</v>
          </cell>
          <cell r="F4279" t="str">
            <v>385*142*14</v>
          </cell>
          <cell r="G4279">
            <v>385</v>
          </cell>
          <cell r="H4279">
            <v>142</v>
          </cell>
          <cell r="I4279">
            <v>14</v>
          </cell>
          <cell r="J4279">
            <v>0</v>
          </cell>
          <cell r="K4279">
            <v>0</v>
          </cell>
          <cell r="L4279">
            <v>0.82699999999999996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 t="str">
            <v>1010</v>
          </cell>
          <cell r="R4279" t="e">
            <v>#DIV/0!</v>
          </cell>
          <cell r="S4279">
            <v>0</v>
          </cell>
          <cell r="T4279">
            <v>0</v>
          </cell>
        </row>
        <row r="4280">
          <cell r="A4280" t="str">
            <v>Y056-848</v>
          </cell>
          <cell r="B4280" t="str">
            <v>Z J-003</v>
          </cell>
          <cell r="C4280" t="str">
            <v>Y056</v>
          </cell>
          <cell r="D4280" t="str">
            <v>72060-55 妝鏡</v>
          </cell>
          <cell r="E4280" t="str">
            <v>P0216 下側饰花</v>
          </cell>
          <cell r="F4280" t="str">
            <v>177*125*14</v>
          </cell>
          <cell r="G4280">
            <v>177</v>
          </cell>
          <cell r="H4280">
            <v>125</v>
          </cell>
          <cell r="I4280">
            <v>14</v>
          </cell>
          <cell r="J4280">
            <v>0</v>
          </cell>
          <cell r="K4280">
            <v>0</v>
          </cell>
          <cell r="L4280">
            <v>0.41799999999999998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 t="str">
            <v>1010</v>
          </cell>
          <cell r="R4280" t="e">
            <v>#DIV/0!</v>
          </cell>
          <cell r="S4280">
            <v>0</v>
          </cell>
          <cell r="T4280">
            <v>0</v>
          </cell>
        </row>
        <row r="4281">
          <cell r="A4281" t="str">
            <v>Y056-849</v>
          </cell>
          <cell r="B4281" t="str">
            <v>Z J-004</v>
          </cell>
          <cell r="C4281" t="str">
            <v>Y056</v>
          </cell>
          <cell r="D4281" t="str">
            <v>72060-55 妝鏡</v>
          </cell>
          <cell r="E4281" t="str">
            <v xml:space="preserve">P0217 下中饰花 </v>
          </cell>
          <cell r="F4281" t="str">
            <v>308*67*14</v>
          </cell>
          <cell r="G4281">
            <v>308</v>
          </cell>
          <cell r="H4281">
            <v>67</v>
          </cell>
          <cell r="I4281">
            <v>14</v>
          </cell>
          <cell r="J4281">
            <v>0</v>
          </cell>
          <cell r="K4281">
            <v>0</v>
          </cell>
          <cell r="L4281">
            <v>0.48499999999999999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 t="str">
            <v>1010</v>
          </cell>
          <cell r="R4281" t="e">
            <v>#DIV/0!</v>
          </cell>
          <cell r="S4281">
            <v>0</v>
          </cell>
          <cell r="T4281">
            <v>0</v>
          </cell>
        </row>
        <row r="4282">
          <cell r="A4282" t="str">
            <v>Y056-850</v>
          </cell>
          <cell r="B4282" t="str">
            <v>Z J-005</v>
          </cell>
          <cell r="C4282" t="str">
            <v>Y056</v>
          </cell>
          <cell r="D4282" t="str">
            <v>72060-55 妆镜</v>
          </cell>
          <cell r="E4282" t="str">
            <v>P0218 顶饰块</v>
          </cell>
          <cell r="F4282" t="str">
            <v>75*55*20</v>
          </cell>
          <cell r="G4282">
            <v>75</v>
          </cell>
          <cell r="H4282">
            <v>55</v>
          </cell>
          <cell r="I4282">
            <v>20</v>
          </cell>
          <cell r="J4282">
            <v>0</v>
          </cell>
          <cell r="K4282">
            <v>0</v>
          </cell>
          <cell r="L4282">
            <v>0.152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 t="str">
            <v>1010</v>
          </cell>
          <cell r="R4282" t="e">
            <v>#DIV/0!</v>
          </cell>
          <cell r="S4282" t="str">
            <v>木66*48*9</v>
          </cell>
          <cell r="T4282">
            <v>0</v>
          </cell>
        </row>
        <row r="4283">
          <cell r="A4283" t="str">
            <v>Y056-851</v>
          </cell>
          <cell r="B4283" t="str">
            <v>Z J-006</v>
          </cell>
          <cell r="C4283" t="str">
            <v>Y056</v>
          </cell>
          <cell r="D4283" t="str">
            <v>72060-55 妆镜</v>
          </cell>
          <cell r="E4283" t="str">
            <v>P0219 上下饰条  (配ZJ-010)</v>
          </cell>
          <cell r="F4283" t="str">
            <v>1900*25*8</v>
          </cell>
          <cell r="G4283">
            <v>2200</v>
          </cell>
          <cell r="H4283">
            <v>25</v>
          </cell>
          <cell r="I4283">
            <v>8</v>
          </cell>
          <cell r="J4283">
            <v>0</v>
          </cell>
          <cell r="K4283">
            <v>0</v>
          </cell>
          <cell r="L4283">
            <v>1.2829999999999999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 t="str">
            <v>1075</v>
          </cell>
          <cell r="R4283" t="e">
            <v>#DIV/0!</v>
          </cell>
          <cell r="S4283">
            <v>0</v>
          </cell>
          <cell r="T4283">
            <v>0</v>
          </cell>
        </row>
        <row r="4284">
          <cell r="A4284" t="str">
            <v>Y056-852</v>
          </cell>
          <cell r="B4284" t="str">
            <v>Z J-007</v>
          </cell>
          <cell r="C4284" t="str">
            <v>Y056</v>
          </cell>
          <cell r="D4284" t="str">
            <v>72060-55 妆镜</v>
          </cell>
          <cell r="E4284" t="str">
            <v xml:space="preserve">P0220 饰柱线圈 </v>
          </cell>
          <cell r="F4284" t="str">
            <v>170*8*7</v>
          </cell>
          <cell r="G4284">
            <v>170</v>
          </cell>
          <cell r="H4284">
            <v>8</v>
          </cell>
          <cell r="I4284">
            <v>7</v>
          </cell>
          <cell r="J4284">
            <v>0</v>
          </cell>
          <cell r="K4284">
            <v>0</v>
          </cell>
          <cell r="L4284">
            <v>5.7000000000000002E-2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 t="str">
            <v>1010</v>
          </cell>
          <cell r="R4284" t="e">
            <v>#DIV/0!</v>
          </cell>
          <cell r="S4284">
            <v>0</v>
          </cell>
          <cell r="T4284">
            <v>0</v>
          </cell>
        </row>
        <row r="4285">
          <cell r="A4285" t="str">
            <v>Y056-853</v>
          </cell>
          <cell r="B4285" t="str">
            <v>Z J-008</v>
          </cell>
          <cell r="C4285" t="str">
            <v>Y056</v>
          </cell>
          <cell r="D4285" t="str">
            <v>72060-55 妝鏡</v>
          </cell>
          <cell r="E4285" t="str">
            <v>P0221 顶板饰条</v>
          </cell>
          <cell r="F4285" t="str">
            <v>1800*17*8</v>
          </cell>
          <cell r="G4285">
            <v>1800</v>
          </cell>
          <cell r="H4285">
            <v>17</v>
          </cell>
          <cell r="I4285">
            <v>8</v>
          </cell>
          <cell r="J4285">
            <v>0</v>
          </cell>
          <cell r="K4285">
            <v>0</v>
          </cell>
          <cell r="L4285">
            <v>0.76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 t="str">
            <v>1010</v>
          </cell>
          <cell r="R4285" t="e">
            <v>#DIV/0!</v>
          </cell>
          <cell r="S4285">
            <v>0</v>
          </cell>
          <cell r="T4285">
            <v>0</v>
          </cell>
        </row>
        <row r="4286">
          <cell r="A4286" t="str">
            <v>Y056-854</v>
          </cell>
          <cell r="B4286" t="str">
            <v>Z J-010 用ZJ-006彎圓</v>
          </cell>
          <cell r="C4286" t="str">
            <v>Y056</v>
          </cell>
          <cell r="D4286" t="str">
            <v>72060-55 妝鏡</v>
          </cell>
          <cell r="E4286" t="str">
            <v>P0222下圓飾條  配ZJ-006</v>
          </cell>
          <cell r="F4286" t="str">
            <v>240*25*8</v>
          </cell>
          <cell r="G4286">
            <v>240</v>
          </cell>
          <cell r="H4286">
            <v>25</v>
          </cell>
          <cell r="I4286">
            <v>8</v>
          </cell>
          <cell r="J4286">
            <v>0</v>
          </cell>
          <cell r="K4286">
            <v>0</v>
          </cell>
          <cell r="L4286">
            <v>0.17100000000000001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 t="str">
            <v>1075</v>
          </cell>
          <cell r="R4286" t="e">
            <v>#DIV/0!</v>
          </cell>
          <cell r="S4286">
            <v>0</v>
          </cell>
          <cell r="T4286">
            <v>0</v>
          </cell>
        </row>
        <row r="4287">
          <cell r="A4287" t="str">
            <v>Y056-855</v>
          </cell>
          <cell r="B4287" t="str">
            <v>LMH-01</v>
          </cell>
          <cell r="C4287" t="str">
            <v>Y056</v>
          </cell>
          <cell r="D4287" t="str">
            <v>72315-55 床頭羅馬柱</v>
          </cell>
          <cell r="E4287" t="str">
            <v>P0196 床头柱饰花</v>
          </cell>
          <cell r="F4287" t="str">
            <v>1250*114*5</v>
          </cell>
          <cell r="G4287">
            <v>1250</v>
          </cell>
          <cell r="H4287">
            <v>114</v>
          </cell>
          <cell r="I4287">
            <v>5</v>
          </cell>
          <cell r="J4287">
            <v>0</v>
          </cell>
          <cell r="K4287">
            <v>0</v>
          </cell>
          <cell r="L4287">
            <v>2.7170000000000001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 t="str">
            <v>1075</v>
          </cell>
          <cell r="R4287" t="e">
            <v>#DIV/0!</v>
          </cell>
          <cell r="S4287">
            <v>0</v>
          </cell>
          <cell r="T4287">
            <v>0</v>
          </cell>
        </row>
        <row r="4288">
          <cell r="A4288" t="str">
            <v>Y056-856</v>
          </cell>
          <cell r="B4288" t="str">
            <v>LMH-05</v>
          </cell>
          <cell r="C4288" t="str">
            <v>Y056</v>
          </cell>
          <cell r="D4288" t="str">
            <v>72315-55 床頭羅馬柱</v>
          </cell>
          <cell r="E4288" t="str">
            <v>P0197 床尾柱饰花</v>
          </cell>
          <cell r="F4288" t="str">
            <v>2150*114*5</v>
          </cell>
          <cell r="G4288">
            <v>2150</v>
          </cell>
          <cell r="H4288">
            <v>114</v>
          </cell>
          <cell r="I4288">
            <v>5</v>
          </cell>
          <cell r="J4288">
            <v>0</v>
          </cell>
          <cell r="K4288">
            <v>0</v>
          </cell>
          <cell r="L4288">
            <v>4.6550000000000002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 t="str">
            <v>1075</v>
          </cell>
          <cell r="R4288" t="e">
            <v>#DIV/0!</v>
          </cell>
          <cell r="S4288">
            <v>0</v>
          </cell>
          <cell r="T4288">
            <v>0</v>
          </cell>
        </row>
        <row r="4289">
          <cell r="A4289" t="str">
            <v>Y056-857</v>
          </cell>
          <cell r="B4289" t="str">
            <v>FCZ-01</v>
          </cell>
          <cell r="C4289" t="str">
            <v>Y056</v>
          </cell>
          <cell r="D4289" t="str">
            <v>72002B-55方形餐桌支柱</v>
          </cell>
          <cell r="E4289" t="str">
            <v>P0287 支柱</v>
          </cell>
          <cell r="F4289" t="str">
            <v>545*430*430</v>
          </cell>
          <cell r="G4289">
            <v>545</v>
          </cell>
          <cell r="H4289">
            <v>430</v>
          </cell>
          <cell r="I4289">
            <v>430</v>
          </cell>
          <cell r="J4289">
            <v>17600</v>
          </cell>
          <cell r="K4289">
            <v>0</v>
          </cell>
          <cell r="L4289">
            <v>39.9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 t="str">
            <v>1010</v>
          </cell>
          <cell r="R4289">
            <v>2.2670454545454541</v>
          </cell>
          <cell r="S4289" t="str">
            <v>木</v>
          </cell>
          <cell r="T4289">
            <v>0</v>
          </cell>
        </row>
        <row r="4290">
          <cell r="A4290" t="str">
            <v>Y056-858</v>
          </cell>
          <cell r="B4290" t="str">
            <v>FCZ-02</v>
          </cell>
          <cell r="C4290" t="str">
            <v>Y056</v>
          </cell>
          <cell r="D4290" t="str">
            <v>72002BP-55方形餐桌底座</v>
          </cell>
          <cell r="E4290" t="str">
            <v>P0288 底座长饰条</v>
          </cell>
          <cell r="F4290" t="str">
            <v>1380*160*43</v>
          </cell>
          <cell r="G4290">
            <v>1380</v>
          </cell>
          <cell r="H4290">
            <v>160</v>
          </cell>
          <cell r="I4290">
            <v>43</v>
          </cell>
          <cell r="J4290">
            <v>0</v>
          </cell>
          <cell r="K4290">
            <v>0</v>
          </cell>
          <cell r="L4290">
            <v>3.23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 t="str">
            <v>1010</v>
          </cell>
          <cell r="R4290" t="e">
            <v>#DIV/0!</v>
          </cell>
          <cell r="S4290">
            <v>0</v>
          </cell>
          <cell r="T4290">
            <v>0</v>
          </cell>
        </row>
        <row r="4291">
          <cell r="A4291" t="str">
            <v>Y056-859</v>
          </cell>
          <cell r="B4291" t="str">
            <v>FCZ-03</v>
          </cell>
          <cell r="C4291" t="str">
            <v>Y056</v>
          </cell>
          <cell r="D4291" t="str">
            <v>72002BP-55方形餐桌底座</v>
          </cell>
          <cell r="E4291" t="str">
            <v>P0289 底座短饰条</v>
          </cell>
          <cell r="F4291" t="str">
            <v>480*42*20</v>
          </cell>
          <cell r="G4291">
            <v>480</v>
          </cell>
          <cell r="H4291">
            <v>42</v>
          </cell>
          <cell r="I4291">
            <v>20</v>
          </cell>
          <cell r="J4291">
            <v>0</v>
          </cell>
          <cell r="K4291">
            <v>0</v>
          </cell>
          <cell r="L4291">
            <v>1.1020000000000001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 t="str">
            <v>1010</v>
          </cell>
          <cell r="R4291" t="e">
            <v>#DIV/0!</v>
          </cell>
          <cell r="S4291">
            <v>0</v>
          </cell>
          <cell r="T4291">
            <v>0</v>
          </cell>
        </row>
        <row r="4292">
          <cell r="A4292" t="str">
            <v>Y056-860</v>
          </cell>
          <cell r="B4292" t="str">
            <v>FCZ-04</v>
          </cell>
          <cell r="C4292" t="str">
            <v>Y056</v>
          </cell>
          <cell r="D4292" t="str">
            <v>72002T-55方形餐桌面板</v>
          </cell>
          <cell r="E4292" t="str">
            <v>侧立水饰条</v>
          </cell>
          <cell r="F4292" t="str">
            <v>840*69*30</v>
          </cell>
          <cell r="G4292">
            <v>840</v>
          </cell>
          <cell r="H4292">
            <v>69</v>
          </cell>
          <cell r="I4292">
            <v>30</v>
          </cell>
          <cell r="J4292">
            <v>938</v>
          </cell>
          <cell r="K4292">
            <v>0</v>
          </cell>
          <cell r="L4292">
            <v>2.375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 t="str">
            <v>1010</v>
          </cell>
          <cell r="R4292">
            <v>2.5319829424307039</v>
          </cell>
          <cell r="S4292">
            <v>0</v>
          </cell>
          <cell r="T4292">
            <v>0</v>
          </cell>
        </row>
        <row r="4293">
          <cell r="A4293" t="str">
            <v>Y056-861</v>
          </cell>
          <cell r="B4293" t="str">
            <v>FCZ-05</v>
          </cell>
          <cell r="C4293" t="str">
            <v>Y056</v>
          </cell>
          <cell r="D4293" t="str">
            <v>72002T-55方形餐桌面板</v>
          </cell>
          <cell r="E4293" t="str">
            <v>前后立水饰条</v>
          </cell>
          <cell r="F4293" t="str">
            <v>670*669*11</v>
          </cell>
          <cell r="G4293">
            <v>670</v>
          </cell>
          <cell r="H4293">
            <v>69</v>
          </cell>
          <cell r="I4293">
            <v>11</v>
          </cell>
          <cell r="J4293">
            <v>805</v>
          </cell>
          <cell r="K4293">
            <v>0</v>
          </cell>
          <cell r="L4293">
            <v>1.9950000000000001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 t="str">
            <v>1010</v>
          </cell>
          <cell r="R4293">
            <v>2.4782608695652173</v>
          </cell>
          <cell r="S4293">
            <v>0</v>
          </cell>
          <cell r="T4293">
            <v>0</v>
          </cell>
        </row>
        <row r="4294">
          <cell r="A4294" t="str">
            <v>Y056-862</v>
          </cell>
          <cell r="B4294" t="str">
            <v>FCZ-06L</v>
          </cell>
          <cell r="C4294" t="str">
            <v>Y056</v>
          </cell>
          <cell r="D4294" t="str">
            <v>72002T-55方形餐桌面板</v>
          </cell>
          <cell r="E4294" t="str">
            <v>转角立水饰条</v>
          </cell>
          <cell r="F4294" t="str">
            <v>205*68*10</v>
          </cell>
          <cell r="G4294">
            <v>205</v>
          </cell>
          <cell r="H4294">
            <v>68</v>
          </cell>
          <cell r="I4294">
            <v>10</v>
          </cell>
          <cell r="J4294">
            <v>260</v>
          </cell>
          <cell r="K4294">
            <v>0</v>
          </cell>
          <cell r="L4294">
            <v>0.70299999999999996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 t="str">
            <v>1010</v>
          </cell>
          <cell r="R4294">
            <v>2.7038461538461536</v>
          </cell>
          <cell r="S4294">
            <v>0</v>
          </cell>
          <cell r="T4294">
            <v>0</v>
          </cell>
        </row>
        <row r="4295">
          <cell r="A4295" t="str">
            <v>Y056-863</v>
          </cell>
          <cell r="B4295" t="str">
            <v>FCZ-06R</v>
          </cell>
          <cell r="C4295" t="str">
            <v>Y056</v>
          </cell>
          <cell r="D4295" t="str">
            <v>72002T-55方形餐桌面板</v>
          </cell>
          <cell r="E4295" t="str">
            <v>转角立水饰条</v>
          </cell>
          <cell r="F4295" t="str">
            <v>205*68*10</v>
          </cell>
          <cell r="G4295">
            <v>205</v>
          </cell>
          <cell r="H4295">
            <v>68</v>
          </cell>
          <cell r="I4295">
            <v>10</v>
          </cell>
          <cell r="J4295">
            <v>260</v>
          </cell>
          <cell r="K4295">
            <v>0</v>
          </cell>
          <cell r="L4295">
            <v>0.70299999999999996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 t="str">
            <v>1010</v>
          </cell>
          <cell r="R4295">
            <v>2.7038461538461536</v>
          </cell>
          <cell r="S4295">
            <v>0</v>
          </cell>
          <cell r="T4295">
            <v>0</v>
          </cell>
        </row>
        <row r="4296">
          <cell r="A4296" t="str">
            <v>Y056-864</v>
          </cell>
          <cell r="B4296" t="str">
            <v>FCZ-07</v>
          </cell>
          <cell r="C4296" t="str">
            <v>Y056</v>
          </cell>
          <cell r="D4296" t="str">
            <v>72002T-55方形餐桌面板</v>
          </cell>
          <cell r="E4296" t="str">
            <v>中立水饰条</v>
          </cell>
          <cell r="F4296" t="str">
            <v>530*69*11</v>
          </cell>
          <cell r="G4296">
            <v>530</v>
          </cell>
          <cell r="H4296">
            <v>69</v>
          </cell>
          <cell r="I4296">
            <v>11</v>
          </cell>
          <cell r="J4296">
            <v>649</v>
          </cell>
          <cell r="K4296">
            <v>0</v>
          </cell>
          <cell r="L4296">
            <v>1.6719999999999999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 t="str">
            <v>1010</v>
          </cell>
          <cell r="R4296">
            <v>2.5762711864406778</v>
          </cell>
          <cell r="S4296">
            <v>0</v>
          </cell>
          <cell r="T4296">
            <v>0</v>
          </cell>
        </row>
        <row r="4297">
          <cell r="A4297" t="str">
            <v>Y056-865</v>
          </cell>
          <cell r="B4297" t="str">
            <v>CGSG-01</v>
          </cell>
          <cell r="C4297" t="str">
            <v>Y056</v>
          </cell>
          <cell r="D4297" t="str">
            <v>72005-55橱柜上柜</v>
          </cell>
          <cell r="E4297" t="str">
            <v>P0315顶饰条</v>
          </cell>
          <cell r="F4297" t="str">
            <v>2800(1400)*17*8</v>
          </cell>
          <cell r="G4297" t="str">
            <v>2800(1400)</v>
          </cell>
          <cell r="H4297">
            <v>17</v>
          </cell>
          <cell r="I4297">
            <v>8</v>
          </cell>
          <cell r="J4297">
            <v>0</v>
          </cell>
          <cell r="K4297">
            <v>0</v>
          </cell>
          <cell r="L4297">
            <v>1.1879999999999999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 t="str">
            <v>1075</v>
          </cell>
          <cell r="R4297" t="e">
            <v>#DIV/0!</v>
          </cell>
          <cell r="S4297">
            <v>0</v>
          </cell>
          <cell r="T4297">
            <v>0</v>
          </cell>
        </row>
        <row r="4298">
          <cell r="A4298" t="str">
            <v>Y056-866</v>
          </cell>
          <cell r="B4298" t="str">
            <v>CGSG-02</v>
          </cell>
          <cell r="C4298" t="str">
            <v>Y056</v>
          </cell>
          <cell r="D4298" t="str">
            <v>72005-55橱柜上柜</v>
          </cell>
          <cell r="E4298" t="str">
            <v xml:space="preserve">P0316 顶饰花 </v>
          </cell>
          <cell r="F4298" t="str">
            <v>605*105*37</v>
          </cell>
          <cell r="G4298">
            <v>605</v>
          </cell>
          <cell r="H4298">
            <v>105</v>
          </cell>
          <cell r="I4298">
            <v>37</v>
          </cell>
          <cell r="J4298">
            <v>0</v>
          </cell>
          <cell r="K4298">
            <v>0</v>
          </cell>
          <cell r="L4298">
            <v>2.2330000000000001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 t="str">
            <v>1010</v>
          </cell>
          <cell r="R4298" t="e">
            <v>#DIV/0!</v>
          </cell>
          <cell r="S4298">
            <v>0</v>
          </cell>
          <cell r="T4298">
            <v>0</v>
          </cell>
        </row>
        <row r="4299">
          <cell r="A4299" t="str">
            <v>Y056-867</v>
          </cell>
          <cell r="B4299" t="str">
            <v>CGXG-01L</v>
          </cell>
          <cell r="C4299" t="str">
            <v>Y056</v>
          </cell>
          <cell r="D4299" t="str">
            <v>72006-55橱柜下柜</v>
          </cell>
          <cell r="E4299" t="str">
            <v>P0318 左转角 (第二次+第三次)</v>
          </cell>
          <cell r="F4299" t="str">
            <v>191*178*126</v>
          </cell>
          <cell r="G4299">
            <v>191</v>
          </cell>
          <cell r="H4299">
            <v>178</v>
          </cell>
          <cell r="I4299">
            <v>126</v>
          </cell>
          <cell r="J4299">
            <v>0</v>
          </cell>
          <cell r="K4299">
            <v>0</v>
          </cell>
          <cell r="L4299">
            <v>4.9400000000000004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 t="str">
            <v>1010</v>
          </cell>
          <cell r="R4299" t="e">
            <v>#DIV/0!</v>
          </cell>
          <cell r="S4299" t="str">
            <v>木 181*125*68</v>
          </cell>
          <cell r="T4299">
            <v>0</v>
          </cell>
        </row>
        <row r="4300">
          <cell r="A4300" t="str">
            <v>Y056-868</v>
          </cell>
          <cell r="B4300" t="str">
            <v>CGXG-01R</v>
          </cell>
          <cell r="C4300" t="str">
            <v>Y056</v>
          </cell>
          <cell r="D4300" t="str">
            <v>72006-55橱柜下柜</v>
          </cell>
          <cell r="E4300" t="str">
            <v>P0319 右转角(第二次+第三次)</v>
          </cell>
          <cell r="F4300" t="str">
            <v>191*178*126</v>
          </cell>
          <cell r="G4300">
            <v>191</v>
          </cell>
          <cell r="H4300">
            <v>178</v>
          </cell>
          <cell r="I4300">
            <v>126</v>
          </cell>
          <cell r="J4300">
            <v>0</v>
          </cell>
          <cell r="K4300">
            <v>0</v>
          </cell>
          <cell r="L4300">
            <v>4.9400000000000004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 t="str">
            <v>1010</v>
          </cell>
          <cell r="R4300" t="e">
            <v>#DIV/0!</v>
          </cell>
          <cell r="S4300" t="str">
            <v>木 181*125*68</v>
          </cell>
          <cell r="T4300">
            <v>0</v>
          </cell>
        </row>
        <row r="4301">
          <cell r="A4301" t="str">
            <v>Y056-869</v>
          </cell>
          <cell r="B4301" t="str">
            <v>CGXG-02L</v>
          </cell>
          <cell r="C4301" t="str">
            <v>Y056</v>
          </cell>
          <cell r="D4301" t="str">
            <v>72006-55橱柜下柜</v>
          </cell>
          <cell r="E4301" t="str">
            <v>P0320 左中转角 (第二次)</v>
          </cell>
          <cell r="F4301" t="str">
            <v>162*84*60</v>
          </cell>
          <cell r="G4301">
            <v>162</v>
          </cell>
          <cell r="H4301">
            <v>84</v>
          </cell>
          <cell r="I4301">
            <v>60</v>
          </cell>
          <cell r="J4301">
            <v>0</v>
          </cell>
          <cell r="K4301">
            <v>0</v>
          </cell>
          <cell r="L4301">
            <v>1.159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 t="str">
            <v>1010</v>
          </cell>
          <cell r="R4301" t="e">
            <v>#DIV/0!</v>
          </cell>
          <cell r="S4301" t="str">
            <v>木 146*53*44</v>
          </cell>
          <cell r="T4301">
            <v>0</v>
          </cell>
        </row>
        <row r="4302">
          <cell r="A4302" t="str">
            <v>Y056-870</v>
          </cell>
          <cell r="B4302" t="str">
            <v>CGXG-02R</v>
          </cell>
          <cell r="C4302" t="str">
            <v>Y056</v>
          </cell>
          <cell r="D4302" t="str">
            <v>72006-55橱柜下柜</v>
          </cell>
          <cell r="E4302" t="str">
            <v>P0321右中转角 (第二次)</v>
          </cell>
          <cell r="F4302" t="str">
            <v>162*84*60</v>
          </cell>
          <cell r="G4302">
            <v>162</v>
          </cell>
          <cell r="H4302">
            <v>84</v>
          </cell>
          <cell r="I4302">
            <v>60</v>
          </cell>
          <cell r="J4302">
            <v>0</v>
          </cell>
          <cell r="K4302">
            <v>0</v>
          </cell>
          <cell r="L4302">
            <v>1.159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 t="str">
            <v>1010</v>
          </cell>
          <cell r="R4302" t="e">
            <v>#DIV/0!</v>
          </cell>
          <cell r="S4302" t="str">
            <v>木 146*53*44</v>
          </cell>
          <cell r="T4302">
            <v>0</v>
          </cell>
        </row>
        <row r="4303">
          <cell r="A4303" t="str">
            <v>Y056-871</v>
          </cell>
          <cell r="B4303" t="str">
            <v>CGXG-03</v>
          </cell>
          <cell r="C4303" t="str">
            <v>Y056</v>
          </cell>
          <cell r="D4303" t="str">
            <v>72006-55橱柜下柜</v>
          </cell>
          <cell r="E4303" t="str">
            <v>P0322 企柱上饰块</v>
          </cell>
          <cell r="F4303" t="str">
            <v>118*98*60</v>
          </cell>
          <cell r="G4303">
            <v>118</v>
          </cell>
          <cell r="H4303">
            <v>98</v>
          </cell>
          <cell r="I4303">
            <v>60</v>
          </cell>
          <cell r="J4303">
            <v>0</v>
          </cell>
          <cell r="K4303">
            <v>0</v>
          </cell>
          <cell r="L4303">
            <v>0.95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 t="str">
            <v>1010</v>
          </cell>
          <cell r="R4303" t="e">
            <v>#DIV/0!</v>
          </cell>
          <cell r="S4303" t="str">
            <v>木 63*75*75</v>
          </cell>
          <cell r="T4303">
            <v>0</v>
          </cell>
        </row>
        <row r="4304">
          <cell r="A4304" t="str">
            <v>Y056-872</v>
          </cell>
          <cell r="B4304" t="str">
            <v>CGXG-04</v>
          </cell>
          <cell r="C4304" t="str">
            <v>Y056</v>
          </cell>
          <cell r="D4304" t="str">
            <v>72006-55橱柜下柜</v>
          </cell>
          <cell r="E4304" t="str">
            <v>P0323 企柱下饰块</v>
          </cell>
          <cell r="F4304" t="str">
            <v>118*98*60</v>
          </cell>
          <cell r="G4304">
            <v>118</v>
          </cell>
          <cell r="H4304">
            <v>98</v>
          </cell>
          <cell r="I4304">
            <v>60</v>
          </cell>
          <cell r="J4304">
            <v>0</v>
          </cell>
          <cell r="K4304">
            <v>0</v>
          </cell>
          <cell r="L4304">
            <v>1.121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 t="str">
            <v>1010</v>
          </cell>
          <cell r="R4304" t="e">
            <v>#DIV/0!</v>
          </cell>
          <cell r="S4304" t="str">
            <v>木 63*75*75</v>
          </cell>
          <cell r="T4304">
            <v>0</v>
          </cell>
        </row>
        <row r="4305">
          <cell r="A4305" t="str">
            <v>Y056-873</v>
          </cell>
          <cell r="B4305" t="str">
            <v>CGXG-05L</v>
          </cell>
          <cell r="C4305" t="str">
            <v>Y056</v>
          </cell>
          <cell r="D4305" t="str">
            <v>72006-55橱柜下柜</v>
          </cell>
          <cell r="E4305" t="str">
            <v>P0324 左上企柱贴花</v>
          </cell>
          <cell r="F4305" t="str">
            <v>275*78*6</v>
          </cell>
          <cell r="G4305">
            <v>275</v>
          </cell>
          <cell r="H4305">
            <v>78</v>
          </cell>
          <cell r="I4305">
            <v>6</v>
          </cell>
          <cell r="J4305">
            <v>0</v>
          </cell>
          <cell r="K4305">
            <v>0</v>
          </cell>
          <cell r="L4305">
            <v>0.39900000000000002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 t="str">
            <v>1075</v>
          </cell>
          <cell r="R4305" t="e">
            <v>#DIV/0!</v>
          </cell>
          <cell r="S4305">
            <v>0</v>
          </cell>
          <cell r="T4305">
            <v>0</v>
          </cell>
        </row>
        <row r="4306">
          <cell r="A4306" t="str">
            <v>Y056-874</v>
          </cell>
          <cell r="B4306" t="str">
            <v>CGXG-05R</v>
          </cell>
          <cell r="C4306" t="str">
            <v>Y056</v>
          </cell>
          <cell r="D4306" t="str">
            <v>72006-55橱柜下柜</v>
          </cell>
          <cell r="E4306" t="str">
            <v>P0325 右上企柱贴花</v>
          </cell>
          <cell r="F4306" t="str">
            <v>275*78*6</v>
          </cell>
          <cell r="G4306">
            <v>275</v>
          </cell>
          <cell r="H4306">
            <v>78</v>
          </cell>
          <cell r="I4306">
            <v>6</v>
          </cell>
          <cell r="J4306">
            <v>0</v>
          </cell>
          <cell r="K4306">
            <v>0</v>
          </cell>
          <cell r="L4306">
            <v>0.39900000000000002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 t="str">
            <v>1075</v>
          </cell>
          <cell r="R4306" t="e">
            <v>#DIV/0!</v>
          </cell>
          <cell r="S4306">
            <v>0</v>
          </cell>
          <cell r="T4306">
            <v>0</v>
          </cell>
        </row>
        <row r="4307">
          <cell r="A4307" t="str">
            <v>Y056-875</v>
          </cell>
          <cell r="B4307" t="str">
            <v>CGXG-06L</v>
          </cell>
          <cell r="C4307" t="str">
            <v>Y056</v>
          </cell>
          <cell r="D4307" t="str">
            <v>72006-55橱柜下柜</v>
          </cell>
          <cell r="E4307" t="str">
            <v>P0326 左下企柱贴花</v>
          </cell>
          <cell r="F4307" t="str">
            <v>290*78*6</v>
          </cell>
          <cell r="G4307">
            <v>290</v>
          </cell>
          <cell r="H4307">
            <v>78</v>
          </cell>
          <cell r="I4307">
            <v>6</v>
          </cell>
          <cell r="J4307">
            <v>0</v>
          </cell>
          <cell r="K4307">
            <v>0</v>
          </cell>
          <cell r="L4307">
            <v>0.40899999999999997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 t="str">
            <v>1075</v>
          </cell>
          <cell r="R4307" t="e">
            <v>#DIV/0!</v>
          </cell>
          <cell r="S4307">
            <v>0</v>
          </cell>
          <cell r="T4307">
            <v>0</v>
          </cell>
        </row>
        <row r="4308">
          <cell r="A4308" t="str">
            <v>Y056-876</v>
          </cell>
          <cell r="B4308" t="str">
            <v>CGXG-06R</v>
          </cell>
          <cell r="C4308" t="str">
            <v>Y056</v>
          </cell>
          <cell r="D4308" t="str">
            <v>72006-55橱柜下柜</v>
          </cell>
          <cell r="E4308" t="str">
            <v>P0327 右下企柱贴花</v>
          </cell>
          <cell r="F4308" t="str">
            <v>290*78*6</v>
          </cell>
          <cell r="G4308">
            <v>290</v>
          </cell>
          <cell r="H4308">
            <v>78</v>
          </cell>
          <cell r="I4308">
            <v>6</v>
          </cell>
          <cell r="J4308">
            <v>0</v>
          </cell>
          <cell r="K4308">
            <v>0</v>
          </cell>
          <cell r="L4308">
            <v>0.40899999999999997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 t="str">
            <v>1075</v>
          </cell>
          <cell r="R4308" t="e">
            <v>#DIV/0!</v>
          </cell>
          <cell r="S4308">
            <v>0</v>
          </cell>
          <cell r="T4308">
            <v>0</v>
          </cell>
        </row>
        <row r="4309">
          <cell r="A4309" t="str">
            <v>Y056-877</v>
          </cell>
          <cell r="B4309" t="str">
            <v>CGXG-07</v>
          </cell>
          <cell r="C4309" t="str">
            <v>Y056</v>
          </cell>
          <cell r="D4309" t="str">
            <v>72006-55橱柜下柜</v>
          </cell>
          <cell r="E4309" t="str">
            <v>P0328 门板半圆饰条</v>
          </cell>
          <cell r="F4309" t="str">
            <v>235*85*7</v>
          </cell>
          <cell r="G4309">
            <v>235</v>
          </cell>
          <cell r="H4309">
            <v>85</v>
          </cell>
          <cell r="I4309">
            <v>7</v>
          </cell>
          <cell r="J4309">
            <v>0</v>
          </cell>
          <cell r="K4309">
            <v>0</v>
          </cell>
          <cell r="L4309">
            <v>0.124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 t="str">
            <v>1010</v>
          </cell>
          <cell r="R4309" t="e">
            <v>#DIV/0!</v>
          </cell>
          <cell r="S4309">
            <v>0</v>
          </cell>
          <cell r="T4309">
            <v>0</v>
          </cell>
        </row>
        <row r="4310">
          <cell r="A4310" t="str">
            <v>Y056-878</v>
          </cell>
          <cell r="B4310" t="str">
            <v>CGXG-08</v>
          </cell>
          <cell r="C4310" t="str">
            <v>Y056</v>
          </cell>
          <cell r="D4310" t="str">
            <v>72006-55橱柜下柜</v>
          </cell>
          <cell r="E4310" t="str">
            <v>P0329 门板内饰条</v>
          </cell>
          <cell r="F4310" t="str">
            <v>900*12*7</v>
          </cell>
          <cell r="G4310">
            <v>900</v>
          </cell>
          <cell r="H4310">
            <v>12</v>
          </cell>
          <cell r="I4310">
            <v>7</v>
          </cell>
          <cell r="J4310">
            <v>0</v>
          </cell>
          <cell r="K4310">
            <v>0</v>
          </cell>
          <cell r="L4310">
            <v>0.314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 t="str">
            <v>1010</v>
          </cell>
          <cell r="R4310" t="e">
            <v>#DIV/0!</v>
          </cell>
          <cell r="S4310">
            <v>0</v>
          </cell>
          <cell r="T4310">
            <v>0</v>
          </cell>
        </row>
        <row r="4311">
          <cell r="A4311" t="str">
            <v>Y056-879</v>
          </cell>
          <cell r="B4311" t="str">
            <v>CGXG-09</v>
          </cell>
          <cell r="C4311" t="str">
            <v>Y056</v>
          </cell>
          <cell r="D4311" t="str">
            <v>72006-55橱柜下柜</v>
          </cell>
          <cell r="E4311" t="str">
            <v>P0330 门板外饰条</v>
          </cell>
          <cell r="F4311" t="str">
            <v>750*31*12</v>
          </cell>
          <cell r="G4311">
            <v>750</v>
          </cell>
          <cell r="H4311">
            <v>31</v>
          </cell>
          <cell r="I4311">
            <v>12</v>
          </cell>
          <cell r="J4311">
            <v>0</v>
          </cell>
          <cell r="K4311">
            <v>0</v>
          </cell>
          <cell r="L4311">
            <v>0.98799999999999999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 t="str">
            <v>1010</v>
          </cell>
          <cell r="R4311" t="e">
            <v>#DIV/0!</v>
          </cell>
          <cell r="S4311">
            <v>0</v>
          </cell>
          <cell r="T4311">
            <v>0</v>
          </cell>
        </row>
        <row r="4312">
          <cell r="A4312" t="str">
            <v>Y056-880</v>
          </cell>
          <cell r="B4312" t="str">
            <v>CGXG-10</v>
          </cell>
          <cell r="C4312" t="str">
            <v>Y056</v>
          </cell>
          <cell r="D4312" t="str">
            <v>72006-55橱柜下柜</v>
          </cell>
          <cell r="E4312" t="str">
            <v>P0331 侧板饰条</v>
          </cell>
          <cell r="F4312" t="str">
            <v>800*11*6</v>
          </cell>
          <cell r="G4312">
            <v>800</v>
          </cell>
          <cell r="H4312">
            <v>11</v>
          </cell>
          <cell r="I4312">
            <v>6</v>
          </cell>
          <cell r="J4312">
            <v>0</v>
          </cell>
          <cell r="K4312">
            <v>0</v>
          </cell>
          <cell r="L4312">
            <v>0.23799999999999999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 t="str">
            <v>1010</v>
          </cell>
          <cell r="R4312" t="e">
            <v>#DIV/0!</v>
          </cell>
          <cell r="S4312">
            <v>0</v>
          </cell>
          <cell r="T4312">
            <v>0</v>
          </cell>
        </row>
        <row r="4313">
          <cell r="A4313" t="str">
            <v>Y056-881</v>
          </cell>
          <cell r="B4313" t="str">
            <v>CGXG-11</v>
          </cell>
          <cell r="C4313" t="str">
            <v>Y056</v>
          </cell>
          <cell r="D4313" t="str">
            <v>72006-55橱柜下柜</v>
          </cell>
          <cell r="E4313" t="str">
            <v>P0332 侧板中饰条</v>
          </cell>
          <cell r="F4313" t="str">
            <v>720*32*20</v>
          </cell>
          <cell r="G4313">
            <v>720</v>
          </cell>
          <cell r="H4313">
            <v>32</v>
          </cell>
          <cell r="I4313">
            <v>20</v>
          </cell>
          <cell r="J4313">
            <v>0</v>
          </cell>
          <cell r="K4313">
            <v>0</v>
          </cell>
          <cell r="L4313">
            <v>1.3779999999999999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 t="str">
            <v>1010</v>
          </cell>
          <cell r="R4313" t="e">
            <v>#DIV/0!</v>
          </cell>
          <cell r="S4313">
            <v>0</v>
          </cell>
          <cell r="T4313">
            <v>0</v>
          </cell>
        </row>
        <row r="4314">
          <cell r="A4314" t="str">
            <v>Y056-882</v>
          </cell>
          <cell r="B4314" t="str">
            <v>CGXG-12</v>
          </cell>
          <cell r="C4314" t="str">
            <v>Y056</v>
          </cell>
          <cell r="D4314" t="str">
            <v>72006-55橱柜下柜</v>
          </cell>
          <cell r="E4314" t="str">
            <v>P0333 侧板内饰框 第二次</v>
          </cell>
          <cell r="F4314" t="str">
            <v>201*67*5</v>
          </cell>
          <cell r="G4314">
            <v>201</v>
          </cell>
          <cell r="H4314">
            <v>67</v>
          </cell>
          <cell r="I4314">
            <v>5</v>
          </cell>
          <cell r="J4314">
            <v>0</v>
          </cell>
          <cell r="K4314">
            <v>0</v>
          </cell>
          <cell r="L4314">
            <v>0.124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 t="str">
            <v>1010</v>
          </cell>
          <cell r="R4314" t="e">
            <v>#DIV/0!</v>
          </cell>
          <cell r="S4314">
            <v>0</v>
          </cell>
          <cell r="T4314">
            <v>0</v>
          </cell>
        </row>
        <row r="4315">
          <cell r="A4315" t="str">
            <v>Y056-883</v>
          </cell>
          <cell r="B4315" t="str">
            <v>CGXG-13</v>
          </cell>
          <cell r="C4315" t="str">
            <v>Y056</v>
          </cell>
          <cell r="D4315" t="str">
            <v>72006-55橱柜下柜</v>
          </cell>
          <cell r="E4315" t="str">
            <v>P0334 前侧下饰条</v>
          </cell>
          <cell r="F4315" t="str">
            <v>2250*32*15</v>
          </cell>
          <cell r="G4315">
            <v>2250</v>
          </cell>
          <cell r="H4315">
            <v>32</v>
          </cell>
          <cell r="I4315">
            <v>15</v>
          </cell>
          <cell r="J4315">
            <v>0</v>
          </cell>
          <cell r="K4315">
            <v>0</v>
          </cell>
          <cell r="L4315">
            <v>3.3250000000000002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 t="str">
            <v>1010</v>
          </cell>
          <cell r="R4315" t="e">
            <v>#DIV/0!</v>
          </cell>
          <cell r="S4315">
            <v>0</v>
          </cell>
          <cell r="T4315">
            <v>0</v>
          </cell>
        </row>
        <row r="4316">
          <cell r="A4316" t="str">
            <v>Y056-884</v>
          </cell>
          <cell r="B4316" t="str">
            <v>CGXG-14</v>
          </cell>
          <cell r="C4316" t="str">
            <v>Y056</v>
          </cell>
          <cell r="D4316" t="str">
            <v>72006-55橱柜下柜</v>
          </cell>
          <cell r="E4316" t="str">
            <v>P0335 前侧下饰花</v>
          </cell>
          <cell r="F4316" t="str">
            <v>2250*68*13</v>
          </cell>
          <cell r="G4316">
            <v>2250</v>
          </cell>
          <cell r="H4316">
            <v>68</v>
          </cell>
          <cell r="I4316">
            <v>13</v>
          </cell>
          <cell r="J4316">
            <v>0</v>
          </cell>
          <cell r="K4316">
            <v>0</v>
          </cell>
          <cell r="L4316">
            <v>5.415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 t="str">
            <v>1010</v>
          </cell>
          <cell r="R4316" t="e">
            <v>#DIV/0!</v>
          </cell>
          <cell r="S4316">
            <v>0</v>
          </cell>
          <cell r="T4316">
            <v>0</v>
          </cell>
        </row>
        <row r="4317">
          <cell r="A4317" t="str">
            <v>Y056-885</v>
          </cell>
          <cell r="B4317" t="str">
            <v>CGXG-15</v>
          </cell>
          <cell r="C4317" t="str">
            <v>Y056</v>
          </cell>
          <cell r="D4317" t="str">
            <v>72006-55橱柜下柜</v>
          </cell>
          <cell r="E4317" t="str">
            <v>P0336 上抽面内饰框 第二次</v>
          </cell>
          <cell r="F4317" t="str">
            <v>296*65*7.5</v>
          </cell>
          <cell r="G4317">
            <v>296</v>
          </cell>
          <cell r="H4317">
            <v>65</v>
          </cell>
          <cell r="I4317">
            <v>7.5</v>
          </cell>
          <cell r="J4317">
            <v>0</v>
          </cell>
          <cell r="K4317">
            <v>0</v>
          </cell>
          <cell r="L4317">
            <v>0.13300000000000001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 t="str">
            <v>1010</v>
          </cell>
          <cell r="R4317" t="e">
            <v>#DIV/0!</v>
          </cell>
          <cell r="S4317">
            <v>0</v>
          </cell>
          <cell r="T4317">
            <v>0</v>
          </cell>
        </row>
        <row r="4318">
          <cell r="A4318" t="str">
            <v>Y056-886</v>
          </cell>
          <cell r="B4318" t="str">
            <v>CGXG-16</v>
          </cell>
          <cell r="C4318" t="str">
            <v>Y056</v>
          </cell>
          <cell r="D4318" t="str">
            <v>72006-55橱柜下柜</v>
          </cell>
          <cell r="E4318" t="str">
            <v>P0337 上中抽面内饰框 第二次</v>
          </cell>
          <cell r="F4318" t="str">
            <v>617*67*6</v>
          </cell>
          <cell r="G4318">
            <v>617</v>
          </cell>
          <cell r="H4318">
            <v>67</v>
          </cell>
          <cell r="I4318">
            <v>6</v>
          </cell>
          <cell r="J4318">
            <v>0</v>
          </cell>
          <cell r="K4318">
            <v>0</v>
          </cell>
          <cell r="L4318">
            <v>0.22800000000000001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 t="str">
            <v>1010</v>
          </cell>
          <cell r="R4318" t="e">
            <v>#DIV/0!</v>
          </cell>
          <cell r="S4318">
            <v>0</v>
          </cell>
          <cell r="T4318">
            <v>0</v>
          </cell>
        </row>
        <row r="4319">
          <cell r="A4319" t="str">
            <v>Y056-887</v>
          </cell>
          <cell r="B4319" t="str">
            <v>CGXG-017(同ZT-015)</v>
          </cell>
          <cell r="C4319" t="str">
            <v>Y056</v>
          </cell>
          <cell r="D4319" t="str">
            <v>72006-55橱柜下柜</v>
          </cell>
          <cell r="E4319" t="str">
            <v>P0338 抽面外饰条</v>
          </cell>
          <cell r="F4319" t="str">
            <v>1500*12*6</v>
          </cell>
          <cell r="G4319">
            <v>1500</v>
          </cell>
          <cell r="H4319">
            <v>12</v>
          </cell>
          <cell r="I4319">
            <v>6</v>
          </cell>
          <cell r="J4319">
            <v>0</v>
          </cell>
          <cell r="K4319">
            <v>0</v>
          </cell>
          <cell r="L4319">
            <v>0.40899999999999997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 t="str">
            <v>1010</v>
          </cell>
          <cell r="R4319" t="e">
            <v>#DIV/0!</v>
          </cell>
          <cell r="S4319">
            <v>0</v>
          </cell>
          <cell r="T4319">
            <v>0</v>
          </cell>
        </row>
        <row r="4320">
          <cell r="A4320" t="str">
            <v>Y056-888</v>
          </cell>
          <cell r="B4320" t="str">
            <v>CTG-007 (同ZT-020)</v>
          </cell>
          <cell r="C4320" t="str">
            <v>Y056</v>
          </cell>
          <cell r="D4320" t="str">
            <v>72040-55小床头柜</v>
          </cell>
          <cell r="E4320" t="str">
            <v>P0208 门板内饰条</v>
          </cell>
          <cell r="F4320" t="str">
            <v>860*12*7</v>
          </cell>
          <cell r="G4320">
            <v>860</v>
          </cell>
          <cell r="H4320">
            <v>12</v>
          </cell>
          <cell r="I4320">
            <v>7</v>
          </cell>
          <cell r="J4320">
            <v>108</v>
          </cell>
          <cell r="K4320">
            <v>0</v>
          </cell>
          <cell r="L4320">
            <v>0.30399999999999999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 t="str">
            <v>1010</v>
          </cell>
          <cell r="R4320">
            <v>2.8148148148148149</v>
          </cell>
          <cell r="S4320">
            <v>0</v>
          </cell>
          <cell r="T4320">
            <v>0</v>
          </cell>
        </row>
        <row r="4321">
          <cell r="A4321" t="str">
            <v>Y056-889</v>
          </cell>
          <cell r="B4321" t="str">
            <v>CTG-014</v>
          </cell>
          <cell r="C4321" t="str">
            <v>Y056</v>
          </cell>
          <cell r="D4321" t="str">
            <v>72040-55小床头柜</v>
          </cell>
          <cell r="E4321" t="str">
            <v xml:space="preserve">中门饰条 </v>
          </cell>
          <cell r="F4321" t="str">
            <v>260*133*12*7</v>
          </cell>
          <cell r="G4321" t="str">
            <v>260*133</v>
          </cell>
          <cell r="H4321">
            <v>12</v>
          </cell>
          <cell r="I4321">
            <v>7</v>
          </cell>
          <cell r="J4321">
            <v>0</v>
          </cell>
          <cell r="K4321">
            <v>0</v>
          </cell>
          <cell r="L4321">
            <v>0.13300000000000001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 t="str">
            <v>1010</v>
          </cell>
          <cell r="R4321" t="e">
            <v>#DIV/0!</v>
          </cell>
          <cell r="S4321">
            <v>0</v>
          </cell>
          <cell r="T4321">
            <v>0</v>
          </cell>
        </row>
        <row r="4322">
          <cell r="A4322" t="str">
            <v>Y056-890</v>
          </cell>
          <cell r="B4322" t="str">
            <v>CTG-015</v>
          </cell>
          <cell r="C4322" t="str">
            <v>Y056</v>
          </cell>
          <cell r="D4322" t="str">
            <v>72040-55小床头柜</v>
          </cell>
          <cell r="E4322" t="str">
            <v>P0371 侧板上中饰条</v>
          </cell>
          <cell r="F4322" t="str">
            <v>360*75*32*20</v>
          </cell>
          <cell r="G4322" t="str">
            <v>360*75</v>
          </cell>
          <cell r="H4322">
            <v>32</v>
          </cell>
          <cell r="I4322">
            <v>20</v>
          </cell>
          <cell r="J4322">
            <v>0</v>
          </cell>
          <cell r="K4322">
            <v>0</v>
          </cell>
          <cell r="L4322">
            <v>0.79800000000000004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 t="str">
            <v>1010</v>
          </cell>
          <cell r="R4322" t="e">
            <v>#DIV/0!</v>
          </cell>
          <cell r="S4322">
            <v>0</v>
          </cell>
          <cell r="T4322">
            <v>0</v>
          </cell>
        </row>
        <row r="4323">
          <cell r="A4323" t="str">
            <v>Y056-891</v>
          </cell>
          <cell r="B4323" t="str">
            <v>CGSG-04</v>
          </cell>
          <cell r="C4323" t="str">
            <v>Y056</v>
          </cell>
          <cell r="D4323" t="str">
            <v>72005-55橱柜上柜</v>
          </cell>
          <cell r="E4323" t="str">
            <v>P0317半圓飾塊</v>
          </cell>
          <cell r="F4323" t="str">
            <v>85*62*9</v>
          </cell>
          <cell r="G4323">
            <v>85</v>
          </cell>
          <cell r="H4323">
            <v>62</v>
          </cell>
          <cell r="I4323">
            <v>9</v>
          </cell>
          <cell r="J4323">
            <v>0</v>
          </cell>
          <cell r="K4323">
            <v>0</v>
          </cell>
          <cell r="L4323">
            <v>0.19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 t="str">
            <v>1010</v>
          </cell>
          <cell r="R4323" t="e">
            <v>#DIV/0!</v>
          </cell>
          <cell r="S4323">
            <v>0</v>
          </cell>
          <cell r="T4323">
            <v>0</v>
          </cell>
        </row>
        <row r="4324">
          <cell r="A4324" t="str">
            <v>Y056-892</v>
          </cell>
          <cell r="B4324" t="str">
            <v>ZT-004</v>
          </cell>
          <cell r="C4324" t="str">
            <v>Y056</v>
          </cell>
          <cell r="D4324" t="str">
            <v>72050-55 妆台</v>
          </cell>
          <cell r="E4324" t="str">
            <v xml:space="preserve">前侧下饰条 </v>
          </cell>
          <cell r="F4324" t="str">
            <v>2200*32*15</v>
          </cell>
          <cell r="G4324">
            <v>2200</v>
          </cell>
          <cell r="H4324">
            <v>32</v>
          </cell>
          <cell r="I4324">
            <v>15</v>
          </cell>
          <cell r="J4324">
            <v>0</v>
          </cell>
          <cell r="K4324">
            <v>0</v>
          </cell>
          <cell r="L4324">
            <v>3.3250000000000002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 t="str">
            <v>1010</v>
          </cell>
          <cell r="R4324" t="e">
            <v>#DIV/0!</v>
          </cell>
          <cell r="S4324">
            <v>0</v>
          </cell>
          <cell r="T4324">
            <v>0</v>
          </cell>
        </row>
        <row r="4325">
          <cell r="A4325" t="str">
            <v>Y056-893</v>
          </cell>
          <cell r="B4325" t="str">
            <v>CTG-013</v>
          </cell>
          <cell r="C4325" t="str">
            <v>Y056</v>
          </cell>
          <cell r="D4325" t="str">
            <v>72040-55小床头柜</v>
          </cell>
          <cell r="E4325" t="str">
            <v>P0212 抽面内饰框  第4次</v>
          </cell>
          <cell r="F4325" t="str">
            <v>470*75*5</v>
          </cell>
          <cell r="G4325">
            <v>470</v>
          </cell>
          <cell r="H4325">
            <v>75</v>
          </cell>
          <cell r="I4325">
            <v>5</v>
          </cell>
          <cell r="J4325">
            <v>0</v>
          </cell>
          <cell r="K4325">
            <v>0</v>
          </cell>
          <cell r="L4325">
            <v>0.152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 t="str">
            <v>1010</v>
          </cell>
          <cell r="R4325" t="e">
            <v>#DIV/0!</v>
          </cell>
          <cell r="S4325">
            <v>0</v>
          </cell>
          <cell r="T4325">
            <v>0</v>
          </cell>
        </row>
        <row r="4326">
          <cell r="A4326" t="str">
            <v>Y056-894</v>
          </cell>
          <cell r="B4326" t="str">
            <v>CGXG-12</v>
          </cell>
          <cell r="C4326" t="str">
            <v>Y056</v>
          </cell>
          <cell r="D4326" t="str">
            <v>72006-55橱柜下柜</v>
          </cell>
          <cell r="E4326" t="str">
            <v>侧板内饰框 第二次</v>
          </cell>
          <cell r="F4326" t="str">
            <v>220*68*6</v>
          </cell>
          <cell r="G4326">
            <v>220</v>
          </cell>
          <cell r="H4326">
            <v>68</v>
          </cell>
          <cell r="I4326">
            <v>6</v>
          </cell>
          <cell r="J4326">
            <v>0</v>
          </cell>
          <cell r="K4326">
            <v>0</v>
          </cell>
          <cell r="L4326">
            <v>0.13300000000000001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 t="str">
            <v>1010</v>
          </cell>
          <cell r="R4326" t="e">
            <v>#DIV/0!</v>
          </cell>
          <cell r="S4326">
            <v>0</v>
          </cell>
          <cell r="T4326">
            <v>0</v>
          </cell>
        </row>
        <row r="4327">
          <cell r="A4327" t="str">
            <v>Y056-895</v>
          </cell>
          <cell r="B4327" t="str">
            <v>CGXG-16</v>
          </cell>
          <cell r="C4327" t="str">
            <v>Y056</v>
          </cell>
          <cell r="D4327" t="str">
            <v>72006-55橱柜下柜</v>
          </cell>
          <cell r="E4327" t="str">
            <v>上中抽面内饰框 第三次</v>
          </cell>
          <cell r="F4327" t="str">
            <v>630*68*6</v>
          </cell>
          <cell r="G4327">
            <v>630</v>
          </cell>
          <cell r="H4327">
            <v>68</v>
          </cell>
          <cell r="I4327">
            <v>6</v>
          </cell>
          <cell r="J4327">
            <v>0</v>
          </cell>
          <cell r="K4327">
            <v>0</v>
          </cell>
          <cell r="L4327">
            <v>0.247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 t="str">
            <v>1010</v>
          </cell>
          <cell r="R4327" t="e">
            <v>#DIV/0!</v>
          </cell>
          <cell r="S4327">
            <v>0</v>
          </cell>
          <cell r="T4327">
            <v>0</v>
          </cell>
        </row>
        <row r="4328">
          <cell r="A4328" t="str">
            <v>Y056-896</v>
          </cell>
          <cell r="B4328" t="str">
            <v>ZT-014-2R</v>
          </cell>
          <cell r="C4328" t="str">
            <v>Y056</v>
          </cell>
          <cell r="D4328" t="str">
            <v>72095-B 視听柜下柜</v>
          </cell>
          <cell r="E4328" t="str">
            <v>前企柱中饰花 2R  (左鈎)</v>
          </cell>
          <cell r="F4328">
            <v>0</v>
          </cell>
          <cell r="G4328">
            <v>350</v>
          </cell>
          <cell r="H4328">
            <v>80</v>
          </cell>
          <cell r="I4328">
            <v>5</v>
          </cell>
          <cell r="J4328">
            <v>0</v>
          </cell>
          <cell r="K4328">
            <v>0</v>
          </cell>
          <cell r="L4328">
            <v>0.437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 t="str">
            <v>1075</v>
          </cell>
          <cell r="R4328" t="e">
            <v>#DIV/0!</v>
          </cell>
          <cell r="S4328">
            <v>0</v>
          </cell>
          <cell r="T4328">
            <v>0</v>
          </cell>
        </row>
        <row r="4329">
          <cell r="A4329" t="str">
            <v>Y056-897</v>
          </cell>
          <cell r="B4329" t="str">
            <v>ZT-014-3L</v>
          </cell>
          <cell r="C4329" t="str">
            <v>Y056</v>
          </cell>
          <cell r="D4329" t="str">
            <v>72095-B 視听柜下柜</v>
          </cell>
          <cell r="E4329" t="str">
            <v xml:space="preserve">前企柱中饰花 3L   (右鈎) </v>
          </cell>
          <cell r="F4329">
            <v>0</v>
          </cell>
          <cell r="G4329">
            <v>350</v>
          </cell>
          <cell r="H4329">
            <v>80</v>
          </cell>
          <cell r="I4329">
            <v>5</v>
          </cell>
          <cell r="J4329">
            <v>0</v>
          </cell>
          <cell r="K4329">
            <v>0</v>
          </cell>
          <cell r="L4329">
            <v>0.437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 t="str">
            <v>1075</v>
          </cell>
          <cell r="R4329" t="e">
            <v>#DIV/0!</v>
          </cell>
          <cell r="S4329">
            <v>0</v>
          </cell>
          <cell r="T4329">
            <v>0</v>
          </cell>
        </row>
        <row r="4330">
          <cell r="A4330" t="str">
            <v>Y056-898</v>
          </cell>
          <cell r="B4330" t="str">
            <v>KFZ-01</v>
          </cell>
          <cell r="C4330" t="str">
            <v>Y056</v>
          </cell>
          <cell r="D4330" t="str">
            <v>72201T-55咖啡桌面板和底板</v>
          </cell>
          <cell r="E4330" t="str">
            <v xml:space="preserve">转角 </v>
          </cell>
          <cell r="F4330" t="str">
            <v>155*115*69</v>
          </cell>
          <cell r="G4330">
            <v>155</v>
          </cell>
          <cell r="H4330">
            <v>115</v>
          </cell>
          <cell r="I4330">
            <v>70</v>
          </cell>
          <cell r="J4330">
            <v>0</v>
          </cell>
          <cell r="K4330" t="str">
            <v>未確認</v>
          </cell>
          <cell r="L4330">
            <v>1.33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 t="str">
            <v>1010</v>
          </cell>
          <cell r="R4330" t="e">
            <v>#DIV/0!</v>
          </cell>
          <cell r="S4330">
            <v>0</v>
          </cell>
          <cell r="T4330">
            <v>0</v>
          </cell>
        </row>
        <row r="4331">
          <cell r="A4331" t="str">
            <v>Y056-899</v>
          </cell>
          <cell r="B4331" t="str">
            <v>KFZ-02</v>
          </cell>
          <cell r="C4331" t="str">
            <v>Y056</v>
          </cell>
          <cell r="D4331" t="str">
            <v>72201T-55咖啡桌面板和底板</v>
          </cell>
          <cell r="E4331" t="str">
            <v xml:space="preserve">长贴花 </v>
          </cell>
          <cell r="F4331" t="str">
            <v>990*128*70</v>
          </cell>
          <cell r="G4331">
            <v>990</v>
          </cell>
          <cell r="H4331">
            <v>128</v>
          </cell>
          <cell r="I4331">
            <v>70</v>
          </cell>
          <cell r="J4331">
            <v>0</v>
          </cell>
          <cell r="K4331" t="str">
            <v>"</v>
          </cell>
          <cell r="L4331">
            <v>7.03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 t="str">
            <v>1010</v>
          </cell>
          <cell r="R4331" t="e">
            <v>#DIV/0!</v>
          </cell>
          <cell r="S4331">
            <v>0</v>
          </cell>
          <cell r="T4331">
            <v>0</v>
          </cell>
        </row>
        <row r="4332">
          <cell r="A4332" t="str">
            <v>Y056-900</v>
          </cell>
          <cell r="B4332" t="str">
            <v>KFZ-03</v>
          </cell>
          <cell r="C4332" t="str">
            <v>Y056</v>
          </cell>
          <cell r="D4332" t="str">
            <v>72201T-55咖啡桌面板和底板</v>
          </cell>
          <cell r="E4332" t="str">
            <v xml:space="preserve">短贴花 </v>
          </cell>
          <cell r="F4332" t="str">
            <v>495*173*70</v>
          </cell>
          <cell r="G4332">
            <v>495</v>
          </cell>
          <cell r="H4332">
            <v>170</v>
          </cell>
          <cell r="I4332">
            <v>70</v>
          </cell>
          <cell r="J4332">
            <v>0</v>
          </cell>
          <cell r="K4332">
            <v>0</v>
          </cell>
          <cell r="L4332">
            <v>3.8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 t="str">
            <v>1010</v>
          </cell>
          <cell r="R4332" t="e">
            <v>#DIV/0!</v>
          </cell>
          <cell r="S4332">
            <v>0</v>
          </cell>
          <cell r="T4332">
            <v>0</v>
          </cell>
        </row>
        <row r="4333">
          <cell r="A4333" t="str">
            <v>Y056-901</v>
          </cell>
          <cell r="B4333" t="str">
            <v>KFZ-04L</v>
          </cell>
          <cell r="C4333" t="str">
            <v>Y056</v>
          </cell>
          <cell r="D4333" t="str">
            <v>72201C-55咖啡桌大理右支柱</v>
          </cell>
          <cell r="E4333" t="str">
            <v xml:space="preserve">左贴花 </v>
          </cell>
          <cell r="F4333" t="str">
            <v>620*65*6</v>
          </cell>
          <cell r="G4333">
            <v>620</v>
          </cell>
          <cell r="H4333">
            <v>65</v>
          </cell>
          <cell r="I4333">
            <v>6</v>
          </cell>
          <cell r="J4333">
            <v>0</v>
          </cell>
          <cell r="K4333">
            <v>0</v>
          </cell>
          <cell r="L4333">
            <v>0.84599999999999997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 t="str">
            <v>1010</v>
          </cell>
          <cell r="R4333" t="e">
            <v>#DIV/0!</v>
          </cell>
          <cell r="S4333">
            <v>0</v>
          </cell>
          <cell r="T4333">
            <v>0</v>
          </cell>
        </row>
        <row r="4334">
          <cell r="A4334" t="str">
            <v>Y056-902</v>
          </cell>
          <cell r="B4334" t="str">
            <v>KFZ-04R</v>
          </cell>
          <cell r="C4334" t="str">
            <v>Y056</v>
          </cell>
          <cell r="D4334" t="str">
            <v>72201C-55咖啡桌大理右支柱</v>
          </cell>
          <cell r="E4334" t="str">
            <v xml:space="preserve">右贴花 </v>
          </cell>
          <cell r="F4334" t="str">
            <v>620*65*6</v>
          </cell>
          <cell r="G4334">
            <v>620</v>
          </cell>
          <cell r="H4334">
            <v>65</v>
          </cell>
          <cell r="I4334">
            <v>6</v>
          </cell>
          <cell r="J4334">
            <v>0</v>
          </cell>
          <cell r="K4334">
            <v>0</v>
          </cell>
          <cell r="L4334">
            <v>0.84599999999999997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 t="str">
            <v>1010</v>
          </cell>
          <cell r="R4334" t="e">
            <v>#DIV/0!</v>
          </cell>
          <cell r="S4334">
            <v>0</v>
          </cell>
          <cell r="T4334">
            <v>0</v>
          </cell>
        </row>
        <row r="4335">
          <cell r="A4335" t="str">
            <v>Y056-903</v>
          </cell>
          <cell r="B4335" t="str">
            <v>CJZ-01</v>
          </cell>
          <cell r="C4335" t="str">
            <v>Y056</v>
          </cell>
          <cell r="D4335" t="str">
            <v>72202T-55茶几桌面板和底板</v>
          </cell>
          <cell r="E4335" t="str">
            <v>转角</v>
          </cell>
          <cell r="F4335" t="str">
            <v>143*154*106</v>
          </cell>
          <cell r="G4335">
            <v>143</v>
          </cell>
          <cell r="H4335">
            <v>156</v>
          </cell>
          <cell r="I4335">
            <v>106</v>
          </cell>
          <cell r="J4335">
            <v>0</v>
          </cell>
          <cell r="K4335">
            <v>0</v>
          </cell>
          <cell r="L4335">
            <v>2.375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 t="str">
            <v>1010</v>
          </cell>
          <cell r="R4335" t="e">
            <v>#DIV/0!</v>
          </cell>
          <cell r="S4335">
            <v>0</v>
          </cell>
          <cell r="T4335">
            <v>0</v>
          </cell>
        </row>
        <row r="4336">
          <cell r="A4336" t="str">
            <v>Y056-904</v>
          </cell>
          <cell r="B4336" t="str">
            <v>CJZ-02</v>
          </cell>
          <cell r="C4336" t="str">
            <v>Y056</v>
          </cell>
          <cell r="D4336" t="str">
            <v>72202T-55茶几桌面板和底板</v>
          </cell>
          <cell r="E4336" t="str">
            <v>立水饰条</v>
          </cell>
          <cell r="F4336" t="str">
            <v>430*16*10</v>
          </cell>
          <cell r="G4336">
            <v>430</v>
          </cell>
          <cell r="H4336">
            <v>16</v>
          </cell>
          <cell r="I4336">
            <v>10</v>
          </cell>
          <cell r="J4336">
            <v>0</v>
          </cell>
          <cell r="K4336">
            <v>0</v>
          </cell>
          <cell r="L4336">
            <v>0.314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 t="str">
            <v>1010</v>
          </cell>
          <cell r="R4336" t="e">
            <v>#DIV/0!</v>
          </cell>
          <cell r="S4336">
            <v>0</v>
          </cell>
          <cell r="T4336">
            <v>0</v>
          </cell>
        </row>
        <row r="4337">
          <cell r="A4337" t="str">
            <v>Y056-905</v>
          </cell>
          <cell r="B4337" t="str">
            <v>CJZ-03</v>
          </cell>
          <cell r="C4337" t="str">
            <v>Y056</v>
          </cell>
          <cell r="D4337" t="str">
            <v>72202T-55茶几桌面板和底板</v>
          </cell>
          <cell r="E4337" t="str">
            <v>立水饰框</v>
          </cell>
          <cell r="F4337" t="str">
            <v>360*55*6</v>
          </cell>
          <cell r="G4337">
            <v>364</v>
          </cell>
          <cell r="H4337">
            <v>55</v>
          </cell>
          <cell r="I4337">
            <v>6</v>
          </cell>
          <cell r="J4337">
            <v>0</v>
          </cell>
          <cell r="K4337">
            <v>0</v>
          </cell>
          <cell r="L4337">
            <v>0.152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 t="str">
            <v>1010</v>
          </cell>
          <cell r="R4337" t="e">
            <v>#DIV/0!</v>
          </cell>
          <cell r="S4337">
            <v>0</v>
          </cell>
          <cell r="T4337">
            <v>0</v>
          </cell>
        </row>
        <row r="4338">
          <cell r="A4338" t="str">
            <v>Y056-906</v>
          </cell>
          <cell r="B4338" t="str">
            <v>CJZ-04L</v>
          </cell>
          <cell r="C4338" t="str">
            <v>Y056</v>
          </cell>
          <cell r="D4338" t="str">
            <v>72202C-55茶几桌大理右支柱</v>
          </cell>
          <cell r="E4338" t="str">
            <v>左贴花</v>
          </cell>
          <cell r="F4338" t="str">
            <v>740*780*6</v>
          </cell>
          <cell r="G4338">
            <v>740</v>
          </cell>
          <cell r="H4338">
            <v>68</v>
          </cell>
          <cell r="I4338">
            <v>6</v>
          </cell>
          <cell r="J4338">
            <v>0</v>
          </cell>
          <cell r="K4338">
            <v>0</v>
          </cell>
          <cell r="L4338">
            <v>0.93100000000000005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 t="str">
            <v>1010</v>
          </cell>
          <cell r="R4338" t="e">
            <v>#DIV/0!</v>
          </cell>
          <cell r="S4338">
            <v>0</v>
          </cell>
          <cell r="T4338">
            <v>0</v>
          </cell>
        </row>
        <row r="4339">
          <cell r="A4339" t="str">
            <v>Y056-907</v>
          </cell>
          <cell r="B4339" t="str">
            <v>CJZ-04R</v>
          </cell>
          <cell r="C4339" t="str">
            <v>Y056</v>
          </cell>
          <cell r="D4339" t="str">
            <v>72202C-55茶几桌大理右支柱</v>
          </cell>
          <cell r="E4339" t="str">
            <v>右贴花</v>
          </cell>
          <cell r="F4339" t="str">
            <v>740*780*6</v>
          </cell>
          <cell r="G4339">
            <v>740</v>
          </cell>
          <cell r="H4339">
            <v>68</v>
          </cell>
          <cell r="I4339">
            <v>6</v>
          </cell>
          <cell r="J4339">
            <v>0</v>
          </cell>
          <cell r="K4339">
            <v>0</v>
          </cell>
          <cell r="L4339">
            <v>0.93100000000000005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 t="str">
            <v>1010</v>
          </cell>
          <cell r="R4339" t="e">
            <v>#DIV/0!</v>
          </cell>
          <cell r="S4339">
            <v>0</v>
          </cell>
          <cell r="T4339">
            <v>0</v>
          </cell>
        </row>
        <row r="4340">
          <cell r="A4340" t="str">
            <v>Y056-908</v>
          </cell>
          <cell r="B4340" t="str">
            <v>SFZ-06L</v>
          </cell>
          <cell r="C4340" t="str">
            <v>Y056</v>
          </cell>
          <cell r="D4340" t="str">
            <v>72203C-55沙发桌大理右支柱</v>
          </cell>
          <cell r="E4340" t="str">
            <v>P0274 左贴花</v>
          </cell>
          <cell r="F4340" t="str">
            <v>925*78*6</v>
          </cell>
          <cell r="G4340">
            <v>925</v>
          </cell>
          <cell r="H4340">
            <v>78</v>
          </cell>
          <cell r="I4340">
            <v>6</v>
          </cell>
          <cell r="J4340">
            <v>0</v>
          </cell>
          <cell r="K4340">
            <v>0</v>
          </cell>
          <cell r="L4340">
            <v>1.1499999999999999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 t="str">
            <v>1010</v>
          </cell>
          <cell r="R4340" t="e">
            <v>#DIV/0!</v>
          </cell>
          <cell r="S4340">
            <v>0</v>
          </cell>
          <cell r="T4340">
            <v>0</v>
          </cell>
        </row>
        <row r="4341">
          <cell r="A4341" t="str">
            <v>Y056-909</v>
          </cell>
          <cell r="B4341" t="str">
            <v>SFZ-06R</v>
          </cell>
          <cell r="C4341" t="str">
            <v>Y056</v>
          </cell>
          <cell r="D4341" t="str">
            <v>72203C-55沙发桌大理右支柱</v>
          </cell>
          <cell r="E4341" t="str">
            <v>P0275 右贴花</v>
          </cell>
          <cell r="F4341" t="str">
            <v>925*78*6</v>
          </cell>
          <cell r="G4341">
            <v>925</v>
          </cell>
          <cell r="H4341">
            <v>78</v>
          </cell>
          <cell r="I4341">
            <v>6</v>
          </cell>
          <cell r="J4341">
            <v>0</v>
          </cell>
          <cell r="K4341">
            <v>0</v>
          </cell>
          <cell r="L4341">
            <v>1.1499999999999999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 t="str">
            <v>1010</v>
          </cell>
          <cell r="R4341" t="e">
            <v>#DIV/0!</v>
          </cell>
          <cell r="S4341">
            <v>0</v>
          </cell>
          <cell r="T4341">
            <v>0</v>
          </cell>
        </row>
        <row r="4342">
          <cell r="A4342" t="str">
            <v>Y056-910</v>
          </cell>
          <cell r="B4342" t="str">
            <v>SFZ-01</v>
          </cell>
          <cell r="C4342" t="str">
            <v>Y056</v>
          </cell>
          <cell r="D4342" t="str">
            <v>72203T-55沙发桌</v>
          </cell>
          <cell r="E4342" t="str">
            <v xml:space="preserve">P0276 转角 </v>
          </cell>
          <cell r="F4342" t="str">
            <v>143*149*102</v>
          </cell>
          <cell r="G4342">
            <v>143</v>
          </cell>
          <cell r="H4342">
            <v>149</v>
          </cell>
          <cell r="I4342">
            <v>102</v>
          </cell>
          <cell r="J4342">
            <v>0</v>
          </cell>
          <cell r="K4342">
            <v>0</v>
          </cell>
          <cell r="L4342">
            <v>2.2610000000000001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 t="str">
            <v>1010</v>
          </cell>
          <cell r="R4342" t="e">
            <v>#DIV/0!</v>
          </cell>
          <cell r="S4342" t="str">
            <v>木136*76*67</v>
          </cell>
          <cell r="T4342">
            <v>0</v>
          </cell>
        </row>
        <row r="4343">
          <cell r="A4343" t="str">
            <v>Y056-911</v>
          </cell>
          <cell r="B4343" t="str">
            <v>SFZ-02</v>
          </cell>
          <cell r="C4343" t="str">
            <v>Y056</v>
          </cell>
          <cell r="D4343" t="str">
            <v>72203T-55沙发桌</v>
          </cell>
          <cell r="E4343" t="str">
            <v>P0277 长立水饰条</v>
          </cell>
          <cell r="F4343" t="str">
            <v>820*18*11</v>
          </cell>
          <cell r="G4343">
            <v>820</v>
          </cell>
          <cell r="H4343">
            <v>18</v>
          </cell>
          <cell r="I4343">
            <v>11</v>
          </cell>
          <cell r="J4343">
            <v>0</v>
          </cell>
          <cell r="K4343">
            <v>0</v>
          </cell>
          <cell r="L4343">
            <v>0.58899999999999997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 t="str">
            <v>1010</v>
          </cell>
          <cell r="R4343" t="e">
            <v>#DIV/0!</v>
          </cell>
          <cell r="S4343" t="str">
            <v/>
          </cell>
          <cell r="T4343">
            <v>0</v>
          </cell>
        </row>
        <row r="4344">
          <cell r="A4344" t="str">
            <v>Y056-912</v>
          </cell>
          <cell r="B4344" t="str">
            <v>SFZ-03</v>
          </cell>
          <cell r="C4344" t="str">
            <v>Y056</v>
          </cell>
          <cell r="D4344" t="str">
            <v>72203T-55沙发桌</v>
          </cell>
          <cell r="E4344" t="str">
            <v xml:space="preserve">P0278 长立水饰框 </v>
          </cell>
          <cell r="F4344" t="str">
            <v>742*56*5</v>
          </cell>
          <cell r="G4344">
            <v>746</v>
          </cell>
          <cell r="H4344">
            <v>55</v>
          </cell>
          <cell r="I4344">
            <v>6</v>
          </cell>
          <cell r="J4344">
            <v>0</v>
          </cell>
          <cell r="K4344">
            <v>0</v>
          </cell>
          <cell r="L4344">
            <v>0.27600000000000002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 t="str">
            <v>1010</v>
          </cell>
          <cell r="R4344" t="e">
            <v>#DIV/0!</v>
          </cell>
          <cell r="S4344">
            <v>0</v>
          </cell>
          <cell r="T4344">
            <v>0</v>
          </cell>
        </row>
        <row r="4345">
          <cell r="A4345" t="str">
            <v>Y056-913</v>
          </cell>
          <cell r="B4345" t="str">
            <v>SFZ-04</v>
          </cell>
          <cell r="C4345" t="str">
            <v>Y056</v>
          </cell>
          <cell r="D4345" t="str">
            <v>72203T-55沙发桌</v>
          </cell>
          <cell r="E4345" t="str">
            <v>短立水饰条</v>
          </cell>
          <cell r="F4345" t="str">
            <v>165*18*11</v>
          </cell>
          <cell r="G4345">
            <v>165</v>
          </cell>
          <cell r="H4345">
            <v>18</v>
          </cell>
          <cell r="I4345">
            <v>11</v>
          </cell>
          <cell r="J4345">
            <v>0</v>
          </cell>
          <cell r="K4345">
            <v>0</v>
          </cell>
          <cell r="L4345">
            <v>0.152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 t="str">
            <v>1010</v>
          </cell>
          <cell r="R4345" t="e">
            <v>#DIV/0!</v>
          </cell>
          <cell r="S4345">
            <v>0</v>
          </cell>
          <cell r="T4345">
            <v>0</v>
          </cell>
        </row>
        <row r="4346">
          <cell r="A4346" t="str">
            <v>Y056-914</v>
          </cell>
          <cell r="B4346" t="str">
            <v>SFZ-05</v>
          </cell>
          <cell r="C4346" t="str">
            <v>Y056</v>
          </cell>
          <cell r="D4346" t="str">
            <v>72203T-55沙发桌</v>
          </cell>
          <cell r="E4346" t="str">
            <v xml:space="preserve">P0280 短立水饰框 </v>
          </cell>
          <cell r="F4346" t="str">
            <v>210*55*6</v>
          </cell>
          <cell r="G4346">
            <v>205</v>
          </cell>
          <cell r="H4346">
            <v>55</v>
          </cell>
          <cell r="I4346">
            <v>6</v>
          </cell>
          <cell r="J4346">
            <v>0</v>
          </cell>
          <cell r="K4346">
            <v>0</v>
          </cell>
          <cell r="L4346">
            <v>0.114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 t="str">
            <v>1010</v>
          </cell>
          <cell r="R4346" t="e">
            <v>#DIV/0!</v>
          </cell>
          <cell r="S4346">
            <v>0</v>
          </cell>
          <cell r="T4346">
            <v>0</v>
          </cell>
        </row>
        <row r="4347">
          <cell r="A4347" t="str">
            <v>Y056-915</v>
          </cell>
          <cell r="B4347" t="str">
            <v xml:space="preserve"> SFZ-07</v>
          </cell>
          <cell r="C4347" t="str">
            <v>Y056</v>
          </cell>
          <cell r="D4347" t="str">
            <v>72203T-55沙发桌</v>
          </cell>
          <cell r="E4347" t="str">
            <v>P0281 后立水饰条</v>
          </cell>
          <cell r="F4347" t="str">
            <v>1130*18*11</v>
          </cell>
          <cell r="G4347">
            <v>1130</v>
          </cell>
          <cell r="H4347">
            <v>18</v>
          </cell>
          <cell r="I4347">
            <v>11</v>
          </cell>
          <cell r="J4347">
            <v>0</v>
          </cell>
          <cell r="K4347">
            <v>0</v>
          </cell>
          <cell r="L4347">
            <v>0.85499999999999998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 t="str">
            <v>1010</v>
          </cell>
          <cell r="R4347" t="e">
            <v>#DIV/0!</v>
          </cell>
          <cell r="S4347">
            <v>0</v>
          </cell>
          <cell r="T4347">
            <v>0</v>
          </cell>
        </row>
        <row r="4348">
          <cell r="A4348" t="str">
            <v>Y056-916</v>
          </cell>
          <cell r="B4348" t="str">
            <v xml:space="preserve"> SFZ-08</v>
          </cell>
          <cell r="C4348" t="str">
            <v>Y056</v>
          </cell>
          <cell r="D4348" t="str">
            <v>72203T-55沙发桌</v>
          </cell>
          <cell r="E4348" t="str">
            <v>P0282 后立水饰框</v>
          </cell>
          <cell r="F4348" t="str">
            <v>1073*57*6</v>
          </cell>
          <cell r="G4348">
            <v>1090</v>
          </cell>
          <cell r="H4348">
            <v>55</v>
          </cell>
          <cell r="I4348">
            <v>6</v>
          </cell>
          <cell r="J4348">
            <v>0</v>
          </cell>
          <cell r="K4348">
            <v>0</v>
          </cell>
          <cell r="L4348">
            <v>0.33300000000000002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 t="str">
            <v>1010</v>
          </cell>
          <cell r="R4348" t="e">
            <v>#DIV/0!</v>
          </cell>
          <cell r="S4348">
            <v>0</v>
          </cell>
          <cell r="T4348">
            <v>0</v>
          </cell>
        </row>
        <row r="4349">
          <cell r="A4349" t="str">
            <v>Y056-917</v>
          </cell>
          <cell r="B4349" t="str">
            <v>CTG-001</v>
          </cell>
          <cell r="C4349" t="str">
            <v>Y056</v>
          </cell>
          <cell r="D4349" t="str">
            <v>72042-55 大床头柜</v>
          </cell>
          <cell r="E4349" t="str">
            <v>企柱上饰瑰</v>
          </cell>
          <cell r="F4349" t="str">
            <v>124*92*103</v>
          </cell>
          <cell r="G4349">
            <v>124</v>
          </cell>
          <cell r="H4349">
            <v>92</v>
          </cell>
          <cell r="I4349">
            <v>103</v>
          </cell>
          <cell r="J4349">
            <v>501</v>
          </cell>
          <cell r="K4349">
            <v>0</v>
          </cell>
          <cell r="L4349">
            <v>1.33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 t="str">
            <v>1010</v>
          </cell>
          <cell r="R4349">
            <v>2.654690618762475</v>
          </cell>
          <cell r="S4349">
            <v>0</v>
          </cell>
          <cell r="T4349" t="str">
            <v>75*70*70</v>
          </cell>
        </row>
        <row r="4350">
          <cell r="A4350" t="str">
            <v>Y056-918</v>
          </cell>
          <cell r="B4350" t="str">
            <v>CTG-002</v>
          </cell>
          <cell r="C4350" t="str">
            <v>Y056</v>
          </cell>
          <cell r="D4350" t="str">
            <v>72042-55 大床头柜</v>
          </cell>
          <cell r="E4350" t="str">
            <v>企柱下饰瑰</v>
          </cell>
          <cell r="F4350" t="str">
            <v>120*103*64</v>
          </cell>
          <cell r="G4350">
            <v>120</v>
          </cell>
          <cell r="H4350">
            <v>103</v>
          </cell>
          <cell r="I4350">
            <v>64</v>
          </cell>
          <cell r="J4350">
            <v>454</v>
          </cell>
          <cell r="K4350">
            <v>0</v>
          </cell>
          <cell r="L4350">
            <v>1.2070000000000001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 t="str">
            <v>1010</v>
          </cell>
          <cell r="R4350">
            <v>2.658590308370044</v>
          </cell>
          <cell r="S4350">
            <v>0</v>
          </cell>
          <cell r="T4350" t="str">
            <v>56*70*70</v>
          </cell>
        </row>
        <row r="4351">
          <cell r="A4351" t="str">
            <v>Y056-919</v>
          </cell>
          <cell r="B4351" t="str">
            <v>CTG-003-1</v>
          </cell>
          <cell r="C4351" t="str">
            <v>Y056</v>
          </cell>
          <cell r="D4351" t="str">
            <v>72042-55 大床头柜</v>
          </cell>
          <cell r="E4351" t="str">
            <v>企柱中饰花 1</v>
          </cell>
          <cell r="F4351" t="str">
            <v>280*80*5</v>
          </cell>
          <cell r="G4351">
            <v>280</v>
          </cell>
          <cell r="H4351">
            <v>80</v>
          </cell>
          <cell r="I4351">
            <v>5</v>
          </cell>
          <cell r="J4351">
            <v>148</v>
          </cell>
          <cell r="K4351">
            <v>0</v>
          </cell>
          <cell r="L4351">
            <v>0.40899999999999997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 t="str">
            <v>1075</v>
          </cell>
          <cell r="R4351">
            <v>2.7635135135135136</v>
          </cell>
          <cell r="S4351">
            <v>0</v>
          </cell>
          <cell r="T4351">
            <v>0</v>
          </cell>
        </row>
        <row r="4352">
          <cell r="A4352" t="str">
            <v>Y056-920</v>
          </cell>
          <cell r="B4352" t="str">
            <v>CTG-003-2</v>
          </cell>
          <cell r="C4352" t="str">
            <v>Y056</v>
          </cell>
          <cell r="D4352" t="str">
            <v>72042-55 大床头柜</v>
          </cell>
          <cell r="E4352" t="str">
            <v xml:space="preserve">企柱中饰花 2  </v>
          </cell>
          <cell r="F4352" t="str">
            <v>280*80*5</v>
          </cell>
          <cell r="G4352">
            <v>280</v>
          </cell>
          <cell r="H4352">
            <v>80</v>
          </cell>
          <cell r="I4352">
            <v>5</v>
          </cell>
          <cell r="J4352">
            <v>148</v>
          </cell>
          <cell r="K4352">
            <v>0</v>
          </cell>
          <cell r="L4352">
            <v>0.40899999999999997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 t="str">
            <v>1075</v>
          </cell>
          <cell r="R4352">
            <v>2.7635135135135136</v>
          </cell>
          <cell r="S4352">
            <v>0</v>
          </cell>
          <cell r="T4352">
            <v>0</v>
          </cell>
        </row>
        <row r="4353">
          <cell r="A4353" t="str">
            <v>Y056-921</v>
          </cell>
          <cell r="B4353" t="str">
            <v>CTG-004L</v>
          </cell>
          <cell r="C4353" t="str">
            <v>Y056</v>
          </cell>
          <cell r="D4353" t="str">
            <v>72042-55 大床头柜</v>
          </cell>
          <cell r="E4353" t="str">
            <v>企柱左上转角  L</v>
          </cell>
          <cell r="F4353" t="str">
            <v>190*176*120</v>
          </cell>
          <cell r="G4353">
            <v>190</v>
          </cell>
          <cell r="H4353">
            <v>176</v>
          </cell>
          <cell r="I4353">
            <v>120</v>
          </cell>
          <cell r="J4353">
            <v>1631</v>
          </cell>
          <cell r="K4353">
            <v>0</v>
          </cell>
          <cell r="L4353">
            <v>3.895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 t="str">
            <v>1010</v>
          </cell>
          <cell r="R4353">
            <v>2.3881054567749849</v>
          </cell>
          <cell r="S4353">
            <v>0</v>
          </cell>
          <cell r="T4353">
            <v>0</v>
          </cell>
        </row>
        <row r="4354">
          <cell r="A4354" t="str">
            <v>Y056-922</v>
          </cell>
          <cell r="B4354" t="str">
            <v>CTG-005R</v>
          </cell>
          <cell r="C4354" t="str">
            <v>Y056</v>
          </cell>
          <cell r="D4354" t="str">
            <v>72042-55 大床头柜</v>
          </cell>
          <cell r="E4354" t="str">
            <v>企柱右上转角  R</v>
          </cell>
          <cell r="F4354" t="str">
            <v>190*176*120</v>
          </cell>
          <cell r="G4354">
            <v>190</v>
          </cell>
          <cell r="H4354">
            <v>176</v>
          </cell>
          <cell r="I4354">
            <v>120</v>
          </cell>
          <cell r="J4354">
            <v>1631</v>
          </cell>
          <cell r="K4354">
            <v>0</v>
          </cell>
          <cell r="L4354">
            <v>3.895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 t="str">
            <v>1010</v>
          </cell>
          <cell r="R4354">
            <v>2.3881054567749849</v>
          </cell>
          <cell r="S4354">
            <v>0</v>
          </cell>
          <cell r="T4354">
            <v>0</v>
          </cell>
        </row>
        <row r="4355">
          <cell r="A4355" t="str">
            <v>Y056-923</v>
          </cell>
          <cell r="B4355" t="str">
            <v>CTG-010L</v>
          </cell>
          <cell r="C4355" t="str">
            <v>Y056</v>
          </cell>
          <cell r="D4355" t="str">
            <v>72042-55 大床头柜</v>
          </cell>
          <cell r="E4355" t="str">
            <v xml:space="preserve">側板上饰框  L    </v>
          </cell>
          <cell r="F4355" t="str">
            <v>282*86*6</v>
          </cell>
          <cell r="G4355">
            <v>282</v>
          </cell>
          <cell r="H4355">
            <v>86</v>
          </cell>
          <cell r="I4355">
            <v>6</v>
          </cell>
          <cell r="J4355">
            <v>0</v>
          </cell>
          <cell r="K4355">
            <v>0</v>
          </cell>
          <cell r="L4355">
            <v>0.152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 t="str">
            <v>1010</v>
          </cell>
          <cell r="R4355" t="e">
            <v>#DIV/0!</v>
          </cell>
          <cell r="S4355">
            <v>0</v>
          </cell>
          <cell r="T4355">
            <v>0</v>
          </cell>
        </row>
        <row r="4356">
          <cell r="A4356" t="str">
            <v>Y056-924</v>
          </cell>
          <cell r="B4356" t="str">
            <v>CTG-010R</v>
          </cell>
          <cell r="C4356" t="str">
            <v>Y056</v>
          </cell>
          <cell r="D4356" t="str">
            <v>72042-55 大床头柜</v>
          </cell>
          <cell r="E4356" t="str">
            <v xml:space="preserve">側板上饰框  R </v>
          </cell>
          <cell r="F4356" t="str">
            <v>282*86*6</v>
          </cell>
          <cell r="G4356">
            <v>282</v>
          </cell>
          <cell r="H4356">
            <v>86</v>
          </cell>
          <cell r="I4356">
            <v>6</v>
          </cell>
          <cell r="J4356">
            <v>0</v>
          </cell>
          <cell r="K4356">
            <v>0</v>
          </cell>
          <cell r="L4356">
            <v>0.152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 t="str">
            <v>1010</v>
          </cell>
          <cell r="R4356" t="e">
            <v>#DIV/0!</v>
          </cell>
          <cell r="S4356">
            <v>0</v>
          </cell>
          <cell r="T4356">
            <v>0</v>
          </cell>
        </row>
        <row r="4357">
          <cell r="A4357" t="str">
            <v>Y056-925</v>
          </cell>
          <cell r="B4357" t="str">
            <v>CTG-006(同ZT-016)</v>
          </cell>
          <cell r="C4357" t="str">
            <v>Y056</v>
          </cell>
          <cell r="D4357" t="str">
            <v>72042-55 大床头柜</v>
          </cell>
          <cell r="E4357" t="str">
            <v xml:space="preserve">门板外饰条  </v>
          </cell>
          <cell r="F4357" t="str">
            <v>400*31*12</v>
          </cell>
          <cell r="G4357">
            <v>400</v>
          </cell>
          <cell r="H4357">
            <v>31</v>
          </cell>
          <cell r="I4357">
            <v>12</v>
          </cell>
          <cell r="J4357">
            <v>180</v>
          </cell>
          <cell r="K4357">
            <v>0</v>
          </cell>
          <cell r="L4357">
            <v>0.57999999999999996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 t="str">
            <v>1010</v>
          </cell>
          <cell r="R4357">
            <v>3.2222222222222223</v>
          </cell>
          <cell r="S4357">
            <v>0</v>
          </cell>
          <cell r="T4357">
            <v>0</v>
          </cell>
        </row>
        <row r="4358">
          <cell r="A4358" t="str">
            <v>Y056-926</v>
          </cell>
          <cell r="B4358" t="str">
            <v>CTG-007 (同ZT-020)</v>
          </cell>
          <cell r="C4358" t="str">
            <v>Y056</v>
          </cell>
          <cell r="D4358" t="str">
            <v>72042-55 大床头柜</v>
          </cell>
          <cell r="E4358" t="str">
            <v xml:space="preserve">内板内横饰条 </v>
          </cell>
          <cell r="F4358" t="str">
            <v>700*12*7</v>
          </cell>
          <cell r="G4358">
            <v>700</v>
          </cell>
          <cell r="H4358">
            <v>12</v>
          </cell>
          <cell r="I4358">
            <v>7</v>
          </cell>
          <cell r="J4358">
            <v>88</v>
          </cell>
          <cell r="K4358">
            <v>0</v>
          </cell>
          <cell r="L4358">
            <v>0.247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 t="str">
            <v>1010</v>
          </cell>
          <cell r="R4358">
            <v>2.8068181818181821</v>
          </cell>
          <cell r="S4358">
            <v>0</v>
          </cell>
          <cell r="T4358">
            <v>0</v>
          </cell>
        </row>
        <row r="4359">
          <cell r="A4359" t="str">
            <v>Y056-927</v>
          </cell>
          <cell r="B4359" t="str">
            <v>CTG-007 (同ZT-020)</v>
          </cell>
          <cell r="C4359" t="str">
            <v>Y056</v>
          </cell>
          <cell r="D4359" t="str">
            <v>72042-55 大床头柜</v>
          </cell>
          <cell r="E4359" t="str">
            <v>门板内豎饰条</v>
          </cell>
          <cell r="F4359" t="str">
            <v>860*12*7</v>
          </cell>
          <cell r="G4359">
            <v>860</v>
          </cell>
          <cell r="H4359">
            <v>12</v>
          </cell>
          <cell r="I4359">
            <v>7</v>
          </cell>
          <cell r="J4359">
            <v>108</v>
          </cell>
          <cell r="K4359">
            <v>0</v>
          </cell>
          <cell r="L4359">
            <v>0.30399999999999999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 t="str">
            <v>1010</v>
          </cell>
          <cell r="R4359">
            <v>2.8148148148148149</v>
          </cell>
          <cell r="S4359">
            <v>0</v>
          </cell>
          <cell r="T4359">
            <v>0</v>
          </cell>
        </row>
        <row r="4360">
          <cell r="A4360" t="str">
            <v>Y056-928</v>
          </cell>
          <cell r="B4360" t="str">
            <v>CTG-008 (同ZT-004)</v>
          </cell>
          <cell r="C4360" t="str">
            <v>Y056</v>
          </cell>
          <cell r="D4360" t="str">
            <v>72042-55 大床头柜</v>
          </cell>
          <cell r="E4360" t="str">
            <v>前下饰条</v>
          </cell>
          <cell r="F4360" t="str">
            <v>820*32*15</v>
          </cell>
          <cell r="G4360">
            <v>820</v>
          </cell>
          <cell r="H4360">
            <v>32</v>
          </cell>
          <cell r="I4360">
            <v>15</v>
          </cell>
          <cell r="J4360">
            <v>475</v>
          </cell>
          <cell r="K4360">
            <v>0</v>
          </cell>
          <cell r="L4360">
            <v>1.264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 t="str">
            <v>1010</v>
          </cell>
          <cell r="R4360">
            <v>2.6610526315789476</v>
          </cell>
          <cell r="S4360">
            <v>0</v>
          </cell>
          <cell r="T4360">
            <v>0</v>
          </cell>
        </row>
        <row r="4361">
          <cell r="A4361" t="str">
            <v>Y056-929</v>
          </cell>
          <cell r="B4361" t="str">
            <v>CTG-008 (同ZT-004)</v>
          </cell>
          <cell r="C4361" t="str">
            <v>Y056</v>
          </cell>
          <cell r="D4361" t="str">
            <v>72042-55 大床头柜</v>
          </cell>
          <cell r="E4361" t="str">
            <v xml:space="preserve">侧下饰条 </v>
          </cell>
          <cell r="F4361" t="str">
            <v>730*32*15</v>
          </cell>
          <cell r="G4361">
            <v>730</v>
          </cell>
          <cell r="H4361">
            <v>32</v>
          </cell>
          <cell r="I4361">
            <v>15</v>
          </cell>
          <cell r="J4361">
            <v>423</v>
          </cell>
          <cell r="K4361">
            <v>0</v>
          </cell>
          <cell r="L4361">
            <v>1.131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 t="str">
            <v>1010</v>
          </cell>
          <cell r="R4361">
            <v>2.6737588652482271</v>
          </cell>
          <cell r="S4361">
            <v>0</v>
          </cell>
          <cell r="T4361">
            <v>0</v>
          </cell>
        </row>
        <row r="4362">
          <cell r="A4362" t="str">
            <v>Y056-930</v>
          </cell>
          <cell r="B4362" t="str">
            <v>CTG-009 (同ZT-027)</v>
          </cell>
          <cell r="C4362" t="str">
            <v>Y056</v>
          </cell>
          <cell r="D4362" t="str">
            <v>72042-55 大床头柜</v>
          </cell>
          <cell r="E4362" t="str">
            <v>前下饰花</v>
          </cell>
          <cell r="F4362" t="str">
            <v>820*68*13</v>
          </cell>
          <cell r="G4362">
            <v>820</v>
          </cell>
          <cell r="H4362">
            <v>68</v>
          </cell>
          <cell r="I4362">
            <v>13</v>
          </cell>
          <cell r="J4362">
            <v>767</v>
          </cell>
          <cell r="K4362">
            <v>0</v>
          </cell>
          <cell r="L4362">
            <v>1.9570000000000001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 t="str">
            <v>1010</v>
          </cell>
          <cell r="R4362">
            <v>2.5514993481095178</v>
          </cell>
          <cell r="S4362">
            <v>0</v>
          </cell>
          <cell r="T4362">
            <v>0</v>
          </cell>
        </row>
        <row r="4363">
          <cell r="A4363" t="str">
            <v>Y056-931</v>
          </cell>
          <cell r="B4363" t="str">
            <v>CTG-009 (同ZT-027)</v>
          </cell>
          <cell r="C4363" t="str">
            <v>Y056</v>
          </cell>
          <cell r="D4363" t="str">
            <v>72042-55 大床头柜</v>
          </cell>
          <cell r="E4363" t="str">
            <v xml:space="preserve">侧下饰花  </v>
          </cell>
          <cell r="F4363" t="str">
            <v>730*68*13</v>
          </cell>
          <cell r="G4363">
            <v>730</v>
          </cell>
          <cell r="H4363">
            <v>68</v>
          </cell>
          <cell r="I4363">
            <v>13</v>
          </cell>
          <cell r="J4363">
            <v>683</v>
          </cell>
          <cell r="K4363">
            <v>0</v>
          </cell>
          <cell r="L4363">
            <v>1.7390000000000001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 t="str">
            <v>1010</v>
          </cell>
          <cell r="R4363">
            <v>2.5461200585651538</v>
          </cell>
          <cell r="S4363">
            <v>0</v>
          </cell>
          <cell r="T4363">
            <v>0</v>
          </cell>
        </row>
        <row r="4364">
          <cell r="A4364" t="str">
            <v>Y056-932</v>
          </cell>
          <cell r="B4364" t="str">
            <v>CTG-011 (同ZT-015)</v>
          </cell>
          <cell r="C4364" t="str">
            <v>Y056</v>
          </cell>
          <cell r="D4364" t="str">
            <v>72042-55 大床头柜</v>
          </cell>
          <cell r="E4364" t="str">
            <v xml:space="preserve">抽面外饰条  </v>
          </cell>
          <cell r="F4364" t="str">
            <v>960*12*6</v>
          </cell>
          <cell r="G4364">
            <v>960</v>
          </cell>
          <cell r="H4364">
            <v>12</v>
          </cell>
          <cell r="I4364">
            <v>6</v>
          </cell>
          <cell r="J4364">
            <v>99</v>
          </cell>
          <cell r="K4364">
            <v>0</v>
          </cell>
          <cell r="L4364">
            <v>0.26600000000000001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 t="str">
            <v>1010</v>
          </cell>
          <cell r="R4364">
            <v>2.6868686868686869</v>
          </cell>
          <cell r="S4364">
            <v>0</v>
          </cell>
          <cell r="T4364">
            <v>0</v>
          </cell>
        </row>
        <row r="4365">
          <cell r="A4365" t="str">
            <v>Y056-933</v>
          </cell>
          <cell r="B4365" t="str">
            <v>CTG-014</v>
          </cell>
          <cell r="C4365" t="str">
            <v>Y056</v>
          </cell>
          <cell r="D4365" t="str">
            <v>72042-55 大床头柜</v>
          </cell>
          <cell r="E4365" t="str">
            <v>P0372 中门圆饰条</v>
          </cell>
          <cell r="F4365" t="str">
            <v>260*133*12*7</v>
          </cell>
          <cell r="G4365">
            <v>260</v>
          </cell>
          <cell r="H4365">
            <v>133</v>
          </cell>
          <cell r="I4365" t="str">
            <v>12*7</v>
          </cell>
          <cell r="J4365">
            <v>48</v>
          </cell>
          <cell r="K4365">
            <v>0</v>
          </cell>
          <cell r="L4365">
            <v>0.13300000000000001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 t="str">
            <v>1010</v>
          </cell>
          <cell r="R4365">
            <v>2.7708333333333335</v>
          </cell>
          <cell r="S4365">
            <v>0</v>
          </cell>
          <cell r="T4365">
            <v>0</v>
          </cell>
        </row>
        <row r="4366">
          <cell r="A4366" t="str">
            <v>Y056-934</v>
          </cell>
          <cell r="B4366" t="str">
            <v>CTG-012 同ZT-017</v>
          </cell>
          <cell r="C4366" t="str">
            <v>Y056</v>
          </cell>
          <cell r="D4366" t="str">
            <v>72042-55 大床头柜</v>
          </cell>
          <cell r="E4366" t="str">
            <v>侧板上中饰条</v>
          </cell>
          <cell r="F4366" t="str">
            <v>720*31*20</v>
          </cell>
          <cell r="G4366">
            <v>720</v>
          </cell>
          <cell r="H4366">
            <v>31</v>
          </cell>
          <cell r="I4366">
            <v>20</v>
          </cell>
          <cell r="J4366">
            <v>505</v>
          </cell>
          <cell r="K4366">
            <v>0</v>
          </cell>
          <cell r="L4366">
            <v>1.397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 t="str">
            <v>1010</v>
          </cell>
          <cell r="R4366">
            <v>2.7663366336633661</v>
          </cell>
          <cell r="S4366">
            <v>0</v>
          </cell>
          <cell r="T4366">
            <v>0</v>
          </cell>
        </row>
        <row r="4367">
          <cell r="A4367" t="str">
            <v>Y056-935</v>
          </cell>
          <cell r="B4367" t="str">
            <v>DTG-010</v>
          </cell>
          <cell r="C4367" t="str">
            <v>Y056</v>
          </cell>
          <cell r="D4367" t="str">
            <v>72042-55 大床头柜</v>
          </cell>
          <cell r="E4367" t="str">
            <v>抽面内饰框</v>
          </cell>
          <cell r="F4367" t="str">
            <v>680*72*5.5</v>
          </cell>
          <cell r="G4367">
            <v>680</v>
          </cell>
          <cell r="H4367">
            <v>72</v>
          </cell>
          <cell r="I4367">
            <v>5.5</v>
          </cell>
          <cell r="J4367">
            <v>94</v>
          </cell>
          <cell r="K4367">
            <v>0</v>
          </cell>
          <cell r="L4367">
            <v>0.247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 t="str">
            <v>1010</v>
          </cell>
          <cell r="R4367">
            <v>2.6276595744680851</v>
          </cell>
          <cell r="S4367">
            <v>0</v>
          </cell>
          <cell r="T4367">
            <v>0</v>
          </cell>
        </row>
        <row r="4368">
          <cell r="A4368" t="str">
            <v>Y056-936</v>
          </cell>
          <cell r="B4368" t="str">
            <v>SZM-001 (~)</v>
          </cell>
          <cell r="C4368" t="str">
            <v>Y056</v>
          </cell>
          <cell r="D4368" t="str">
            <v>72277T-55写字桌面板</v>
          </cell>
          <cell r="E4368" t="str">
            <v>P0153 面板前后花条 1075 彎弧型</v>
          </cell>
          <cell r="F4368" t="str">
            <v>1146-23*23</v>
          </cell>
          <cell r="G4368">
            <v>1146</v>
          </cell>
          <cell r="H4368">
            <v>23</v>
          </cell>
          <cell r="I4368">
            <v>23</v>
          </cell>
          <cell r="J4368">
            <v>417</v>
          </cell>
          <cell r="K4368">
            <v>0</v>
          </cell>
          <cell r="L4368">
            <v>1.0449999999999999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 t="str">
            <v>1075</v>
          </cell>
          <cell r="R4368">
            <v>2.5059952038369304</v>
          </cell>
          <cell r="S4368">
            <v>0</v>
          </cell>
          <cell r="T4368">
            <v>0</v>
          </cell>
        </row>
        <row r="4369">
          <cell r="A4369" t="str">
            <v>Y056-937</v>
          </cell>
          <cell r="B4369" t="str">
            <v>SZM-001 (~)</v>
          </cell>
          <cell r="C4369" t="str">
            <v>Y056</v>
          </cell>
          <cell r="D4369" t="str">
            <v>72277T-55写字桌面板</v>
          </cell>
          <cell r="E4369" t="str">
            <v>P0154 底框前花条 1075 彎弧型</v>
          </cell>
          <cell r="F4369" t="str">
            <v>1483*23*23</v>
          </cell>
          <cell r="G4369">
            <v>1483</v>
          </cell>
          <cell r="H4369">
            <v>23</v>
          </cell>
          <cell r="I4369">
            <v>23</v>
          </cell>
          <cell r="J4369">
            <v>540</v>
          </cell>
          <cell r="K4369">
            <v>0</v>
          </cell>
          <cell r="L4369">
            <v>1.3680000000000001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 t="str">
            <v>1075</v>
          </cell>
          <cell r="R4369">
            <v>2.5333333333333332</v>
          </cell>
          <cell r="S4369">
            <v>0</v>
          </cell>
          <cell r="T4369">
            <v>0</v>
          </cell>
        </row>
        <row r="4370">
          <cell r="A4370" t="str">
            <v>Y056-938</v>
          </cell>
          <cell r="B4370" t="str">
            <v>SZM-001 (~)</v>
          </cell>
          <cell r="C4370" t="str">
            <v>Y056</v>
          </cell>
          <cell r="D4370" t="str">
            <v>72277T-55写字桌面板</v>
          </cell>
          <cell r="E4370" t="str">
            <v>P0155 底框后花条 1075 彎弧型</v>
          </cell>
          <cell r="F4370" t="str">
            <v>1250*23*23</v>
          </cell>
          <cell r="G4370">
            <v>1250</v>
          </cell>
          <cell r="H4370">
            <v>23</v>
          </cell>
          <cell r="I4370">
            <v>23</v>
          </cell>
          <cell r="J4370">
            <v>455</v>
          </cell>
          <cell r="K4370">
            <v>0</v>
          </cell>
          <cell r="L4370">
            <v>1.1499999999999999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 t="str">
            <v>1075</v>
          </cell>
          <cell r="R4370">
            <v>2.5274725274725274</v>
          </cell>
          <cell r="S4370">
            <v>0</v>
          </cell>
          <cell r="T4370">
            <v>0</v>
          </cell>
        </row>
        <row r="4371">
          <cell r="A4371" t="str">
            <v>Y056-939</v>
          </cell>
          <cell r="B4371" t="str">
            <v>SZM-002</v>
          </cell>
          <cell r="C4371" t="str">
            <v>Y056</v>
          </cell>
          <cell r="D4371" t="str">
            <v>72277T-55写字桌面板</v>
          </cell>
          <cell r="E4371" t="str">
            <v xml:space="preserve">P0156 面板側花条 1075 </v>
          </cell>
          <cell r="F4371" t="str">
            <v>715*145*23</v>
          </cell>
          <cell r="G4371">
            <v>715</v>
          </cell>
          <cell r="H4371">
            <v>145</v>
          </cell>
          <cell r="I4371">
            <v>23</v>
          </cell>
          <cell r="J4371">
            <v>328</v>
          </cell>
          <cell r="K4371">
            <v>0</v>
          </cell>
          <cell r="L4371">
            <v>0.83599999999999997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 t="str">
            <v>1075</v>
          </cell>
          <cell r="R4371">
            <v>2.5487804878048776</v>
          </cell>
          <cell r="S4371">
            <v>0</v>
          </cell>
          <cell r="T4371">
            <v>0</v>
          </cell>
        </row>
        <row r="4372">
          <cell r="A4372" t="str">
            <v>Y056-940</v>
          </cell>
          <cell r="B4372" t="str">
            <v>SZM-005</v>
          </cell>
          <cell r="C4372" t="str">
            <v>Y056</v>
          </cell>
          <cell r="D4372" t="str">
            <v>72277T-55写字桌面板</v>
          </cell>
          <cell r="E4372" t="str">
            <v>P0157 底框側花条 1075</v>
          </cell>
          <cell r="F4372" t="str">
            <v>660*116*23</v>
          </cell>
          <cell r="G4372">
            <v>660</v>
          </cell>
          <cell r="H4372">
            <v>116</v>
          </cell>
          <cell r="I4372">
            <v>23</v>
          </cell>
          <cell r="J4372">
            <v>295</v>
          </cell>
          <cell r="K4372">
            <v>0</v>
          </cell>
          <cell r="L4372">
            <v>0.751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 t="str">
            <v>1075</v>
          </cell>
          <cell r="R4372">
            <v>2.5457627118644068</v>
          </cell>
          <cell r="S4372">
            <v>0</v>
          </cell>
          <cell r="T4372">
            <v>0</v>
          </cell>
        </row>
        <row r="4373">
          <cell r="A4373" t="str">
            <v>Y056-941</v>
          </cell>
          <cell r="B4373" t="str">
            <v>SZM-006</v>
          </cell>
          <cell r="C4373" t="str">
            <v>Y056</v>
          </cell>
          <cell r="D4373" t="str">
            <v>72277T-55写字桌面板</v>
          </cell>
          <cell r="E4373" t="str">
            <v>P0158 桩脚柱</v>
          </cell>
          <cell r="F4373" t="str">
            <v>107*89*53</v>
          </cell>
          <cell r="G4373">
            <v>107</v>
          </cell>
          <cell r="H4373">
            <v>89</v>
          </cell>
          <cell r="I4373">
            <v>53</v>
          </cell>
          <cell r="J4373">
            <v>261</v>
          </cell>
          <cell r="K4373">
            <v>0</v>
          </cell>
          <cell r="L4373">
            <v>0.66500000000000004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 t="str">
            <v>1010</v>
          </cell>
          <cell r="R4373">
            <v>2.5478927203065136</v>
          </cell>
          <cell r="S4373">
            <v>0</v>
          </cell>
          <cell r="T4373">
            <v>0</v>
          </cell>
        </row>
        <row r="4374">
          <cell r="A4374" t="str">
            <v>Y056-942</v>
          </cell>
          <cell r="B4374" t="str">
            <v>SZM-007</v>
          </cell>
          <cell r="C4374" t="str">
            <v>Y056</v>
          </cell>
          <cell r="D4374" t="str">
            <v>72277T-55写字桌面板</v>
          </cell>
          <cell r="E4374" t="str">
            <v>P0159 中背板饰条框</v>
          </cell>
          <cell r="F4374" t="str">
            <v>522*81*5.5</v>
          </cell>
          <cell r="G4374">
            <v>522</v>
          </cell>
          <cell r="H4374">
            <v>81</v>
          </cell>
          <cell r="I4374">
            <v>5.5</v>
          </cell>
          <cell r="J4374">
            <v>116</v>
          </cell>
          <cell r="K4374">
            <v>0</v>
          </cell>
          <cell r="L4374">
            <v>0.29499999999999998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 t="str">
            <v>1010</v>
          </cell>
          <cell r="R4374">
            <v>2.5431034482758617</v>
          </cell>
          <cell r="S4374">
            <v>0</v>
          </cell>
          <cell r="T4374">
            <v>0</v>
          </cell>
        </row>
        <row r="4375">
          <cell r="A4375" t="str">
            <v>Y056-943</v>
          </cell>
          <cell r="B4375" t="str">
            <v>SZM-008</v>
          </cell>
          <cell r="C4375" t="str">
            <v>Y056</v>
          </cell>
          <cell r="D4375" t="str">
            <v>72277T-55写字桌面板</v>
          </cell>
          <cell r="E4375" t="str">
            <v xml:space="preserve">P0160 側背板饰条框 </v>
          </cell>
          <cell r="F4375" t="str">
            <v>284*81*5.5</v>
          </cell>
          <cell r="G4375">
            <v>284</v>
          </cell>
          <cell r="H4375">
            <v>81</v>
          </cell>
          <cell r="I4375">
            <v>5.5</v>
          </cell>
          <cell r="J4375">
            <v>76</v>
          </cell>
          <cell r="K4375">
            <v>0</v>
          </cell>
          <cell r="L4375">
            <v>0.19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 t="str">
            <v>1010</v>
          </cell>
          <cell r="R4375">
            <v>2.5</v>
          </cell>
          <cell r="S4375">
            <v>0</v>
          </cell>
          <cell r="T4375">
            <v>0</v>
          </cell>
        </row>
        <row r="4376">
          <cell r="A4376" t="str">
            <v>Y056-944</v>
          </cell>
          <cell r="B4376" t="str">
            <v>ZT-015</v>
          </cell>
          <cell r="C4376" t="str">
            <v>Y056</v>
          </cell>
          <cell r="D4376" t="str">
            <v>72277T-55写字桌面板</v>
          </cell>
          <cell r="E4376" t="str">
            <v>P0161 抽面外饰条 （中）</v>
          </cell>
          <cell r="F4376" t="str">
            <v>650*12*6</v>
          </cell>
          <cell r="G4376">
            <v>650</v>
          </cell>
          <cell r="H4376">
            <v>12</v>
          </cell>
          <cell r="I4376">
            <v>6</v>
          </cell>
          <cell r="J4376">
            <v>0</v>
          </cell>
          <cell r="K4376">
            <v>0</v>
          </cell>
          <cell r="L4376">
            <v>0.18099999999999999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 t="str">
            <v>1010</v>
          </cell>
          <cell r="R4376" t="e">
            <v>#DIV/0!</v>
          </cell>
          <cell r="S4376">
            <v>0</v>
          </cell>
          <cell r="T4376">
            <v>0</v>
          </cell>
        </row>
        <row r="4377">
          <cell r="A4377" t="str">
            <v>Y056-945</v>
          </cell>
          <cell r="B4377" t="str">
            <v>ZT-015</v>
          </cell>
          <cell r="C4377" t="str">
            <v>Y056</v>
          </cell>
          <cell r="D4377" t="str">
            <v>72277T-55写字桌面板</v>
          </cell>
          <cell r="E4377" t="str">
            <v>P0162 抽面外饰条 （側）</v>
          </cell>
          <cell r="F4377" t="str">
            <v>810*12*6</v>
          </cell>
          <cell r="G4377">
            <v>810</v>
          </cell>
          <cell r="H4377">
            <v>12</v>
          </cell>
          <cell r="I4377">
            <v>6</v>
          </cell>
          <cell r="J4377">
            <v>0</v>
          </cell>
          <cell r="K4377">
            <v>0</v>
          </cell>
          <cell r="L4377">
            <v>0.219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 t="str">
            <v>1010</v>
          </cell>
          <cell r="R4377" t="e">
            <v>#DIV/0!</v>
          </cell>
          <cell r="S4377">
            <v>0</v>
          </cell>
          <cell r="T4377">
            <v>0</v>
          </cell>
        </row>
        <row r="4378">
          <cell r="A4378" t="str">
            <v>Y056-946</v>
          </cell>
          <cell r="B4378" t="str">
            <v>SZM-009</v>
          </cell>
          <cell r="C4378" t="str">
            <v>Y056</v>
          </cell>
          <cell r="D4378" t="str">
            <v>72277T-55写字桌面板</v>
          </cell>
          <cell r="E4378" t="str">
            <v>P0163 側立水饰花</v>
          </cell>
          <cell r="F4378" t="str">
            <v>512*82*14</v>
          </cell>
          <cell r="G4378">
            <v>512</v>
          </cell>
          <cell r="H4378">
            <v>82</v>
          </cell>
          <cell r="I4378">
            <v>14</v>
          </cell>
          <cell r="J4378">
            <v>682</v>
          </cell>
          <cell r="K4378">
            <v>0</v>
          </cell>
          <cell r="L4378">
            <v>1.7290000000000001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 t="str">
            <v>1010</v>
          </cell>
          <cell r="R4378">
            <v>2.5351906158357771</v>
          </cell>
          <cell r="S4378">
            <v>0</v>
          </cell>
          <cell r="T4378">
            <v>0</v>
          </cell>
        </row>
        <row r="4379">
          <cell r="A4379" t="str">
            <v>Y056-947</v>
          </cell>
          <cell r="B4379" t="str">
            <v>SZM-010</v>
          </cell>
          <cell r="C4379" t="str">
            <v>Y056</v>
          </cell>
          <cell r="D4379" t="str">
            <v>72277T-55写字桌面板</v>
          </cell>
          <cell r="E4379" t="str">
            <v xml:space="preserve">P0164 側板饰条 </v>
          </cell>
          <cell r="F4379" t="str">
            <v>545*13*10</v>
          </cell>
          <cell r="G4379">
            <v>545</v>
          </cell>
          <cell r="H4379">
            <v>13</v>
          </cell>
          <cell r="I4379">
            <v>10</v>
          </cell>
          <cell r="J4379">
            <v>134</v>
          </cell>
          <cell r="K4379">
            <v>0</v>
          </cell>
          <cell r="L4379">
            <v>0.34200000000000003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 t="str">
            <v>1010</v>
          </cell>
          <cell r="R4379">
            <v>2.5522388059701493</v>
          </cell>
          <cell r="S4379">
            <v>0</v>
          </cell>
          <cell r="T4379">
            <v>0</v>
          </cell>
        </row>
        <row r="4380">
          <cell r="A4380" t="str">
            <v>Y056-948</v>
          </cell>
          <cell r="B4380" t="str">
            <v>SZM-012-L</v>
          </cell>
          <cell r="C4380" t="str">
            <v>Y056</v>
          </cell>
          <cell r="D4380" t="str">
            <v>72277B-55写字桌脚柱</v>
          </cell>
          <cell r="E4380" t="str">
            <v>P0165 大理左柱花-L   1075</v>
          </cell>
          <cell r="F4380" t="str">
            <v>610*69*5</v>
          </cell>
          <cell r="G4380">
            <v>610</v>
          </cell>
          <cell r="H4380">
            <v>69</v>
          </cell>
          <cell r="I4380">
            <v>5</v>
          </cell>
          <cell r="J4380">
            <v>246</v>
          </cell>
          <cell r="K4380">
            <v>0</v>
          </cell>
          <cell r="L4380">
            <v>0.627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 t="str">
            <v>1075</v>
          </cell>
          <cell r="R4380">
            <v>2.5487804878048781</v>
          </cell>
          <cell r="S4380">
            <v>0</v>
          </cell>
          <cell r="T4380">
            <v>0</v>
          </cell>
        </row>
        <row r="4381">
          <cell r="A4381" t="str">
            <v>Y056-949</v>
          </cell>
          <cell r="B4381" t="str">
            <v>SZM-011-R</v>
          </cell>
          <cell r="C4381" t="str">
            <v>Y056</v>
          </cell>
          <cell r="D4381" t="str">
            <v>72277B-55写字桌脚柱</v>
          </cell>
          <cell r="E4381" t="str">
            <v>P0166 大理右柱花-R  1075</v>
          </cell>
          <cell r="F4381" t="str">
            <v>610*69*5</v>
          </cell>
          <cell r="G4381">
            <v>610</v>
          </cell>
          <cell r="H4381">
            <v>69</v>
          </cell>
          <cell r="I4381">
            <v>5</v>
          </cell>
          <cell r="J4381">
            <v>246</v>
          </cell>
          <cell r="K4381">
            <v>0</v>
          </cell>
          <cell r="L4381">
            <v>0.627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 t="str">
            <v>1075</v>
          </cell>
          <cell r="R4381">
            <v>2.5487804878048781</v>
          </cell>
          <cell r="S4381">
            <v>0</v>
          </cell>
          <cell r="T4381">
            <v>0</v>
          </cell>
        </row>
        <row r="4382">
          <cell r="A4382" t="str">
            <v>Y056-950</v>
          </cell>
          <cell r="B4382" t="str">
            <v>FCZ-04</v>
          </cell>
          <cell r="C4382" t="str">
            <v>Y056</v>
          </cell>
          <cell r="D4382" t="str">
            <v>72002T-55方形餐桌面板</v>
          </cell>
          <cell r="E4382" t="str">
            <v>P0290 侧立水饰条FCZ-04</v>
          </cell>
          <cell r="F4382" t="str">
            <v>958*71*12.5</v>
          </cell>
          <cell r="G4382">
            <v>958</v>
          </cell>
          <cell r="H4382">
            <v>71</v>
          </cell>
          <cell r="I4382">
            <v>12.5</v>
          </cell>
          <cell r="J4382">
            <v>956</v>
          </cell>
          <cell r="K4382">
            <v>0</v>
          </cell>
          <cell r="L4382">
            <v>2.375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 t="str">
            <v>1010</v>
          </cell>
          <cell r="R4382">
            <v>2.4843096234309625</v>
          </cell>
          <cell r="S4382">
            <v>0</v>
          </cell>
          <cell r="T4382">
            <v>0</v>
          </cell>
        </row>
        <row r="4383">
          <cell r="A4383" t="str">
            <v>Y056-951</v>
          </cell>
          <cell r="B4383" t="str">
            <v>FCZ-05</v>
          </cell>
          <cell r="C4383" t="str">
            <v>Y056</v>
          </cell>
          <cell r="D4383" t="str">
            <v>72002T-55方形餐桌面板</v>
          </cell>
          <cell r="E4383" t="str">
            <v>P0291 前后立水饰条FCZ-05</v>
          </cell>
          <cell r="F4383" t="str">
            <v>669*71*12.5</v>
          </cell>
          <cell r="G4383">
            <v>669</v>
          </cell>
          <cell r="H4383">
            <v>71</v>
          </cell>
          <cell r="I4383">
            <v>12.5</v>
          </cell>
          <cell r="J4383">
            <v>688</v>
          </cell>
          <cell r="K4383">
            <v>0</v>
          </cell>
          <cell r="L4383">
            <v>1.9950000000000001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 t="str">
            <v>1010</v>
          </cell>
          <cell r="R4383">
            <v>2.899709302325582</v>
          </cell>
          <cell r="S4383">
            <v>0</v>
          </cell>
          <cell r="T4383">
            <v>0</v>
          </cell>
        </row>
        <row r="4384">
          <cell r="A4384" t="str">
            <v>Y056-952</v>
          </cell>
          <cell r="B4384" t="str">
            <v>FCZ-06-L</v>
          </cell>
          <cell r="C4384" t="str">
            <v>Y056</v>
          </cell>
          <cell r="D4384" t="str">
            <v>72002T-55方形餐桌面板</v>
          </cell>
          <cell r="E4384" t="str">
            <v>P0292 转角立水饰条FCZ-06L</v>
          </cell>
          <cell r="F4384" t="str">
            <v>242*71*12.5</v>
          </cell>
          <cell r="G4384">
            <v>242</v>
          </cell>
          <cell r="H4384">
            <v>71</v>
          </cell>
          <cell r="I4384">
            <v>12.5</v>
          </cell>
          <cell r="J4384">
            <v>261</v>
          </cell>
          <cell r="K4384">
            <v>0</v>
          </cell>
          <cell r="L4384">
            <v>0.70299999999999996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 t="str">
            <v>1010</v>
          </cell>
          <cell r="R4384">
            <v>2.6934865900383138</v>
          </cell>
          <cell r="S4384">
            <v>0</v>
          </cell>
          <cell r="T4384">
            <v>0</v>
          </cell>
        </row>
        <row r="4385">
          <cell r="A4385" t="str">
            <v>Y056-953</v>
          </cell>
          <cell r="B4385" t="str">
            <v>FCZ-06-R</v>
          </cell>
          <cell r="C4385" t="str">
            <v>Y056</v>
          </cell>
          <cell r="D4385" t="str">
            <v>72002T-55方形餐桌面板</v>
          </cell>
          <cell r="E4385" t="str">
            <v xml:space="preserve"> 转角立水饰条FCZ-06R</v>
          </cell>
          <cell r="F4385" t="str">
            <v>242*71*12.5</v>
          </cell>
          <cell r="G4385">
            <v>242</v>
          </cell>
          <cell r="H4385">
            <v>71</v>
          </cell>
          <cell r="I4385">
            <v>12.5</v>
          </cell>
          <cell r="J4385">
            <v>261</v>
          </cell>
          <cell r="K4385">
            <v>0</v>
          </cell>
          <cell r="L4385">
            <v>0.70299999999999996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 t="str">
            <v>1010</v>
          </cell>
          <cell r="R4385">
            <v>2.6934865900383138</v>
          </cell>
          <cell r="S4385">
            <v>0</v>
          </cell>
          <cell r="T4385">
            <v>0</v>
          </cell>
        </row>
        <row r="4386">
          <cell r="A4386" t="str">
            <v>Y056-954</v>
          </cell>
          <cell r="B4386" t="str">
            <v>FCZ-07</v>
          </cell>
          <cell r="C4386" t="str">
            <v>Y056</v>
          </cell>
          <cell r="D4386" t="str">
            <v>72002T-55方形餐桌面板</v>
          </cell>
          <cell r="E4386" t="str">
            <v>P0293中立水饰条FCZ-07</v>
          </cell>
          <cell r="F4386" t="str">
            <v>568*71*12.5</v>
          </cell>
          <cell r="G4386">
            <v>568</v>
          </cell>
          <cell r="H4386">
            <v>71</v>
          </cell>
          <cell r="I4386">
            <v>12.5</v>
          </cell>
          <cell r="J4386">
            <v>573</v>
          </cell>
          <cell r="K4386">
            <v>0</v>
          </cell>
          <cell r="L4386">
            <v>1.6719999999999999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 t="str">
            <v>1010</v>
          </cell>
          <cell r="R4386">
            <v>2.917975567190227</v>
          </cell>
          <cell r="S4386">
            <v>0</v>
          </cell>
          <cell r="T4386">
            <v>0</v>
          </cell>
        </row>
        <row r="4387">
          <cell r="A4387" t="str">
            <v>Y056-955</v>
          </cell>
          <cell r="B4387" t="str">
            <v>YCZ-001</v>
          </cell>
          <cell r="C4387" t="str">
            <v>Y056</v>
          </cell>
          <cell r="D4387" t="str">
            <v>72001T-55 圆餐桌面板</v>
          </cell>
          <cell r="E4387" t="str">
            <v>边板饰条 YCZ-001</v>
          </cell>
          <cell r="F4387" t="str">
            <v>2412*70*11</v>
          </cell>
          <cell r="G4387">
            <v>2412</v>
          </cell>
          <cell r="H4387">
            <v>70</v>
          </cell>
          <cell r="I4387">
            <v>11</v>
          </cell>
          <cell r="J4387">
            <v>2393</v>
          </cell>
          <cell r="K4387">
            <v>0</v>
          </cell>
          <cell r="L4387">
            <v>6.27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 t="str">
            <v>1010</v>
          </cell>
          <cell r="R4387">
            <v>2.6201420810697869</v>
          </cell>
          <cell r="S4387">
            <v>0</v>
          </cell>
          <cell r="T4387">
            <v>0</v>
          </cell>
        </row>
        <row r="4388">
          <cell r="A4388" t="str">
            <v>Y056-956</v>
          </cell>
          <cell r="B4388" t="str">
            <v>YCZ-002</v>
          </cell>
          <cell r="C4388" t="str">
            <v>Y056</v>
          </cell>
          <cell r="D4388" t="str">
            <v>72001T-55 圆餐桌面板</v>
          </cell>
          <cell r="E4388" t="str">
            <v>中板饰条 YCZ-002</v>
          </cell>
          <cell r="F4388" t="str">
            <v>649*70*11</v>
          </cell>
          <cell r="G4388">
            <v>649</v>
          </cell>
          <cell r="H4388">
            <v>70</v>
          </cell>
          <cell r="I4388">
            <v>11</v>
          </cell>
          <cell r="J4388">
            <v>745</v>
          </cell>
          <cell r="K4388">
            <v>0</v>
          </cell>
          <cell r="L4388">
            <v>1.9570000000000001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 t="str">
            <v>1010</v>
          </cell>
          <cell r="R4388">
            <v>2.6268456375838927</v>
          </cell>
          <cell r="S4388">
            <v>0</v>
          </cell>
          <cell r="T4388">
            <v>0</v>
          </cell>
        </row>
        <row r="4389">
          <cell r="A4389" t="str">
            <v>Y056-957</v>
          </cell>
          <cell r="B4389" t="str">
            <v>FCZ-001</v>
          </cell>
          <cell r="C4389" t="str">
            <v>Y056</v>
          </cell>
          <cell r="D4389" t="str">
            <v>72001B-55 圆餐桌底座</v>
          </cell>
          <cell r="E4389" t="str">
            <v>P0287 支柱 FCZ-001</v>
          </cell>
          <cell r="F4389" t="str">
            <v>545*430*430</v>
          </cell>
          <cell r="G4389">
            <v>545</v>
          </cell>
          <cell r="H4389">
            <v>430</v>
          </cell>
          <cell r="I4389">
            <v>430</v>
          </cell>
          <cell r="J4389">
            <v>17600</v>
          </cell>
          <cell r="K4389">
            <v>0</v>
          </cell>
          <cell r="L4389">
            <v>39.9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 t="str">
            <v>5510</v>
          </cell>
          <cell r="R4389">
            <v>2.2670454545454541</v>
          </cell>
          <cell r="S4389" t="str">
            <v>木</v>
          </cell>
          <cell r="T4389">
            <v>0</v>
          </cell>
        </row>
        <row r="4390">
          <cell r="A4390" t="str">
            <v>Y056-958</v>
          </cell>
          <cell r="B4390" t="str">
            <v>YCZ-003</v>
          </cell>
          <cell r="C4390" t="str">
            <v>Y056</v>
          </cell>
          <cell r="D4390" t="str">
            <v>72001B-55 圆餐桌底座</v>
          </cell>
          <cell r="E4390" t="str">
            <v>底座饰条 YCZ-003</v>
          </cell>
          <cell r="F4390" t="str">
            <v>2110*40*20</v>
          </cell>
          <cell r="G4390">
            <v>2110</v>
          </cell>
          <cell r="H4390">
            <v>40</v>
          </cell>
          <cell r="I4390">
            <v>20</v>
          </cell>
          <cell r="J4390">
            <v>1560</v>
          </cell>
          <cell r="K4390">
            <v>0</v>
          </cell>
          <cell r="L4390">
            <v>4.0090000000000003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 t="str">
            <v>1010</v>
          </cell>
          <cell r="R4390">
            <v>2.5698717948717951</v>
          </cell>
          <cell r="S4390">
            <v>0</v>
          </cell>
          <cell r="T4390">
            <v>0</v>
          </cell>
        </row>
        <row r="4391">
          <cell r="A4391" t="str">
            <v>Y056-959</v>
          </cell>
          <cell r="B4391" t="str">
            <v>CJZ-02L</v>
          </cell>
          <cell r="C4391" t="str">
            <v>Y056</v>
          </cell>
          <cell r="D4391" t="str">
            <v>72007-55餐具柜</v>
          </cell>
          <cell r="E4391" t="str">
            <v>左中转脚 CJZ-02L</v>
          </cell>
          <cell r="F4391" t="str">
            <v>161*84*59</v>
          </cell>
          <cell r="G4391">
            <v>161</v>
          </cell>
          <cell r="H4391">
            <v>84</v>
          </cell>
          <cell r="I4391">
            <v>59</v>
          </cell>
          <cell r="J4391">
            <v>0</v>
          </cell>
          <cell r="K4391">
            <v>0</v>
          </cell>
          <cell r="L4391">
            <v>1.159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 t="e">
            <v>#DIV/0!</v>
          </cell>
          <cell r="S4391">
            <v>0</v>
          </cell>
          <cell r="T4391">
            <v>0</v>
          </cell>
        </row>
        <row r="4392">
          <cell r="A4392" t="str">
            <v>Y056-960</v>
          </cell>
          <cell r="B4392" t="str">
            <v>CJZ-02R</v>
          </cell>
          <cell r="C4392" t="str">
            <v>Y056</v>
          </cell>
          <cell r="D4392" t="str">
            <v>72007-55餐具柜</v>
          </cell>
          <cell r="E4392" t="str">
            <v>右中转脚 CJZ-02R</v>
          </cell>
          <cell r="F4392" t="str">
            <v>161*84*59</v>
          </cell>
          <cell r="G4392">
            <v>161</v>
          </cell>
          <cell r="H4392">
            <v>84</v>
          </cell>
          <cell r="I4392">
            <v>59</v>
          </cell>
          <cell r="J4392">
            <v>0</v>
          </cell>
          <cell r="K4392">
            <v>0</v>
          </cell>
          <cell r="L4392">
            <v>1.159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 t="e">
            <v>#DIV/0!</v>
          </cell>
          <cell r="S4392">
            <v>0</v>
          </cell>
          <cell r="T4392">
            <v>0</v>
          </cell>
        </row>
        <row r="4393">
          <cell r="A4393" t="str">
            <v>Y056-961</v>
          </cell>
          <cell r="B4393" t="str">
            <v>CJZ-09</v>
          </cell>
          <cell r="C4393" t="str">
            <v>Y056</v>
          </cell>
          <cell r="D4393" t="str">
            <v>72007-55餐具柜</v>
          </cell>
          <cell r="E4393" t="str">
            <v>侧板内饰框CJZ-09</v>
          </cell>
          <cell r="F4393" t="str">
            <v>205*68*6</v>
          </cell>
          <cell r="G4393">
            <v>205</v>
          </cell>
          <cell r="H4393">
            <v>68</v>
          </cell>
          <cell r="I4393">
            <v>6</v>
          </cell>
          <cell r="J4393">
            <v>0</v>
          </cell>
          <cell r="K4393">
            <v>0</v>
          </cell>
          <cell r="L4393">
            <v>0.124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 t="e">
            <v>#DIV/0!</v>
          </cell>
          <cell r="S4393">
            <v>0</v>
          </cell>
          <cell r="T4393">
            <v>0</v>
          </cell>
        </row>
        <row r="4394">
          <cell r="A4394" t="str">
            <v>Y056-962</v>
          </cell>
          <cell r="B4394" t="str">
            <v>CJZ-015</v>
          </cell>
          <cell r="C4394" t="str">
            <v>Y056</v>
          </cell>
          <cell r="D4394" t="str">
            <v>72007-55餐具柜</v>
          </cell>
          <cell r="E4394" t="str">
            <v>上抽面内饰框 CJZ-015</v>
          </cell>
          <cell r="F4394" t="str">
            <v>289*65*6</v>
          </cell>
          <cell r="G4394">
            <v>289</v>
          </cell>
          <cell r="H4394">
            <v>65</v>
          </cell>
          <cell r="I4394">
            <v>6</v>
          </cell>
          <cell r="J4394">
            <v>0</v>
          </cell>
          <cell r="K4394">
            <v>0</v>
          </cell>
          <cell r="L4394">
            <v>0.13300000000000001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 t="e">
            <v>#DIV/0!</v>
          </cell>
          <cell r="S4394">
            <v>0</v>
          </cell>
          <cell r="T4394">
            <v>0</v>
          </cell>
        </row>
        <row r="4395">
          <cell r="A4395" t="str">
            <v>Y056-963</v>
          </cell>
          <cell r="B4395" t="str">
            <v>CJZ-016</v>
          </cell>
          <cell r="C4395" t="str">
            <v>Y056</v>
          </cell>
          <cell r="D4395" t="str">
            <v>72007-55餐具柜</v>
          </cell>
          <cell r="E4395" t="str">
            <v>上中抽面内饰框 CJZ-016</v>
          </cell>
          <cell r="F4395" t="str">
            <v>440*65*6</v>
          </cell>
          <cell r="G4395">
            <v>440</v>
          </cell>
          <cell r="H4395">
            <v>65</v>
          </cell>
          <cell r="I4395">
            <v>6</v>
          </cell>
          <cell r="J4395">
            <v>0</v>
          </cell>
          <cell r="K4395">
            <v>0</v>
          </cell>
          <cell r="L4395">
            <v>0.2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 t="e">
            <v>#DIV/0!</v>
          </cell>
          <cell r="S4395">
            <v>0</v>
          </cell>
          <cell r="T4395">
            <v>0</v>
          </cell>
        </row>
        <row r="4396">
          <cell r="A4396" t="str">
            <v>Y056-964</v>
          </cell>
          <cell r="B4396" t="str">
            <v>SFZ-04</v>
          </cell>
          <cell r="C4396" t="str">
            <v>Y056</v>
          </cell>
          <cell r="D4396" t="str">
            <v>72203T-55沙发桌</v>
          </cell>
          <cell r="E4396" t="str">
            <v>P0279 短立水饰条</v>
          </cell>
          <cell r="F4396" t="str">
            <v>280*18*11</v>
          </cell>
          <cell r="G4396">
            <v>280</v>
          </cell>
          <cell r="H4396">
            <v>18</v>
          </cell>
          <cell r="I4396">
            <v>11</v>
          </cell>
          <cell r="J4396">
            <v>0</v>
          </cell>
          <cell r="K4396">
            <v>0</v>
          </cell>
          <cell r="L4396">
            <v>0.152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 t="e">
            <v>#DIV/0!</v>
          </cell>
          <cell r="S4396">
            <v>0</v>
          </cell>
          <cell r="T4396">
            <v>0</v>
          </cell>
        </row>
        <row r="4397">
          <cell r="A4397" t="str">
            <v>Y056-965</v>
          </cell>
          <cell r="B4397" t="str">
            <v>ZJ-006</v>
          </cell>
          <cell r="C4397" t="str">
            <v>Y056</v>
          </cell>
          <cell r="D4397" t="str">
            <v>72060-55妆镜</v>
          </cell>
          <cell r="E4397" t="str">
            <v>上下饰条  (配ZJ-010)</v>
          </cell>
          <cell r="F4397" t="str">
            <v>2000*25*8</v>
          </cell>
          <cell r="G4397">
            <v>2000</v>
          </cell>
          <cell r="H4397">
            <v>25</v>
          </cell>
          <cell r="I4397">
            <v>8</v>
          </cell>
          <cell r="J4397">
            <v>0</v>
          </cell>
          <cell r="K4397">
            <v>0</v>
          </cell>
          <cell r="L4397">
            <v>1.2829999999999999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 t="e">
            <v>#DIV/0!</v>
          </cell>
          <cell r="S4397">
            <v>0</v>
          </cell>
          <cell r="T4397">
            <v>0</v>
          </cell>
        </row>
        <row r="4398">
          <cell r="A4398" t="str">
            <v>Y056-966</v>
          </cell>
          <cell r="B4398" t="str">
            <v>CTG-013</v>
          </cell>
          <cell r="C4398" t="str">
            <v>Y056</v>
          </cell>
          <cell r="D4398" t="str">
            <v>72040-55小床头柜</v>
          </cell>
          <cell r="E4398" t="str">
            <v>抽面内饰框 第4次</v>
          </cell>
          <cell r="F4398" t="str">
            <v>470*75*5</v>
          </cell>
          <cell r="G4398">
            <v>470</v>
          </cell>
          <cell r="H4398">
            <v>75</v>
          </cell>
          <cell r="I4398">
            <v>5</v>
          </cell>
          <cell r="J4398">
            <v>0</v>
          </cell>
          <cell r="K4398">
            <v>0</v>
          </cell>
          <cell r="L4398">
            <v>0.152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 t="e">
            <v>#DIV/0!</v>
          </cell>
          <cell r="S4398">
            <v>0</v>
          </cell>
          <cell r="T4398">
            <v>0</v>
          </cell>
        </row>
        <row r="4399">
          <cell r="A4399" t="str">
            <v>Y056-967</v>
          </cell>
          <cell r="B4399" t="str">
            <v>ZJ000</v>
          </cell>
          <cell r="C4399" t="str">
            <v>Y056</v>
          </cell>
          <cell r="D4399" t="str">
            <v>72060LB-55</v>
          </cell>
          <cell r="E4399" t="str">
            <v>P0213 顶饰花 -ZJ000</v>
          </cell>
          <cell r="F4399" t="str">
            <v>588*103*13.5</v>
          </cell>
          <cell r="G4399">
            <v>588</v>
          </cell>
          <cell r="H4399">
            <v>103</v>
          </cell>
          <cell r="I4399">
            <v>13.5</v>
          </cell>
          <cell r="J4399">
            <v>750</v>
          </cell>
          <cell r="K4399">
            <v>0</v>
          </cell>
          <cell r="L4399">
            <v>1.9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2.5333333333333332</v>
          </cell>
          <cell r="S4399">
            <v>0</v>
          </cell>
          <cell r="T4399">
            <v>0</v>
          </cell>
        </row>
        <row r="4400">
          <cell r="A4400" t="str">
            <v>Y056-968</v>
          </cell>
          <cell r="B4400" t="str">
            <v>BZ-01</v>
          </cell>
          <cell r="C4400" t="str">
            <v>Y056</v>
          </cell>
          <cell r="D4400" t="str">
            <v>72222-55 -邊桌</v>
          </cell>
          <cell r="E4400" t="str">
            <v>P0283上饰花 BZ-01</v>
          </cell>
          <cell r="F4400" t="str">
            <v>1475*37*8</v>
          </cell>
          <cell r="G4400">
            <v>1475</v>
          </cell>
          <cell r="H4400">
            <v>37</v>
          </cell>
          <cell r="I4400">
            <v>8</v>
          </cell>
          <cell r="J4400">
            <v>0</v>
          </cell>
          <cell r="K4400">
            <v>0</v>
          </cell>
          <cell r="L4400">
            <v>1.454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 t="e">
            <v>#DIV/0!</v>
          </cell>
          <cell r="S4400">
            <v>0</v>
          </cell>
          <cell r="T4400">
            <v>0</v>
          </cell>
        </row>
        <row r="4401">
          <cell r="A4401" t="str">
            <v>Y056-969</v>
          </cell>
          <cell r="B4401" t="str">
            <v>BZ-02</v>
          </cell>
          <cell r="C4401" t="str">
            <v>Y056</v>
          </cell>
          <cell r="D4401" t="str">
            <v>72222-55边桌</v>
          </cell>
          <cell r="E4401" t="str">
            <v>P0284圆饰花 BZ-02</v>
          </cell>
          <cell r="F4401" t="str">
            <v>410*410*12</v>
          </cell>
          <cell r="G4401">
            <v>410</v>
          </cell>
          <cell r="H4401">
            <v>410</v>
          </cell>
          <cell r="I4401">
            <v>12</v>
          </cell>
          <cell r="J4401">
            <v>0</v>
          </cell>
          <cell r="K4401">
            <v>0</v>
          </cell>
          <cell r="L4401">
            <v>4.085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 t="e">
            <v>#DIV/0!</v>
          </cell>
          <cell r="S4401">
            <v>0</v>
          </cell>
          <cell r="T4401">
            <v>0</v>
          </cell>
        </row>
        <row r="4402">
          <cell r="A4402" t="str">
            <v>Y056-970</v>
          </cell>
          <cell r="B4402" t="str">
            <v>BZ-03</v>
          </cell>
          <cell r="C4402" t="str">
            <v>Y056</v>
          </cell>
          <cell r="D4402" t="str">
            <v>72222-55边桌</v>
          </cell>
          <cell r="E4402" t="str">
            <v>P0285贴花 BZ-03</v>
          </cell>
          <cell r="F4402" t="str">
            <v>750*78*6</v>
          </cell>
          <cell r="G4402">
            <v>750</v>
          </cell>
          <cell r="H4402">
            <v>78</v>
          </cell>
          <cell r="I4402">
            <v>6</v>
          </cell>
          <cell r="J4402">
            <v>0</v>
          </cell>
          <cell r="K4402">
            <v>0</v>
          </cell>
          <cell r="L4402">
            <v>0.92200000000000004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 t="e">
            <v>#DIV/0!</v>
          </cell>
          <cell r="S4402">
            <v>0</v>
          </cell>
          <cell r="T4402">
            <v>0</v>
          </cell>
        </row>
        <row r="4403">
          <cell r="A4403" t="str">
            <v>Y056-971</v>
          </cell>
          <cell r="B4403" t="str">
            <v>BZ-04</v>
          </cell>
          <cell r="C4403" t="str">
            <v>Y056</v>
          </cell>
          <cell r="D4403" t="str">
            <v>72222-55边桌</v>
          </cell>
          <cell r="E4403" t="str">
            <v>P0286下饰花 BZ-04</v>
          </cell>
          <cell r="F4403" t="str">
            <v>375*175*28</v>
          </cell>
          <cell r="G4403">
            <v>375</v>
          </cell>
          <cell r="H4403">
            <v>175</v>
          </cell>
          <cell r="I4403">
            <v>28</v>
          </cell>
          <cell r="J4403">
            <v>0</v>
          </cell>
          <cell r="K4403">
            <v>0</v>
          </cell>
          <cell r="L4403">
            <v>1.1779999999999999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 t="e">
            <v>#DIV/0!</v>
          </cell>
          <cell r="S4403">
            <v>0</v>
          </cell>
          <cell r="T4403">
            <v>0</v>
          </cell>
        </row>
        <row r="4404">
          <cell r="A4404" t="str">
            <v>Y056-972</v>
          </cell>
          <cell r="B4404" t="str">
            <v>CJZ-017(同ZT-015)</v>
          </cell>
          <cell r="C4404" t="str">
            <v>Y056</v>
          </cell>
          <cell r="D4404" t="str">
            <v>72007-55</v>
          </cell>
          <cell r="E4404" t="str">
            <v>P0314抽面外饰条 CJZ-017(同ZT-015)</v>
          </cell>
          <cell r="F4404" t="str">
            <v>550*12*6</v>
          </cell>
          <cell r="G4404">
            <v>550</v>
          </cell>
          <cell r="H4404">
            <v>12</v>
          </cell>
          <cell r="I4404">
            <v>6</v>
          </cell>
          <cell r="J4404">
            <v>0</v>
          </cell>
          <cell r="K4404">
            <v>0</v>
          </cell>
          <cell r="L4404">
            <v>0.152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 t="e">
            <v>#DIV/0!</v>
          </cell>
          <cell r="S4404">
            <v>0</v>
          </cell>
          <cell r="T4404">
            <v>0</v>
          </cell>
        </row>
        <row r="4405">
          <cell r="A4405" t="str">
            <v>Y056-973</v>
          </cell>
          <cell r="B4405" t="str">
            <v>CJZ-01L</v>
          </cell>
          <cell r="C4405" t="str">
            <v>Y056</v>
          </cell>
          <cell r="D4405" t="str">
            <v>72007-55餐具柜</v>
          </cell>
          <cell r="E4405" t="str">
            <v>P0294左转角CJZ-01L</v>
          </cell>
          <cell r="F4405" t="str">
            <v>192*150*190</v>
          </cell>
          <cell r="G4405">
            <v>192</v>
          </cell>
          <cell r="H4405">
            <v>150</v>
          </cell>
          <cell r="I4405">
            <v>190</v>
          </cell>
          <cell r="J4405">
            <v>0</v>
          </cell>
          <cell r="K4405">
            <v>0</v>
          </cell>
          <cell r="L4405">
            <v>3.99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 t="e">
            <v>#DIV/0!</v>
          </cell>
          <cell r="S4405">
            <v>0</v>
          </cell>
          <cell r="T4405" t="str">
            <v>186*145*100</v>
          </cell>
        </row>
        <row r="4406">
          <cell r="A4406" t="str">
            <v>Y056-974</v>
          </cell>
          <cell r="B4406" t="str">
            <v>CJZ-01R</v>
          </cell>
          <cell r="C4406" t="str">
            <v>Y056</v>
          </cell>
          <cell r="D4406" t="str">
            <v>72007-55餐具柜</v>
          </cell>
          <cell r="E4406" t="str">
            <v>P0295右转角CJZ-01R</v>
          </cell>
          <cell r="F4406" t="str">
            <v>192*150*190</v>
          </cell>
          <cell r="G4406">
            <v>192</v>
          </cell>
          <cell r="H4406">
            <v>150</v>
          </cell>
          <cell r="I4406">
            <v>190</v>
          </cell>
          <cell r="J4406">
            <v>0</v>
          </cell>
          <cell r="K4406">
            <v>0</v>
          </cell>
          <cell r="L4406">
            <v>3.99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 t="e">
            <v>#DIV/0!</v>
          </cell>
          <cell r="S4406">
            <v>0</v>
          </cell>
          <cell r="T4406" t="str">
            <v>186*145*100</v>
          </cell>
        </row>
        <row r="4407">
          <cell r="A4407" t="str">
            <v>Y056-975</v>
          </cell>
          <cell r="B4407" t="str">
            <v>CJZ-03</v>
          </cell>
          <cell r="C4407" t="str">
            <v>Y056</v>
          </cell>
          <cell r="D4407" t="str">
            <v>72007-55 餐具柜</v>
          </cell>
          <cell r="E4407" t="str">
            <v>P0298企柱上饰块CJZ-03</v>
          </cell>
          <cell r="F4407" t="str">
            <v>118*98*66</v>
          </cell>
          <cell r="G4407">
            <v>118</v>
          </cell>
          <cell r="H4407">
            <v>98</v>
          </cell>
          <cell r="I4407">
            <v>66</v>
          </cell>
          <cell r="J4407">
            <v>0</v>
          </cell>
          <cell r="K4407">
            <v>0</v>
          </cell>
          <cell r="L4407">
            <v>0.95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 t="e">
            <v>#DIV/0!</v>
          </cell>
          <cell r="S4407">
            <v>0</v>
          </cell>
          <cell r="T4407" t="str">
            <v>53*75*75</v>
          </cell>
        </row>
        <row r="4408">
          <cell r="A4408" t="str">
            <v>Y056-976</v>
          </cell>
          <cell r="B4408" t="str">
            <v>CJZ-04</v>
          </cell>
          <cell r="C4408" t="str">
            <v>Y056</v>
          </cell>
          <cell r="D4408" t="str">
            <v>72007-55 餐具柜</v>
          </cell>
          <cell r="E4408" t="str">
            <v>P0299企柱上饰块CJZ-04</v>
          </cell>
          <cell r="F4408" t="str">
            <v>118*98*66</v>
          </cell>
          <cell r="G4408">
            <v>118</v>
          </cell>
          <cell r="H4408">
            <v>98</v>
          </cell>
          <cell r="I4408">
            <v>66</v>
          </cell>
          <cell r="J4408">
            <v>0</v>
          </cell>
          <cell r="K4408">
            <v>0</v>
          </cell>
          <cell r="L4408">
            <v>1.121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 t="e">
            <v>#DIV/0!</v>
          </cell>
          <cell r="S4408">
            <v>0</v>
          </cell>
          <cell r="T4408" t="str">
            <v>53*75*75</v>
          </cell>
        </row>
        <row r="4409">
          <cell r="A4409" t="str">
            <v>Y056-977</v>
          </cell>
          <cell r="B4409" t="str">
            <v>CJZ-05</v>
          </cell>
          <cell r="C4409" t="str">
            <v>Y056</v>
          </cell>
          <cell r="D4409" t="str">
            <v>72007-55 餐具柜</v>
          </cell>
          <cell r="E4409" t="str">
            <v>P0300中门半圆饰条CJZ-05</v>
          </cell>
          <cell r="F4409" t="str">
            <v>245*133*8</v>
          </cell>
          <cell r="G4409">
            <v>245</v>
          </cell>
          <cell r="H4409">
            <v>133</v>
          </cell>
          <cell r="I4409">
            <v>8</v>
          </cell>
          <cell r="J4409">
            <v>0</v>
          </cell>
          <cell r="K4409">
            <v>0</v>
          </cell>
          <cell r="L4409">
            <v>0.16200000000000001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 t="e">
            <v>#DIV/0!</v>
          </cell>
          <cell r="S4409">
            <v>0</v>
          </cell>
          <cell r="T4409">
            <v>0</v>
          </cell>
        </row>
        <row r="4410">
          <cell r="A4410" t="str">
            <v>Y056-978</v>
          </cell>
          <cell r="B4410" t="str">
            <v>CJZ-06</v>
          </cell>
          <cell r="C4410" t="str">
            <v>Y056</v>
          </cell>
          <cell r="D4410" t="str">
            <v>72007-55 餐具柜</v>
          </cell>
          <cell r="E4410" t="str">
            <v>P0301中门内饰条CJZ-06</v>
          </cell>
          <cell r="F4410" t="str">
            <v>450*12*7</v>
          </cell>
          <cell r="G4410">
            <v>450</v>
          </cell>
          <cell r="H4410">
            <v>12</v>
          </cell>
          <cell r="I4410">
            <v>7</v>
          </cell>
          <cell r="J4410">
            <v>0</v>
          </cell>
          <cell r="K4410">
            <v>0</v>
          </cell>
          <cell r="L4410">
            <v>0.152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 t="e">
            <v>#DIV/0!</v>
          </cell>
          <cell r="S4410">
            <v>0</v>
          </cell>
          <cell r="T4410">
            <v>0</v>
          </cell>
        </row>
        <row r="4411">
          <cell r="A4411" t="str">
            <v>Y056-979</v>
          </cell>
          <cell r="B4411" t="str">
            <v>CJZ-07</v>
          </cell>
          <cell r="C4411" t="str">
            <v>Y056</v>
          </cell>
          <cell r="D4411" t="str">
            <v>72007-55 餐具柜</v>
          </cell>
          <cell r="E4411" t="str">
            <v>P0302中门外饰条CJZ-07</v>
          </cell>
          <cell r="F4411" t="str">
            <v>550*31*12</v>
          </cell>
          <cell r="G4411">
            <v>550</v>
          </cell>
          <cell r="H4411">
            <v>31</v>
          </cell>
          <cell r="I4411">
            <v>12</v>
          </cell>
          <cell r="J4411">
            <v>0</v>
          </cell>
          <cell r="K4411">
            <v>0</v>
          </cell>
          <cell r="L4411">
            <v>0.72199999999999998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 t="e">
            <v>#DIV/0!</v>
          </cell>
          <cell r="S4411">
            <v>0</v>
          </cell>
          <cell r="T4411">
            <v>0</v>
          </cell>
        </row>
        <row r="4412">
          <cell r="A4412" t="str">
            <v>Y056-980</v>
          </cell>
          <cell r="B4412" t="str">
            <v>CJZ-08</v>
          </cell>
          <cell r="C4412" t="str">
            <v>Y056</v>
          </cell>
          <cell r="D4412" t="str">
            <v>72007-55 餐具柜</v>
          </cell>
          <cell r="E4412" t="str">
            <v>P0303侧板饰条CJZ-08</v>
          </cell>
          <cell r="F4412" t="str">
            <v>300*12*6</v>
          </cell>
          <cell r="G4412">
            <v>300</v>
          </cell>
          <cell r="H4412">
            <v>12</v>
          </cell>
          <cell r="I4412">
            <v>6</v>
          </cell>
          <cell r="J4412">
            <v>0</v>
          </cell>
          <cell r="K4412">
            <v>0</v>
          </cell>
          <cell r="L4412">
            <v>0.114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 t="e">
            <v>#DIV/0!</v>
          </cell>
          <cell r="S4412">
            <v>0</v>
          </cell>
          <cell r="T4412">
            <v>0</v>
          </cell>
        </row>
        <row r="4413">
          <cell r="A4413" t="str">
            <v>Y056-981</v>
          </cell>
          <cell r="B4413" t="str">
            <v>CJZ-10</v>
          </cell>
          <cell r="C4413" t="str">
            <v>Y056</v>
          </cell>
          <cell r="D4413" t="str">
            <v>72007-55 餐具柜</v>
          </cell>
          <cell r="E4413" t="str">
            <v>P0305侧板中饰条CJZ-10</v>
          </cell>
          <cell r="F4413" t="str">
            <v>650*32*20</v>
          </cell>
          <cell r="G4413">
            <v>650</v>
          </cell>
          <cell r="H4413">
            <v>32</v>
          </cell>
          <cell r="I4413">
            <v>20</v>
          </cell>
          <cell r="J4413">
            <v>0</v>
          </cell>
          <cell r="K4413">
            <v>0</v>
          </cell>
          <cell r="L4413">
            <v>1.2450000000000001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 t="e">
            <v>#DIV/0!</v>
          </cell>
          <cell r="S4413">
            <v>0</v>
          </cell>
          <cell r="T4413">
            <v>0</v>
          </cell>
        </row>
        <row r="4414">
          <cell r="A4414" t="str">
            <v>Y056-982</v>
          </cell>
          <cell r="B4414" t="str">
            <v>CJZ-11</v>
          </cell>
          <cell r="C4414" t="str">
            <v>Y056</v>
          </cell>
          <cell r="D4414" t="str">
            <v>72007-55 餐具柜</v>
          </cell>
          <cell r="E4414" t="str">
            <v>P0306前侧下饰条CJZ-11</v>
          </cell>
          <cell r="F4414" t="str">
            <v>2000*32*15</v>
          </cell>
          <cell r="G4414">
            <v>2000</v>
          </cell>
          <cell r="H4414">
            <v>32</v>
          </cell>
          <cell r="I4414">
            <v>15</v>
          </cell>
          <cell r="J4414">
            <v>0</v>
          </cell>
          <cell r="K4414">
            <v>0</v>
          </cell>
          <cell r="L4414">
            <v>3.1160000000000001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 t="e">
            <v>#DIV/0!</v>
          </cell>
          <cell r="S4414">
            <v>0</v>
          </cell>
          <cell r="T4414">
            <v>0</v>
          </cell>
        </row>
        <row r="4415">
          <cell r="A4415" t="str">
            <v>Y056-983</v>
          </cell>
          <cell r="B4415" t="str">
            <v>CJZ-12</v>
          </cell>
          <cell r="C4415" t="str">
            <v>Y056</v>
          </cell>
          <cell r="D4415" t="str">
            <v>72007-55 餐具柜</v>
          </cell>
          <cell r="E4415" t="str">
            <v>P0307前侧下饰花CJZ-12</v>
          </cell>
          <cell r="F4415" t="str">
            <v>2000*68*13</v>
          </cell>
          <cell r="G4415">
            <v>2000</v>
          </cell>
          <cell r="H4415">
            <v>68</v>
          </cell>
          <cell r="I4415">
            <v>13</v>
          </cell>
          <cell r="J4415">
            <v>0</v>
          </cell>
          <cell r="K4415">
            <v>0</v>
          </cell>
          <cell r="L4415">
            <v>4.9880000000000004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 t="e">
            <v>#DIV/0!</v>
          </cell>
          <cell r="S4415">
            <v>0</v>
          </cell>
          <cell r="T4415">
            <v>0</v>
          </cell>
        </row>
        <row r="4416">
          <cell r="A4416" t="str">
            <v>Y056-984</v>
          </cell>
          <cell r="B4416" t="str">
            <v>CJZ-13L</v>
          </cell>
          <cell r="C4416" t="str">
            <v>Y056</v>
          </cell>
          <cell r="D4416" t="str">
            <v>72007-55 餐具柜</v>
          </cell>
          <cell r="E4416" t="str">
            <v>P0308左上企柱饰花CJZ-13L</v>
          </cell>
          <cell r="F4416" t="str">
            <v>300*78*6</v>
          </cell>
          <cell r="G4416">
            <v>300</v>
          </cell>
          <cell r="H4416">
            <v>78</v>
          </cell>
          <cell r="I4416">
            <v>6</v>
          </cell>
          <cell r="J4416">
            <v>0</v>
          </cell>
          <cell r="K4416">
            <v>0</v>
          </cell>
          <cell r="L4416">
            <v>0.40899999999999997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 t="e">
            <v>#DIV/0!</v>
          </cell>
          <cell r="S4416">
            <v>0</v>
          </cell>
          <cell r="T4416">
            <v>0</v>
          </cell>
        </row>
        <row r="4417">
          <cell r="A4417" t="str">
            <v>Y056-985</v>
          </cell>
          <cell r="B4417" t="str">
            <v>CJZ-13R</v>
          </cell>
          <cell r="C4417" t="str">
            <v>Y056</v>
          </cell>
          <cell r="D4417" t="str">
            <v>72007-55 餐具柜</v>
          </cell>
          <cell r="E4417" t="str">
            <v>P0309右上企柱饰花CJZ-13R</v>
          </cell>
          <cell r="F4417" t="str">
            <v>300*78*6</v>
          </cell>
          <cell r="G4417">
            <v>300</v>
          </cell>
          <cell r="H4417">
            <v>78</v>
          </cell>
          <cell r="I4417">
            <v>6</v>
          </cell>
          <cell r="J4417">
            <v>0</v>
          </cell>
          <cell r="K4417">
            <v>0</v>
          </cell>
          <cell r="L4417">
            <v>0.40899999999999997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 t="e">
            <v>#DIV/0!</v>
          </cell>
          <cell r="S4417">
            <v>0</v>
          </cell>
          <cell r="T4417">
            <v>0</v>
          </cell>
        </row>
        <row r="4418">
          <cell r="A4418" t="str">
            <v>Y056-986</v>
          </cell>
          <cell r="B4418" t="str">
            <v>CJZ-14L</v>
          </cell>
          <cell r="C4418" t="str">
            <v>Y056</v>
          </cell>
          <cell r="D4418" t="str">
            <v>72007-55 餐具柜</v>
          </cell>
          <cell r="E4418" t="str">
            <v>P0310左下企柱饰花CJZ-14L</v>
          </cell>
          <cell r="F4418" t="str">
            <v>320*78*6</v>
          </cell>
          <cell r="G4418">
            <v>320</v>
          </cell>
          <cell r="H4418">
            <v>78</v>
          </cell>
          <cell r="I4418">
            <v>6</v>
          </cell>
          <cell r="J4418">
            <v>0</v>
          </cell>
          <cell r="K4418">
            <v>0</v>
          </cell>
          <cell r="L4418">
            <v>0.41799999999999998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 t="e">
            <v>#DIV/0!</v>
          </cell>
          <cell r="S4418">
            <v>0</v>
          </cell>
          <cell r="T4418">
            <v>0</v>
          </cell>
        </row>
        <row r="4419">
          <cell r="A4419" t="str">
            <v>Y056-987</v>
          </cell>
          <cell r="B4419" t="str">
            <v>CJZ-14R</v>
          </cell>
          <cell r="C4419" t="str">
            <v>Y056</v>
          </cell>
          <cell r="D4419" t="str">
            <v>72007-55 餐具柜</v>
          </cell>
          <cell r="E4419" t="str">
            <v>P0311右下企柱饰花CJZ-14R</v>
          </cell>
          <cell r="F4419" t="str">
            <v>320*78*6</v>
          </cell>
          <cell r="G4419">
            <v>320</v>
          </cell>
          <cell r="H4419">
            <v>78</v>
          </cell>
          <cell r="I4419">
            <v>6</v>
          </cell>
          <cell r="J4419">
            <v>0</v>
          </cell>
          <cell r="K4419">
            <v>0</v>
          </cell>
          <cell r="L4419">
            <v>0.41799999999999998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 t="e">
            <v>#DIV/0!</v>
          </cell>
          <cell r="S4419">
            <v>0</v>
          </cell>
          <cell r="T4419">
            <v>0</v>
          </cell>
        </row>
        <row r="4420">
          <cell r="A4420" t="str">
            <v>Y056-988</v>
          </cell>
          <cell r="B4420">
            <v>0</v>
          </cell>
          <cell r="C4420" t="str">
            <v>Y056</v>
          </cell>
          <cell r="D4420" t="str">
            <v>1047-0K1</v>
          </cell>
          <cell r="E4420" t="str">
            <v>P0814 顶饰条</v>
          </cell>
          <cell r="F4420" t="str">
            <v>1865*55*60</v>
          </cell>
          <cell r="G4420">
            <v>1865</v>
          </cell>
          <cell r="H4420">
            <v>55</v>
          </cell>
          <cell r="I4420">
            <v>60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43566</v>
          </cell>
          <cell r="T4420" t="str">
            <v>木MDF 1220*2440=0.09</v>
          </cell>
        </row>
        <row r="4421">
          <cell r="A4421" t="str">
            <v>Y056-989</v>
          </cell>
          <cell r="B4421">
            <v>0</v>
          </cell>
          <cell r="C4421" t="str">
            <v>Y056</v>
          </cell>
          <cell r="D4421" t="str">
            <v>1047-0K3</v>
          </cell>
          <cell r="E4421" t="str">
            <v>P0815 床侧板短饰条</v>
          </cell>
          <cell r="F4421" t="str">
            <v>170*16*10</v>
          </cell>
          <cell r="G4421">
            <v>170</v>
          </cell>
          <cell r="H4421">
            <v>16</v>
          </cell>
          <cell r="I4421">
            <v>10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43566</v>
          </cell>
          <cell r="T4421">
            <v>0</v>
          </cell>
        </row>
        <row r="4422">
          <cell r="A4422" t="str">
            <v>Y056-990</v>
          </cell>
          <cell r="B4422">
            <v>0</v>
          </cell>
          <cell r="C4422" t="str">
            <v>Y056</v>
          </cell>
          <cell r="D4422" t="str">
            <v>1047-0Q1</v>
          </cell>
          <cell r="E4422" t="str">
            <v>P0816 顶饰条</v>
          </cell>
          <cell r="F4422" t="str">
            <v>1423*55*60</v>
          </cell>
          <cell r="G4422">
            <v>1423</v>
          </cell>
          <cell r="H4422">
            <v>55</v>
          </cell>
          <cell r="I4422">
            <v>60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43566</v>
          </cell>
          <cell r="T4422" t="str">
            <v>木MDF 1220*2440*25</v>
          </cell>
        </row>
        <row r="4423">
          <cell r="A4423" t="str">
            <v>Y056-991</v>
          </cell>
          <cell r="B4423">
            <v>0</v>
          </cell>
          <cell r="C4423" t="str">
            <v>Y056</v>
          </cell>
          <cell r="D4423" t="str">
            <v>1047-0Q3</v>
          </cell>
          <cell r="E4423" t="str">
            <v>P01145 床侧板短饰条</v>
          </cell>
          <cell r="F4423" t="str">
            <v>153*16*10</v>
          </cell>
          <cell r="G4423">
            <v>153</v>
          </cell>
          <cell r="H4423">
            <v>16</v>
          </cell>
          <cell r="I4423">
            <v>10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43566</v>
          </cell>
          <cell r="T4423">
            <v>0</v>
          </cell>
        </row>
        <row r="4424">
          <cell r="A4424" t="str">
            <v>Y056-992</v>
          </cell>
          <cell r="B4424">
            <v>0</v>
          </cell>
          <cell r="C4424" t="str">
            <v>Y056</v>
          </cell>
          <cell r="D4424" t="str">
            <v>1047-880</v>
          </cell>
          <cell r="E4424" t="str">
            <v>P00807 上饰条</v>
          </cell>
          <cell r="F4424" t="str">
            <v>1175*42*23</v>
          </cell>
          <cell r="G4424">
            <v>1175</v>
          </cell>
          <cell r="H4424">
            <v>42</v>
          </cell>
          <cell r="I4424">
            <v>23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43566</v>
          </cell>
          <cell r="T4424">
            <v>0</v>
          </cell>
        </row>
        <row r="4425">
          <cell r="A4425" t="str">
            <v>Y056-2001</v>
          </cell>
          <cell r="B4425">
            <v>0</v>
          </cell>
          <cell r="C4425" t="str">
            <v>Y056</v>
          </cell>
          <cell r="D4425" t="str">
            <v>AICO</v>
          </cell>
          <cell r="E4425" t="str">
            <v>POLY飾條</v>
          </cell>
          <cell r="F4425" t="str">
            <v>1142*34*20</v>
          </cell>
          <cell r="G4425">
            <v>1142</v>
          </cell>
          <cell r="H4425">
            <v>34</v>
          </cell>
          <cell r="I4425">
            <v>20</v>
          </cell>
          <cell r="J4425">
            <v>0</v>
          </cell>
          <cell r="K4425">
            <v>0</v>
          </cell>
          <cell r="L4425">
            <v>1.98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 t="e">
            <v>#DIV/0!</v>
          </cell>
          <cell r="S4425">
            <v>0</v>
          </cell>
        </row>
        <row r="4426">
          <cell r="A4426" t="str">
            <v>Y056-2002</v>
          </cell>
          <cell r="B4426">
            <v>0</v>
          </cell>
          <cell r="C4426" t="str">
            <v>Y056</v>
          </cell>
          <cell r="D4426" t="str">
            <v>AICO</v>
          </cell>
          <cell r="E4426" t="str">
            <v>POLY飾條</v>
          </cell>
          <cell r="F4426" t="str">
            <v>535*20*14</v>
          </cell>
          <cell r="G4426">
            <v>535</v>
          </cell>
          <cell r="H4426">
            <v>20</v>
          </cell>
          <cell r="I4426">
            <v>14</v>
          </cell>
          <cell r="J4426">
            <v>0</v>
          </cell>
          <cell r="K4426">
            <v>0</v>
          </cell>
          <cell r="L4426">
            <v>0.49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 t="e">
            <v>#DIV/0!</v>
          </cell>
          <cell r="S4426">
            <v>0</v>
          </cell>
        </row>
        <row r="4427">
          <cell r="A4427" t="str">
            <v>Y056-2003</v>
          </cell>
          <cell r="B4427">
            <v>0</v>
          </cell>
          <cell r="C4427" t="str">
            <v>Y056</v>
          </cell>
          <cell r="D4427" t="str">
            <v>AICO</v>
          </cell>
          <cell r="E4427" t="str">
            <v>POLY飾條</v>
          </cell>
          <cell r="F4427" t="str">
            <v>2303*31*20</v>
          </cell>
          <cell r="G4427">
            <v>2303</v>
          </cell>
          <cell r="H4427">
            <v>31</v>
          </cell>
          <cell r="I4427">
            <v>20</v>
          </cell>
          <cell r="J4427">
            <v>0</v>
          </cell>
          <cell r="K4427">
            <v>0</v>
          </cell>
          <cell r="L4427">
            <v>4.8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 t="e">
            <v>#DIV/0!</v>
          </cell>
          <cell r="S4427">
            <v>0</v>
          </cell>
        </row>
        <row r="4428">
          <cell r="A4428" t="str">
            <v>Y056-2004</v>
          </cell>
          <cell r="B4428">
            <v>0</v>
          </cell>
          <cell r="C4428" t="str">
            <v>Y056</v>
          </cell>
          <cell r="D4428" t="str">
            <v>AICO</v>
          </cell>
          <cell r="E4428" t="str">
            <v>POLY飾條</v>
          </cell>
          <cell r="F4428" t="str">
            <v>1142*34*21</v>
          </cell>
          <cell r="G4428">
            <v>1089.5</v>
          </cell>
          <cell r="H4428">
            <v>288.5</v>
          </cell>
          <cell r="I4428">
            <v>6</v>
          </cell>
          <cell r="J4428">
            <v>0</v>
          </cell>
          <cell r="K4428">
            <v>0</v>
          </cell>
          <cell r="L4428">
            <v>1.81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</row>
        <row r="4429">
          <cell r="A4429" t="str">
            <v>Y056-2005</v>
          </cell>
          <cell r="B4429">
            <v>0</v>
          </cell>
          <cell r="C4429" t="str">
            <v>Y056</v>
          </cell>
          <cell r="D4429" t="str">
            <v>AICO</v>
          </cell>
          <cell r="E4429" t="str">
            <v>POLY飾條</v>
          </cell>
          <cell r="F4429" t="str">
            <v>535*20*15</v>
          </cell>
          <cell r="G4429">
            <v>1076.4000000000001</v>
          </cell>
          <cell r="H4429">
            <v>366.4</v>
          </cell>
          <cell r="I4429">
            <v>2.4</v>
          </cell>
          <cell r="J4429">
            <v>0</v>
          </cell>
          <cell r="K4429">
            <v>0</v>
          </cell>
          <cell r="L4429">
            <v>1.7669999999999999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</row>
        <row r="4430">
          <cell r="A4430" t="str">
            <v>Y057-001</v>
          </cell>
          <cell r="B4430" t="str">
            <v>1704調價</v>
          </cell>
          <cell r="C4430" t="str">
            <v>Y057</v>
          </cell>
          <cell r="D4430" t="str">
            <v>690-D627POLY33603267 01 T4</v>
          </cell>
          <cell r="E4430" t="str">
            <v>627边柜poly饰条</v>
          </cell>
          <cell r="F4430" t="str">
            <v>509*290*6</v>
          </cell>
          <cell r="G4430">
            <v>509</v>
          </cell>
          <cell r="H4430">
            <v>290</v>
          </cell>
          <cell r="I4430">
            <v>6</v>
          </cell>
          <cell r="J4430">
            <v>0</v>
          </cell>
          <cell r="K4430">
            <v>0.4</v>
          </cell>
          <cell r="L4430">
            <v>0.44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 t="e">
            <v>#DIV/0!</v>
          </cell>
          <cell r="S4430">
            <v>0</v>
          </cell>
        </row>
        <row r="4431">
          <cell r="A4431" t="str">
            <v>Y057-002-1</v>
          </cell>
          <cell r="B4431">
            <v>0</v>
          </cell>
          <cell r="C4431" t="str">
            <v>Y057</v>
          </cell>
          <cell r="D4431" t="str">
            <v>690-D3809331-A 33604360 01 T4</v>
          </cell>
          <cell r="E4431" t="str">
            <v>D3809331 吧台上座POLY-平面</v>
          </cell>
          <cell r="F4431" t="str">
            <v>1530*47.5*19</v>
          </cell>
          <cell r="G4431">
            <v>1530</v>
          </cell>
          <cell r="H4431">
            <v>47.5</v>
          </cell>
          <cell r="I4431">
            <v>19</v>
          </cell>
          <cell r="J4431">
            <v>1295</v>
          </cell>
          <cell r="K4431">
            <v>3.7</v>
          </cell>
          <cell r="L4431">
            <v>3.45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 t="str">
            <v>1010</v>
          </cell>
          <cell r="R4431">
            <v>2.6640926640926645</v>
          </cell>
          <cell r="S4431">
            <v>0</v>
          </cell>
        </row>
        <row r="4432">
          <cell r="A4432" t="str">
            <v>Y057-002-2</v>
          </cell>
          <cell r="B4432">
            <v>0</v>
          </cell>
          <cell r="C4432" t="str">
            <v>Y057</v>
          </cell>
          <cell r="D4432" t="str">
            <v>690-D3809331-A 33604360 01 T4</v>
          </cell>
          <cell r="E4432" t="str">
            <v>D3809331 吧台上座POLY-刀型</v>
          </cell>
          <cell r="F4432" t="str">
            <v>1530*47.5*19</v>
          </cell>
          <cell r="G4432">
            <v>1530</v>
          </cell>
          <cell r="H4432">
            <v>47.5</v>
          </cell>
          <cell r="I4432">
            <v>19</v>
          </cell>
          <cell r="J4432">
            <v>1184</v>
          </cell>
          <cell r="K4432">
            <v>0</v>
          </cell>
          <cell r="L4432">
            <v>3.45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 t="str">
            <v>1010</v>
          </cell>
          <cell r="R4432">
            <v>2.9138513513513518</v>
          </cell>
          <cell r="S4432">
            <v>0</v>
          </cell>
        </row>
        <row r="4433">
          <cell r="A4433" t="str">
            <v>Y057-003</v>
          </cell>
          <cell r="B4433">
            <v>0</v>
          </cell>
          <cell r="C4433" t="str">
            <v>Y057</v>
          </cell>
          <cell r="D4433" t="str">
            <v>690-D3809331-B 33604360 02 T4</v>
          </cell>
          <cell r="E4433" t="str">
            <v>D3809331 吧台上座POLY</v>
          </cell>
          <cell r="F4433" t="str">
            <v>250*91*47</v>
          </cell>
          <cell r="G4433">
            <v>250</v>
          </cell>
          <cell r="H4433">
            <v>91</v>
          </cell>
          <cell r="I4433">
            <v>47</v>
          </cell>
          <cell r="J4433">
            <v>0</v>
          </cell>
          <cell r="K4433">
            <v>0</v>
          </cell>
          <cell r="L4433">
            <v>1.27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 t="e">
            <v>#DIV/0!</v>
          </cell>
          <cell r="S4433">
            <v>0</v>
          </cell>
        </row>
        <row r="4434">
          <cell r="A4434" t="str">
            <v>Y057-004</v>
          </cell>
          <cell r="B4434">
            <v>0</v>
          </cell>
          <cell r="C4434" t="str">
            <v>Y057</v>
          </cell>
          <cell r="D4434" t="str">
            <v>690-D3809331-C 33604360 04 T4</v>
          </cell>
          <cell r="E4434" t="str">
            <v>D3809331 吧台上座POLY</v>
          </cell>
          <cell r="F4434" t="str">
            <v>1250*16*9.5</v>
          </cell>
          <cell r="G4434">
            <v>1250</v>
          </cell>
          <cell r="H4434">
            <v>16</v>
          </cell>
          <cell r="I4434">
            <v>9.5</v>
          </cell>
          <cell r="J4434">
            <v>0</v>
          </cell>
          <cell r="K4434">
            <v>0</v>
          </cell>
          <cell r="L4434">
            <v>0.63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 t="e">
            <v>#DIV/0!</v>
          </cell>
          <cell r="S4434">
            <v>0</v>
          </cell>
        </row>
        <row r="4435">
          <cell r="A4435" t="str">
            <v>Y057-005</v>
          </cell>
          <cell r="B4435">
            <v>0</v>
          </cell>
          <cell r="C4435" t="str">
            <v>Y057</v>
          </cell>
          <cell r="D4435" t="str">
            <v>690-D3802305-A 33604360 04 T4</v>
          </cell>
          <cell r="E4435" t="str">
            <v>D3082305吧台下座</v>
          </cell>
          <cell r="F4435" t="str">
            <v>152.5*101.5*101.5</v>
          </cell>
          <cell r="G4435">
            <v>152.5</v>
          </cell>
          <cell r="H4435">
            <v>101.5</v>
          </cell>
          <cell r="I4435">
            <v>101.5</v>
          </cell>
          <cell r="J4435">
            <v>0</v>
          </cell>
          <cell r="K4435">
            <v>0</v>
          </cell>
          <cell r="L4435">
            <v>1.9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 t="e">
            <v>#DIV/0!</v>
          </cell>
          <cell r="S4435">
            <v>0</v>
          </cell>
        </row>
        <row r="4436">
          <cell r="A4436" t="str">
            <v>Y057-2001</v>
          </cell>
          <cell r="B4436">
            <v>0</v>
          </cell>
          <cell r="C4436" t="str">
            <v>Y057</v>
          </cell>
          <cell r="D4436">
            <v>0</v>
          </cell>
          <cell r="E4436" t="str">
            <v>POLY飾板</v>
          </cell>
          <cell r="F4436" t="str">
            <v>993*425*7</v>
          </cell>
          <cell r="G4436">
            <v>978</v>
          </cell>
          <cell r="H4436">
            <v>42</v>
          </cell>
          <cell r="I4436">
            <v>7</v>
          </cell>
          <cell r="J4436">
            <v>0</v>
          </cell>
          <cell r="K4436">
            <v>0</v>
          </cell>
          <cell r="L4436">
            <v>1.1200000000000001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 t="e">
            <v>#DIV/0!</v>
          </cell>
          <cell r="S4436">
            <v>0</v>
          </cell>
        </row>
        <row r="4437">
          <cell r="A4437" t="str">
            <v>Y057-2002</v>
          </cell>
          <cell r="B4437">
            <v>0</v>
          </cell>
          <cell r="C4437" t="str">
            <v>Y057</v>
          </cell>
          <cell r="D4437">
            <v>0</v>
          </cell>
          <cell r="E4437" t="str">
            <v>POLY飾板</v>
          </cell>
          <cell r="F4437">
            <v>0</v>
          </cell>
          <cell r="G4437">
            <v>600</v>
          </cell>
          <cell r="H4437">
            <v>425</v>
          </cell>
          <cell r="I4437">
            <v>7</v>
          </cell>
          <cell r="J4437">
            <v>0</v>
          </cell>
          <cell r="K4437">
            <v>0</v>
          </cell>
          <cell r="L4437">
            <v>0.7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 t="e">
            <v>#DIV/0!</v>
          </cell>
          <cell r="S4437">
            <v>0</v>
          </cell>
        </row>
        <row r="4438">
          <cell r="A4438" t="str">
            <v>Y058-001</v>
          </cell>
          <cell r="B4438">
            <v>0</v>
          </cell>
          <cell r="C4438" t="str">
            <v>Y058</v>
          </cell>
          <cell r="D4438" t="str">
            <v>BH20055</v>
          </cell>
          <cell r="E4438" t="str">
            <v>雙C桌腳</v>
          </cell>
          <cell r="F4438" t="str">
            <v>403*392*30.5</v>
          </cell>
          <cell r="G4438">
            <v>403</v>
          </cell>
          <cell r="H4438">
            <v>392</v>
          </cell>
          <cell r="I4438">
            <v>30.5</v>
          </cell>
          <cell r="J4438">
            <v>880</v>
          </cell>
          <cell r="K4438">
            <v>0</v>
          </cell>
          <cell r="L4438">
            <v>4.45</v>
          </cell>
          <cell r="M4438">
            <v>0</v>
          </cell>
          <cell r="N4438" t="str">
            <v>SAT 522</v>
          </cell>
          <cell r="O4438">
            <v>0</v>
          </cell>
          <cell r="P4438" t="str">
            <v>5510</v>
          </cell>
          <cell r="Q4438" t="str">
            <v>5510</v>
          </cell>
          <cell r="R4438">
            <v>5.0568181818181817</v>
          </cell>
        </row>
        <row r="4439">
          <cell r="A4439" t="str">
            <v>Y058-002</v>
          </cell>
          <cell r="B4439">
            <v>0</v>
          </cell>
          <cell r="C4439" t="str">
            <v>Y058</v>
          </cell>
          <cell r="D4439" t="str">
            <v>BH20056</v>
          </cell>
          <cell r="E4439" t="str">
            <v>雙C桌腳</v>
          </cell>
          <cell r="F4439" t="str">
            <v>945*365*47</v>
          </cell>
          <cell r="G4439">
            <v>945</v>
          </cell>
          <cell r="H4439">
            <v>365</v>
          </cell>
          <cell r="I4439">
            <v>47</v>
          </cell>
          <cell r="J4439">
            <v>0</v>
          </cell>
          <cell r="K4439">
            <v>0</v>
          </cell>
          <cell r="L4439">
            <v>7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 t="e">
            <v>#DIV/0!</v>
          </cell>
        </row>
        <row r="4440">
          <cell r="A4440" t="str">
            <v>Y058-003</v>
          </cell>
          <cell r="B4440">
            <v>0</v>
          </cell>
          <cell r="C4440" t="str">
            <v>Y058</v>
          </cell>
          <cell r="D4440" t="str">
            <v>BH20065</v>
          </cell>
          <cell r="E4440" t="str">
            <v>雙C桌腳</v>
          </cell>
          <cell r="F4440" t="str">
            <v>1050*650*34</v>
          </cell>
          <cell r="G4440">
            <v>1050</v>
          </cell>
          <cell r="H4440">
            <v>650</v>
          </cell>
          <cell r="I4440">
            <v>34</v>
          </cell>
          <cell r="J4440">
            <v>0</v>
          </cell>
          <cell r="K4440">
            <v>0</v>
          </cell>
          <cell r="L4440">
            <v>7.6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 t="e">
            <v>#DIV/0!</v>
          </cell>
        </row>
        <row r="4441">
          <cell r="A4441" t="str">
            <v>Y058-004</v>
          </cell>
          <cell r="B4441">
            <v>0</v>
          </cell>
          <cell r="C4441" t="str">
            <v>Y058</v>
          </cell>
          <cell r="D4441" t="str">
            <v>BH20057</v>
          </cell>
          <cell r="E4441" t="str">
            <v>雙C桌腳</v>
          </cell>
          <cell r="F4441" t="str">
            <v>905*503*35.5</v>
          </cell>
          <cell r="G4441">
            <v>905</v>
          </cell>
          <cell r="H4441">
            <v>403</v>
          </cell>
          <cell r="I4441">
            <v>35.5</v>
          </cell>
          <cell r="J4441">
            <v>0</v>
          </cell>
          <cell r="K4441">
            <v>0</v>
          </cell>
          <cell r="L4441">
            <v>7.3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 t="e">
            <v>#DIV/0!</v>
          </cell>
        </row>
        <row r="4442">
          <cell r="A4442" t="str">
            <v>Y058-005</v>
          </cell>
          <cell r="B4442">
            <v>0</v>
          </cell>
          <cell r="C4442" t="str">
            <v>Y058</v>
          </cell>
          <cell r="D4442">
            <v>0</v>
          </cell>
          <cell r="E4442" t="str">
            <v>面板</v>
          </cell>
          <cell r="F4442" t="str">
            <v>760*440*5</v>
          </cell>
          <cell r="G4442">
            <v>760</v>
          </cell>
          <cell r="H4442">
            <v>440</v>
          </cell>
          <cell r="I4442">
            <v>5</v>
          </cell>
          <cell r="J4442">
            <v>0</v>
          </cell>
          <cell r="K4442">
            <v>0</v>
          </cell>
          <cell r="L4442">
            <v>8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 t="e">
            <v>#DIV/0!</v>
          </cell>
        </row>
        <row r="4443">
          <cell r="A4443" t="str">
            <v>Y059-001</v>
          </cell>
          <cell r="B4443">
            <v>0</v>
          </cell>
          <cell r="C4443" t="str">
            <v>Y059</v>
          </cell>
          <cell r="D4443" t="str">
            <v>小半圆</v>
          </cell>
          <cell r="E4443">
            <v>0</v>
          </cell>
          <cell r="F4443" t="str">
            <v>27*6*3</v>
          </cell>
          <cell r="G4443">
            <v>27</v>
          </cell>
          <cell r="H4443">
            <v>6</v>
          </cell>
          <cell r="I4443">
            <v>3</v>
          </cell>
          <cell r="J4443">
            <v>0</v>
          </cell>
          <cell r="K4443">
            <v>0</v>
          </cell>
          <cell r="L4443">
            <v>3.5000000000000003E-2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 t="e">
            <v>#DIV/0!</v>
          </cell>
          <cell r="S4443">
            <v>0</v>
          </cell>
        </row>
        <row r="4444">
          <cell r="A4444" t="str">
            <v>Y060-001</v>
          </cell>
          <cell r="B4444">
            <v>0</v>
          </cell>
          <cell r="C4444" t="str">
            <v>Y060</v>
          </cell>
          <cell r="D4444" t="str">
            <v>IG990051</v>
          </cell>
          <cell r="E4444" t="str">
            <v>前脚饰条1</v>
          </cell>
          <cell r="F4444" t="str">
            <v>47*47*38</v>
          </cell>
          <cell r="G4444">
            <v>47</v>
          </cell>
          <cell r="H4444">
            <v>47</v>
          </cell>
          <cell r="I4444">
            <v>38</v>
          </cell>
          <cell r="J4444">
            <v>0</v>
          </cell>
          <cell r="K4444">
            <v>0</v>
          </cell>
          <cell r="L4444">
            <v>0.05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 t="str">
            <v>1010</v>
          </cell>
          <cell r="R4444" t="e">
            <v>#DIV/0!</v>
          </cell>
          <cell r="S4444">
            <v>0</v>
          </cell>
        </row>
        <row r="4445">
          <cell r="A4445" t="str">
            <v>Y060-002</v>
          </cell>
          <cell r="B4445">
            <v>0</v>
          </cell>
          <cell r="C4445" t="str">
            <v>Y060</v>
          </cell>
          <cell r="D4445" t="str">
            <v>2A15900752031</v>
          </cell>
          <cell r="E4445" t="str">
            <v>侧立水上饰条POLY</v>
          </cell>
          <cell r="F4445" t="str">
            <v>1934*19*17</v>
          </cell>
          <cell r="G4445">
            <v>1934</v>
          </cell>
          <cell r="H4445">
            <v>19</v>
          </cell>
          <cell r="I4445">
            <v>17</v>
          </cell>
          <cell r="J4445">
            <v>0</v>
          </cell>
          <cell r="K4445">
            <v>0</v>
          </cell>
          <cell r="L4445">
            <v>1.8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 t="str">
            <v>1010</v>
          </cell>
          <cell r="R4445" t="e">
            <v>#DIV/0!</v>
          </cell>
          <cell r="S4445">
            <v>0</v>
          </cell>
        </row>
        <row r="4446">
          <cell r="A4446" t="str">
            <v>Y060-003</v>
          </cell>
          <cell r="B4446">
            <v>0</v>
          </cell>
          <cell r="C4446" t="str">
            <v>Y060</v>
          </cell>
          <cell r="D4446" t="str">
            <v>2A15900752032</v>
          </cell>
          <cell r="E4446" t="str">
            <v>侧立水下饰条POLY</v>
          </cell>
          <cell r="F4446" t="str">
            <v>1896*10*6</v>
          </cell>
          <cell r="G4446">
            <v>1896</v>
          </cell>
          <cell r="H4446">
            <v>10</v>
          </cell>
          <cell r="I4446">
            <v>6</v>
          </cell>
          <cell r="J4446">
            <v>0</v>
          </cell>
          <cell r="K4446">
            <v>0</v>
          </cell>
          <cell r="L4446">
            <v>0.36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 t="str">
            <v>1010</v>
          </cell>
          <cell r="R4446" t="e">
            <v>#DIV/0!</v>
          </cell>
          <cell r="S4446">
            <v>0</v>
          </cell>
        </row>
        <row r="4447">
          <cell r="A4447" t="str">
            <v>Y060-004</v>
          </cell>
          <cell r="B4447">
            <v>0</v>
          </cell>
          <cell r="C4447" t="str">
            <v>Y060</v>
          </cell>
          <cell r="D4447" t="str">
            <v>2A15381105621</v>
          </cell>
          <cell r="E4447" t="str">
            <v>上饰柱横饰条,软poly mềm</v>
          </cell>
          <cell r="F4447" t="str">
            <v>89*10*6</v>
          </cell>
          <cell r="G4447">
            <v>89</v>
          </cell>
          <cell r="H4447">
            <v>10</v>
          </cell>
          <cell r="I4447">
            <v>6</v>
          </cell>
          <cell r="J4447">
            <v>10</v>
          </cell>
          <cell r="K4447">
            <v>0</v>
          </cell>
          <cell r="L4447">
            <v>0.03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 t="str">
            <v>1010</v>
          </cell>
          <cell r="R4447">
            <v>3</v>
          </cell>
          <cell r="S4447">
            <v>0</v>
          </cell>
        </row>
        <row r="4448">
          <cell r="A4448" t="str">
            <v>Y060-005</v>
          </cell>
          <cell r="B4448" t="str">
            <v>LCT013-147</v>
          </cell>
          <cell r="C4448" t="str">
            <v>Y060</v>
          </cell>
          <cell r="D4448" t="str">
            <v>2AII74450/54/55/56/59</v>
          </cell>
          <cell r="E4448" t="str">
            <v>I74-450/54/55/66/59/85/9450</v>
          </cell>
          <cell r="F4448" t="str">
            <v>128*84*84</v>
          </cell>
          <cell r="G4448">
            <v>128</v>
          </cell>
          <cell r="H4448">
            <v>84</v>
          </cell>
          <cell r="I4448">
            <v>84</v>
          </cell>
          <cell r="J4448">
            <v>710</v>
          </cell>
          <cell r="K4448">
            <v>0.85799999999999998</v>
          </cell>
          <cell r="L4448">
            <v>1.92</v>
          </cell>
          <cell r="M4448">
            <v>0</v>
          </cell>
          <cell r="N4448">
            <v>170</v>
          </cell>
          <cell r="O4448" t="str">
            <v>40V</v>
          </cell>
          <cell r="P4448" t="str">
            <v>1910</v>
          </cell>
          <cell r="Q4448" t="str">
            <v>1910</v>
          </cell>
          <cell r="R4448">
            <v>2.704225352112676</v>
          </cell>
          <cell r="S4448">
            <v>0</v>
          </cell>
          <cell r="T4448">
            <v>0</v>
          </cell>
        </row>
        <row r="4449">
          <cell r="A4449" t="str">
            <v>Y060-006</v>
          </cell>
          <cell r="B4449" t="str">
            <v>LCT013-159</v>
          </cell>
          <cell r="C4449" t="str">
            <v>Y060</v>
          </cell>
          <cell r="D4449" t="str">
            <v>2AII744512</v>
          </cell>
          <cell r="E4449" t="str">
            <v>I74-451 前下側上飾條</v>
          </cell>
          <cell r="F4449" t="str">
            <v>1750*30*21</v>
          </cell>
          <cell r="G4449">
            <v>1750</v>
          </cell>
          <cell r="H4449">
            <v>30</v>
          </cell>
          <cell r="I4449">
            <v>21</v>
          </cell>
          <cell r="J4449">
            <v>1250</v>
          </cell>
          <cell r="K4449">
            <v>3.0030000000000001</v>
          </cell>
          <cell r="L4449">
            <v>3.38</v>
          </cell>
          <cell r="M4449">
            <v>0</v>
          </cell>
          <cell r="N4449">
            <v>0</v>
          </cell>
          <cell r="O4449" t="str">
            <v>40V</v>
          </cell>
          <cell r="P4449" t="str">
            <v>1010</v>
          </cell>
          <cell r="Q4449">
            <v>1010</v>
          </cell>
          <cell r="R4449">
            <v>2.7039999999999997</v>
          </cell>
          <cell r="S4449">
            <v>0</v>
          </cell>
        </row>
        <row r="4450">
          <cell r="A4450" t="str">
            <v>Y060-007</v>
          </cell>
          <cell r="B4450" t="str">
            <v>LCT013-165</v>
          </cell>
          <cell r="C4450" t="str">
            <v>Y060</v>
          </cell>
          <cell r="D4450" t="str">
            <v>2A1174514</v>
          </cell>
          <cell r="E4450" t="str">
            <v>I74-451 拉板上飾條</v>
          </cell>
          <cell r="F4450" t="str">
            <v>511*28*21</v>
          </cell>
          <cell r="G4450">
            <v>511</v>
          </cell>
          <cell r="H4450">
            <v>28</v>
          </cell>
          <cell r="I4450">
            <v>21</v>
          </cell>
          <cell r="J4450">
            <v>400</v>
          </cell>
          <cell r="K4450">
            <v>0.95599999999999996</v>
          </cell>
          <cell r="L4450">
            <v>1.1000000000000001</v>
          </cell>
          <cell r="M4450">
            <v>0</v>
          </cell>
          <cell r="N4450">
            <v>0</v>
          </cell>
          <cell r="O4450" t="str">
            <v>40V</v>
          </cell>
          <cell r="P4450" t="str">
            <v>1010</v>
          </cell>
          <cell r="Q4450">
            <v>1010</v>
          </cell>
          <cell r="R4450">
            <v>2.75</v>
          </cell>
          <cell r="S4450">
            <v>0</v>
          </cell>
        </row>
        <row r="4451">
          <cell r="A4451" t="str">
            <v>Y060-008</v>
          </cell>
          <cell r="B4451" t="str">
            <v>LCT013-136</v>
          </cell>
          <cell r="C4451" t="str">
            <v>Y060</v>
          </cell>
          <cell r="D4451" t="str">
            <v>2AII744515</v>
          </cell>
          <cell r="E4451" t="str">
            <v>I74-451 上 / 下抽板飾條</v>
          </cell>
          <cell r="F4451" t="str">
            <v>690*32*20</v>
          </cell>
          <cell r="G4451">
            <v>690</v>
          </cell>
          <cell r="H4451">
            <v>32</v>
          </cell>
          <cell r="I4451">
            <v>20</v>
          </cell>
          <cell r="J4451">
            <v>430</v>
          </cell>
          <cell r="K4451">
            <v>1.155</v>
          </cell>
          <cell r="L4451">
            <v>1.1599999999999999</v>
          </cell>
          <cell r="M4451">
            <v>0</v>
          </cell>
          <cell r="N4451">
            <v>0</v>
          </cell>
          <cell r="O4451" t="str">
            <v>40V</v>
          </cell>
          <cell r="P4451" t="str">
            <v>1010</v>
          </cell>
          <cell r="Q4451">
            <v>1010</v>
          </cell>
          <cell r="R4451">
            <v>2.6976744186046511</v>
          </cell>
          <cell r="S4451">
            <v>0</v>
          </cell>
        </row>
        <row r="4452">
          <cell r="A4452" t="str">
            <v>Y060-009</v>
          </cell>
          <cell r="B4452" t="str">
            <v>LCT013-124</v>
          </cell>
          <cell r="C4452" t="str">
            <v>Y060</v>
          </cell>
          <cell r="D4452" t="str">
            <v>2AII744546</v>
          </cell>
          <cell r="E4452" t="str">
            <v>I74-454 前框上橫飾條</v>
          </cell>
          <cell r="F4452" t="str">
            <v>1619*21*19</v>
          </cell>
          <cell r="G4452">
            <v>1619</v>
          </cell>
          <cell r="H4452">
            <v>21</v>
          </cell>
          <cell r="I4452">
            <v>19</v>
          </cell>
          <cell r="J4452">
            <v>690</v>
          </cell>
          <cell r="K4452">
            <v>1.65</v>
          </cell>
          <cell r="L4452">
            <v>1.86</v>
          </cell>
          <cell r="M4452">
            <v>0</v>
          </cell>
          <cell r="N4452">
            <v>0</v>
          </cell>
          <cell r="O4452" t="str">
            <v>40V</v>
          </cell>
          <cell r="P4452" t="str">
            <v>1010</v>
          </cell>
          <cell r="Q4452">
            <v>1010</v>
          </cell>
          <cell r="R4452">
            <v>2.6956521739130439</v>
          </cell>
          <cell r="S4452">
            <v>0</v>
          </cell>
          <cell r="T4452">
            <v>0</v>
          </cell>
        </row>
        <row r="4453">
          <cell r="A4453" t="str">
            <v>Y060-010</v>
          </cell>
          <cell r="B4453" t="str">
            <v>LCT013-128</v>
          </cell>
          <cell r="C4453" t="str">
            <v>Y060</v>
          </cell>
          <cell r="D4453" t="str">
            <v>2AII744561</v>
          </cell>
          <cell r="E4453" t="str">
            <v>I74-456 前中飾條</v>
          </cell>
          <cell r="F4453" t="str">
            <v>877*21*19</v>
          </cell>
          <cell r="G4453">
            <v>877</v>
          </cell>
          <cell r="H4453">
            <v>21</v>
          </cell>
          <cell r="I4453">
            <v>19</v>
          </cell>
          <cell r="J4453">
            <v>370</v>
          </cell>
          <cell r="K4453">
            <v>0.90200000000000002</v>
          </cell>
          <cell r="L4453">
            <v>1</v>
          </cell>
          <cell r="M4453">
            <v>0</v>
          </cell>
          <cell r="N4453">
            <v>0</v>
          </cell>
          <cell r="O4453" t="str">
            <v>40V</v>
          </cell>
          <cell r="P4453" t="str">
            <v>1010</v>
          </cell>
          <cell r="Q4453">
            <v>1010</v>
          </cell>
          <cell r="R4453">
            <v>2.7027027027027026</v>
          </cell>
          <cell r="S4453">
            <v>0</v>
          </cell>
          <cell r="T4453">
            <v>0</v>
          </cell>
        </row>
        <row r="4454">
          <cell r="A4454" t="str">
            <v>Y060-011</v>
          </cell>
          <cell r="B4454" t="str">
            <v>LCT013-158</v>
          </cell>
          <cell r="C4454" t="str">
            <v>Y060</v>
          </cell>
          <cell r="D4454" t="str">
            <v>2AII744911</v>
          </cell>
          <cell r="E4454" t="str">
            <v>I74-491 底板飾條</v>
          </cell>
          <cell r="F4454" t="str">
            <v>2200*19*15</v>
          </cell>
          <cell r="G4454">
            <v>2200</v>
          </cell>
          <cell r="H4454">
            <v>19</v>
          </cell>
          <cell r="I4454">
            <v>15</v>
          </cell>
          <cell r="J4454">
            <v>820</v>
          </cell>
          <cell r="K4454">
            <v>1.7909999999999999</v>
          </cell>
          <cell r="L4454">
            <v>2.21</v>
          </cell>
          <cell r="M4454">
            <v>0</v>
          </cell>
          <cell r="N4454">
            <v>0</v>
          </cell>
          <cell r="O4454" t="str">
            <v>40V</v>
          </cell>
          <cell r="P4454" t="str">
            <v>1010</v>
          </cell>
          <cell r="Q4454">
            <v>1010</v>
          </cell>
          <cell r="R4454">
            <v>2.6951219512195124</v>
          </cell>
          <cell r="S4454">
            <v>0</v>
          </cell>
        </row>
        <row r="4455">
          <cell r="A4455" t="str">
            <v>Y060-012</v>
          </cell>
          <cell r="B4455" t="str">
            <v>LCT013-137</v>
          </cell>
          <cell r="C4455" t="str">
            <v>Y060</v>
          </cell>
          <cell r="D4455" t="str">
            <v>2AII7494504501</v>
          </cell>
          <cell r="E4455" t="str">
            <v>I74-9450/450前框上橫飾條</v>
          </cell>
          <cell r="F4455" t="str">
            <v>700*21*19</v>
          </cell>
          <cell r="G4455">
            <v>700</v>
          </cell>
          <cell r="H4455">
            <v>21</v>
          </cell>
          <cell r="I4455">
            <v>19</v>
          </cell>
          <cell r="J4455">
            <v>305</v>
          </cell>
          <cell r="K4455">
            <v>0.72599999999999998</v>
          </cell>
          <cell r="L4455">
            <v>0.85</v>
          </cell>
          <cell r="M4455">
            <v>0</v>
          </cell>
          <cell r="N4455">
            <v>0</v>
          </cell>
          <cell r="O4455" t="str">
            <v>40V</v>
          </cell>
          <cell r="P4455" t="str">
            <v>1010</v>
          </cell>
          <cell r="Q4455">
            <v>1010</v>
          </cell>
          <cell r="R4455">
            <v>2.7868852459016393</v>
          </cell>
          <cell r="S4455">
            <v>0</v>
          </cell>
          <cell r="T4455">
            <v>0</v>
          </cell>
        </row>
        <row r="4456">
          <cell r="A4456" t="str">
            <v>Y060-013</v>
          </cell>
          <cell r="B4456" t="str">
            <v>LCT013-133</v>
          </cell>
          <cell r="C4456" t="str">
            <v>Y060</v>
          </cell>
          <cell r="D4456" t="str">
            <v>2A1I74454J1</v>
          </cell>
          <cell r="E4456" t="str">
            <v>174-454J 底框前飾條</v>
          </cell>
          <cell r="F4456" t="str">
            <v>2203*21*19</v>
          </cell>
          <cell r="G4456">
            <v>2203</v>
          </cell>
          <cell r="H4456">
            <v>21</v>
          </cell>
          <cell r="I4456">
            <v>19</v>
          </cell>
          <cell r="J4456">
            <v>880</v>
          </cell>
          <cell r="K4456">
            <v>2.38</v>
          </cell>
          <cell r="L4456">
            <v>2.1779999999999999</v>
          </cell>
          <cell r="M4456">
            <v>0</v>
          </cell>
          <cell r="N4456">
            <v>0</v>
          </cell>
          <cell r="O4456" t="str">
            <v>40V</v>
          </cell>
          <cell r="P4456" t="str">
            <v>1010</v>
          </cell>
          <cell r="Q4456">
            <v>1010</v>
          </cell>
          <cell r="R4456">
            <v>2.4750000000000001</v>
          </cell>
          <cell r="S4456">
            <v>0</v>
          </cell>
        </row>
        <row r="4457">
          <cell r="A4457" t="str">
            <v>Y060-014</v>
          </cell>
          <cell r="B4457">
            <v>0</v>
          </cell>
          <cell r="C4457" t="str">
            <v>Y060</v>
          </cell>
          <cell r="D4457" t="str">
            <v>2A1I744851</v>
          </cell>
          <cell r="E4457" t="str">
            <v>I74-485前柜上横饰条</v>
          </cell>
          <cell r="F4457" t="str">
            <v>1061*21*19</v>
          </cell>
          <cell r="G4457">
            <v>1061</v>
          </cell>
          <cell r="H4457">
            <v>21</v>
          </cell>
          <cell r="I4457">
            <v>19</v>
          </cell>
          <cell r="J4457">
            <v>476</v>
          </cell>
          <cell r="K4457">
            <v>1.3</v>
          </cell>
          <cell r="L4457">
            <v>1.08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2.2689075630252105</v>
          </cell>
          <cell r="S4457">
            <v>0</v>
          </cell>
        </row>
        <row r="4458">
          <cell r="A4458" t="str">
            <v>Y060-015</v>
          </cell>
          <cell r="B4458" t="str">
            <v>Y013-143</v>
          </cell>
          <cell r="C4458" t="str">
            <v>Y060</v>
          </cell>
          <cell r="D4458" t="str">
            <v>2A1I743319</v>
          </cell>
          <cell r="E4458" t="str">
            <v>前中立水飾條</v>
          </cell>
          <cell r="F4458" t="str">
            <v>1174*19*15</v>
          </cell>
          <cell r="G4458">
            <v>1174</v>
          </cell>
          <cell r="H4458">
            <v>19</v>
          </cell>
          <cell r="I4458">
            <v>15</v>
          </cell>
          <cell r="J4458">
            <v>510</v>
          </cell>
          <cell r="K4458">
            <v>1.38</v>
          </cell>
          <cell r="L4458">
            <v>1.28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2.5098039215686274</v>
          </cell>
          <cell r="S4458">
            <v>0</v>
          </cell>
        </row>
        <row r="4459">
          <cell r="A4459" t="str">
            <v>Y060-016</v>
          </cell>
          <cell r="B4459">
            <v>0</v>
          </cell>
          <cell r="C4459" t="str">
            <v>Y060</v>
          </cell>
          <cell r="D4459" t="str">
            <v>2A1I393192</v>
          </cell>
          <cell r="E4459" t="str">
            <v>中门框整饰条</v>
          </cell>
          <cell r="F4459" t="str">
            <v>66*33*10</v>
          </cell>
          <cell r="G4459">
            <v>66</v>
          </cell>
          <cell r="H4459">
            <v>33</v>
          </cell>
          <cell r="I4459">
            <v>10</v>
          </cell>
          <cell r="J4459">
            <v>0</v>
          </cell>
          <cell r="K4459">
            <v>0</v>
          </cell>
          <cell r="L4459">
            <v>7.0000000000000007E-2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</row>
        <row r="4460">
          <cell r="A4460" t="str">
            <v>Y060-017</v>
          </cell>
          <cell r="B4460">
            <v>0</v>
          </cell>
          <cell r="C4460" t="str">
            <v>Y060</v>
          </cell>
          <cell r="D4460" t="str">
            <v>2A1I393321</v>
          </cell>
          <cell r="E4460" t="str">
            <v>门板内整饰条2</v>
          </cell>
          <cell r="F4460" t="str">
            <v>66*33*10</v>
          </cell>
          <cell r="G4460">
            <v>66</v>
          </cell>
          <cell r="H4460">
            <v>33</v>
          </cell>
          <cell r="I4460">
            <v>10</v>
          </cell>
          <cell r="J4460">
            <v>0</v>
          </cell>
          <cell r="K4460">
            <v>0</v>
          </cell>
          <cell r="L4460">
            <v>7.0000000000000007E-2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</row>
        <row r="4461">
          <cell r="A4461" t="str">
            <v>Y060-018</v>
          </cell>
          <cell r="B4461">
            <v>0</v>
          </cell>
          <cell r="C4461" t="str">
            <v>Y060</v>
          </cell>
          <cell r="D4461" t="str">
            <v>2A01I393960WD1</v>
          </cell>
          <cell r="E4461" t="str">
            <v>脚柱</v>
          </cell>
          <cell r="F4461" t="str">
            <v>682*57*445</v>
          </cell>
          <cell r="G4461">
            <v>682</v>
          </cell>
          <cell r="H4461">
            <v>57</v>
          </cell>
          <cell r="I4461">
            <v>445</v>
          </cell>
          <cell r="J4461">
            <v>0</v>
          </cell>
          <cell r="K4461">
            <v>0</v>
          </cell>
          <cell r="L4461">
            <v>12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</row>
        <row r="4462">
          <cell r="A4462" t="str">
            <v>Y060-019</v>
          </cell>
          <cell r="B4462" t="str">
            <v>Y013-151</v>
          </cell>
          <cell r="C4462" t="str">
            <v>Y060</v>
          </cell>
          <cell r="D4462" t="str">
            <v>2A1I743224</v>
          </cell>
          <cell r="E4462" t="str">
            <v>前立水中飾條</v>
          </cell>
          <cell r="F4462" t="str">
            <v>670*19*15</v>
          </cell>
          <cell r="G4462">
            <v>670</v>
          </cell>
          <cell r="H4462">
            <v>19</v>
          </cell>
          <cell r="I4462">
            <v>15</v>
          </cell>
          <cell r="J4462">
            <v>300</v>
          </cell>
          <cell r="K4462">
            <v>0</v>
          </cell>
          <cell r="L4462">
            <v>0.75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</row>
        <row r="4463">
          <cell r="A4463" t="str">
            <v>Y060-020</v>
          </cell>
          <cell r="B4463" t="str">
            <v>Y013-192</v>
          </cell>
          <cell r="C4463" t="str">
            <v>Y060</v>
          </cell>
          <cell r="D4463" t="str">
            <v>I74-305</v>
          </cell>
          <cell r="E4463" t="str">
            <v>側前中立水飾條</v>
          </cell>
          <cell r="F4463" t="str">
            <v>664*19*15</v>
          </cell>
          <cell r="G4463">
            <v>664</v>
          </cell>
          <cell r="H4463">
            <v>19</v>
          </cell>
          <cell r="I4463">
            <v>15</v>
          </cell>
          <cell r="J4463">
            <v>320</v>
          </cell>
          <cell r="K4463">
            <v>0</v>
          </cell>
          <cell r="L4463">
            <v>0.74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</row>
        <row r="4464">
          <cell r="A4464" t="str">
            <v>Y060-021</v>
          </cell>
          <cell r="B4464" t="str">
            <v>Y013-151</v>
          </cell>
          <cell r="C4464" t="str">
            <v>Y060</v>
          </cell>
          <cell r="D4464" t="str">
            <v>2A1I743224</v>
          </cell>
          <cell r="E4464" t="str">
            <v>前立水中飾條</v>
          </cell>
          <cell r="F4464" t="str">
            <v>670*19*15</v>
          </cell>
          <cell r="G4464">
            <v>670</v>
          </cell>
          <cell r="H4464">
            <v>19</v>
          </cell>
          <cell r="I4464">
            <v>15</v>
          </cell>
          <cell r="J4464">
            <v>300</v>
          </cell>
          <cell r="K4464">
            <v>0</v>
          </cell>
          <cell r="L4464">
            <v>0.75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</row>
        <row r="4465">
          <cell r="A4465" t="str">
            <v>Y060-022</v>
          </cell>
          <cell r="B4465" t="str">
            <v>Y013-137</v>
          </cell>
          <cell r="C4465" t="str">
            <v>Y060</v>
          </cell>
          <cell r="D4465" t="str">
            <v>2A1I743234</v>
          </cell>
          <cell r="E4465" t="str">
            <v>側上中飾條-L（左）</v>
          </cell>
          <cell r="F4465" t="str">
            <v>421*19*15</v>
          </cell>
          <cell r="G4465">
            <v>421</v>
          </cell>
          <cell r="H4465">
            <v>19</v>
          </cell>
          <cell r="I4465">
            <v>15</v>
          </cell>
          <cell r="J4465">
            <v>200</v>
          </cell>
          <cell r="K4465">
            <v>0</v>
          </cell>
          <cell r="L4465">
            <v>0.47899999999999998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</row>
        <row r="4466">
          <cell r="A4466" t="str">
            <v>Y060-023</v>
          </cell>
          <cell r="B4466" t="str">
            <v>Y013-138</v>
          </cell>
          <cell r="C4466" t="str">
            <v>Y060</v>
          </cell>
          <cell r="D4466" t="str">
            <v>2A1I743235</v>
          </cell>
          <cell r="E4466" t="str">
            <v>側上中飾條-R （右）</v>
          </cell>
          <cell r="F4466" t="str">
            <v>421*19*15</v>
          </cell>
          <cell r="G4466">
            <v>421</v>
          </cell>
          <cell r="H4466">
            <v>19</v>
          </cell>
          <cell r="I4466">
            <v>15</v>
          </cell>
          <cell r="J4466">
            <v>200</v>
          </cell>
          <cell r="K4466">
            <v>0</v>
          </cell>
          <cell r="L4466">
            <v>0.47899999999999998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</row>
        <row r="4467">
          <cell r="A4467" t="str">
            <v>Y060-024</v>
          </cell>
          <cell r="B4467" t="str">
            <v>Y013-152</v>
          </cell>
          <cell r="C4467" t="str">
            <v>Y060</v>
          </cell>
          <cell r="D4467" t="str">
            <v>2A1I743231</v>
          </cell>
          <cell r="E4467" t="str">
            <v>飾條框</v>
          </cell>
          <cell r="F4467" t="str">
            <v>2531*19*15</v>
          </cell>
          <cell r="G4467">
            <v>2531</v>
          </cell>
          <cell r="H4467">
            <v>19</v>
          </cell>
          <cell r="I4467">
            <v>15</v>
          </cell>
          <cell r="J4467">
            <v>1000</v>
          </cell>
          <cell r="K4467">
            <v>0</v>
          </cell>
          <cell r="L4467">
            <v>2.7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</row>
        <row r="4468">
          <cell r="A4468" t="str">
            <v>Y060-025</v>
          </cell>
          <cell r="B4468" t="str">
            <v>Y013-146</v>
          </cell>
          <cell r="C4468" t="str">
            <v>Y060</v>
          </cell>
          <cell r="D4468" t="str">
            <v>2A1I743345</v>
          </cell>
          <cell r="E4468" t="str">
            <v>層板下橫2飾條-L</v>
          </cell>
          <cell r="F4468" t="str">
            <v>682*19*15</v>
          </cell>
          <cell r="G4468">
            <v>682</v>
          </cell>
          <cell r="H4468">
            <v>19</v>
          </cell>
          <cell r="I4468">
            <v>15</v>
          </cell>
          <cell r="J4468">
            <v>320</v>
          </cell>
          <cell r="K4468">
            <v>0</v>
          </cell>
          <cell r="L4468">
            <v>0.8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</row>
        <row r="4469">
          <cell r="A4469" t="str">
            <v>Y060-026</v>
          </cell>
          <cell r="B4469" t="str">
            <v>Y013-148</v>
          </cell>
          <cell r="C4469" t="str">
            <v>Y060</v>
          </cell>
          <cell r="D4469" t="str">
            <v>2A1I743346</v>
          </cell>
          <cell r="E4469" t="str">
            <v>左側板中飾條2</v>
          </cell>
          <cell r="F4469" t="str">
            <v>437*19*15</v>
          </cell>
          <cell r="G4469">
            <v>437</v>
          </cell>
          <cell r="H4469">
            <v>19</v>
          </cell>
          <cell r="I4469">
            <v>15</v>
          </cell>
          <cell r="J4469">
            <v>220</v>
          </cell>
          <cell r="K4469">
            <v>0</v>
          </cell>
          <cell r="L4469">
            <v>0.49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</row>
        <row r="4470">
          <cell r="A4470" t="str">
            <v>Y060-027</v>
          </cell>
          <cell r="B4470" t="str">
            <v>Y013-150</v>
          </cell>
          <cell r="C4470" t="str">
            <v>Y060</v>
          </cell>
          <cell r="D4470" t="str">
            <v>2A1I743349</v>
          </cell>
          <cell r="E4470" t="str">
            <v>前上立水飾條-R</v>
          </cell>
          <cell r="F4470" t="str">
            <v>683*19*15</v>
          </cell>
          <cell r="G4470">
            <v>683</v>
          </cell>
          <cell r="H4470">
            <v>19</v>
          </cell>
          <cell r="I4470">
            <v>15</v>
          </cell>
          <cell r="J4470">
            <v>320</v>
          </cell>
          <cell r="K4470">
            <v>0</v>
          </cell>
          <cell r="L4470">
            <v>0.8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</row>
        <row r="4471">
          <cell r="A4471" t="str">
            <v>Y060-028</v>
          </cell>
          <cell r="B4471" t="str">
            <v>Y013-145</v>
          </cell>
          <cell r="C4471" t="str">
            <v>Y060</v>
          </cell>
          <cell r="D4471" t="str">
            <v>2A1I743351</v>
          </cell>
          <cell r="E4471" t="str">
            <v>中頂冠飾條-R</v>
          </cell>
          <cell r="F4471" t="str">
            <v>1005*19*15</v>
          </cell>
          <cell r="G4471">
            <v>1005</v>
          </cell>
          <cell r="H4471">
            <v>19</v>
          </cell>
          <cell r="I4471">
            <v>15</v>
          </cell>
          <cell r="J4471">
            <v>450</v>
          </cell>
          <cell r="K4471">
            <v>0</v>
          </cell>
          <cell r="L4471">
            <v>1.1200000000000001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</row>
        <row r="4472">
          <cell r="A4472" t="str">
            <v>Y060-029</v>
          </cell>
          <cell r="B4472" t="str">
            <v>Y013-149</v>
          </cell>
          <cell r="C4472" t="str">
            <v>Y060</v>
          </cell>
          <cell r="D4472" t="str">
            <v>2A1I743359</v>
          </cell>
          <cell r="E4472" t="str">
            <v>前上立水飾條-L</v>
          </cell>
          <cell r="F4472" t="str">
            <v>683*19*15</v>
          </cell>
          <cell r="G4472">
            <v>683</v>
          </cell>
          <cell r="H4472">
            <v>19</v>
          </cell>
          <cell r="I4472">
            <v>15</v>
          </cell>
          <cell r="J4472">
            <v>320</v>
          </cell>
          <cell r="K4472">
            <v>0</v>
          </cell>
          <cell r="L4472">
            <v>0.8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</row>
        <row r="4473">
          <cell r="A4473" t="str">
            <v>Y060-030</v>
          </cell>
          <cell r="B4473" t="str">
            <v>Y013-193</v>
          </cell>
          <cell r="C4473" t="str">
            <v>Y060</v>
          </cell>
          <cell r="D4473" t="str">
            <v>174-336</v>
          </cell>
          <cell r="E4473" t="str">
            <v>中頂冠飾條</v>
          </cell>
          <cell r="F4473" t="str">
            <v>1958*19*15</v>
          </cell>
          <cell r="G4473">
            <v>1958</v>
          </cell>
          <cell r="H4473">
            <v>19</v>
          </cell>
          <cell r="I4473">
            <v>15</v>
          </cell>
          <cell r="J4473">
            <v>800</v>
          </cell>
          <cell r="K4473">
            <v>0</v>
          </cell>
          <cell r="L4473">
            <v>2.16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</row>
        <row r="4474">
          <cell r="A4474" t="str">
            <v>Y060-031</v>
          </cell>
          <cell r="B4474" t="str">
            <v>Y013-147</v>
          </cell>
          <cell r="C4474" t="str">
            <v>Y060</v>
          </cell>
          <cell r="D4474" t="str">
            <v>2A1I743355</v>
          </cell>
          <cell r="E4474" t="str">
            <v>層板下橫2飾條-R</v>
          </cell>
          <cell r="F4474" t="str">
            <v>682*19*15</v>
          </cell>
          <cell r="G4474">
            <v>682</v>
          </cell>
          <cell r="H4474">
            <v>19</v>
          </cell>
          <cell r="I4474">
            <v>15</v>
          </cell>
          <cell r="J4474">
            <v>320</v>
          </cell>
          <cell r="K4474">
            <v>0</v>
          </cell>
          <cell r="L4474">
            <v>0.8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</row>
        <row r="4475">
          <cell r="A4475" t="str">
            <v>Y060-032</v>
          </cell>
          <cell r="B4475" t="str">
            <v>Y013-135</v>
          </cell>
          <cell r="C4475" t="str">
            <v>Y060</v>
          </cell>
          <cell r="D4475" t="str">
            <v>2A1I743356</v>
          </cell>
          <cell r="E4475" t="str">
            <v>右側板中飾條-R</v>
          </cell>
          <cell r="F4475" t="str">
            <v>437*19*15</v>
          </cell>
          <cell r="G4475">
            <v>437</v>
          </cell>
          <cell r="H4475">
            <v>19</v>
          </cell>
          <cell r="I4475">
            <v>15</v>
          </cell>
          <cell r="J4475">
            <v>210</v>
          </cell>
          <cell r="K4475">
            <v>0</v>
          </cell>
          <cell r="L4475">
            <v>0.49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</row>
        <row r="4476">
          <cell r="A4476" t="str">
            <v>Y060-033</v>
          </cell>
          <cell r="B4476" t="str">
            <v>Y013-191</v>
          </cell>
          <cell r="C4476" t="str">
            <v>Y060</v>
          </cell>
          <cell r="D4476" t="str">
            <v>174-336</v>
          </cell>
          <cell r="E4476" t="str">
            <v>前上立水飾條</v>
          </cell>
          <cell r="F4476" t="str">
            <v>1088*19*15</v>
          </cell>
          <cell r="G4476">
            <v>1088</v>
          </cell>
          <cell r="H4476">
            <v>19</v>
          </cell>
          <cell r="I4476">
            <v>15</v>
          </cell>
          <cell r="J4476">
            <v>500</v>
          </cell>
          <cell r="K4476">
            <v>0</v>
          </cell>
          <cell r="L4476">
            <v>1.19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</row>
        <row r="4477">
          <cell r="A4477" t="str">
            <v>Y060-034</v>
          </cell>
          <cell r="B4477" t="str">
            <v>Y013-190</v>
          </cell>
          <cell r="C4477" t="str">
            <v>Y060</v>
          </cell>
          <cell r="D4477" t="str">
            <v>174-336</v>
          </cell>
          <cell r="E4477" t="str">
            <v>層板下橫2飾條</v>
          </cell>
          <cell r="F4477" t="str">
            <v>1077*19*15</v>
          </cell>
          <cell r="G4477">
            <v>1077</v>
          </cell>
          <cell r="H4477">
            <v>19</v>
          </cell>
          <cell r="I4477">
            <v>15</v>
          </cell>
          <cell r="J4477">
            <v>480</v>
          </cell>
          <cell r="K4477">
            <v>0</v>
          </cell>
          <cell r="L4477">
            <v>1.18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</row>
        <row r="4478">
          <cell r="A4478" t="str">
            <v>Y060-035</v>
          </cell>
          <cell r="B4478" t="str">
            <v>Y013-241</v>
          </cell>
          <cell r="C4478" t="str">
            <v>Y060</v>
          </cell>
          <cell r="D4478" t="str">
            <v>2A1I39300B1</v>
          </cell>
          <cell r="E4478" t="str">
            <v>下角饰条,软POLY</v>
          </cell>
          <cell r="F4478" t="str">
            <v>129*36*51</v>
          </cell>
          <cell r="G4478">
            <v>129</v>
          </cell>
          <cell r="H4478">
            <v>36</v>
          </cell>
          <cell r="I4478">
            <v>51</v>
          </cell>
          <cell r="J4478">
            <v>212</v>
          </cell>
          <cell r="K4478">
            <v>0</v>
          </cell>
          <cell r="L4478">
            <v>0.85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 t="str">
            <v>1010</v>
          </cell>
          <cell r="R4478">
            <v>4.0094339622641506</v>
          </cell>
          <cell r="S4478">
            <v>0</v>
          </cell>
          <cell r="T4478">
            <v>0</v>
          </cell>
        </row>
        <row r="4479">
          <cell r="A4479" t="str">
            <v>Y060-036</v>
          </cell>
          <cell r="B4479" t="str">
            <v>Y013-242</v>
          </cell>
          <cell r="C4479" t="str">
            <v>Y060</v>
          </cell>
          <cell r="D4479" t="str">
            <v>2A1T39300T1</v>
          </cell>
          <cell r="E4479" t="str">
            <v>下角饰条,软POLY</v>
          </cell>
          <cell r="F4479" t="str">
            <v>127*33*25</v>
          </cell>
          <cell r="G4479">
            <v>127</v>
          </cell>
          <cell r="H4479">
            <v>33</v>
          </cell>
          <cell r="I4479">
            <v>25</v>
          </cell>
          <cell r="J4479">
            <v>72</v>
          </cell>
          <cell r="K4479">
            <v>0</v>
          </cell>
          <cell r="L4479">
            <v>0.34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 t="str">
            <v>1010</v>
          </cell>
          <cell r="R4479">
            <v>4.7222222222222232</v>
          </cell>
          <cell r="S4479">
            <v>0</v>
          </cell>
          <cell r="T4479">
            <v>0</v>
          </cell>
        </row>
        <row r="4480">
          <cell r="A4480" t="str">
            <v>Y060-037</v>
          </cell>
          <cell r="B4480" t="str">
            <v>Y013-257</v>
          </cell>
          <cell r="C4480" t="str">
            <v>Y060</v>
          </cell>
          <cell r="D4480" t="str">
            <v>2A1I393781</v>
          </cell>
          <cell r="E4480" t="str">
            <v>侧板上内紧饰条1</v>
          </cell>
          <cell r="F4480" t="str">
            <v>94*48*10</v>
          </cell>
          <cell r="G4480">
            <v>94</v>
          </cell>
          <cell r="H4480">
            <v>48</v>
          </cell>
          <cell r="I4480">
            <v>10</v>
          </cell>
          <cell r="J4480">
            <v>0</v>
          </cell>
          <cell r="K4480">
            <v>0</v>
          </cell>
          <cell r="L4480">
            <v>7.0000000000000007E-2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</row>
        <row r="4481">
          <cell r="A4481" t="str">
            <v>Y060-038</v>
          </cell>
          <cell r="B4481" t="str">
            <v>Y013-256</v>
          </cell>
          <cell r="C4481" t="str">
            <v>Y060</v>
          </cell>
          <cell r="D4481" t="str">
            <v>2A1I393191</v>
          </cell>
          <cell r="E4481" t="str">
            <v>中上横紧饰条1</v>
          </cell>
          <cell r="F4481" t="str">
            <v>112*51*10</v>
          </cell>
          <cell r="G4481">
            <v>112</v>
          </cell>
          <cell r="H4481">
            <v>51</v>
          </cell>
          <cell r="I4481">
            <v>10</v>
          </cell>
          <cell r="J4481">
            <v>0</v>
          </cell>
          <cell r="K4481">
            <v>0</v>
          </cell>
          <cell r="L4481">
            <v>0.1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</row>
        <row r="4482">
          <cell r="A4482" t="str">
            <v>Y060-039</v>
          </cell>
          <cell r="B4482" t="str">
            <v>Y013-243</v>
          </cell>
          <cell r="C4482" t="str">
            <v>Y013</v>
          </cell>
          <cell r="D4482" t="str">
            <v>2A1I39360WD3</v>
          </cell>
          <cell r="E4482" t="str">
            <v>下角饰条,软POLY</v>
          </cell>
          <cell r="F4482" t="str">
            <v>123*24*19</v>
          </cell>
          <cell r="G4482">
            <v>123</v>
          </cell>
          <cell r="H4482">
            <v>24</v>
          </cell>
          <cell r="I4482">
            <v>19</v>
          </cell>
          <cell r="J4482">
            <v>61</v>
          </cell>
          <cell r="K4482">
            <v>0</v>
          </cell>
          <cell r="L4482">
            <v>0.2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 t="str">
            <v>1010</v>
          </cell>
          <cell r="R4482">
            <v>3.278688524590164</v>
          </cell>
          <cell r="S4482">
            <v>0</v>
          </cell>
          <cell r="T4482">
            <v>0</v>
          </cell>
        </row>
        <row r="4483">
          <cell r="A4483" t="str">
            <v>Y060-240</v>
          </cell>
          <cell r="B4483">
            <v>0</v>
          </cell>
          <cell r="C4483" t="str">
            <v>Y060</v>
          </cell>
          <cell r="D4483" t="str">
            <v>2A1249511</v>
          </cell>
          <cell r="E4483" t="str">
            <v>2A1249511</v>
          </cell>
          <cell r="F4483" t="str">
            <v>220*13*3</v>
          </cell>
          <cell r="G4483">
            <v>220</v>
          </cell>
          <cell r="H4483">
            <v>13</v>
          </cell>
          <cell r="I4483">
            <v>3</v>
          </cell>
          <cell r="J4483">
            <v>0</v>
          </cell>
          <cell r="K4483">
            <v>0</v>
          </cell>
          <cell r="L4483">
            <v>0.06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 t="e">
            <v>#DIV/0!</v>
          </cell>
          <cell r="S4483">
            <v>0</v>
          </cell>
        </row>
        <row r="4484">
          <cell r="A4484" t="str">
            <v>Y061-001</v>
          </cell>
          <cell r="B4484" t="str">
            <v>越發3廠</v>
          </cell>
          <cell r="C4484" t="str">
            <v>Y061</v>
          </cell>
          <cell r="D4484">
            <v>0</v>
          </cell>
          <cell r="E4484" t="str">
            <v>椅背飾花</v>
          </cell>
          <cell r="F4484" t="str">
            <v>260*40*8</v>
          </cell>
          <cell r="G4484">
            <v>260</v>
          </cell>
          <cell r="H4484">
            <v>40</v>
          </cell>
          <cell r="I4484">
            <v>8</v>
          </cell>
          <cell r="J4484">
            <v>0</v>
          </cell>
          <cell r="K4484">
            <v>0</v>
          </cell>
          <cell r="L4484">
            <v>0.17299999999999999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 t="e">
            <v>#DIV/0!</v>
          </cell>
          <cell r="S4484">
            <v>0</v>
          </cell>
        </row>
        <row r="4485">
          <cell r="A4485" t="str">
            <v>Y061-002</v>
          </cell>
          <cell r="B4485" t="str">
            <v>越發3廠</v>
          </cell>
          <cell r="C4485" t="str">
            <v>Y061</v>
          </cell>
          <cell r="D4485">
            <v>0</v>
          </cell>
          <cell r="E4485" t="str">
            <v>餐桌飾花 - 右</v>
          </cell>
          <cell r="F4485" t="str">
            <v>180*40*8</v>
          </cell>
          <cell r="G4485">
            <v>180</v>
          </cell>
          <cell r="H4485">
            <v>40</v>
          </cell>
          <cell r="I4485">
            <v>8</v>
          </cell>
          <cell r="J4485">
            <v>0</v>
          </cell>
          <cell r="K4485">
            <v>0</v>
          </cell>
          <cell r="L4485">
            <v>0.115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 t="e">
            <v>#DIV/0!</v>
          </cell>
          <cell r="S4485">
            <v>0</v>
          </cell>
        </row>
        <row r="4486">
          <cell r="A4486" t="str">
            <v>Y061-003</v>
          </cell>
          <cell r="B4486" t="str">
            <v>越發3廠</v>
          </cell>
          <cell r="C4486" t="str">
            <v>Y061</v>
          </cell>
          <cell r="D4486">
            <v>0</v>
          </cell>
          <cell r="E4486" t="str">
            <v>餐桌飾花 - 左</v>
          </cell>
          <cell r="F4486" t="str">
            <v>200*40*8</v>
          </cell>
          <cell r="G4486">
            <v>200</v>
          </cell>
          <cell r="H4486">
            <v>40</v>
          </cell>
          <cell r="I4486">
            <v>8</v>
          </cell>
          <cell r="J4486">
            <v>0</v>
          </cell>
          <cell r="K4486">
            <v>0</v>
          </cell>
          <cell r="L4486">
            <v>0.115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 t="e">
            <v>#DIV/0!</v>
          </cell>
          <cell r="S4486">
            <v>0</v>
          </cell>
        </row>
        <row r="4487">
          <cell r="A4487" t="str">
            <v>Y061-004</v>
          </cell>
          <cell r="B4487" t="str">
            <v>越發3廠</v>
          </cell>
          <cell r="C4487" t="str">
            <v>Y061</v>
          </cell>
          <cell r="D4487" t="str">
            <v>PO#041513</v>
          </cell>
          <cell r="E4487" t="str">
            <v>poly飾塊</v>
          </cell>
          <cell r="F4487" t="str">
            <v>34*34*6</v>
          </cell>
          <cell r="G4487">
            <v>34</v>
          </cell>
          <cell r="H4487">
            <v>34</v>
          </cell>
          <cell r="I4487">
            <v>6</v>
          </cell>
          <cell r="J4487">
            <v>0</v>
          </cell>
          <cell r="K4487">
            <v>0</v>
          </cell>
          <cell r="L4487">
            <v>0.08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 t="e">
            <v>#DIV/0!</v>
          </cell>
          <cell r="S4487">
            <v>0</v>
          </cell>
        </row>
        <row r="4488">
          <cell r="A4488" t="str">
            <v>Y061-005</v>
          </cell>
          <cell r="B4488" t="str">
            <v>越發3廠</v>
          </cell>
          <cell r="C4488" t="str">
            <v>Y061</v>
          </cell>
          <cell r="D4488" t="str">
            <v>D900</v>
          </cell>
          <cell r="E4488">
            <v>0</v>
          </cell>
          <cell r="F4488" t="str">
            <v>30*30*6</v>
          </cell>
          <cell r="G4488">
            <v>30</v>
          </cell>
          <cell r="H4488">
            <v>30</v>
          </cell>
          <cell r="I4488">
            <v>6</v>
          </cell>
          <cell r="J4488">
            <v>0</v>
          </cell>
          <cell r="K4488">
            <v>0</v>
          </cell>
          <cell r="L4488">
            <v>0.08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 t="e">
            <v>#DIV/0!</v>
          </cell>
          <cell r="S4488">
            <v>0</v>
          </cell>
        </row>
        <row r="4489">
          <cell r="A4489" t="str">
            <v>Y061-006</v>
          </cell>
          <cell r="B4489">
            <v>0</v>
          </cell>
          <cell r="C4489" t="str">
            <v>Y061</v>
          </cell>
          <cell r="D4489">
            <v>0</v>
          </cell>
          <cell r="E4489">
            <v>0</v>
          </cell>
          <cell r="F4489" t="str">
            <v>1220*12*6</v>
          </cell>
          <cell r="G4489">
            <v>1220</v>
          </cell>
          <cell r="H4489">
            <v>12</v>
          </cell>
          <cell r="I4489">
            <v>6</v>
          </cell>
          <cell r="J4489">
            <v>96</v>
          </cell>
          <cell r="K4489">
            <v>0</v>
          </cell>
          <cell r="L4489">
            <v>0.45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4.6875</v>
          </cell>
          <cell r="S4489">
            <v>0</v>
          </cell>
        </row>
        <row r="4490">
          <cell r="A4490" t="str">
            <v>Y061-007</v>
          </cell>
          <cell r="B4490">
            <v>0</v>
          </cell>
          <cell r="C4490" t="str">
            <v>Y061</v>
          </cell>
          <cell r="D4490" t="str">
            <v>170330-14-15</v>
          </cell>
          <cell r="E4490" t="str">
            <v>饰条</v>
          </cell>
          <cell r="F4490" t="str">
            <v>1840*24*14</v>
          </cell>
          <cell r="G4490">
            <v>1840</v>
          </cell>
          <cell r="H4490">
            <v>24</v>
          </cell>
          <cell r="I4490">
            <v>14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</row>
        <row r="4491">
          <cell r="A4491" t="str">
            <v>Y061-008</v>
          </cell>
          <cell r="B4491">
            <v>0</v>
          </cell>
          <cell r="C4491" t="str">
            <v>Y061</v>
          </cell>
          <cell r="D4491" t="str">
            <v>170330-14-15</v>
          </cell>
          <cell r="E4491" t="str">
            <v>饰条</v>
          </cell>
          <cell r="F4491" t="str">
            <v>867*24*14</v>
          </cell>
          <cell r="G4491">
            <v>867</v>
          </cell>
          <cell r="H4491">
            <v>24</v>
          </cell>
          <cell r="I4491">
            <v>14</v>
          </cell>
          <cell r="J4491">
            <v>0</v>
          </cell>
          <cell r="K4491">
            <v>0</v>
          </cell>
          <cell r="L4491">
            <v>1.1299999999999999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</row>
        <row r="4492">
          <cell r="A4492" t="str">
            <v>Y061-009</v>
          </cell>
          <cell r="B4492">
            <v>0</v>
          </cell>
          <cell r="C4492" t="str">
            <v>Y061</v>
          </cell>
          <cell r="D4492" t="str">
            <v>170330-14-15</v>
          </cell>
          <cell r="E4492" t="str">
            <v>饰条</v>
          </cell>
          <cell r="F4492" t="str">
            <v>740*24*14</v>
          </cell>
          <cell r="G4492">
            <v>740</v>
          </cell>
          <cell r="H4492">
            <v>24</v>
          </cell>
          <cell r="I4492">
            <v>14</v>
          </cell>
          <cell r="J4492">
            <v>0</v>
          </cell>
          <cell r="K4492">
            <v>0</v>
          </cell>
          <cell r="L4492">
            <v>0.96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</row>
        <row r="4493">
          <cell r="A4493" t="str">
            <v>Y061-010</v>
          </cell>
          <cell r="B4493">
            <v>0</v>
          </cell>
          <cell r="C4493" t="str">
            <v>Y061</v>
          </cell>
          <cell r="D4493" t="str">
            <v>170330-14-15</v>
          </cell>
          <cell r="E4493" t="str">
            <v>饰条</v>
          </cell>
          <cell r="F4493" t="str">
            <v>467*24*14</v>
          </cell>
          <cell r="G4493">
            <v>467</v>
          </cell>
          <cell r="H4493">
            <v>24</v>
          </cell>
          <cell r="I4493">
            <v>14</v>
          </cell>
          <cell r="J4493">
            <v>0</v>
          </cell>
          <cell r="K4493">
            <v>0</v>
          </cell>
          <cell r="L4493">
            <v>0.62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</row>
        <row r="4494">
          <cell r="A4494" t="str">
            <v>Y061-011</v>
          </cell>
          <cell r="B4494">
            <v>0</v>
          </cell>
          <cell r="C4494" t="str">
            <v>Y061</v>
          </cell>
          <cell r="D4494" t="str">
            <v>170330-5-6-14-15</v>
          </cell>
          <cell r="E4494" t="str">
            <v>饰条</v>
          </cell>
          <cell r="F4494" t="str">
            <v>1471*24*14</v>
          </cell>
          <cell r="G4494">
            <v>1471</v>
          </cell>
          <cell r="H4494">
            <v>24</v>
          </cell>
          <cell r="I4494">
            <v>14</v>
          </cell>
          <cell r="J4494">
            <v>0</v>
          </cell>
          <cell r="K4494">
            <v>0</v>
          </cell>
          <cell r="L4494">
            <v>1.9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</row>
        <row r="4495">
          <cell r="A4495" t="str">
            <v>Y061-012</v>
          </cell>
          <cell r="B4495">
            <v>0</v>
          </cell>
          <cell r="C4495" t="str">
            <v>Y061</v>
          </cell>
          <cell r="D4495" t="str">
            <v>170330-5-6-14-15</v>
          </cell>
          <cell r="E4495" t="str">
            <v>饰条</v>
          </cell>
          <cell r="F4495" t="str">
            <v>810*24*14</v>
          </cell>
          <cell r="G4495">
            <v>810</v>
          </cell>
          <cell r="H4495">
            <v>24</v>
          </cell>
          <cell r="I4495">
            <v>14</v>
          </cell>
          <cell r="J4495">
            <v>0</v>
          </cell>
          <cell r="K4495">
            <v>0</v>
          </cell>
          <cell r="L4495">
            <v>1.06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</row>
        <row r="4496">
          <cell r="A4496" t="str">
            <v>Y061-013</v>
          </cell>
          <cell r="B4496">
            <v>0</v>
          </cell>
          <cell r="C4496" t="str">
            <v>Y061</v>
          </cell>
          <cell r="D4496" t="str">
            <v>170330-5-6</v>
          </cell>
          <cell r="E4496" t="str">
            <v>饰条</v>
          </cell>
          <cell r="F4496" t="str">
            <v>380*12*6</v>
          </cell>
          <cell r="G4496">
            <v>380</v>
          </cell>
          <cell r="H4496">
            <v>12</v>
          </cell>
          <cell r="I4496">
            <v>6</v>
          </cell>
          <cell r="J4496">
            <v>0</v>
          </cell>
          <cell r="K4496">
            <v>0</v>
          </cell>
          <cell r="L4496">
            <v>0.15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</row>
        <row r="4497">
          <cell r="A4497" t="str">
            <v>Y061-014</v>
          </cell>
          <cell r="B4497">
            <v>0</v>
          </cell>
          <cell r="C4497" t="str">
            <v>Y061</v>
          </cell>
          <cell r="D4497" t="str">
            <v>MP-009252514</v>
          </cell>
          <cell r="E4497" t="str">
            <v>饰条</v>
          </cell>
          <cell r="F4497" t="str">
            <v>925*24*14</v>
          </cell>
          <cell r="G4497">
            <v>925</v>
          </cell>
          <cell r="H4497">
            <v>24</v>
          </cell>
          <cell r="I4497">
            <v>14</v>
          </cell>
          <cell r="J4497">
            <v>0</v>
          </cell>
          <cell r="K4497">
            <v>0</v>
          </cell>
          <cell r="L4497">
            <v>1.19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</row>
        <row r="4498">
          <cell r="A4498" t="str">
            <v>Y061-015</v>
          </cell>
          <cell r="B4498">
            <v>0</v>
          </cell>
          <cell r="C4498" t="str">
            <v>Y061</v>
          </cell>
          <cell r="D4498" t="str">
            <v>RT-000006034</v>
          </cell>
          <cell r="E4498" t="str">
            <v>饰条</v>
          </cell>
          <cell r="F4498" t="str">
            <v>1306*51*6</v>
          </cell>
          <cell r="G4498">
            <v>1306</v>
          </cell>
          <cell r="H4498">
            <v>51</v>
          </cell>
          <cell r="I4498">
            <v>6</v>
          </cell>
          <cell r="J4498">
            <v>0</v>
          </cell>
          <cell r="K4498">
            <v>0</v>
          </cell>
          <cell r="L4498">
            <v>2.1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</row>
        <row r="4499">
          <cell r="A4499" t="str">
            <v>Y061-2001</v>
          </cell>
          <cell r="B4499">
            <v>0</v>
          </cell>
          <cell r="C4499" t="str">
            <v>Y061</v>
          </cell>
          <cell r="D4499">
            <v>0</v>
          </cell>
          <cell r="E4499">
            <v>0</v>
          </cell>
          <cell r="F4499" t="str">
            <v>885*24*14</v>
          </cell>
          <cell r="G4499">
            <v>902</v>
          </cell>
          <cell r="H4499">
            <v>24</v>
          </cell>
          <cell r="I4499">
            <v>14</v>
          </cell>
          <cell r="J4499">
            <v>0</v>
          </cell>
          <cell r="K4499">
            <v>0</v>
          </cell>
          <cell r="L4499">
            <v>1.1399999999999999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 t="e">
            <v>#DIV/0!</v>
          </cell>
          <cell r="S4499">
            <v>0</v>
          </cell>
        </row>
        <row r="4500">
          <cell r="A4500" t="str">
            <v>Y062-001</v>
          </cell>
          <cell r="B4500" t="str">
            <v>展富</v>
          </cell>
          <cell r="C4500" t="str">
            <v>Y062</v>
          </cell>
          <cell r="D4500" t="str">
            <v>853-05</v>
          </cell>
          <cell r="E4500" t="str">
            <v>抽面饰条</v>
          </cell>
          <cell r="F4500" t="str">
            <v>830*8*6</v>
          </cell>
          <cell r="G4500">
            <v>830</v>
          </cell>
          <cell r="H4500">
            <v>8</v>
          </cell>
          <cell r="I4500">
            <v>6</v>
          </cell>
          <cell r="J4500">
            <v>65</v>
          </cell>
          <cell r="K4500">
            <v>0</v>
          </cell>
          <cell r="L4500">
            <v>0.25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3.8461538461538458</v>
          </cell>
          <cell r="S4500">
            <v>0</v>
          </cell>
        </row>
        <row r="4501">
          <cell r="A4501" t="str">
            <v>Y062-002</v>
          </cell>
          <cell r="B4501" t="str">
            <v>展富</v>
          </cell>
          <cell r="C4501" t="str">
            <v>Y062</v>
          </cell>
          <cell r="D4501" t="str">
            <v>853-07/15/46/09/15</v>
          </cell>
          <cell r="E4501" t="str">
            <v>企柱貼塊-左</v>
          </cell>
          <cell r="F4501" t="str">
            <v>92*86*102</v>
          </cell>
          <cell r="G4501">
            <v>92</v>
          </cell>
          <cell r="H4501">
            <v>86</v>
          </cell>
          <cell r="I4501">
            <v>102</v>
          </cell>
          <cell r="J4501">
            <v>0</v>
          </cell>
          <cell r="K4501">
            <v>0</v>
          </cell>
          <cell r="L4501">
            <v>0.87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 t="e">
            <v>#DIV/0!</v>
          </cell>
          <cell r="S4501">
            <v>0</v>
          </cell>
        </row>
        <row r="4502">
          <cell r="A4502" t="str">
            <v>Y062-003</v>
          </cell>
          <cell r="B4502" t="str">
            <v>展富</v>
          </cell>
          <cell r="C4502" t="str">
            <v>Y062</v>
          </cell>
          <cell r="D4502" t="str">
            <v>853-07/15/46/09/15</v>
          </cell>
          <cell r="E4502" t="str">
            <v>企柱貼塊-右</v>
          </cell>
          <cell r="F4502" t="str">
            <v>92*86*102</v>
          </cell>
          <cell r="G4502">
            <v>92</v>
          </cell>
          <cell r="H4502">
            <v>86</v>
          </cell>
          <cell r="I4502">
            <v>102</v>
          </cell>
          <cell r="J4502">
            <v>0</v>
          </cell>
          <cell r="K4502">
            <v>0</v>
          </cell>
          <cell r="L4502">
            <v>0.87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 t="e">
            <v>#DIV/0!</v>
          </cell>
          <cell r="S4502">
            <v>0</v>
          </cell>
        </row>
        <row r="4503">
          <cell r="A4503" t="str">
            <v>Y063-001</v>
          </cell>
          <cell r="B4503" t="str">
            <v>VO VA</v>
          </cell>
          <cell r="C4503" t="str">
            <v>Y063</v>
          </cell>
          <cell r="D4503" t="str">
            <v xml:space="preserve">poly trang trí </v>
          </cell>
          <cell r="E4503" t="str">
            <v>饰花</v>
          </cell>
          <cell r="F4503" t="str">
            <v>4*55*393</v>
          </cell>
          <cell r="G4503">
            <v>4</v>
          </cell>
          <cell r="H4503">
            <v>55</v>
          </cell>
          <cell r="I4503">
            <v>393</v>
          </cell>
          <cell r="J4503">
            <v>0</v>
          </cell>
          <cell r="K4503">
            <v>0</v>
          </cell>
          <cell r="L4503">
            <v>0.28999999999999998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 t="e">
            <v>#DIV/0!</v>
          </cell>
          <cell r="S4503">
            <v>0</v>
          </cell>
        </row>
        <row r="4504">
          <cell r="A4504" t="str">
            <v>Y064-001</v>
          </cell>
          <cell r="B4504" t="str">
            <v>Y020-006</v>
          </cell>
          <cell r="C4504" t="str">
            <v>Y064</v>
          </cell>
          <cell r="D4504" t="str">
            <v>#BQ600</v>
          </cell>
          <cell r="E4504" t="str">
            <v>镜框柱上饰</v>
          </cell>
          <cell r="F4504" t="str">
            <v>95*95*72</v>
          </cell>
          <cell r="G4504">
            <v>95</v>
          </cell>
          <cell r="H4504">
            <v>95</v>
          </cell>
          <cell r="I4504">
            <v>72</v>
          </cell>
          <cell r="J4504">
            <v>347</v>
          </cell>
          <cell r="K4504">
            <v>1.53</v>
          </cell>
          <cell r="L4504">
            <v>1.65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4.7550432276657064</v>
          </cell>
          <cell r="S4504">
            <v>0</v>
          </cell>
        </row>
        <row r="4505">
          <cell r="A4505" t="str">
            <v>Y064-002</v>
          </cell>
          <cell r="B4505" t="str">
            <v>Y020-007</v>
          </cell>
          <cell r="C4505" t="str">
            <v>Y064</v>
          </cell>
          <cell r="D4505" t="str">
            <v>#BQ600</v>
          </cell>
          <cell r="E4505" t="str">
            <v>床柱上饰</v>
          </cell>
          <cell r="F4505" t="str">
            <v>185*185*142</v>
          </cell>
          <cell r="G4505">
            <v>185</v>
          </cell>
          <cell r="H4505">
            <v>185</v>
          </cell>
          <cell r="I4505">
            <v>142</v>
          </cell>
          <cell r="J4505">
            <v>1369</v>
          </cell>
          <cell r="K4505">
            <v>3.72</v>
          </cell>
          <cell r="L4505">
            <v>4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2.9218407596785974</v>
          </cell>
          <cell r="S4505">
            <v>0</v>
          </cell>
        </row>
        <row r="4506">
          <cell r="A4506" t="str">
            <v>Y064-003</v>
          </cell>
          <cell r="B4506" t="str">
            <v>Y020-001</v>
          </cell>
          <cell r="C4506" t="str">
            <v>Y064</v>
          </cell>
          <cell r="D4506" t="str">
            <v>#BQ600</v>
          </cell>
          <cell r="E4506" t="str">
            <v>khung guong 镜框-L</v>
          </cell>
          <cell r="F4506" t="str">
            <v>375*185*7</v>
          </cell>
          <cell r="G4506">
            <v>375</v>
          </cell>
          <cell r="H4506">
            <v>185</v>
          </cell>
          <cell r="I4506">
            <v>7</v>
          </cell>
          <cell r="J4506">
            <v>166</v>
          </cell>
          <cell r="K4506">
            <v>0.64</v>
          </cell>
          <cell r="L4506">
            <v>0.69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4.1566265060240957</v>
          </cell>
          <cell r="S4506">
            <v>0</v>
          </cell>
        </row>
        <row r="4507">
          <cell r="A4507" t="str">
            <v>Y064-004</v>
          </cell>
          <cell r="B4507" t="str">
            <v>Y020-032</v>
          </cell>
          <cell r="C4507" t="str">
            <v>Y064</v>
          </cell>
          <cell r="D4507" t="str">
            <v>#BQ600</v>
          </cell>
          <cell r="E4507" t="str">
            <v>khung guong 镜框-R</v>
          </cell>
          <cell r="F4507" t="str">
            <v>375*185*7</v>
          </cell>
          <cell r="G4507">
            <v>375</v>
          </cell>
          <cell r="H4507">
            <v>185</v>
          </cell>
          <cell r="I4507">
            <v>7</v>
          </cell>
          <cell r="J4507">
            <v>166</v>
          </cell>
          <cell r="K4507">
            <v>0.64</v>
          </cell>
          <cell r="L4507">
            <v>0.69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4.1566265060240957</v>
          </cell>
          <cell r="S4507">
            <v>0</v>
          </cell>
        </row>
        <row r="4508">
          <cell r="A4508" t="str">
            <v>Y064-005</v>
          </cell>
          <cell r="B4508" t="str">
            <v>Y020-011</v>
          </cell>
          <cell r="C4508" t="str">
            <v>Y064</v>
          </cell>
          <cell r="D4508" t="str">
            <v>#BQ600</v>
          </cell>
          <cell r="E4508" t="str">
            <v>POLY饰条</v>
          </cell>
          <cell r="F4508" t="str">
            <v>1400*15*7</v>
          </cell>
          <cell r="G4508">
            <v>1400</v>
          </cell>
          <cell r="H4508">
            <v>15</v>
          </cell>
          <cell r="I4508">
            <v>7</v>
          </cell>
          <cell r="J4508">
            <v>230</v>
          </cell>
          <cell r="K4508">
            <v>0.54</v>
          </cell>
          <cell r="L4508">
            <v>0.57999999999999996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2.5217391304347823</v>
          </cell>
          <cell r="S4508">
            <v>0</v>
          </cell>
        </row>
        <row r="4509">
          <cell r="A4509" t="str">
            <v>Y064-006</v>
          </cell>
          <cell r="B4509" t="str">
            <v>Y020-008</v>
          </cell>
          <cell r="C4509" t="str">
            <v>Y064</v>
          </cell>
          <cell r="D4509" t="str">
            <v>#BQ600</v>
          </cell>
          <cell r="E4509" t="str">
            <v>MR 饰条</v>
          </cell>
          <cell r="F4509" t="str">
            <v>1049*25*18</v>
          </cell>
          <cell r="G4509">
            <v>1049</v>
          </cell>
          <cell r="H4509">
            <v>25</v>
          </cell>
          <cell r="I4509">
            <v>18</v>
          </cell>
          <cell r="J4509">
            <v>596</v>
          </cell>
          <cell r="K4509">
            <v>1.67</v>
          </cell>
          <cell r="L4509">
            <v>1.8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3.0201342281879198</v>
          </cell>
          <cell r="S4509">
            <v>0</v>
          </cell>
        </row>
        <row r="4510">
          <cell r="A4510" t="str">
            <v>Y064-007</v>
          </cell>
          <cell r="B4510" t="str">
            <v>Y020-010</v>
          </cell>
          <cell r="C4510" t="str">
            <v>Y064</v>
          </cell>
          <cell r="D4510" t="str">
            <v>#BQ600</v>
          </cell>
          <cell r="E4510" t="str">
            <v>KH 饰条</v>
          </cell>
          <cell r="F4510" t="str">
            <v>1779*25*18</v>
          </cell>
          <cell r="G4510">
            <v>1779</v>
          </cell>
          <cell r="H4510">
            <v>25</v>
          </cell>
          <cell r="I4510">
            <v>18</v>
          </cell>
          <cell r="J4510">
            <v>962</v>
          </cell>
          <cell r="K4510">
            <v>2.68</v>
          </cell>
          <cell r="L4510">
            <v>2.88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2.9937629937629939</v>
          </cell>
          <cell r="S4510">
            <v>0</v>
          </cell>
        </row>
        <row r="4511">
          <cell r="A4511" t="str">
            <v>Y064-008</v>
          </cell>
          <cell r="B4511" t="str">
            <v>Y020-009</v>
          </cell>
          <cell r="C4511" t="str">
            <v>Y064</v>
          </cell>
          <cell r="D4511" t="str">
            <v>#BQ600</v>
          </cell>
          <cell r="E4511" t="str">
            <v>QH 饰条</v>
          </cell>
          <cell r="F4511" t="str">
            <v>1379*25*18</v>
          </cell>
          <cell r="G4511">
            <v>1379</v>
          </cell>
          <cell r="H4511">
            <v>25</v>
          </cell>
          <cell r="I4511">
            <v>18</v>
          </cell>
          <cell r="J4511">
            <v>776</v>
          </cell>
          <cell r="K4511">
            <v>2.19</v>
          </cell>
          <cell r="L4511">
            <v>2.36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3.0412371134020617</v>
          </cell>
          <cell r="S4511">
            <v>0</v>
          </cell>
        </row>
        <row r="4512">
          <cell r="A4512" t="str">
            <v>Y064-009</v>
          </cell>
          <cell r="B4512" t="str">
            <v>Y020-005</v>
          </cell>
          <cell r="C4512" t="str">
            <v>Y064</v>
          </cell>
          <cell r="D4512" t="str">
            <v>#BQ600</v>
          </cell>
          <cell r="E4512" t="str">
            <v>POLY饰条</v>
          </cell>
          <cell r="F4512" t="str">
            <v>507*19*10</v>
          </cell>
          <cell r="G4512">
            <v>507</v>
          </cell>
          <cell r="H4512">
            <v>19</v>
          </cell>
          <cell r="I4512">
            <v>10</v>
          </cell>
          <cell r="J4512">
            <v>132</v>
          </cell>
          <cell r="K4512">
            <v>0.44</v>
          </cell>
          <cell r="L4512">
            <v>0.47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3.5606060606060601</v>
          </cell>
          <cell r="S4512">
            <v>0</v>
          </cell>
        </row>
        <row r="4513">
          <cell r="A4513" t="str">
            <v>Y064-010</v>
          </cell>
          <cell r="B4513" t="str">
            <v>Y020-004</v>
          </cell>
          <cell r="C4513" t="str">
            <v>Y064</v>
          </cell>
          <cell r="D4513" t="str">
            <v>#BQ600</v>
          </cell>
          <cell r="E4513" t="str">
            <v>POLY饰条</v>
          </cell>
          <cell r="F4513" t="str">
            <v>336*19*10</v>
          </cell>
          <cell r="G4513">
            <v>336</v>
          </cell>
          <cell r="H4513">
            <v>19</v>
          </cell>
          <cell r="I4513">
            <v>10</v>
          </cell>
          <cell r="J4513">
            <v>88</v>
          </cell>
          <cell r="K4513">
            <v>0.3</v>
          </cell>
          <cell r="L4513">
            <v>0.32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3.6363636363636367</v>
          </cell>
          <cell r="S4513">
            <v>0</v>
          </cell>
        </row>
        <row r="4514">
          <cell r="A4514" t="str">
            <v>Y064-011</v>
          </cell>
          <cell r="B4514" t="str">
            <v>Y020-012</v>
          </cell>
          <cell r="C4514" t="str">
            <v>Y064</v>
          </cell>
          <cell r="D4514" t="str">
            <v>#BQ600</v>
          </cell>
          <cell r="E4514" t="str">
            <v>POLY饰条</v>
          </cell>
          <cell r="F4514" t="str">
            <v>1300*19*10</v>
          </cell>
          <cell r="G4514">
            <v>1300</v>
          </cell>
          <cell r="H4514">
            <v>19</v>
          </cell>
          <cell r="I4514">
            <v>10</v>
          </cell>
          <cell r="J4514">
            <v>325</v>
          </cell>
          <cell r="K4514">
            <v>1.08</v>
          </cell>
          <cell r="L4514">
            <v>1.1599999999999999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3.569230769230769</v>
          </cell>
          <cell r="S4514">
            <v>0</v>
          </cell>
        </row>
        <row r="4515">
          <cell r="A4515" t="str">
            <v>Y064-012</v>
          </cell>
          <cell r="B4515" t="str">
            <v>Y020-003</v>
          </cell>
          <cell r="C4515" t="str">
            <v>Y064</v>
          </cell>
          <cell r="D4515" t="str">
            <v>#BQ600</v>
          </cell>
          <cell r="E4515" t="str">
            <v>POLY饰条</v>
          </cell>
          <cell r="F4515" t="str">
            <v>699*19*10</v>
          </cell>
          <cell r="G4515">
            <v>699</v>
          </cell>
          <cell r="H4515">
            <v>19</v>
          </cell>
          <cell r="I4515">
            <v>10</v>
          </cell>
          <cell r="J4515">
            <v>170</v>
          </cell>
          <cell r="K4515">
            <v>0.65</v>
          </cell>
          <cell r="L4515">
            <v>0.7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4.117647058823529</v>
          </cell>
          <cell r="S4515">
            <v>0</v>
          </cell>
        </row>
        <row r="4516">
          <cell r="A4516" t="str">
            <v>Y064-013</v>
          </cell>
          <cell r="B4516" t="str">
            <v>Y020-002</v>
          </cell>
          <cell r="C4516" t="str">
            <v>Y064</v>
          </cell>
          <cell r="D4516" t="str">
            <v>#BQ600</v>
          </cell>
          <cell r="E4516" t="str">
            <v>POLY饰条</v>
          </cell>
          <cell r="F4516" t="str">
            <v>440*19*10</v>
          </cell>
          <cell r="G4516">
            <v>440</v>
          </cell>
          <cell r="H4516">
            <v>19</v>
          </cell>
          <cell r="I4516">
            <v>10</v>
          </cell>
          <cell r="J4516">
            <v>129</v>
          </cell>
          <cell r="K4516">
            <v>0.36</v>
          </cell>
          <cell r="L4516">
            <v>0.39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3.0232558139534884</v>
          </cell>
          <cell r="S4516">
            <v>0</v>
          </cell>
        </row>
        <row r="4517">
          <cell r="A4517" t="str">
            <v>Y064-014</v>
          </cell>
          <cell r="B4517" t="str">
            <v>框</v>
          </cell>
          <cell r="C4517" t="str">
            <v>Y064</v>
          </cell>
          <cell r="D4517" t="str">
            <v>#MY700/750</v>
          </cell>
          <cell r="E4517" t="str">
            <v>Poly 饰条-LC</v>
          </cell>
          <cell r="F4517" t="str">
            <v>9*105*386</v>
          </cell>
          <cell r="G4517">
            <v>9</v>
          </cell>
          <cell r="H4517">
            <v>105</v>
          </cell>
          <cell r="I4517">
            <v>386</v>
          </cell>
          <cell r="J4517">
            <v>254</v>
          </cell>
          <cell r="K4517">
            <v>0</v>
          </cell>
          <cell r="L4517">
            <v>0.61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2.401574803149606</v>
          </cell>
          <cell r="S4517">
            <v>0</v>
          </cell>
        </row>
        <row r="4518">
          <cell r="A4518" t="str">
            <v>Y064-015</v>
          </cell>
          <cell r="B4518" t="str">
            <v>框</v>
          </cell>
          <cell r="C4518" t="str">
            <v>Y064</v>
          </cell>
          <cell r="D4518" t="str">
            <v>#MY700/750</v>
          </cell>
          <cell r="E4518" t="str">
            <v>Poly 饰条-AB</v>
          </cell>
          <cell r="F4518" t="str">
            <v>9*105*779</v>
          </cell>
          <cell r="G4518">
            <v>9</v>
          </cell>
          <cell r="H4518">
            <v>105</v>
          </cell>
          <cell r="I4518">
            <v>779</v>
          </cell>
          <cell r="J4518">
            <v>451</v>
          </cell>
          <cell r="K4518">
            <v>0</v>
          </cell>
          <cell r="L4518">
            <v>1.08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2.3946784922394682</v>
          </cell>
          <cell r="S4518">
            <v>0</v>
          </cell>
        </row>
        <row r="4519">
          <cell r="A4519" t="str">
            <v>Y064-016</v>
          </cell>
          <cell r="B4519" t="str">
            <v>框</v>
          </cell>
          <cell r="C4519" t="str">
            <v>Y064</v>
          </cell>
          <cell r="D4519" t="str">
            <v>#MY700/750</v>
          </cell>
          <cell r="E4519" t="str">
            <v>Poly 饰条-NS</v>
          </cell>
          <cell r="F4519" t="str">
            <v>9*105*479</v>
          </cell>
          <cell r="G4519">
            <v>9</v>
          </cell>
          <cell r="H4519">
            <v>105</v>
          </cell>
          <cell r="I4519">
            <v>479</v>
          </cell>
          <cell r="J4519">
            <v>309</v>
          </cell>
          <cell r="K4519">
            <v>0</v>
          </cell>
          <cell r="L4519">
            <v>0.67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2.1682847896440132</v>
          </cell>
          <cell r="S4519">
            <v>0</v>
          </cell>
        </row>
        <row r="4520">
          <cell r="A4520" t="str">
            <v>Y064-017</v>
          </cell>
          <cell r="B4520" t="str">
            <v>框</v>
          </cell>
          <cell r="C4520" t="str">
            <v>Y064</v>
          </cell>
          <cell r="D4520" t="str">
            <v>#MY700/750</v>
          </cell>
          <cell r="E4520" t="str">
            <v>Poly 饰条-CH</v>
          </cell>
          <cell r="F4520" t="str">
            <v>9*105*729</v>
          </cell>
          <cell r="G4520">
            <v>9</v>
          </cell>
          <cell r="H4520">
            <v>105</v>
          </cell>
          <cell r="I4520">
            <v>729</v>
          </cell>
          <cell r="J4520">
            <v>448</v>
          </cell>
          <cell r="K4520">
            <v>0</v>
          </cell>
          <cell r="L4520">
            <v>1.02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2.2767857142857144</v>
          </cell>
          <cell r="S4520">
            <v>0</v>
          </cell>
        </row>
        <row r="4521">
          <cell r="A4521" t="str">
            <v>Y064-018</v>
          </cell>
          <cell r="B4521" t="str">
            <v>框</v>
          </cell>
          <cell r="C4521">
            <v>0</v>
          </cell>
          <cell r="D4521" t="str">
            <v>#MY700/750</v>
          </cell>
          <cell r="E4521" t="str">
            <v>Poly 饰条-DR</v>
          </cell>
          <cell r="F4521" t="str">
            <v>9*152*635</v>
          </cell>
          <cell r="G4521">
            <v>9</v>
          </cell>
          <cell r="H4521">
            <v>152</v>
          </cell>
          <cell r="I4521">
            <v>635</v>
          </cell>
          <cell r="J4521">
            <v>413</v>
          </cell>
          <cell r="K4521">
            <v>0</v>
          </cell>
          <cell r="L4521">
            <v>0.97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2.3486682808716708</v>
          </cell>
          <cell r="S4521">
            <v>0</v>
          </cell>
        </row>
        <row r="4522">
          <cell r="A4522" t="str">
            <v>Y064-019</v>
          </cell>
          <cell r="B4522" t="str">
            <v>框</v>
          </cell>
          <cell r="C4522" t="str">
            <v>Y064</v>
          </cell>
          <cell r="D4522" t="str">
            <v>#MY700/750</v>
          </cell>
          <cell r="E4522" t="str">
            <v>Poly 饰条-QF</v>
          </cell>
          <cell r="F4522" t="str">
            <v>9*193*613</v>
          </cell>
          <cell r="G4522">
            <v>9</v>
          </cell>
          <cell r="H4522">
            <v>193</v>
          </cell>
          <cell r="I4522">
            <v>613</v>
          </cell>
          <cell r="J4522">
            <v>518</v>
          </cell>
          <cell r="K4522">
            <v>0</v>
          </cell>
          <cell r="L4522">
            <v>1.18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2.2779922779922779</v>
          </cell>
          <cell r="S4522">
            <v>0</v>
          </cell>
        </row>
        <row r="4523">
          <cell r="A4523" t="str">
            <v>Y064-020</v>
          </cell>
          <cell r="B4523" t="str">
            <v>框</v>
          </cell>
          <cell r="C4523" t="str">
            <v>Y064</v>
          </cell>
          <cell r="D4523" t="str">
            <v>#MY700/750</v>
          </cell>
          <cell r="E4523" t="str">
            <v>Poly 饰条-KF+TWF</v>
          </cell>
          <cell r="F4523" t="str">
            <v>9*193*813</v>
          </cell>
          <cell r="G4523">
            <v>9</v>
          </cell>
          <cell r="H4523">
            <v>193</v>
          </cell>
          <cell r="I4523">
            <v>813</v>
          </cell>
          <cell r="J4523">
            <v>656</v>
          </cell>
          <cell r="K4523">
            <v>0</v>
          </cell>
          <cell r="L4523">
            <v>1.5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2.2865853658536586</v>
          </cell>
          <cell r="S4523">
            <v>0</v>
          </cell>
        </row>
        <row r="4524">
          <cell r="A4524" t="str">
            <v>Y064-021</v>
          </cell>
          <cell r="B4524" t="str">
            <v>框</v>
          </cell>
          <cell r="C4524" t="str">
            <v>Y064</v>
          </cell>
          <cell r="D4524" t="str">
            <v>#MY700/750</v>
          </cell>
          <cell r="E4524" t="str">
            <v>Poly 饰条-FF</v>
          </cell>
          <cell r="F4524" t="str">
            <v>9*193*535</v>
          </cell>
          <cell r="G4524">
            <v>9</v>
          </cell>
          <cell r="H4524">
            <v>193</v>
          </cell>
          <cell r="I4524">
            <v>535</v>
          </cell>
          <cell r="J4524">
            <v>447</v>
          </cell>
          <cell r="K4524">
            <v>0</v>
          </cell>
          <cell r="L4524">
            <v>1.07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2.3937360178970919</v>
          </cell>
          <cell r="S4524">
            <v>0</v>
          </cell>
        </row>
        <row r="4525">
          <cell r="A4525" t="str">
            <v>Y064-022</v>
          </cell>
          <cell r="B4525">
            <v>0</v>
          </cell>
          <cell r="C4525" t="str">
            <v>Y064</v>
          </cell>
          <cell r="D4525" t="str">
            <v>#KT600/650</v>
          </cell>
          <cell r="E4525" t="str">
            <v>CHỈ POLY饰條</v>
          </cell>
          <cell r="F4525" t="str">
            <v>11*18*1074</v>
          </cell>
          <cell r="G4525">
            <v>11</v>
          </cell>
          <cell r="H4525">
            <v>18</v>
          </cell>
          <cell r="I4525">
            <v>1074</v>
          </cell>
          <cell r="J4525">
            <v>365</v>
          </cell>
          <cell r="K4525">
            <v>0</v>
          </cell>
          <cell r="L4525">
            <v>0.96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2.6301369863013697</v>
          </cell>
          <cell r="S4525">
            <v>0</v>
          </cell>
        </row>
        <row r="4526">
          <cell r="A4526" t="str">
            <v>Y064-023</v>
          </cell>
          <cell r="B4526">
            <v>0</v>
          </cell>
          <cell r="C4526" t="str">
            <v>Y064</v>
          </cell>
          <cell r="D4526" t="str">
            <v>#KT600/650</v>
          </cell>
          <cell r="E4526" t="str">
            <v>CHỈ POLY饰條</v>
          </cell>
          <cell r="F4526" t="str">
            <v>11*18*280</v>
          </cell>
          <cell r="G4526">
            <v>11</v>
          </cell>
          <cell r="H4526">
            <v>18</v>
          </cell>
          <cell r="I4526">
            <v>280</v>
          </cell>
          <cell r="J4526">
            <v>110</v>
          </cell>
          <cell r="K4526">
            <v>0</v>
          </cell>
          <cell r="L4526">
            <v>0.28999999999999998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2.6363636363636362</v>
          </cell>
          <cell r="S4526">
            <v>0</v>
          </cell>
        </row>
        <row r="4527">
          <cell r="A4527" t="str">
            <v>Y064-024</v>
          </cell>
          <cell r="B4527">
            <v>0</v>
          </cell>
          <cell r="C4527" t="str">
            <v>Y064</v>
          </cell>
          <cell r="D4527" t="str">
            <v>#KT600/650</v>
          </cell>
          <cell r="E4527" t="str">
            <v>CHỈ POLY饰條</v>
          </cell>
          <cell r="F4527" t="str">
            <v>11*18*560</v>
          </cell>
          <cell r="G4527">
            <v>11</v>
          </cell>
          <cell r="H4527">
            <v>18</v>
          </cell>
          <cell r="I4527">
            <v>560</v>
          </cell>
          <cell r="J4527">
            <v>201</v>
          </cell>
          <cell r="K4527">
            <v>0</v>
          </cell>
          <cell r="L4527">
            <v>0.52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2.5870646766169152</v>
          </cell>
          <cell r="S4527">
            <v>0</v>
          </cell>
        </row>
        <row r="4528">
          <cell r="A4528" t="str">
            <v>Y064-025</v>
          </cell>
          <cell r="B4528">
            <v>0</v>
          </cell>
          <cell r="C4528" t="str">
            <v>Y064</v>
          </cell>
          <cell r="D4528" t="str">
            <v>#KT600/650</v>
          </cell>
          <cell r="E4528" t="str">
            <v>CHỈ POLY饰條</v>
          </cell>
          <cell r="F4528" t="str">
            <v>11*18*632</v>
          </cell>
          <cell r="G4528">
            <v>11</v>
          </cell>
          <cell r="H4528">
            <v>18</v>
          </cell>
          <cell r="I4528">
            <v>632</v>
          </cell>
          <cell r="J4528">
            <v>225</v>
          </cell>
          <cell r="K4528">
            <v>0</v>
          </cell>
          <cell r="L4528">
            <v>0.57999999999999996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2.5777777777777775</v>
          </cell>
          <cell r="S4528">
            <v>0</v>
          </cell>
        </row>
        <row r="4529">
          <cell r="A4529" t="str">
            <v>Y064-026</v>
          </cell>
          <cell r="B4529">
            <v>0</v>
          </cell>
          <cell r="C4529" t="str">
            <v>Y064</v>
          </cell>
          <cell r="D4529" t="str">
            <v>#KT600/650</v>
          </cell>
          <cell r="E4529" t="str">
            <v>CHỈ POLY饰條</v>
          </cell>
          <cell r="F4529" t="str">
            <v>11*18*366</v>
          </cell>
          <cell r="G4529">
            <v>11</v>
          </cell>
          <cell r="H4529">
            <v>18</v>
          </cell>
          <cell r="I4529">
            <v>366</v>
          </cell>
          <cell r="J4529">
            <v>138</v>
          </cell>
          <cell r="K4529">
            <v>0</v>
          </cell>
          <cell r="L4529">
            <v>0.36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2.6086956521739126</v>
          </cell>
          <cell r="S4529">
            <v>0</v>
          </cell>
        </row>
        <row r="4530">
          <cell r="A4530" t="str">
            <v>Y064-027</v>
          </cell>
          <cell r="B4530">
            <v>0</v>
          </cell>
          <cell r="C4530" t="str">
            <v>Y064</v>
          </cell>
          <cell r="D4530" t="str">
            <v>#KT600/650</v>
          </cell>
          <cell r="E4530" t="str">
            <v>CHỈ POLY饰條</v>
          </cell>
          <cell r="F4530" t="str">
            <v>11*18*788</v>
          </cell>
          <cell r="G4530">
            <v>11</v>
          </cell>
          <cell r="H4530">
            <v>18</v>
          </cell>
          <cell r="I4530">
            <v>788</v>
          </cell>
          <cell r="J4530">
            <v>285</v>
          </cell>
          <cell r="K4530">
            <v>0</v>
          </cell>
          <cell r="L4530">
            <v>0.75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2.6315789473684212</v>
          </cell>
          <cell r="S4530">
            <v>0</v>
          </cell>
        </row>
        <row r="4531">
          <cell r="A4531" t="str">
            <v>Y064-028</v>
          </cell>
          <cell r="B4531">
            <v>0</v>
          </cell>
          <cell r="C4531" t="str">
            <v>Y064</v>
          </cell>
          <cell r="D4531" t="str">
            <v>#KT600/650</v>
          </cell>
          <cell r="E4531" t="str">
            <v>CHỈ POLY饰條</v>
          </cell>
          <cell r="F4531" t="str">
            <v>11*18*632</v>
          </cell>
          <cell r="G4531">
            <v>11</v>
          </cell>
          <cell r="H4531">
            <v>18</v>
          </cell>
          <cell r="I4531">
            <v>632</v>
          </cell>
          <cell r="J4531">
            <v>225</v>
          </cell>
          <cell r="K4531">
            <v>0</v>
          </cell>
          <cell r="L4531">
            <v>0.57999999999999996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2.5777777777777775</v>
          </cell>
          <cell r="S4531">
            <v>0</v>
          </cell>
        </row>
        <row r="4532">
          <cell r="A4532" t="str">
            <v>Y064-029</v>
          </cell>
          <cell r="B4532" t="str">
            <v>框</v>
          </cell>
          <cell r="C4532" t="str">
            <v>Y064</v>
          </cell>
          <cell r="D4532" t="str">
            <v>#MY400/450</v>
          </cell>
          <cell r="E4532" t="str">
            <v>Poly 饰条-LC</v>
          </cell>
          <cell r="F4532" t="str">
            <v>9*105*386</v>
          </cell>
          <cell r="G4532">
            <v>9</v>
          </cell>
          <cell r="H4532">
            <v>105</v>
          </cell>
          <cell r="I4532">
            <v>386</v>
          </cell>
          <cell r="J4532">
            <v>254</v>
          </cell>
          <cell r="K4532">
            <v>0</v>
          </cell>
          <cell r="L4532">
            <v>0.61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2.401574803149606</v>
          </cell>
          <cell r="S4532">
            <v>0</v>
          </cell>
        </row>
        <row r="4533">
          <cell r="A4533" t="str">
            <v>Y064-030</v>
          </cell>
          <cell r="B4533" t="str">
            <v>框</v>
          </cell>
          <cell r="C4533" t="str">
            <v>Y064</v>
          </cell>
          <cell r="D4533" t="str">
            <v>#MY400/450</v>
          </cell>
          <cell r="E4533" t="str">
            <v>Poly 饰条-AB</v>
          </cell>
          <cell r="F4533" t="str">
            <v>9*105*779</v>
          </cell>
          <cell r="G4533">
            <v>9</v>
          </cell>
          <cell r="H4533">
            <v>105</v>
          </cell>
          <cell r="I4533">
            <v>779</v>
          </cell>
          <cell r="J4533">
            <v>451</v>
          </cell>
          <cell r="K4533">
            <v>0</v>
          </cell>
          <cell r="L4533">
            <v>1.08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2.3946784922394682</v>
          </cell>
          <cell r="S4533">
            <v>0</v>
          </cell>
        </row>
        <row r="4534">
          <cell r="A4534" t="str">
            <v>Y064-031</v>
          </cell>
          <cell r="B4534" t="str">
            <v>框</v>
          </cell>
          <cell r="C4534" t="str">
            <v>Y064</v>
          </cell>
          <cell r="D4534" t="str">
            <v>#MY400/450</v>
          </cell>
          <cell r="E4534" t="str">
            <v>Poly 饰条-NS</v>
          </cell>
          <cell r="F4534" t="str">
            <v>9*105*479</v>
          </cell>
          <cell r="G4534">
            <v>9</v>
          </cell>
          <cell r="H4534">
            <v>105</v>
          </cell>
          <cell r="I4534">
            <v>479</v>
          </cell>
          <cell r="J4534">
            <v>309</v>
          </cell>
          <cell r="K4534">
            <v>0</v>
          </cell>
          <cell r="L4534">
            <v>0.67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2.1682847896440132</v>
          </cell>
          <cell r="S4534">
            <v>0</v>
          </cell>
        </row>
        <row r="4535">
          <cell r="A4535" t="str">
            <v>Y064-032</v>
          </cell>
          <cell r="B4535" t="str">
            <v>框</v>
          </cell>
          <cell r="C4535" t="str">
            <v>Y064</v>
          </cell>
          <cell r="D4535" t="str">
            <v>#MY400/450</v>
          </cell>
          <cell r="E4535" t="str">
            <v>Poly 饰条-CH</v>
          </cell>
          <cell r="F4535" t="str">
            <v>9*105*729</v>
          </cell>
          <cell r="G4535">
            <v>9</v>
          </cell>
          <cell r="H4535">
            <v>105</v>
          </cell>
          <cell r="I4535">
            <v>729</v>
          </cell>
          <cell r="J4535">
            <v>448</v>
          </cell>
          <cell r="K4535">
            <v>0</v>
          </cell>
          <cell r="L4535">
            <v>1.02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2.2767857142857144</v>
          </cell>
          <cell r="S4535">
            <v>0</v>
          </cell>
        </row>
        <row r="4536">
          <cell r="A4536" t="str">
            <v>Y064-033</v>
          </cell>
          <cell r="B4536" t="str">
            <v>框</v>
          </cell>
          <cell r="C4536" t="str">
            <v>Y064</v>
          </cell>
          <cell r="D4536" t="str">
            <v>#MY400/450</v>
          </cell>
          <cell r="E4536" t="str">
            <v>Poly 饰条-DR</v>
          </cell>
          <cell r="F4536" t="str">
            <v>9*152*635</v>
          </cell>
          <cell r="G4536">
            <v>9</v>
          </cell>
          <cell r="H4536">
            <v>152</v>
          </cell>
          <cell r="I4536">
            <v>635</v>
          </cell>
          <cell r="J4536">
            <v>413</v>
          </cell>
          <cell r="K4536">
            <v>0</v>
          </cell>
          <cell r="L4536">
            <v>0.97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2.3486682808716708</v>
          </cell>
          <cell r="S4536">
            <v>0</v>
          </cell>
        </row>
        <row r="4537">
          <cell r="A4537" t="str">
            <v>Y064-034</v>
          </cell>
          <cell r="B4537" t="str">
            <v>框</v>
          </cell>
          <cell r="C4537" t="str">
            <v>Y064</v>
          </cell>
          <cell r="D4537" t="str">
            <v>#MY800/850</v>
          </cell>
          <cell r="E4537" t="str">
            <v>Poly 饰条-LC</v>
          </cell>
          <cell r="F4537" t="str">
            <v>9*105*386</v>
          </cell>
          <cell r="G4537">
            <v>9</v>
          </cell>
          <cell r="H4537">
            <v>105</v>
          </cell>
          <cell r="I4537">
            <v>386</v>
          </cell>
          <cell r="J4537">
            <v>254</v>
          </cell>
          <cell r="K4537">
            <v>0</v>
          </cell>
          <cell r="L4537">
            <v>0.61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2.401574803149606</v>
          </cell>
          <cell r="S4537">
            <v>0</v>
          </cell>
        </row>
        <row r="4538">
          <cell r="A4538" t="str">
            <v>Y064-035</v>
          </cell>
          <cell r="B4538" t="str">
            <v>框</v>
          </cell>
          <cell r="C4538" t="str">
            <v>Y064</v>
          </cell>
          <cell r="D4538" t="str">
            <v>#MY800/850</v>
          </cell>
          <cell r="E4538" t="str">
            <v>Poly 饰条-AB</v>
          </cell>
          <cell r="F4538" t="str">
            <v>9*105*779</v>
          </cell>
          <cell r="G4538">
            <v>9</v>
          </cell>
          <cell r="H4538">
            <v>105</v>
          </cell>
          <cell r="I4538">
            <v>779</v>
          </cell>
          <cell r="J4538">
            <v>451</v>
          </cell>
          <cell r="K4538">
            <v>0</v>
          </cell>
          <cell r="L4538">
            <v>1.08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2.3946784922394682</v>
          </cell>
          <cell r="S4538">
            <v>0</v>
          </cell>
        </row>
        <row r="4539">
          <cell r="A4539" t="str">
            <v>Y064-036</v>
          </cell>
          <cell r="B4539" t="str">
            <v>框</v>
          </cell>
          <cell r="C4539" t="str">
            <v>Y064</v>
          </cell>
          <cell r="D4539" t="str">
            <v>#MY800/850</v>
          </cell>
          <cell r="E4539" t="str">
            <v>Poly 饰条-NS</v>
          </cell>
          <cell r="F4539" t="str">
            <v>9*105*479</v>
          </cell>
          <cell r="G4539">
            <v>9</v>
          </cell>
          <cell r="H4539">
            <v>105</v>
          </cell>
          <cell r="I4539">
            <v>479</v>
          </cell>
          <cell r="J4539">
            <v>309</v>
          </cell>
          <cell r="K4539">
            <v>0</v>
          </cell>
          <cell r="L4539">
            <v>0.67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2.1682847896440132</v>
          </cell>
          <cell r="S4539">
            <v>0</v>
          </cell>
        </row>
        <row r="4540">
          <cell r="A4540" t="str">
            <v>Y064-037</v>
          </cell>
          <cell r="B4540" t="str">
            <v>框</v>
          </cell>
          <cell r="C4540" t="str">
            <v>Y064</v>
          </cell>
          <cell r="D4540" t="str">
            <v>#MY800/850</v>
          </cell>
          <cell r="E4540" t="str">
            <v>Poly 饰条-CH</v>
          </cell>
          <cell r="F4540" t="str">
            <v>9*105*729</v>
          </cell>
          <cell r="G4540">
            <v>9</v>
          </cell>
          <cell r="H4540">
            <v>105</v>
          </cell>
          <cell r="I4540">
            <v>729</v>
          </cell>
          <cell r="J4540">
            <v>448</v>
          </cell>
          <cell r="K4540">
            <v>0</v>
          </cell>
          <cell r="L4540">
            <v>1.02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2.2767857142857144</v>
          </cell>
          <cell r="S4540">
            <v>0</v>
          </cell>
        </row>
        <row r="4541">
          <cell r="A4541" t="str">
            <v>Y064-038</v>
          </cell>
          <cell r="B4541" t="str">
            <v>框</v>
          </cell>
          <cell r="C4541" t="str">
            <v>Y064</v>
          </cell>
          <cell r="D4541" t="str">
            <v>#MY800/850</v>
          </cell>
          <cell r="E4541" t="str">
            <v>Poly 饰条-DR</v>
          </cell>
          <cell r="F4541" t="str">
            <v>9*152*635</v>
          </cell>
          <cell r="G4541">
            <v>9</v>
          </cell>
          <cell r="H4541">
            <v>152</v>
          </cell>
          <cell r="I4541">
            <v>635</v>
          </cell>
          <cell r="J4541">
            <v>413</v>
          </cell>
          <cell r="K4541">
            <v>0</v>
          </cell>
          <cell r="L4541">
            <v>0.97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2.3486682808716708</v>
          </cell>
          <cell r="S4541">
            <v>0</v>
          </cell>
        </row>
        <row r="4542">
          <cell r="A4542" t="str">
            <v>Y064-039</v>
          </cell>
          <cell r="B4542" t="str">
            <v>框</v>
          </cell>
          <cell r="C4542" t="str">
            <v>Y064</v>
          </cell>
          <cell r="D4542" t="str">
            <v>#MY700/750</v>
          </cell>
          <cell r="E4542" t="str">
            <v>Poly 饰条-LC</v>
          </cell>
          <cell r="F4542" t="str">
            <v>9*105*386</v>
          </cell>
          <cell r="G4542">
            <v>9</v>
          </cell>
          <cell r="H4542">
            <v>105</v>
          </cell>
          <cell r="I4542">
            <v>386</v>
          </cell>
          <cell r="J4542">
            <v>254</v>
          </cell>
          <cell r="K4542">
            <v>0</v>
          </cell>
          <cell r="L4542">
            <v>0.61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2.401574803149606</v>
          </cell>
          <cell r="S4542">
            <v>0</v>
          </cell>
        </row>
        <row r="4543">
          <cell r="A4543" t="str">
            <v>Y064-040</v>
          </cell>
          <cell r="B4543" t="str">
            <v>框</v>
          </cell>
          <cell r="C4543" t="str">
            <v>Y064</v>
          </cell>
          <cell r="D4543" t="str">
            <v>#MY700/750</v>
          </cell>
          <cell r="E4543" t="str">
            <v>Poly 饰条-AB</v>
          </cell>
          <cell r="F4543" t="str">
            <v>9*105*779</v>
          </cell>
          <cell r="G4543">
            <v>9</v>
          </cell>
          <cell r="H4543">
            <v>105</v>
          </cell>
          <cell r="I4543">
            <v>779</v>
          </cell>
          <cell r="J4543">
            <v>451</v>
          </cell>
          <cell r="K4543">
            <v>0</v>
          </cell>
          <cell r="L4543">
            <v>1.08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2.3946784922394682</v>
          </cell>
          <cell r="S4543">
            <v>0</v>
          </cell>
        </row>
        <row r="4544">
          <cell r="A4544" t="str">
            <v>Y064-041</v>
          </cell>
          <cell r="B4544" t="str">
            <v>框</v>
          </cell>
          <cell r="C4544" t="str">
            <v>Y064</v>
          </cell>
          <cell r="D4544" t="str">
            <v>#MY700/750</v>
          </cell>
          <cell r="E4544" t="str">
            <v>Poly 饰条-NS</v>
          </cell>
          <cell r="F4544" t="str">
            <v>9*105*479</v>
          </cell>
          <cell r="G4544">
            <v>9</v>
          </cell>
          <cell r="H4544">
            <v>105</v>
          </cell>
          <cell r="I4544">
            <v>479</v>
          </cell>
          <cell r="J4544">
            <v>309</v>
          </cell>
          <cell r="K4544">
            <v>0</v>
          </cell>
          <cell r="L4544">
            <v>0.67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2.1682847896440132</v>
          </cell>
          <cell r="S4544">
            <v>0</v>
          </cell>
        </row>
        <row r="4545">
          <cell r="A4545" t="str">
            <v>Y064-042</v>
          </cell>
          <cell r="B4545" t="str">
            <v>框</v>
          </cell>
          <cell r="C4545" t="str">
            <v>Y064</v>
          </cell>
          <cell r="D4545" t="str">
            <v>#MY700/750</v>
          </cell>
          <cell r="E4545" t="str">
            <v>Poly 饰条-CH</v>
          </cell>
          <cell r="F4545" t="str">
            <v>9*105*729</v>
          </cell>
          <cell r="G4545">
            <v>9</v>
          </cell>
          <cell r="H4545">
            <v>105</v>
          </cell>
          <cell r="I4545">
            <v>729</v>
          </cell>
          <cell r="J4545">
            <v>448</v>
          </cell>
          <cell r="K4545">
            <v>0</v>
          </cell>
          <cell r="L4545">
            <v>1.02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2.2767857142857144</v>
          </cell>
          <cell r="S4545">
            <v>0</v>
          </cell>
        </row>
        <row r="4546">
          <cell r="A4546" t="str">
            <v>Y064-043</v>
          </cell>
          <cell r="B4546" t="str">
            <v>框</v>
          </cell>
          <cell r="C4546" t="str">
            <v>Y064</v>
          </cell>
          <cell r="D4546" t="str">
            <v>#MY700/750</v>
          </cell>
          <cell r="E4546" t="str">
            <v>Poly 饰条-DR</v>
          </cell>
          <cell r="F4546" t="str">
            <v>9*152*635</v>
          </cell>
          <cell r="G4546">
            <v>9</v>
          </cell>
          <cell r="H4546">
            <v>152</v>
          </cell>
          <cell r="I4546">
            <v>635</v>
          </cell>
          <cell r="J4546">
            <v>413</v>
          </cell>
          <cell r="K4546">
            <v>0</v>
          </cell>
          <cell r="L4546">
            <v>0.97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2.3486682808716708</v>
          </cell>
          <cell r="S4546">
            <v>0</v>
          </cell>
        </row>
        <row r="4547">
          <cell r="A4547" t="str">
            <v>Y064-044</v>
          </cell>
          <cell r="B4547" t="str">
            <v>框</v>
          </cell>
          <cell r="C4547" t="str">
            <v>Y064</v>
          </cell>
          <cell r="D4547" t="str">
            <v>#MY400/450</v>
          </cell>
          <cell r="E4547" t="str">
            <v>Poly 饰条-QF</v>
          </cell>
          <cell r="F4547" t="str">
            <v>9*193*613</v>
          </cell>
          <cell r="G4547">
            <v>9</v>
          </cell>
          <cell r="H4547">
            <v>193</v>
          </cell>
          <cell r="I4547">
            <v>613</v>
          </cell>
          <cell r="J4547">
            <v>518</v>
          </cell>
          <cell r="K4547">
            <v>0</v>
          </cell>
          <cell r="L4547">
            <v>1.18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2.2779922779922779</v>
          </cell>
          <cell r="S4547">
            <v>0</v>
          </cell>
        </row>
        <row r="4548">
          <cell r="A4548" t="str">
            <v>Y064-045</v>
          </cell>
          <cell r="B4548" t="str">
            <v>框</v>
          </cell>
          <cell r="C4548" t="str">
            <v>Y064</v>
          </cell>
          <cell r="D4548" t="str">
            <v>#MY400/450</v>
          </cell>
          <cell r="E4548" t="str">
            <v>Poly 饰条-KF+TWF</v>
          </cell>
          <cell r="F4548" t="str">
            <v>9*193*813</v>
          </cell>
          <cell r="G4548">
            <v>9</v>
          </cell>
          <cell r="H4548">
            <v>193</v>
          </cell>
          <cell r="I4548">
            <v>813</v>
          </cell>
          <cell r="J4548">
            <v>656</v>
          </cell>
          <cell r="K4548">
            <v>0</v>
          </cell>
          <cell r="L4548">
            <v>1.5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2.2865853658536586</v>
          </cell>
          <cell r="S4548">
            <v>0</v>
          </cell>
        </row>
        <row r="4549">
          <cell r="A4549" t="str">
            <v>Y064-046</v>
          </cell>
          <cell r="B4549" t="str">
            <v>框</v>
          </cell>
          <cell r="C4549" t="str">
            <v>Y064</v>
          </cell>
          <cell r="D4549" t="str">
            <v>#MY400/450</v>
          </cell>
          <cell r="E4549" t="str">
            <v>Poly 饰条-FF</v>
          </cell>
          <cell r="F4549" t="str">
            <v>9*193*535</v>
          </cell>
          <cell r="G4549">
            <v>9</v>
          </cell>
          <cell r="H4549">
            <v>193</v>
          </cell>
          <cell r="I4549">
            <v>535</v>
          </cell>
          <cell r="J4549">
            <v>447</v>
          </cell>
          <cell r="K4549">
            <v>0</v>
          </cell>
          <cell r="L4549">
            <v>1.07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2.3937360178970919</v>
          </cell>
          <cell r="S4549">
            <v>0</v>
          </cell>
        </row>
        <row r="4550">
          <cell r="A4550" t="str">
            <v>Y064-047</v>
          </cell>
          <cell r="B4550" t="str">
            <v>框</v>
          </cell>
          <cell r="C4550" t="str">
            <v>Y064</v>
          </cell>
          <cell r="D4550" t="str">
            <v>#MY800/850</v>
          </cell>
          <cell r="E4550" t="str">
            <v>Poly 饰条-QF</v>
          </cell>
          <cell r="F4550" t="str">
            <v>9*193*613</v>
          </cell>
          <cell r="G4550">
            <v>9</v>
          </cell>
          <cell r="H4550">
            <v>193</v>
          </cell>
          <cell r="I4550">
            <v>613</v>
          </cell>
          <cell r="J4550">
            <v>518</v>
          </cell>
          <cell r="K4550">
            <v>0</v>
          </cell>
          <cell r="L4550">
            <v>1.18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2.2779922779922779</v>
          </cell>
          <cell r="S4550">
            <v>0</v>
          </cell>
        </row>
        <row r="4551">
          <cell r="A4551" t="str">
            <v>Y064-048</v>
          </cell>
          <cell r="B4551" t="str">
            <v>框</v>
          </cell>
          <cell r="C4551" t="str">
            <v>Y064</v>
          </cell>
          <cell r="D4551" t="str">
            <v>#MY800/850</v>
          </cell>
          <cell r="E4551" t="str">
            <v>Poly 饰条-KF+TWF</v>
          </cell>
          <cell r="F4551" t="str">
            <v>9*193*813</v>
          </cell>
          <cell r="G4551">
            <v>9</v>
          </cell>
          <cell r="H4551">
            <v>193</v>
          </cell>
          <cell r="I4551">
            <v>813</v>
          </cell>
          <cell r="J4551">
            <v>656</v>
          </cell>
          <cell r="K4551">
            <v>0</v>
          </cell>
          <cell r="L4551">
            <v>1.5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2.2865853658536586</v>
          </cell>
          <cell r="S4551">
            <v>0</v>
          </cell>
        </row>
        <row r="4552">
          <cell r="A4552" t="str">
            <v>Y064-049</v>
          </cell>
          <cell r="B4552" t="str">
            <v>框</v>
          </cell>
          <cell r="C4552" t="str">
            <v>Y064</v>
          </cell>
          <cell r="D4552" t="str">
            <v>#MY800/850</v>
          </cell>
          <cell r="E4552" t="str">
            <v>Poly 饰条-FF</v>
          </cell>
          <cell r="F4552" t="str">
            <v>9*193*535</v>
          </cell>
          <cell r="G4552">
            <v>9</v>
          </cell>
          <cell r="H4552">
            <v>193</v>
          </cell>
          <cell r="I4552">
            <v>535</v>
          </cell>
          <cell r="J4552">
            <v>447</v>
          </cell>
          <cell r="K4552">
            <v>0</v>
          </cell>
          <cell r="L4552">
            <v>1.07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2.3937360178970919</v>
          </cell>
          <cell r="S4552">
            <v>0</v>
          </cell>
        </row>
        <row r="4553">
          <cell r="A4553" t="str">
            <v>Y064-050</v>
          </cell>
          <cell r="B4553" t="str">
            <v>城牆-彎L型</v>
          </cell>
          <cell r="C4553" t="str">
            <v>Y064</v>
          </cell>
          <cell r="D4553" t="str">
            <v>#CL600</v>
          </cell>
          <cell r="E4553" t="str">
            <v>Poly 饰条</v>
          </cell>
          <cell r="F4553" t="str">
            <v>8*18*798</v>
          </cell>
          <cell r="G4553">
            <v>8</v>
          </cell>
          <cell r="H4553">
            <v>18</v>
          </cell>
          <cell r="I4553">
            <v>798</v>
          </cell>
          <cell r="J4553">
            <v>184</v>
          </cell>
          <cell r="K4553">
            <v>0</v>
          </cell>
          <cell r="L4553">
            <v>0.42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2.2826086956521738</v>
          </cell>
          <cell r="S4553">
            <v>0</v>
          </cell>
        </row>
        <row r="4554">
          <cell r="A4554" t="str">
            <v>Y064-051</v>
          </cell>
          <cell r="B4554" t="str">
            <v>"</v>
          </cell>
          <cell r="C4554" t="str">
            <v>Y064</v>
          </cell>
          <cell r="D4554" t="str">
            <v>#CL600</v>
          </cell>
          <cell r="E4554" t="str">
            <v>Poly 饰条</v>
          </cell>
          <cell r="F4554" t="str">
            <v>8*18*930</v>
          </cell>
          <cell r="G4554">
            <v>8</v>
          </cell>
          <cell r="H4554">
            <v>18</v>
          </cell>
          <cell r="I4554">
            <v>930</v>
          </cell>
          <cell r="J4554">
            <v>208</v>
          </cell>
          <cell r="K4554">
            <v>0</v>
          </cell>
          <cell r="L4554">
            <v>0.49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2.3557692307692308</v>
          </cell>
          <cell r="S4554">
            <v>0</v>
          </cell>
        </row>
        <row r="4555">
          <cell r="A4555" t="str">
            <v>Y064-052</v>
          </cell>
          <cell r="B4555" t="str">
            <v>"</v>
          </cell>
          <cell r="C4555" t="str">
            <v>Y064</v>
          </cell>
          <cell r="D4555" t="str">
            <v>#CL600</v>
          </cell>
          <cell r="E4555" t="str">
            <v>Poly 饰条</v>
          </cell>
          <cell r="F4555" t="str">
            <v>8*18*1278</v>
          </cell>
          <cell r="G4555">
            <v>8</v>
          </cell>
          <cell r="H4555">
            <v>18</v>
          </cell>
          <cell r="I4555">
            <v>1278</v>
          </cell>
          <cell r="J4555">
            <v>260</v>
          </cell>
          <cell r="K4555">
            <v>0</v>
          </cell>
          <cell r="L4555">
            <v>0.67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2.5769230769230771</v>
          </cell>
          <cell r="S4555">
            <v>0</v>
          </cell>
        </row>
        <row r="4556">
          <cell r="A4556" t="str">
            <v>Y064-053</v>
          </cell>
          <cell r="B4556" t="str">
            <v>"</v>
          </cell>
          <cell r="C4556" t="str">
            <v>Y064</v>
          </cell>
          <cell r="D4556" t="str">
            <v>#CL600</v>
          </cell>
          <cell r="E4556" t="str">
            <v>Poly 饰条</v>
          </cell>
          <cell r="F4556" t="str">
            <v>8*18*990</v>
          </cell>
          <cell r="G4556">
            <v>8</v>
          </cell>
          <cell r="H4556">
            <v>18</v>
          </cell>
          <cell r="I4556">
            <v>990</v>
          </cell>
          <cell r="J4556">
            <v>217</v>
          </cell>
          <cell r="K4556">
            <v>0</v>
          </cell>
          <cell r="L4556">
            <v>0.51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2.350230414746544</v>
          </cell>
          <cell r="S4556">
            <v>0</v>
          </cell>
        </row>
        <row r="4557">
          <cell r="A4557" t="str">
            <v>Y064-054</v>
          </cell>
          <cell r="B4557" t="str">
            <v>"</v>
          </cell>
          <cell r="C4557" t="str">
            <v>Y064</v>
          </cell>
          <cell r="D4557" t="str">
            <v>#CL600</v>
          </cell>
          <cell r="E4557" t="str">
            <v>Poly 饰条</v>
          </cell>
          <cell r="F4557" t="str">
            <v>8*18*1000</v>
          </cell>
          <cell r="G4557">
            <v>8</v>
          </cell>
          <cell r="H4557">
            <v>18</v>
          </cell>
          <cell r="I4557">
            <v>1000</v>
          </cell>
          <cell r="J4557">
            <v>222</v>
          </cell>
          <cell r="K4557">
            <v>0</v>
          </cell>
          <cell r="L4557">
            <v>0.51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2.2972972972972974</v>
          </cell>
          <cell r="S4557">
            <v>0</v>
          </cell>
        </row>
        <row r="4558">
          <cell r="A4558" t="str">
            <v>Y064-055</v>
          </cell>
          <cell r="B4558" t="str">
            <v>"</v>
          </cell>
          <cell r="C4558" t="str">
            <v>Y064</v>
          </cell>
          <cell r="D4558" t="str">
            <v>#CL600</v>
          </cell>
          <cell r="E4558" t="str">
            <v>Poly 饰条</v>
          </cell>
          <cell r="F4558" t="str">
            <v>8*18*1212</v>
          </cell>
          <cell r="G4558">
            <v>8</v>
          </cell>
          <cell r="H4558">
            <v>18</v>
          </cell>
          <cell r="I4558">
            <v>1212</v>
          </cell>
          <cell r="J4558">
            <v>253</v>
          </cell>
          <cell r="K4558">
            <v>0</v>
          </cell>
          <cell r="L4558">
            <v>0.61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2.4110671936758892</v>
          </cell>
          <cell r="S4558">
            <v>0</v>
          </cell>
        </row>
        <row r="4559">
          <cell r="A4559" t="str">
            <v>Y064-056</v>
          </cell>
          <cell r="B4559" t="str">
            <v>样品</v>
          </cell>
          <cell r="C4559" t="str">
            <v>Y064</v>
          </cell>
          <cell r="D4559" t="str">
            <v>#MY800/850</v>
          </cell>
          <cell r="E4559" t="str">
            <v>Poly 饰条(饰框）</v>
          </cell>
          <cell r="F4559" t="str">
            <v>9*105*240</v>
          </cell>
          <cell r="G4559">
            <v>9</v>
          </cell>
          <cell r="H4559">
            <v>105</v>
          </cell>
          <cell r="I4559">
            <v>240</v>
          </cell>
          <cell r="J4559">
            <v>0</v>
          </cell>
          <cell r="K4559">
            <v>0</v>
          </cell>
          <cell r="L4559">
            <v>0.4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</row>
        <row r="4560">
          <cell r="A4560" t="str">
            <v>Y064-057</v>
          </cell>
          <cell r="B4560">
            <v>0</v>
          </cell>
          <cell r="C4560" t="str">
            <v>Y064</v>
          </cell>
          <cell r="D4560">
            <v>0</v>
          </cell>
          <cell r="E4560" t="str">
            <v>Poly 饰条(饰条）</v>
          </cell>
          <cell r="F4560" t="str">
            <v>15*20*1500</v>
          </cell>
          <cell r="G4560">
            <v>15</v>
          </cell>
          <cell r="H4560">
            <v>20</v>
          </cell>
          <cell r="I4560">
            <v>1500</v>
          </cell>
          <cell r="J4560">
            <v>0</v>
          </cell>
          <cell r="K4560">
            <v>0</v>
          </cell>
          <cell r="L4560">
            <v>1.58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</row>
        <row r="4561">
          <cell r="A4561" t="str">
            <v>Y064-058</v>
          </cell>
          <cell r="B4561">
            <v>0</v>
          </cell>
          <cell r="C4561" t="str">
            <v>Y064</v>
          </cell>
          <cell r="D4561">
            <v>0</v>
          </cell>
          <cell r="E4561" t="str">
            <v>Poly 饰条(饰条）</v>
          </cell>
          <cell r="F4561" t="str">
            <v>15*20*1900</v>
          </cell>
          <cell r="G4561">
            <v>15</v>
          </cell>
          <cell r="H4561">
            <v>20</v>
          </cell>
          <cell r="I4561">
            <v>1900</v>
          </cell>
          <cell r="J4561">
            <v>0</v>
          </cell>
          <cell r="K4561">
            <v>0</v>
          </cell>
          <cell r="L4561">
            <v>1.99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</row>
        <row r="4562">
          <cell r="A4562" t="str">
            <v>Y064-059</v>
          </cell>
          <cell r="B4562">
            <v>0</v>
          </cell>
          <cell r="C4562" t="str">
            <v>Y020</v>
          </cell>
          <cell r="D4562" t="str">
            <v>#DL600/650</v>
          </cell>
          <cell r="E4562" t="str">
            <v>CHỈ POLY饰條</v>
          </cell>
          <cell r="F4562" t="str">
            <v>12*15*1088</v>
          </cell>
          <cell r="G4562">
            <v>12</v>
          </cell>
          <cell r="H4562">
            <v>15</v>
          </cell>
          <cell r="I4562">
            <v>1088</v>
          </cell>
          <cell r="J4562">
            <v>260</v>
          </cell>
          <cell r="K4562">
            <v>0.58199999999999996</v>
          </cell>
          <cell r="L4562">
            <v>0.58199999999999996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2.2384615384615381</v>
          </cell>
          <cell r="S4562">
            <v>0</v>
          </cell>
        </row>
        <row r="4563">
          <cell r="A4563" t="str">
            <v>Y064-060</v>
          </cell>
          <cell r="B4563">
            <v>0</v>
          </cell>
          <cell r="C4563" t="str">
            <v>Y020</v>
          </cell>
          <cell r="D4563" t="str">
            <v>#DL600/650</v>
          </cell>
          <cell r="E4563" t="str">
            <v>CHỈ POLY饰條</v>
          </cell>
          <cell r="F4563" t="str">
            <v>15*18.5*951</v>
          </cell>
          <cell r="G4563">
            <v>15</v>
          </cell>
          <cell r="H4563">
            <v>18.5</v>
          </cell>
          <cell r="I4563">
            <v>951</v>
          </cell>
          <cell r="J4563">
            <v>360</v>
          </cell>
          <cell r="K4563">
            <v>0.82499999999999996</v>
          </cell>
          <cell r="L4563">
            <v>0.82499999999999996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2.2916666666666665</v>
          </cell>
          <cell r="S4563">
            <v>0</v>
          </cell>
        </row>
        <row r="4564">
          <cell r="A4564" t="str">
            <v>Y064-061</v>
          </cell>
          <cell r="B4564">
            <v>0</v>
          </cell>
          <cell r="C4564" t="str">
            <v>Y020</v>
          </cell>
          <cell r="D4564" t="str">
            <v>#DL600/650</v>
          </cell>
          <cell r="E4564" t="str">
            <v>CHỈ POLY饰條</v>
          </cell>
          <cell r="F4564" t="str">
            <v>15*20*1422</v>
          </cell>
          <cell r="G4564">
            <v>15</v>
          </cell>
          <cell r="H4564">
            <v>20</v>
          </cell>
          <cell r="I4564">
            <v>1422</v>
          </cell>
          <cell r="J4564">
            <v>580</v>
          </cell>
          <cell r="K4564">
            <v>1.41</v>
          </cell>
          <cell r="L4564">
            <v>1.41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2.4310344827586206</v>
          </cell>
          <cell r="S4564">
            <v>0</v>
          </cell>
        </row>
        <row r="4565">
          <cell r="A4565" t="str">
            <v>Y064-062</v>
          </cell>
          <cell r="B4565">
            <v>0</v>
          </cell>
          <cell r="C4565" t="str">
            <v>Y020</v>
          </cell>
          <cell r="D4565" t="str">
            <v>#DL600/650</v>
          </cell>
          <cell r="E4565" t="str">
            <v>CHỈ POLY饰條</v>
          </cell>
          <cell r="F4565" t="str">
            <v>15*20*1815</v>
          </cell>
          <cell r="G4565">
            <v>15</v>
          </cell>
          <cell r="H4565">
            <v>20</v>
          </cell>
          <cell r="I4565">
            <v>1815</v>
          </cell>
          <cell r="J4565">
            <v>740</v>
          </cell>
          <cell r="K4565">
            <v>1.74</v>
          </cell>
          <cell r="L4565">
            <v>1.74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2.3513513513513513</v>
          </cell>
          <cell r="S4565">
            <v>0</v>
          </cell>
        </row>
        <row r="4566">
          <cell r="A4566" t="str">
            <v>Y064-063</v>
          </cell>
          <cell r="B4566">
            <v>0</v>
          </cell>
          <cell r="C4566" t="str">
            <v>Y020</v>
          </cell>
          <cell r="D4566" t="str">
            <v>#DL600/650</v>
          </cell>
          <cell r="E4566" t="str">
            <v>CHỈ POLY饰條</v>
          </cell>
          <cell r="F4566" t="str">
            <v>15*20*1265</v>
          </cell>
          <cell r="G4566">
            <v>15</v>
          </cell>
          <cell r="H4566">
            <v>20</v>
          </cell>
          <cell r="I4566">
            <v>1265</v>
          </cell>
          <cell r="J4566">
            <v>0</v>
          </cell>
          <cell r="K4566">
            <v>0</v>
          </cell>
          <cell r="L4566">
            <v>1.26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</row>
        <row r="4567">
          <cell r="A4567" t="str">
            <v>Y065-001</v>
          </cell>
          <cell r="B4567">
            <v>0</v>
          </cell>
          <cell r="C4567" t="str">
            <v>Y065</v>
          </cell>
          <cell r="D4567" t="str">
            <v>1505 F (đầu)</v>
          </cell>
          <cell r="E4567" t="str">
            <v>床头饰条</v>
          </cell>
          <cell r="F4567" t="str">
            <v>1585*23*10</v>
          </cell>
          <cell r="G4567">
            <v>1585</v>
          </cell>
          <cell r="H4567">
            <v>23</v>
          </cell>
          <cell r="I4567">
            <v>10</v>
          </cell>
          <cell r="J4567">
            <v>435</v>
          </cell>
          <cell r="K4567">
            <v>0</v>
          </cell>
          <cell r="L4567">
            <v>1.25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2.8735632183908044</v>
          </cell>
          <cell r="S4567">
            <v>0</v>
          </cell>
        </row>
        <row r="4568">
          <cell r="A4568" t="str">
            <v>Y065-002</v>
          </cell>
          <cell r="B4568">
            <v>0</v>
          </cell>
          <cell r="C4568" t="str">
            <v>Y065</v>
          </cell>
          <cell r="D4568" t="str">
            <v>1505 T (đẩu)</v>
          </cell>
          <cell r="E4568" t="str">
            <v>床头饰条</v>
          </cell>
          <cell r="F4568" t="str">
            <v>1170*23*10</v>
          </cell>
          <cell r="G4568">
            <v>1170</v>
          </cell>
          <cell r="H4568">
            <v>23</v>
          </cell>
          <cell r="I4568">
            <v>10</v>
          </cell>
          <cell r="J4568">
            <v>314</v>
          </cell>
          <cell r="K4568">
            <v>0</v>
          </cell>
          <cell r="L4568">
            <v>0.9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2.8662420382165608</v>
          </cell>
          <cell r="S4568">
            <v>0</v>
          </cell>
        </row>
        <row r="4569">
          <cell r="A4569" t="str">
            <v>Y065-003</v>
          </cell>
          <cell r="B4569">
            <v>0</v>
          </cell>
          <cell r="C4569" t="str">
            <v>Y065</v>
          </cell>
          <cell r="D4569" t="str">
            <v>1505 cánh (trái) L</v>
          </cell>
          <cell r="E4569" t="str">
            <v>床头饰条</v>
          </cell>
          <cell r="F4569" t="str">
            <v>1150*23*10</v>
          </cell>
          <cell r="G4569">
            <v>1150</v>
          </cell>
          <cell r="H4569">
            <v>23</v>
          </cell>
          <cell r="I4569">
            <v>10</v>
          </cell>
          <cell r="J4569">
            <v>322</v>
          </cell>
          <cell r="K4569">
            <v>0</v>
          </cell>
          <cell r="L4569">
            <v>0.92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2.8571428571428572</v>
          </cell>
          <cell r="S4569">
            <v>0</v>
          </cell>
        </row>
        <row r="4570">
          <cell r="A4570" t="str">
            <v>Y065-004</v>
          </cell>
          <cell r="B4570">
            <v>0</v>
          </cell>
          <cell r="C4570" t="str">
            <v>Y065</v>
          </cell>
          <cell r="D4570" t="str">
            <v>1505 cánh (phải)R</v>
          </cell>
          <cell r="E4570" t="str">
            <v>床头饰条</v>
          </cell>
          <cell r="F4570" t="str">
            <v>1150*23*10</v>
          </cell>
          <cell r="G4570">
            <v>1150</v>
          </cell>
          <cell r="H4570">
            <v>23</v>
          </cell>
          <cell r="I4570">
            <v>10</v>
          </cell>
          <cell r="J4570">
            <v>322</v>
          </cell>
          <cell r="K4570">
            <v>0</v>
          </cell>
          <cell r="L4570">
            <v>0.92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2.8571428571428572</v>
          </cell>
          <cell r="S4570">
            <v>0</v>
          </cell>
        </row>
        <row r="4571">
          <cell r="A4571" t="str">
            <v>Y065-005</v>
          </cell>
          <cell r="B4571">
            <v>0</v>
          </cell>
          <cell r="C4571" t="str">
            <v>Y065</v>
          </cell>
          <cell r="D4571" t="str">
            <v>9708 Q (đầu)</v>
          </cell>
          <cell r="E4571" t="str">
            <v>床头饰条</v>
          </cell>
          <cell r="F4571" t="str">
            <v>1700*23*10</v>
          </cell>
          <cell r="G4571">
            <v>1700</v>
          </cell>
          <cell r="H4571">
            <v>23</v>
          </cell>
          <cell r="I4571">
            <v>10</v>
          </cell>
          <cell r="J4571">
            <v>493</v>
          </cell>
          <cell r="K4571">
            <v>0</v>
          </cell>
          <cell r="L4571">
            <v>1.4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2.8397565922920891</v>
          </cell>
          <cell r="S4571">
            <v>0</v>
          </cell>
        </row>
        <row r="4572">
          <cell r="A4572" t="str">
            <v>Y065-006</v>
          </cell>
          <cell r="B4572">
            <v>0</v>
          </cell>
          <cell r="C4572" t="str">
            <v>Y065</v>
          </cell>
          <cell r="D4572" t="str">
            <v>9708 K( đầu)</v>
          </cell>
          <cell r="E4572" t="str">
            <v>床头饰条</v>
          </cell>
          <cell r="F4572" t="str">
            <v>2150*23*10</v>
          </cell>
          <cell r="G4572">
            <v>2150</v>
          </cell>
          <cell r="H4572">
            <v>23</v>
          </cell>
          <cell r="I4572">
            <v>10</v>
          </cell>
          <cell r="J4572">
            <v>579</v>
          </cell>
          <cell r="K4572">
            <v>0</v>
          </cell>
          <cell r="L4572">
            <v>1.65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2.849740932642487</v>
          </cell>
          <cell r="S4572">
            <v>0</v>
          </cell>
        </row>
        <row r="4573">
          <cell r="A4573" t="str">
            <v>Y065-007</v>
          </cell>
          <cell r="B4573">
            <v>0</v>
          </cell>
          <cell r="C4573" t="str">
            <v>Y065</v>
          </cell>
          <cell r="D4573" t="str">
            <v>9708 cánh trái L</v>
          </cell>
          <cell r="E4573" t="str">
            <v>床头饰条</v>
          </cell>
          <cell r="F4573" t="str">
            <v>1250*23*10</v>
          </cell>
          <cell r="G4573">
            <v>1250</v>
          </cell>
          <cell r="H4573">
            <v>23</v>
          </cell>
          <cell r="I4573">
            <v>10</v>
          </cell>
          <cell r="J4573">
            <v>360</v>
          </cell>
          <cell r="K4573">
            <v>0</v>
          </cell>
          <cell r="L4573">
            <v>1.1000000000000001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3.0555555555555558</v>
          </cell>
          <cell r="S4573">
            <v>0</v>
          </cell>
        </row>
        <row r="4574">
          <cell r="A4574" t="str">
            <v>Y065-008</v>
          </cell>
          <cell r="B4574">
            <v>0</v>
          </cell>
          <cell r="C4574" t="str">
            <v>Y065</v>
          </cell>
          <cell r="D4574" t="str">
            <v>9708 cánh phải R</v>
          </cell>
          <cell r="E4574" t="str">
            <v>床头饰条</v>
          </cell>
          <cell r="F4574" t="str">
            <v>1250*23*10</v>
          </cell>
          <cell r="G4574">
            <v>1250</v>
          </cell>
          <cell r="H4574">
            <v>23</v>
          </cell>
          <cell r="I4574">
            <v>10</v>
          </cell>
          <cell r="J4574">
            <v>360</v>
          </cell>
          <cell r="K4574">
            <v>0</v>
          </cell>
          <cell r="L4574">
            <v>1.1000000000000001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3.0555555555555558</v>
          </cell>
          <cell r="S4574">
            <v>0</v>
          </cell>
        </row>
        <row r="4575">
          <cell r="A4575" t="str">
            <v>Y066-001</v>
          </cell>
          <cell r="B4575">
            <v>0</v>
          </cell>
          <cell r="C4575" t="str">
            <v>Y066</v>
          </cell>
          <cell r="D4575" t="str">
            <v>D0M 832 饰花</v>
          </cell>
          <cell r="E4575" t="str">
            <v>Hoa trang trí đầu giường</v>
          </cell>
          <cell r="F4575" t="str">
            <v>1043*95*10</v>
          </cell>
          <cell r="G4575">
            <v>1043</v>
          </cell>
          <cell r="H4575">
            <v>95</v>
          </cell>
          <cell r="I4575">
            <v>10</v>
          </cell>
          <cell r="J4575">
            <v>378</v>
          </cell>
          <cell r="K4575">
            <v>0</v>
          </cell>
          <cell r="L4575">
            <v>0.98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2.5925925925925926</v>
          </cell>
          <cell r="S4575">
            <v>0</v>
          </cell>
        </row>
        <row r="4576">
          <cell r="A4576" t="str">
            <v>Y066-002</v>
          </cell>
          <cell r="B4576">
            <v>0</v>
          </cell>
          <cell r="C4576" t="str">
            <v>Y066</v>
          </cell>
          <cell r="D4576" t="str">
            <v>D0M 832 饰花</v>
          </cell>
          <cell r="E4576" t="str">
            <v>Hoa trang trí đuôi giường</v>
          </cell>
          <cell r="F4576" t="str">
            <v>370*58*11</v>
          </cell>
          <cell r="G4576">
            <v>370</v>
          </cell>
          <cell r="H4576">
            <v>58</v>
          </cell>
          <cell r="I4576">
            <v>11</v>
          </cell>
          <cell r="J4576">
            <v>113</v>
          </cell>
          <cell r="K4576">
            <v>0</v>
          </cell>
          <cell r="L4576">
            <v>0.28999999999999998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 t="str">
            <v>1010</v>
          </cell>
          <cell r="R4576">
            <v>2.5663716814159288</v>
          </cell>
          <cell r="S4576">
            <v>0</v>
          </cell>
        </row>
        <row r="4577">
          <cell r="A4577" t="str">
            <v>Y066-003</v>
          </cell>
          <cell r="B4577">
            <v>0</v>
          </cell>
          <cell r="C4577" t="str">
            <v>Y066</v>
          </cell>
          <cell r="D4577" t="str">
            <v>D0M 836 饰花</v>
          </cell>
          <cell r="E4577" t="str">
            <v>Hoa trang trí tủ đầu giường</v>
          </cell>
          <cell r="F4577" t="str">
            <v>320*48*7.6</v>
          </cell>
          <cell r="G4577">
            <v>320</v>
          </cell>
          <cell r="H4577">
            <v>48</v>
          </cell>
          <cell r="I4577">
            <v>7.6</v>
          </cell>
          <cell r="J4577">
            <v>55</v>
          </cell>
          <cell r="K4577">
            <v>0</v>
          </cell>
          <cell r="L4577">
            <v>0.15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2.7272727272727271</v>
          </cell>
          <cell r="S4577">
            <v>0</v>
          </cell>
        </row>
        <row r="4578">
          <cell r="A4578" t="str">
            <v>Y066-004</v>
          </cell>
          <cell r="B4578">
            <v>0</v>
          </cell>
          <cell r="C4578" t="str">
            <v>Y066</v>
          </cell>
          <cell r="D4578" t="str">
            <v>D0M 835 饰花</v>
          </cell>
          <cell r="E4578" t="str">
            <v>Hoa trang trí tủ áo</v>
          </cell>
          <cell r="F4578" t="str">
            <v>400*70*10</v>
          </cell>
          <cell r="G4578">
            <v>400</v>
          </cell>
          <cell r="H4578">
            <v>70</v>
          </cell>
          <cell r="I4578">
            <v>10</v>
          </cell>
          <cell r="J4578">
            <v>115</v>
          </cell>
          <cell r="K4578">
            <v>0</v>
          </cell>
          <cell r="L4578">
            <v>0.3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2.6086956521739126</v>
          </cell>
          <cell r="S4578">
            <v>0</v>
          </cell>
        </row>
        <row r="4579">
          <cell r="A4579" t="str">
            <v>Y066-005</v>
          </cell>
          <cell r="B4579">
            <v>0</v>
          </cell>
          <cell r="C4579" t="str">
            <v>Y066</v>
          </cell>
          <cell r="D4579" t="str">
            <v>D0M  饰花</v>
          </cell>
          <cell r="E4579" t="str">
            <v>Hoa trang trí tủ sách</v>
          </cell>
          <cell r="F4579" t="str">
            <v>1043*95*10</v>
          </cell>
          <cell r="G4579">
            <v>1043</v>
          </cell>
          <cell r="H4579">
            <v>95</v>
          </cell>
          <cell r="I4579">
            <v>10</v>
          </cell>
          <cell r="J4579">
            <v>378</v>
          </cell>
          <cell r="K4579">
            <v>0</v>
          </cell>
          <cell r="L4579">
            <v>0.98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2.5925925925925926</v>
          </cell>
          <cell r="S4579">
            <v>0</v>
          </cell>
        </row>
        <row r="4580">
          <cell r="A4580" t="str">
            <v>Y066-006</v>
          </cell>
          <cell r="B4580">
            <v>0</v>
          </cell>
          <cell r="C4580" t="str">
            <v>Y066</v>
          </cell>
          <cell r="D4580" t="str">
            <v>D0M 833  饰花</v>
          </cell>
          <cell r="E4580" t="str">
            <v>Hoa trang trí tủ dài</v>
          </cell>
          <cell r="F4580" t="str">
            <v>320*48*7.6</v>
          </cell>
          <cell r="G4580">
            <v>320</v>
          </cell>
          <cell r="H4580">
            <v>48</v>
          </cell>
          <cell r="I4580">
            <v>7.6</v>
          </cell>
          <cell r="J4580">
            <v>55</v>
          </cell>
          <cell r="K4580">
            <v>0</v>
          </cell>
          <cell r="L4580">
            <v>0.15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2.7272727272727271</v>
          </cell>
          <cell r="S4580">
            <v>0</v>
          </cell>
        </row>
        <row r="4581">
          <cell r="A4581" t="str">
            <v>Y066-007</v>
          </cell>
          <cell r="B4581">
            <v>0</v>
          </cell>
          <cell r="C4581" t="str">
            <v>Y066</v>
          </cell>
          <cell r="D4581" t="str">
            <v>DOM832</v>
          </cell>
          <cell r="E4581" t="str">
            <v>Trang trí ván bụng DOM832</v>
          </cell>
          <cell r="F4581" t="str">
            <v>1179*962*51*12</v>
          </cell>
          <cell r="G4581">
            <v>1179</v>
          </cell>
          <cell r="H4581">
            <v>962</v>
          </cell>
          <cell r="I4581" t="str">
            <v>51*12</v>
          </cell>
          <cell r="J4581">
            <v>2810</v>
          </cell>
          <cell r="K4581">
            <v>0</v>
          </cell>
          <cell r="L4581">
            <v>6.5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2.3131672597864767</v>
          </cell>
          <cell r="S4581">
            <v>0</v>
          </cell>
        </row>
        <row r="4582">
          <cell r="A4582" t="str">
            <v>Y066-008</v>
          </cell>
          <cell r="B4582">
            <v>0</v>
          </cell>
          <cell r="C4582" t="str">
            <v>Y066</v>
          </cell>
          <cell r="D4582" t="str">
            <v>DOM840</v>
          </cell>
          <cell r="E4582" t="str">
            <v>柜子前面脚柱</v>
          </cell>
          <cell r="F4582" t="str">
            <v>1044*55*55</v>
          </cell>
          <cell r="G4582">
            <v>1044</v>
          </cell>
          <cell r="H4582">
            <v>55</v>
          </cell>
          <cell r="I4582">
            <v>55</v>
          </cell>
          <cell r="J4582">
            <v>1496</v>
          </cell>
          <cell r="K4582">
            <v>0</v>
          </cell>
          <cell r="L4582">
            <v>3.58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 t="str">
            <v>1012</v>
          </cell>
          <cell r="R4582">
            <v>2.393048128342246</v>
          </cell>
          <cell r="S4582">
            <v>0</v>
          </cell>
        </row>
        <row r="4583">
          <cell r="A4583" t="str">
            <v>Y066-009</v>
          </cell>
          <cell r="B4583">
            <v>0</v>
          </cell>
          <cell r="C4583" t="str">
            <v>Y066</v>
          </cell>
          <cell r="D4583" t="str">
            <v>DOM839</v>
          </cell>
          <cell r="E4583" t="str">
            <v>6抽屉前面脚柱</v>
          </cell>
          <cell r="F4583" t="str">
            <v>1099*55*55</v>
          </cell>
          <cell r="G4583">
            <v>1099</v>
          </cell>
          <cell r="H4583">
            <v>55</v>
          </cell>
          <cell r="I4583">
            <v>55</v>
          </cell>
          <cell r="J4583">
            <v>1654</v>
          </cell>
          <cell r="K4583">
            <v>0</v>
          </cell>
          <cell r="L4583">
            <v>3.95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 t="str">
            <v>1012</v>
          </cell>
          <cell r="R4583">
            <v>2.3881499395405079</v>
          </cell>
          <cell r="S4583">
            <v>0</v>
          </cell>
        </row>
        <row r="4584">
          <cell r="A4584" t="str">
            <v>Y066-010</v>
          </cell>
          <cell r="B4584">
            <v>0</v>
          </cell>
          <cell r="C4584" t="str">
            <v>Y066</v>
          </cell>
          <cell r="D4584" t="str">
            <v>DOM838</v>
          </cell>
          <cell r="E4584" t="str">
            <v>长柜前面脚柱</v>
          </cell>
          <cell r="F4584" t="str">
            <v>715*55*55</v>
          </cell>
          <cell r="G4584">
            <v>715</v>
          </cell>
          <cell r="H4584">
            <v>55</v>
          </cell>
          <cell r="I4584">
            <v>55</v>
          </cell>
          <cell r="J4584">
            <v>1079</v>
          </cell>
          <cell r="K4584">
            <v>0</v>
          </cell>
          <cell r="L4584">
            <v>2.58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 t="str">
            <v>1012</v>
          </cell>
          <cell r="R4584">
            <v>2.3911028730305839</v>
          </cell>
          <cell r="S4584">
            <v>0</v>
          </cell>
        </row>
        <row r="4585">
          <cell r="A4585" t="str">
            <v>Y066-011</v>
          </cell>
          <cell r="B4585">
            <v>0</v>
          </cell>
          <cell r="C4585" t="str">
            <v>Y066</v>
          </cell>
          <cell r="D4585" t="str">
            <v>DOM841</v>
          </cell>
          <cell r="E4585" t="str">
            <v>床头前面脚柱</v>
          </cell>
          <cell r="F4585" t="str">
            <v>533*55*55</v>
          </cell>
          <cell r="G4585">
            <v>533</v>
          </cell>
          <cell r="H4585">
            <v>55</v>
          </cell>
          <cell r="I4585">
            <v>55</v>
          </cell>
          <cell r="J4585">
            <v>788</v>
          </cell>
          <cell r="K4585">
            <v>0</v>
          </cell>
          <cell r="L4585">
            <v>1.88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 t="str">
            <v>1012</v>
          </cell>
          <cell r="R4585">
            <v>2.3857868020304567</v>
          </cell>
          <cell r="S4585">
            <v>0</v>
          </cell>
        </row>
        <row r="4586">
          <cell r="A4586" t="str">
            <v>Y066-012</v>
          </cell>
          <cell r="B4586" t="str">
            <v>內木30*30(小)</v>
          </cell>
          <cell r="C4586" t="str">
            <v>Y066</v>
          </cell>
          <cell r="D4586" t="str">
            <v>Cục chân đế</v>
          </cell>
          <cell r="E4586" t="str">
            <v>脚柱</v>
          </cell>
          <cell r="F4586" t="str">
            <v>122*54*54</v>
          </cell>
          <cell r="G4586">
            <v>122</v>
          </cell>
          <cell r="H4586">
            <v>54</v>
          </cell>
          <cell r="I4586">
            <v>54</v>
          </cell>
          <cell r="J4586">
            <v>188</v>
          </cell>
          <cell r="K4586">
            <v>0</v>
          </cell>
          <cell r="L4586">
            <v>0.52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 t="str">
            <v>1010</v>
          </cell>
          <cell r="R4586">
            <v>2.7659574468085109</v>
          </cell>
          <cell r="S4586">
            <v>0</v>
          </cell>
        </row>
        <row r="4587">
          <cell r="A4587" t="str">
            <v>Y067-001</v>
          </cell>
          <cell r="B4587" t="str">
            <v>林盛林廠</v>
          </cell>
          <cell r="C4587" t="str">
            <v>Y067</v>
          </cell>
          <cell r="D4587" t="str">
            <v>Poly 条 0146</v>
          </cell>
          <cell r="E4587">
            <v>0</v>
          </cell>
          <cell r="F4587" t="str">
            <v>1550**8*4</v>
          </cell>
          <cell r="G4587">
            <v>1550</v>
          </cell>
          <cell r="H4587">
            <v>8</v>
          </cell>
          <cell r="I4587">
            <v>4</v>
          </cell>
          <cell r="J4587">
            <v>94</v>
          </cell>
          <cell r="K4587">
            <v>0</v>
          </cell>
          <cell r="L4587">
            <v>0.27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 t="str">
            <v>1010</v>
          </cell>
          <cell r="R4587">
            <v>2.8723404255319149</v>
          </cell>
          <cell r="S4587">
            <v>0</v>
          </cell>
        </row>
        <row r="4588">
          <cell r="A4588">
            <v>3</v>
          </cell>
          <cell r="B4588">
            <v>0</v>
          </cell>
          <cell r="C4588" t="str">
            <v>Y067</v>
          </cell>
          <cell r="D4588" t="str">
            <v>Poly 条 0546</v>
          </cell>
          <cell r="E4588">
            <v>0</v>
          </cell>
          <cell r="F4588" t="str">
            <v>1400*6*3</v>
          </cell>
          <cell r="G4588">
            <v>1400</v>
          </cell>
          <cell r="H4588">
            <v>6</v>
          </cell>
          <cell r="I4588">
            <v>3</v>
          </cell>
          <cell r="J4588">
            <v>63</v>
          </cell>
          <cell r="K4588">
            <v>0</v>
          </cell>
          <cell r="L4588">
            <v>0.23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 t="str">
            <v>1010</v>
          </cell>
          <cell r="R4588">
            <v>3.6507936507936511</v>
          </cell>
          <cell r="S4588">
            <v>0</v>
          </cell>
        </row>
        <row r="4589">
          <cell r="A4589" t="str">
            <v>Y067-003</v>
          </cell>
          <cell r="B4589" t="str">
            <v>內木過小21*21</v>
          </cell>
          <cell r="C4589" t="str">
            <v>Y067</v>
          </cell>
          <cell r="D4589" t="str">
            <v>1846/1746-036 tay nắm</v>
          </cell>
          <cell r="E4589" t="str">
            <v>小拉手</v>
          </cell>
          <cell r="F4589" t="str">
            <v>52*52*28</v>
          </cell>
          <cell r="G4589">
            <v>52</v>
          </cell>
          <cell r="H4589">
            <v>52</v>
          </cell>
          <cell r="I4589">
            <v>28</v>
          </cell>
          <cell r="J4589">
            <v>49</v>
          </cell>
          <cell r="K4589" t="str">
            <v>未確認</v>
          </cell>
          <cell r="L4589">
            <v>0.15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 t="str">
            <v>1010</v>
          </cell>
          <cell r="R4589">
            <v>3.0612244897959182</v>
          </cell>
          <cell r="S4589">
            <v>0</v>
          </cell>
        </row>
        <row r="4590">
          <cell r="A4590" t="str">
            <v>Y067-004</v>
          </cell>
          <cell r="B4590" t="str">
            <v>LCT110-014</v>
          </cell>
          <cell r="C4590" t="str">
            <v>Y067</v>
          </cell>
          <cell r="D4590" t="str">
            <v>#502-290</v>
          </cell>
          <cell r="E4590" t="str">
            <v>POLY</v>
          </cell>
          <cell r="F4590" t="str">
            <v>435*50*7</v>
          </cell>
          <cell r="G4590">
            <v>435</v>
          </cell>
          <cell r="H4590">
            <v>50</v>
          </cell>
          <cell r="I4590">
            <v>7</v>
          </cell>
          <cell r="J4590">
            <v>80</v>
          </cell>
          <cell r="K4590">
            <v>0</v>
          </cell>
          <cell r="L4590">
            <v>0.47</v>
          </cell>
          <cell r="M4590">
            <v>0</v>
          </cell>
          <cell r="N4590">
            <v>0</v>
          </cell>
          <cell r="O4590" t="str">
            <v>40V</v>
          </cell>
          <cell r="P4590" t="str">
            <v>1010</v>
          </cell>
          <cell r="Q4590" t="str">
            <v>1010</v>
          </cell>
          <cell r="R4590">
            <v>5.8749999999999991</v>
          </cell>
          <cell r="S4590">
            <v>0</v>
          </cell>
        </row>
        <row r="4591">
          <cell r="A4591" t="str">
            <v>Y067-005</v>
          </cell>
          <cell r="B4591" t="str">
            <v>LCT110-015</v>
          </cell>
          <cell r="C4591" t="str">
            <v>Y067</v>
          </cell>
          <cell r="D4591" t="str">
            <v>#502-290</v>
          </cell>
          <cell r="E4591" t="str">
            <v>POLY</v>
          </cell>
          <cell r="F4591" t="str">
            <v>197*50*7</v>
          </cell>
          <cell r="G4591">
            <v>197</v>
          </cell>
          <cell r="H4591">
            <v>50</v>
          </cell>
          <cell r="I4591">
            <v>7</v>
          </cell>
          <cell r="J4591">
            <v>40</v>
          </cell>
          <cell r="K4591">
            <v>0</v>
          </cell>
          <cell r="L4591">
            <v>0.23</v>
          </cell>
          <cell r="M4591">
            <v>0</v>
          </cell>
          <cell r="N4591">
            <v>0</v>
          </cell>
          <cell r="O4591" t="str">
            <v>40V</v>
          </cell>
          <cell r="P4591" t="str">
            <v>1010</v>
          </cell>
          <cell r="Q4591" t="str">
            <v>1010</v>
          </cell>
          <cell r="R4591">
            <v>5.75</v>
          </cell>
          <cell r="S4591">
            <v>0</v>
          </cell>
        </row>
        <row r="4592">
          <cell r="A4592" t="str">
            <v>Y067-006</v>
          </cell>
          <cell r="B4592" t="str">
            <v>LCT110-016</v>
          </cell>
          <cell r="C4592" t="str">
            <v>Y067</v>
          </cell>
          <cell r="D4592" t="str">
            <v>#502-290</v>
          </cell>
          <cell r="E4592" t="str">
            <v>POLY</v>
          </cell>
          <cell r="F4592" t="str">
            <v>196*127*7</v>
          </cell>
          <cell r="G4592">
            <v>196</v>
          </cell>
          <cell r="H4592">
            <v>127</v>
          </cell>
          <cell r="I4592">
            <v>7</v>
          </cell>
          <cell r="J4592">
            <v>58</v>
          </cell>
          <cell r="K4592">
            <v>0</v>
          </cell>
          <cell r="L4592">
            <v>0.31</v>
          </cell>
          <cell r="M4592">
            <v>0</v>
          </cell>
          <cell r="N4592">
            <v>0</v>
          </cell>
          <cell r="O4592" t="str">
            <v>40V</v>
          </cell>
          <cell r="P4592" t="str">
            <v>1010</v>
          </cell>
          <cell r="Q4592" t="str">
            <v>1010</v>
          </cell>
          <cell r="R4592">
            <v>5.3448275862068959</v>
          </cell>
          <cell r="S4592">
            <v>0</v>
          </cell>
        </row>
        <row r="4593">
          <cell r="A4593" t="str">
            <v>Y067-007</v>
          </cell>
          <cell r="B4593">
            <v>0</v>
          </cell>
          <cell r="C4593" t="str">
            <v>Y067</v>
          </cell>
          <cell r="D4593" t="str">
            <v>TBT-01</v>
          </cell>
          <cell r="E4593" t="str">
            <v>poly饰框</v>
          </cell>
          <cell r="F4593" t="str">
            <v>236*148*5</v>
          </cell>
          <cell r="G4593">
            <v>236</v>
          </cell>
          <cell r="H4593">
            <v>148</v>
          </cell>
          <cell r="I4593">
            <v>5</v>
          </cell>
          <cell r="J4593">
            <v>0</v>
          </cell>
          <cell r="K4593" t="str">
            <v>未確認</v>
          </cell>
          <cell r="L4593">
            <v>0.17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</row>
        <row r="4594">
          <cell r="A4594" t="str">
            <v>Y067-008</v>
          </cell>
          <cell r="B4594">
            <v>0</v>
          </cell>
          <cell r="C4594" t="str">
            <v>Y067</v>
          </cell>
          <cell r="D4594" t="str">
            <v>TBT-01</v>
          </cell>
          <cell r="E4594" t="str">
            <v>poly饰框</v>
          </cell>
          <cell r="F4594" t="str">
            <v>102*94*5</v>
          </cell>
          <cell r="G4594">
            <v>102</v>
          </cell>
          <cell r="H4594">
            <v>94</v>
          </cell>
          <cell r="I4594">
            <v>5</v>
          </cell>
          <cell r="J4594">
            <v>0</v>
          </cell>
          <cell r="K4594" t="str">
            <v>未確認</v>
          </cell>
          <cell r="L4594">
            <v>0.11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</row>
        <row r="4595">
          <cell r="A4595" t="str">
            <v>Y067-009</v>
          </cell>
          <cell r="B4595">
            <v>0</v>
          </cell>
          <cell r="C4595" t="str">
            <v>Y067</v>
          </cell>
          <cell r="D4595" t="str">
            <v>TBT-02</v>
          </cell>
          <cell r="E4595" t="str">
            <v>poly饰框</v>
          </cell>
          <cell r="F4595" t="str">
            <v>767*155*5</v>
          </cell>
          <cell r="G4595">
            <v>767</v>
          </cell>
          <cell r="H4595">
            <v>155</v>
          </cell>
          <cell r="I4595">
            <v>5</v>
          </cell>
          <cell r="J4595">
            <v>0</v>
          </cell>
          <cell r="K4595" t="str">
            <v>未確認</v>
          </cell>
          <cell r="L4595">
            <v>0.42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</row>
        <row r="4596">
          <cell r="A4596" t="str">
            <v>Y067-010</v>
          </cell>
          <cell r="B4596">
            <v>0</v>
          </cell>
          <cell r="C4596" t="str">
            <v>Y067</v>
          </cell>
          <cell r="D4596">
            <v>0</v>
          </cell>
          <cell r="E4596" t="str">
            <v>腳柱-無槽</v>
          </cell>
          <cell r="F4596">
            <v>0</v>
          </cell>
          <cell r="G4596">
            <v>775</v>
          </cell>
          <cell r="H4596">
            <v>65</v>
          </cell>
          <cell r="I4596">
            <v>65</v>
          </cell>
          <cell r="J4596">
            <v>0</v>
          </cell>
          <cell r="K4596">
            <v>0</v>
          </cell>
          <cell r="L4596">
            <v>3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</row>
        <row r="4597">
          <cell r="A4597" t="str">
            <v>Y067-011</v>
          </cell>
          <cell r="B4597">
            <v>0</v>
          </cell>
          <cell r="C4597" t="str">
            <v>Y067</v>
          </cell>
          <cell r="D4597">
            <v>0</v>
          </cell>
          <cell r="E4597" t="str">
            <v>腳柱-有槽</v>
          </cell>
          <cell r="F4597">
            <v>0</v>
          </cell>
          <cell r="G4597">
            <v>775</v>
          </cell>
          <cell r="H4597">
            <v>63</v>
          </cell>
          <cell r="I4597">
            <v>63</v>
          </cell>
          <cell r="J4597">
            <v>0</v>
          </cell>
          <cell r="K4597">
            <v>0</v>
          </cell>
          <cell r="L4597">
            <v>3.3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</row>
        <row r="4598">
          <cell r="A4598" t="str">
            <v>Y067-012</v>
          </cell>
          <cell r="B4598">
            <v>0</v>
          </cell>
          <cell r="C4598" t="str">
            <v>Y067</v>
          </cell>
          <cell r="D4598">
            <v>0</v>
          </cell>
          <cell r="E4598" t="str">
            <v>腳柱</v>
          </cell>
          <cell r="F4598">
            <v>0</v>
          </cell>
          <cell r="G4598">
            <v>416</v>
          </cell>
          <cell r="H4598">
            <v>50</v>
          </cell>
          <cell r="I4598">
            <v>50</v>
          </cell>
          <cell r="J4598">
            <v>0</v>
          </cell>
          <cell r="K4598">
            <v>0</v>
          </cell>
          <cell r="L4598">
            <v>1.25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</row>
        <row r="4599">
          <cell r="A4599" t="str">
            <v>Y068-001</v>
          </cell>
          <cell r="B4599">
            <v>0</v>
          </cell>
          <cell r="C4599" t="str">
            <v>Y068</v>
          </cell>
          <cell r="D4599" t="str">
            <v>CS 12273</v>
          </cell>
          <cell r="E4599" t="str">
            <v>把手</v>
          </cell>
          <cell r="F4599" t="str">
            <v>63*20*20</v>
          </cell>
          <cell r="G4599">
            <v>63</v>
          </cell>
          <cell r="H4599">
            <v>20</v>
          </cell>
          <cell r="I4599">
            <v>20</v>
          </cell>
          <cell r="J4599">
            <v>0</v>
          </cell>
          <cell r="K4599">
            <v>0</v>
          </cell>
          <cell r="L4599">
            <v>0.09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</row>
        <row r="4600">
          <cell r="A4600" t="str">
            <v>Y068-002</v>
          </cell>
          <cell r="B4600">
            <v>0</v>
          </cell>
          <cell r="C4600" t="str">
            <v>Y068</v>
          </cell>
          <cell r="D4600" t="str">
            <v>CS 14230</v>
          </cell>
          <cell r="E4600" t="str">
            <v>poly饰框</v>
          </cell>
          <cell r="F4600" t="str">
            <v>368*155*9</v>
          </cell>
          <cell r="G4600">
            <v>368</v>
          </cell>
          <cell r="H4600">
            <v>155</v>
          </cell>
          <cell r="I4600">
            <v>9</v>
          </cell>
          <cell r="J4600">
            <v>0</v>
          </cell>
          <cell r="K4600">
            <v>0</v>
          </cell>
          <cell r="L4600">
            <v>0.43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</row>
        <row r="4601">
          <cell r="A4601" t="str">
            <v>Y068-003</v>
          </cell>
          <cell r="B4601">
            <v>0</v>
          </cell>
          <cell r="C4601" t="str">
            <v>Y068</v>
          </cell>
          <cell r="D4601">
            <v>0</v>
          </cell>
          <cell r="E4601" t="str">
            <v>POLY饰瑰</v>
          </cell>
          <cell r="F4601" t="str">
            <v>116*74*40</v>
          </cell>
          <cell r="G4601">
            <v>116</v>
          </cell>
          <cell r="H4601">
            <v>74</v>
          </cell>
          <cell r="I4601">
            <v>40</v>
          </cell>
          <cell r="J4601">
            <v>0</v>
          </cell>
          <cell r="K4601">
            <v>0</v>
          </cell>
          <cell r="L4601">
            <v>1.1000000000000001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</row>
        <row r="4602">
          <cell r="A4602" t="str">
            <v>Y068-004</v>
          </cell>
          <cell r="B4602">
            <v>0</v>
          </cell>
          <cell r="C4602" t="str">
            <v>Y068</v>
          </cell>
          <cell r="D4602" t="str">
            <v>CS91296</v>
          </cell>
          <cell r="E4602" t="str">
            <v>饰条</v>
          </cell>
          <cell r="F4602" t="str">
            <v>485*49*28*18</v>
          </cell>
          <cell r="G4602">
            <v>485</v>
          </cell>
          <cell r="H4602">
            <v>49</v>
          </cell>
          <cell r="I4602" t="str">
            <v>28*18</v>
          </cell>
          <cell r="J4602">
            <v>0</v>
          </cell>
          <cell r="K4602">
            <v>0</v>
          </cell>
          <cell r="L4602">
            <v>0.85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</row>
        <row r="4603">
          <cell r="A4603" t="str">
            <v>Y068-005</v>
          </cell>
          <cell r="B4603">
            <v>0</v>
          </cell>
          <cell r="C4603" t="str">
            <v>Y068</v>
          </cell>
          <cell r="D4603">
            <v>0</v>
          </cell>
          <cell r="E4603" t="str">
            <v>把手</v>
          </cell>
          <cell r="F4603" t="str">
            <v>65*22*21</v>
          </cell>
          <cell r="G4603">
            <v>65</v>
          </cell>
          <cell r="H4603">
            <v>22</v>
          </cell>
          <cell r="I4603">
            <v>21</v>
          </cell>
          <cell r="J4603">
            <v>0</v>
          </cell>
          <cell r="K4603">
            <v>0</v>
          </cell>
          <cell r="L4603">
            <v>0.09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 t="str">
            <v>0110</v>
          </cell>
          <cell r="R4603">
            <v>0</v>
          </cell>
          <cell r="S4603">
            <v>0</v>
          </cell>
        </row>
        <row r="4604">
          <cell r="A4604" t="str">
            <v>Y068-006</v>
          </cell>
          <cell r="B4604">
            <v>0</v>
          </cell>
          <cell r="C4604" t="str">
            <v>Y068</v>
          </cell>
          <cell r="D4604" t="str">
            <v>2000ENG</v>
          </cell>
          <cell r="E4604" t="str">
            <v>饰花</v>
          </cell>
          <cell r="F4604" t="str">
            <v>425*78*8</v>
          </cell>
          <cell r="G4604">
            <v>425</v>
          </cell>
          <cell r="H4604">
            <v>78</v>
          </cell>
          <cell r="I4604">
            <v>8</v>
          </cell>
          <cell r="J4604">
            <v>0</v>
          </cell>
          <cell r="K4604">
            <v>0</v>
          </cell>
          <cell r="L4604">
            <v>0.38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</row>
        <row r="4605">
          <cell r="A4605" t="str">
            <v>Y068-007</v>
          </cell>
          <cell r="B4605">
            <v>0</v>
          </cell>
          <cell r="C4605" t="str">
            <v>Y068</v>
          </cell>
          <cell r="D4605" t="str">
            <v>2000ENG</v>
          </cell>
          <cell r="E4605" t="str">
            <v>饰块</v>
          </cell>
          <cell r="F4605" t="str">
            <v>101*50*15.5</v>
          </cell>
          <cell r="G4605">
            <v>101</v>
          </cell>
          <cell r="H4605">
            <v>50</v>
          </cell>
          <cell r="I4605">
            <v>15.5</v>
          </cell>
          <cell r="J4605">
            <v>0</v>
          </cell>
          <cell r="K4605">
            <v>0</v>
          </cell>
          <cell r="L4605">
            <v>0.17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</row>
        <row r="4606">
          <cell r="A4606" t="str">
            <v>Y068-008</v>
          </cell>
          <cell r="B4606">
            <v>0</v>
          </cell>
          <cell r="C4606" t="str">
            <v>Y068</v>
          </cell>
          <cell r="D4606" t="str">
            <v>2000ENG</v>
          </cell>
          <cell r="E4606" t="str">
            <v>饰条</v>
          </cell>
          <cell r="F4606" t="str">
            <v>1537*12*6</v>
          </cell>
          <cell r="G4606">
            <v>1537</v>
          </cell>
          <cell r="H4606">
            <v>12</v>
          </cell>
          <cell r="I4606">
            <v>6</v>
          </cell>
          <cell r="J4606">
            <v>0</v>
          </cell>
          <cell r="K4606">
            <v>0</v>
          </cell>
          <cell r="L4606">
            <v>0.48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</row>
        <row r="4607">
          <cell r="A4607" t="str">
            <v>Y068-009</v>
          </cell>
          <cell r="B4607">
            <v>0</v>
          </cell>
          <cell r="C4607" t="str">
            <v>Y068</v>
          </cell>
          <cell r="D4607" t="str">
            <v>2000ENG</v>
          </cell>
          <cell r="E4607" t="str">
            <v>饰条</v>
          </cell>
          <cell r="F4607" t="str">
            <v>320*12*6</v>
          </cell>
          <cell r="G4607">
            <v>320</v>
          </cell>
          <cell r="H4607">
            <v>12</v>
          </cell>
          <cell r="I4607">
            <v>6</v>
          </cell>
          <cell r="J4607">
            <v>0</v>
          </cell>
          <cell r="K4607">
            <v>0</v>
          </cell>
          <cell r="L4607">
            <v>0.11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</row>
        <row r="4608">
          <cell r="A4608" t="str">
            <v>Y068-010</v>
          </cell>
          <cell r="B4608">
            <v>0</v>
          </cell>
          <cell r="C4608" t="str">
            <v>Y068</v>
          </cell>
          <cell r="D4608">
            <v>0</v>
          </cell>
          <cell r="E4608" t="str">
            <v>饰条</v>
          </cell>
          <cell r="F4608" t="str">
            <v>330*10*5.5</v>
          </cell>
          <cell r="G4608">
            <v>330</v>
          </cell>
          <cell r="H4608">
            <v>10</v>
          </cell>
          <cell r="I4608">
            <v>5.5</v>
          </cell>
          <cell r="J4608">
            <v>0</v>
          </cell>
          <cell r="K4608">
            <v>0</v>
          </cell>
          <cell r="L4608">
            <v>0.08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</row>
        <row r="4609">
          <cell r="A4609" t="str">
            <v>Y068-011</v>
          </cell>
          <cell r="B4609">
            <v>0</v>
          </cell>
          <cell r="C4609" t="str">
            <v>Y068</v>
          </cell>
          <cell r="D4609">
            <v>0</v>
          </cell>
          <cell r="E4609" t="str">
            <v>饰条</v>
          </cell>
          <cell r="F4609" t="str">
            <v>335*10*5</v>
          </cell>
          <cell r="G4609">
            <v>335</v>
          </cell>
          <cell r="H4609">
            <v>10</v>
          </cell>
          <cell r="I4609">
            <v>5</v>
          </cell>
          <cell r="J4609">
            <v>0</v>
          </cell>
          <cell r="K4609" t="str">
            <v>未確認</v>
          </cell>
          <cell r="L4609">
            <v>8.3000000000000004E-2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</row>
        <row r="4610">
          <cell r="A4610" t="str">
            <v>Y068-012</v>
          </cell>
          <cell r="B4610">
            <v>0</v>
          </cell>
          <cell r="C4610" t="str">
            <v>Y068</v>
          </cell>
          <cell r="D4610" t="str">
            <v>CS 14626</v>
          </cell>
          <cell r="E4610" t="str">
            <v>饰框</v>
          </cell>
          <cell r="F4610" t="str">
            <v>580*308*7.5</v>
          </cell>
          <cell r="G4610">
            <v>580</v>
          </cell>
          <cell r="H4610">
            <v>308</v>
          </cell>
          <cell r="I4610">
            <v>7.5</v>
          </cell>
          <cell r="J4610">
            <v>0</v>
          </cell>
          <cell r="K4610" t="str">
            <v>未確認</v>
          </cell>
          <cell r="L4610">
            <v>0.56000000000000005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</row>
        <row r="4611">
          <cell r="A4611" t="str">
            <v>Y068-013</v>
          </cell>
          <cell r="B4611">
            <v>0</v>
          </cell>
          <cell r="C4611" t="str">
            <v>Y068</v>
          </cell>
          <cell r="D4611" t="str">
            <v>BF 25533</v>
          </cell>
          <cell r="E4611" t="str">
            <v>饰框 L</v>
          </cell>
          <cell r="F4611" t="str">
            <v>336*110*9</v>
          </cell>
          <cell r="G4611">
            <v>336</v>
          </cell>
          <cell r="H4611">
            <v>110</v>
          </cell>
          <cell r="I4611">
            <v>9</v>
          </cell>
          <cell r="J4611">
            <v>0</v>
          </cell>
          <cell r="K4611">
            <v>0</v>
          </cell>
          <cell r="L4611">
            <v>0.38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</row>
        <row r="4612">
          <cell r="A4612" t="str">
            <v>Y068-014</v>
          </cell>
          <cell r="B4612">
            <v>0</v>
          </cell>
          <cell r="C4612" t="str">
            <v>Y068</v>
          </cell>
          <cell r="D4612" t="str">
            <v>BF 25533</v>
          </cell>
          <cell r="E4612" t="str">
            <v>饰框 R</v>
          </cell>
          <cell r="F4612" t="str">
            <v>336*110*9</v>
          </cell>
          <cell r="G4612">
            <v>336</v>
          </cell>
          <cell r="H4612">
            <v>110</v>
          </cell>
          <cell r="I4612">
            <v>9</v>
          </cell>
          <cell r="J4612">
            <v>0</v>
          </cell>
          <cell r="K4612">
            <v>0</v>
          </cell>
          <cell r="L4612">
            <v>0.38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</row>
        <row r="4613">
          <cell r="A4613" t="str">
            <v>Y068-015</v>
          </cell>
          <cell r="B4613">
            <v>0</v>
          </cell>
          <cell r="C4613" t="str">
            <v>Y068</v>
          </cell>
          <cell r="D4613" t="str">
            <v>BF 25413</v>
          </cell>
          <cell r="E4613" t="str">
            <v>饰条</v>
          </cell>
          <cell r="F4613" t="str">
            <v>750*6*6</v>
          </cell>
          <cell r="G4613">
            <v>750</v>
          </cell>
          <cell r="H4613">
            <v>6</v>
          </cell>
          <cell r="I4613">
            <v>6</v>
          </cell>
          <cell r="J4613">
            <v>0</v>
          </cell>
          <cell r="K4613">
            <v>0</v>
          </cell>
          <cell r="L4613">
            <v>0.13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</row>
        <row r="4614">
          <cell r="A4614" t="str">
            <v>Y068-016</v>
          </cell>
          <cell r="B4614">
            <v>0</v>
          </cell>
          <cell r="C4614" t="str">
            <v>Y068</v>
          </cell>
          <cell r="D4614" t="str">
            <v>DIS 5</v>
          </cell>
          <cell r="E4614" t="str">
            <v>树脂</v>
          </cell>
          <cell r="F4614" t="str">
            <v>60*60*18</v>
          </cell>
          <cell r="G4614">
            <v>60</v>
          </cell>
          <cell r="H4614">
            <v>60</v>
          </cell>
          <cell r="I4614">
            <v>18</v>
          </cell>
          <cell r="J4614">
            <v>0</v>
          </cell>
          <cell r="K4614">
            <v>0</v>
          </cell>
          <cell r="L4614">
            <v>0.17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</row>
        <row r="4615">
          <cell r="A4615" t="str">
            <v>Y068-017</v>
          </cell>
          <cell r="B4615">
            <v>0</v>
          </cell>
          <cell r="C4615" t="str">
            <v>Y068</v>
          </cell>
          <cell r="D4615" t="str">
            <v>BF 25535</v>
          </cell>
          <cell r="E4615" t="str">
            <v>饰条框</v>
          </cell>
          <cell r="F4615" t="str">
            <v>55*55*5</v>
          </cell>
          <cell r="G4615">
            <v>55</v>
          </cell>
          <cell r="H4615">
            <v>55</v>
          </cell>
          <cell r="I4615">
            <v>5</v>
          </cell>
          <cell r="J4615">
            <v>0</v>
          </cell>
          <cell r="K4615">
            <v>0</v>
          </cell>
          <cell r="L4615">
            <v>7.0000000000000007E-2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</row>
        <row r="4616">
          <cell r="A4616" t="str">
            <v>Y068-018</v>
          </cell>
          <cell r="B4616">
            <v>0</v>
          </cell>
          <cell r="C4616" t="str">
            <v>Y068</v>
          </cell>
          <cell r="D4616" t="str">
            <v>BF 25534</v>
          </cell>
          <cell r="E4616" t="str">
            <v>大抽前框</v>
          </cell>
          <cell r="F4616" t="str">
            <v>321*128*17*3</v>
          </cell>
          <cell r="G4616">
            <v>321</v>
          </cell>
          <cell r="H4616">
            <v>128</v>
          </cell>
          <cell r="I4616" t="str">
            <v>17*3</v>
          </cell>
          <cell r="J4616">
            <v>0</v>
          </cell>
          <cell r="K4616">
            <v>0</v>
          </cell>
          <cell r="L4616">
            <v>0.28999999999999998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</row>
        <row r="4617">
          <cell r="A4617" t="str">
            <v>Y068-019</v>
          </cell>
          <cell r="B4617">
            <v>0</v>
          </cell>
          <cell r="C4617" t="str">
            <v>Y068</v>
          </cell>
          <cell r="D4617" t="str">
            <v>BF 25534</v>
          </cell>
          <cell r="E4617" t="str">
            <v>大抽前框</v>
          </cell>
          <cell r="F4617" t="str">
            <v>321*96*17*3</v>
          </cell>
          <cell r="G4617">
            <v>321</v>
          </cell>
          <cell r="H4617">
            <v>96</v>
          </cell>
          <cell r="I4617" t="str">
            <v>17*3</v>
          </cell>
          <cell r="J4617">
            <v>0</v>
          </cell>
          <cell r="K4617">
            <v>0</v>
          </cell>
          <cell r="L4617">
            <v>0.27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</row>
        <row r="4618">
          <cell r="A4618" t="str">
            <v>Y068-020</v>
          </cell>
          <cell r="B4618">
            <v>0</v>
          </cell>
          <cell r="C4618" t="str">
            <v>Y068</v>
          </cell>
          <cell r="D4618" t="str">
            <v>POLY 91154</v>
          </cell>
          <cell r="E4618" t="str">
            <v>波丽饰条</v>
          </cell>
          <cell r="F4618" t="str">
            <v>650*10*5</v>
          </cell>
          <cell r="G4618">
            <v>650</v>
          </cell>
          <cell r="H4618">
            <v>10</v>
          </cell>
          <cell r="I4618">
            <v>5</v>
          </cell>
          <cell r="J4618">
            <v>0</v>
          </cell>
          <cell r="K4618">
            <v>0</v>
          </cell>
          <cell r="L4618">
            <v>0.15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</row>
        <row r="4619">
          <cell r="A4619" t="str">
            <v>Y068-021</v>
          </cell>
          <cell r="B4619">
            <v>0</v>
          </cell>
          <cell r="C4619" t="str">
            <v>Y068</v>
          </cell>
          <cell r="D4619" t="str">
            <v>POLY 91259</v>
          </cell>
          <cell r="E4619" t="str">
            <v>波丽饰条</v>
          </cell>
          <cell r="F4619" t="str">
            <v>308*10*5</v>
          </cell>
          <cell r="G4619">
            <v>308</v>
          </cell>
          <cell r="H4619">
            <v>10</v>
          </cell>
          <cell r="I4619">
            <v>5</v>
          </cell>
          <cell r="J4619">
            <v>0</v>
          </cell>
          <cell r="K4619">
            <v>0</v>
          </cell>
          <cell r="L4619">
            <v>0.08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</row>
        <row r="4620">
          <cell r="A4620" t="str">
            <v>Y068-022</v>
          </cell>
          <cell r="B4620">
            <v>0</v>
          </cell>
          <cell r="C4620" t="str">
            <v>Y068</v>
          </cell>
          <cell r="D4620" t="str">
            <v>POLY CS12250</v>
          </cell>
          <cell r="E4620" t="str">
            <v>波丽饰条</v>
          </cell>
          <cell r="F4620" t="str">
            <v>355*10*6</v>
          </cell>
          <cell r="G4620">
            <v>355</v>
          </cell>
          <cell r="H4620">
            <v>10</v>
          </cell>
          <cell r="I4620">
            <v>6</v>
          </cell>
          <cell r="J4620">
            <v>0</v>
          </cell>
          <cell r="K4620">
            <v>0</v>
          </cell>
          <cell r="L4620">
            <v>0.1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</row>
        <row r="4621">
          <cell r="A4621" t="str">
            <v>Y068-023</v>
          </cell>
          <cell r="B4621">
            <v>0</v>
          </cell>
          <cell r="C4621" t="str">
            <v>Y068</v>
          </cell>
          <cell r="D4621" t="str">
            <v>POLY CS12250</v>
          </cell>
          <cell r="E4621" t="str">
            <v>波丽饰条</v>
          </cell>
          <cell r="F4621" t="str">
            <v>730*10*6</v>
          </cell>
          <cell r="G4621">
            <v>730</v>
          </cell>
          <cell r="H4621">
            <v>10</v>
          </cell>
          <cell r="I4621">
            <v>6</v>
          </cell>
          <cell r="J4621">
            <v>0</v>
          </cell>
          <cell r="K4621">
            <v>0</v>
          </cell>
          <cell r="L4621">
            <v>0.22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</row>
        <row r="4622">
          <cell r="A4622" t="str">
            <v>Y068-024</v>
          </cell>
          <cell r="B4622">
            <v>0</v>
          </cell>
          <cell r="C4622" t="str">
            <v>Y068</v>
          </cell>
          <cell r="D4622">
            <v>0</v>
          </cell>
          <cell r="E4622">
            <v>0</v>
          </cell>
          <cell r="F4622" t="str">
            <v>454*18.5*10</v>
          </cell>
          <cell r="G4622">
            <v>454</v>
          </cell>
          <cell r="H4622">
            <v>18.5</v>
          </cell>
          <cell r="I4622">
            <v>10</v>
          </cell>
          <cell r="J4622">
            <v>0</v>
          </cell>
          <cell r="K4622">
            <v>0</v>
          </cell>
          <cell r="L4622">
            <v>0.28000000000000003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</row>
        <row r="4623">
          <cell r="A4623" t="str">
            <v>Y068-025</v>
          </cell>
          <cell r="B4623">
            <v>0</v>
          </cell>
          <cell r="C4623" t="str">
            <v>Y068</v>
          </cell>
          <cell r="D4623">
            <v>0</v>
          </cell>
          <cell r="E4623">
            <v>0</v>
          </cell>
          <cell r="F4623" t="str">
            <v>1122*18.5*10</v>
          </cell>
          <cell r="G4623">
            <v>1122</v>
          </cell>
          <cell r="H4623">
            <v>18.5</v>
          </cell>
          <cell r="I4623">
            <v>10</v>
          </cell>
          <cell r="J4623">
            <v>0</v>
          </cell>
          <cell r="K4623">
            <v>0</v>
          </cell>
          <cell r="L4623">
            <v>0.65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</row>
        <row r="4624">
          <cell r="A4624" t="str">
            <v>Y068-2001</v>
          </cell>
          <cell r="B4624">
            <v>0</v>
          </cell>
          <cell r="C4624" t="str">
            <v>Y068</v>
          </cell>
          <cell r="D4624">
            <v>0</v>
          </cell>
          <cell r="E4624" t="str">
            <v>POLY 饰条-L</v>
          </cell>
          <cell r="F4624" t="str">
            <v>190*60*9*4</v>
          </cell>
          <cell r="G4624">
            <v>190</v>
          </cell>
          <cell r="H4624">
            <v>60</v>
          </cell>
          <cell r="I4624" t="str">
            <v>9*4</v>
          </cell>
          <cell r="J4624">
            <v>0</v>
          </cell>
          <cell r="K4624">
            <v>0</v>
          </cell>
          <cell r="L4624">
            <v>0.08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</row>
        <row r="4625">
          <cell r="A4625" t="str">
            <v>Y068-2002</v>
          </cell>
          <cell r="B4625">
            <v>0</v>
          </cell>
          <cell r="C4625" t="str">
            <v>Y068</v>
          </cell>
          <cell r="D4625">
            <v>0</v>
          </cell>
          <cell r="E4625" t="str">
            <v>POLY 饰条-R</v>
          </cell>
          <cell r="F4625" t="str">
            <v>190*60*9*4</v>
          </cell>
          <cell r="G4625">
            <v>190</v>
          </cell>
          <cell r="H4625">
            <v>60</v>
          </cell>
          <cell r="I4625" t="str">
            <v>9*4</v>
          </cell>
          <cell r="J4625">
            <v>0</v>
          </cell>
          <cell r="K4625">
            <v>0</v>
          </cell>
          <cell r="L4625">
            <v>0.08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</row>
        <row r="4626">
          <cell r="A4626" t="str">
            <v>Y068-2003</v>
          </cell>
          <cell r="B4626">
            <v>0</v>
          </cell>
          <cell r="C4626" t="str">
            <v>Y068</v>
          </cell>
          <cell r="D4626">
            <v>0</v>
          </cell>
          <cell r="E4626" t="str">
            <v>POLY 饰条-L</v>
          </cell>
          <cell r="F4626" t="str">
            <v>363*109*9*4</v>
          </cell>
          <cell r="G4626">
            <v>363</v>
          </cell>
          <cell r="H4626">
            <v>109</v>
          </cell>
          <cell r="I4626" t="str">
            <v>9*4</v>
          </cell>
          <cell r="J4626">
            <v>0</v>
          </cell>
          <cell r="K4626">
            <v>0</v>
          </cell>
          <cell r="L4626">
            <v>0.1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</row>
        <row r="4627">
          <cell r="A4627" t="str">
            <v>Y068-2004</v>
          </cell>
          <cell r="B4627">
            <v>0</v>
          </cell>
          <cell r="C4627" t="str">
            <v>Y068</v>
          </cell>
          <cell r="D4627">
            <v>0</v>
          </cell>
          <cell r="E4627" t="str">
            <v>POLY 饰条-R</v>
          </cell>
          <cell r="F4627" t="str">
            <v>363*109*9*4</v>
          </cell>
          <cell r="G4627">
            <v>363</v>
          </cell>
          <cell r="H4627">
            <v>109</v>
          </cell>
          <cell r="I4627" t="str">
            <v>9*4</v>
          </cell>
          <cell r="J4627">
            <v>0</v>
          </cell>
          <cell r="K4627">
            <v>0</v>
          </cell>
          <cell r="L4627">
            <v>0.1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</row>
        <row r="4628">
          <cell r="A4628" t="str">
            <v>Y069-001</v>
          </cell>
          <cell r="B4628">
            <v>0</v>
          </cell>
          <cell r="C4628" t="str">
            <v>Y069</v>
          </cell>
          <cell r="D4628" t="str">
            <v>LF-9029</v>
          </cell>
          <cell r="E4628">
            <v>0</v>
          </cell>
          <cell r="F4628" t="str">
            <v>230*77*6</v>
          </cell>
          <cell r="G4628">
            <v>230</v>
          </cell>
          <cell r="H4628">
            <v>77</v>
          </cell>
          <cell r="I4628">
            <v>6</v>
          </cell>
          <cell r="J4628">
            <v>0</v>
          </cell>
          <cell r="K4628">
            <v>0</v>
          </cell>
          <cell r="L4628">
            <v>0.3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 t="str">
            <v>1010</v>
          </cell>
          <cell r="R4628" t="e">
            <v>#DIV/0!</v>
          </cell>
          <cell r="S4628">
            <v>0</v>
          </cell>
        </row>
        <row r="4629">
          <cell r="A4629" t="str">
            <v>Y069-002</v>
          </cell>
          <cell r="B4629">
            <v>0</v>
          </cell>
          <cell r="C4629" t="str">
            <v>Y069</v>
          </cell>
          <cell r="D4629" t="str">
            <v>LF-9029</v>
          </cell>
          <cell r="E4629" t="str">
            <v>饰条</v>
          </cell>
          <cell r="F4629" t="str">
            <v>650*10*6</v>
          </cell>
          <cell r="G4629">
            <v>650</v>
          </cell>
          <cell r="H4629">
            <v>10</v>
          </cell>
          <cell r="I4629">
            <v>6</v>
          </cell>
          <cell r="J4629">
            <v>0</v>
          </cell>
          <cell r="K4629">
            <v>0</v>
          </cell>
          <cell r="L4629">
            <v>0.17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 t="str">
            <v>1010</v>
          </cell>
          <cell r="R4629" t="e">
            <v>#DIV/0!</v>
          </cell>
          <cell r="S4629">
            <v>0</v>
          </cell>
        </row>
        <row r="4630">
          <cell r="A4630" t="str">
            <v>Y069-003</v>
          </cell>
          <cell r="B4630">
            <v>0</v>
          </cell>
          <cell r="C4630" t="str">
            <v>Y069</v>
          </cell>
          <cell r="D4630" t="str">
            <v>LF-9029</v>
          </cell>
          <cell r="E4630" t="str">
            <v>饰条</v>
          </cell>
          <cell r="F4630" t="str">
            <v>820*10*6</v>
          </cell>
          <cell r="G4630">
            <v>820</v>
          </cell>
          <cell r="H4630">
            <v>10</v>
          </cell>
          <cell r="I4630">
            <v>6</v>
          </cell>
          <cell r="J4630">
            <v>0</v>
          </cell>
          <cell r="K4630">
            <v>0</v>
          </cell>
          <cell r="L4630">
            <v>0.18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 t="str">
            <v>1010</v>
          </cell>
          <cell r="R4630" t="e">
            <v>#DIV/0!</v>
          </cell>
          <cell r="S4630">
            <v>0</v>
          </cell>
        </row>
        <row r="4631">
          <cell r="A4631" t="str">
            <v>Y069-004</v>
          </cell>
          <cell r="B4631" t="str">
            <v>取消</v>
          </cell>
          <cell r="C4631" t="str">
            <v>Y069</v>
          </cell>
          <cell r="D4631" t="str">
            <v>LF-9029</v>
          </cell>
          <cell r="E4631" t="str">
            <v>饰条</v>
          </cell>
          <cell r="F4631" t="str">
            <v>1765*10*6</v>
          </cell>
          <cell r="G4631">
            <v>1765</v>
          </cell>
          <cell r="H4631">
            <v>10</v>
          </cell>
          <cell r="I4631">
            <v>6</v>
          </cell>
          <cell r="J4631">
            <v>0</v>
          </cell>
          <cell r="K4631">
            <v>0</v>
          </cell>
          <cell r="L4631">
            <v>0.37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 t="str">
            <v>1010</v>
          </cell>
          <cell r="R4631" t="e">
            <v>#DIV/0!</v>
          </cell>
          <cell r="S4631">
            <v>0</v>
          </cell>
        </row>
        <row r="4632">
          <cell r="A4632" t="str">
            <v>Y069-005</v>
          </cell>
          <cell r="B4632">
            <v>0</v>
          </cell>
          <cell r="C4632" t="str">
            <v>Y069</v>
          </cell>
          <cell r="D4632" t="str">
            <v>POLY Trang Trí</v>
          </cell>
          <cell r="E4632" t="str">
            <v>飾框</v>
          </cell>
          <cell r="F4632" t="str">
            <v>485*19*12</v>
          </cell>
          <cell r="G4632">
            <v>485</v>
          </cell>
          <cell r="H4632">
            <v>19</v>
          </cell>
          <cell r="I4632">
            <v>12</v>
          </cell>
          <cell r="J4632">
            <v>0</v>
          </cell>
          <cell r="K4632">
            <v>0</v>
          </cell>
          <cell r="L4632">
            <v>0.47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 t="e">
            <v>#DIV/0!</v>
          </cell>
          <cell r="S4632">
            <v>0</v>
          </cell>
        </row>
        <row r="4633">
          <cell r="A4633" t="str">
            <v>Y069-006</v>
          </cell>
          <cell r="B4633" t="str">
            <v>取消</v>
          </cell>
          <cell r="C4633" t="str">
            <v>Y069</v>
          </cell>
          <cell r="D4633">
            <v>0</v>
          </cell>
          <cell r="E4633" t="str">
            <v>饰条</v>
          </cell>
          <cell r="F4633" t="str">
            <v>460*10*5</v>
          </cell>
          <cell r="G4633">
            <v>460</v>
          </cell>
          <cell r="H4633">
            <v>10</v>
          </cell>
          <cell r="I4633">
            <v>5</v>
          </cell>
          <cell r="J4633">
            <v>0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 t="e">
            <v>#DIV/0!</v>
          </cell>
          <cell r="S4633">
            <v>0</v>
          </cell>
        </row>
        <row r="4634">
          <cell r="A4634" t="str">
            <v>Y069-007</v>
          </cell>
          <cell r="B4634" t="str">
            <v>取消</v>
          </cell>
          <cell r="C4634" t="str">
            <v>Y069</v>
          </cell>
          <cell r="D4634">
            <v>0</v>
          </cell>
          <cell r="E4634" t="str">
            <v>饰条</v>
          </cell>
          <cell r="F4634" t="str">
            <v>540*10*5</v>
          </cell>
          <cell r="G4634">
            <v>540</v>
          </cell>
          <cell r="H4634">
            <v>10</v>
          </cell>
          <cell r="I4634">
            <v>5</v>
          </cell>
          <cell r="J4634">
            <v>0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 t="e">
            <v>#DIV/0!</v>
          </cell>
          <cell r="S4634">
            <v>0</v>
          </cell>
        </row>
        <row r="4635">
          <cell r="A4635" t="str">
            <v>Y069-008</v>
          </cell>
          <cell r="B4635" t="str">
            <v>取消</v>
          </cell>
          <cell r="C4635" t="str">
            <v>Y069</v>
          </cell>
          <cell r="D4635">
            <v>0</v>
          </cell>
          <cell r="E4635" t="str">
            <v>饰条</v>
          </cell>
          <cell r="F4635" t="str">
            <v>1800*22*9</v>
          </cell>
          <cell r="G4635">
            <v>1800</v>
          </cell>
          <cell r="H4635">
            <v>22</v>
          </cell>
          <cell r="I4635">
            <v>9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 t="e">
            <v>#DIV/0!</v>
          </cell>
          <cell r="S4635">
            <v>0</v>
          </cell>
        </row>
        <row r="4636">
          <cell r="A4636" t="str">
            <v>Y069-009</v>
          </cell>
          <cell r="B4636" t="str">
            <v>取消</v>
          </cell>
          <cell r="C4636" t="str">
            <v>Y069</v>
          </cell>
          <cell r="D4636">
            <v>0</v>
          </cell>
          <cell r="E4636" t="str">
            <v>饰条</v>
          </cell>
          <cell r="F4636" t="str">
            <v>1800*10*5</v>
          </cell>
          <cell r="G4636">
            <v>1800</v>
          </cell>
          <cell r="H4636">
            <v>10</v>
          </cell>
          <cell r="I4636">
            <v>5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 t="e">
            <v>#DIV/0!</v>
          </cell>
          <cell r="S4636">
            <v>0</v>
          </cell>
        </row>
        <row r="4637">
          <cell r="A4637" t="str">
            <v>Y069-010</v>
          </cell>
          <cell r="B4637">
            <v>0</v>
          </cell>
          <cell r="C4637" t="str">
            <v>Y069</v>
          </cell>
          <cell r="D4637">
            <v>0</v>
          </cell>
          <cell r="E4637" t="str">
            <v>饰条</v>
          </cell>
          <cell r="F4637" t="str">
            <v>1335*10*6</v>
          </cell>
          <cell r="G4637">
            <v>1335</v>
          </cell>
          <cell r="H4637">
            <v>10</v>
          </cell>
          <cell r="I4637">
            <v>6</v>
          </cell>
          <cell r="J4637">
            <v>111</v>
          </cell>
          <cell r="K4637">
            <v>0</v>
          </cell>
          <cell r="L4637">
            <v>0.32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2.8828828828828827</v>
          </cell>
          <cell r="S4637">
            <v>0</v>
          </cell>
        </row>
        <row r="4638">
          <cell r="A4638" t="str">
            <v>Y069-011</v>
          </cell>
          <cell r="B4638">
            <v>0</v>
          </cell>
          <cell r="C4638" t="str">
            <v>Y069</v>
          </cell>
          <cell r="D4638">
            <v>0</v>
          </cell>
          <cell r="E4638" t="str">
            <v>饰條</v>
          </cell>
          <cell r="F4638" t="str">
            <v>470*22*9</v>
          </cell>
          <cell r="G4638">
            <v>470</v>
          </cell>
          <cell r="H4638">
            <v>22</v>
          </cell>
          <cell r="I4638">
            <v>9</v>
          </cell>
          <cell r="J4638">
            <v>0</v>
          </cell>
          <cell r="K4638">
            <v>0</v>
          </cell>
          <cell r="L4638">
            <v>0.42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 t="e">
            <v>#DIV/0!</v>
          </cell>
          <cell r="S4638">
            <v>0</v>
          </cell>
        </row>
        <row r="4639">
          <cell r="A4639" t="str">
            <v>Y069-012</v>
          </cell>
          <cell r="B4639" t="str">
            <v>取消</v>
          </cell>
          <cell r="C4639" t="str">
            <v>Y069</v>
          </cell>
          <cell r="D4639">
            <v>0</v>
          </cell>
          <cell r="E4639" t="str">
            <v>饰框</v>
          </cell>
          <cell r="F4639" t="str">
            <v>510*10*5</v>
          </cell>
          <cell r="G4639">
            <v>510</v>
          </cell>
          <cell r="H4639">
            <v>10</v>
          </cell>
          <cell r="I4639">
            <v>5</v>
          </cell>
          <cell r="J4639">
            <v>0</v>
          </cell>
          <cell r="K4639">
            <v>0</v>
          </cell>
          <cell r="L4639">
            <v>0.13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 t="e">
            <v>#DIV/0!</v>
          </cell>
          <cell r="S4639">
            <v>0</v>
          </cell>
        </row>
        <row r="4640">
          <cell r="A4640" t="str">
            <v>Y069-013</v>
          </cell>
          <cell r="B4640">
            <v>0</v>
          </cell>
          <cell r="C4640" t="str">
            <v>Y069</v>
          </cell>
          <cell r="D4640">
            <v>0</v>
          </cell>
          <cell r="E4640" t="str">
            <v>改饰框 -弯</v>
          </cell>
          <cell r="F4640" t="str">
            <v>460*10*5</v>
          </cell>
          <cell r="G4640">
            <v>460</v>
          </cell>
          <cell r="H4640">
            <v>10</v>
          </cell>
          <cell r="I4640">
            <v>5</v>
          </cell>
          <cell r="J4640">
            <v>46</v>
          </cell>
          <cell r="K4640">
            <v>0</v>
          </cell>
          <cell r="L4640">
            <v>0.14000000000000001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3.0434782608695654</v>
          </cell>
          <cell r="S4640">
            <v>0</v>
          </cell>
        </row>
        <row r="4641">
          <cell r="A4641" t="str">
            <v>Y069-014</v>
          </cell>
          <cell r="B4641">
            <v>0</v>
          </cell>
          <cell r="C4641" t="str">
            <v>Y069</v>
          </cell>
          <cell r="D4641">
            <v>0</v>
          </cell>
          <cell r="E4641" t="str">
            <v>改饰框 -弯</v>
          </cell>
          <cell r="F4641" t="str">
            <v>540*10*5</v>
          </cell>
          <cell r="G4641">
            <v>540</v>
          </cell>
          <cell r="H4641">
            <v>10</v>
          </cell>
          <cell r="I4641">
            <v>5</v>
          </cell>
          <cell r="J4641">
            <v>47</v>
          </cell>
          <cell r="K4641">
            <v>0</v>
          </cell>
          <cell r="L4641">
            <v>0.15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3.1914893617021276</v>
          </cell>
          <cell r="S4641">
            <v>0</v>
          </cell>
        </row>
        <row r="4642">
          <cell r="A4642" t="str">
            <v>Y069-015</v>
          </cell>
          <cell r="B4642">
            <v>0</v>
          </cell>
          <cell r="C4642" t="str">
            <v>Y069</v>
          </cell>
          <cell r="D4642">
            <v>0</v>
          </cell>
          <cell r="E4642" t="str">
            <v>饰框</v>
          </cell>
          <cell r="F4642" t="str">
            <v>5*240*240</v>
          </cell>
          <cell r="G4642">
            <v>5</v>
          </cell>
          <cell r="H4642">
            <v>240</v>
          </cell>
          <cell r="I4642">
            <v>240</v>
          </cell>
          <cell r="J4642">
            <v>82</v>
          </cell>
          <cell r="K4642">
            <v>0</v>
          </cell>
          <cell r="L4642">
            <v>0.25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3.0487804878048781</v>
          </cell>
          <cell r="S4642">
            <v>0</v>
          </cell>
        </row>
        <row r="4643">
          <cell r="A4643" t="str">
            <v>Y069-016</v>
          </cell>
          <cell r="B4643">
            <v>0</v>
          </cell>
          <cell r="C4643" t="str">
            <v>Y069</v>
          </cell>
          <cell r="D4643">
            <v>0</v>
          </cell>
          <cell r="E4643" t="str">
            <v>饰花</v>
          </cell>
          <cell r="F4643" t="str">
            <v>274*55*5</v>
          </cell>
          <cell r="G4643">
            <v>274</v>
          </cell>
          <cell r="H4643">
            <v>55</v>
          </cell>
          <cell r="I4643">
            <v>5</v>
          </cell>
          <cell r="J4643">
            <v>0</v>
          </cell>
          <cell r="K4643">
            <v>0</v>
          </cell>
          <cell r="L4643">
            <v>0.17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</row>
        <row r="4644">
          <cell r="A4644" t="str">
            <v>Y070-001</v>
          </cell>
          <cell r="B4644">
            <v>0</v>
          </cell>
          <cell r="C4644" t="str">
            <v>Y070</v>
          </cell>
          <cell r="D4644">
            <v>0</v>
          </cell>
          <cell r="E4644" t="str">
            <v>饰条</v>
          </cell>
          <cell r="F4644" t="str">
            <v>18*24*900</v>
          </cell>
          <cell r="G4644">
            <v>18</v>
          </cell>
          <cell r="H4644">
            <v>24</v>
          </cell>
          <cell r="I4644">
            <v>900</v>
          </cell>
          <cell r="J4644">
            <v>0</v>
          </cell>
          <cell r="K4644">
            <v>0</v>
          </cell>
          <cell r="L4644">
            <v>1.01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</row>
        <row r="4645">
          <cell r="A4645" t="str">
            <v>Y070-002</v>
          </cell>
          <cell r="B4645">
            <v>0</v>
          </cell>
          <cell r="C4645" t="str">
            <v>Y070</v>
          </cell>
          <cell r="D4645">
            <v>0</v>
          </cell>
          <cell r="E4645" t="str">
            <v>饰条</v>
          </cell>
          <cell r="F4645" t="str">
            <v>3*6*1000</v>
          </cell>
          <cell r="G4645">
            <v>3</v>
          </cell>
          <cell r="H4645">
            <v>6</v>
          </cell>
          <cell r="I4645">
            <v>1000</v>
          </cell>
          <cell r="J4645">
            <v>0</v>
          </cell>
          <cell r="K4645">
            <v>0</v>
          </cell>
          <cell r="L4645">
            <v>0.18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</row>
        <row r="4646">
          <cell r="A4646" t="str">
            <v>Y070-003</v>
          </cell>
          <cell r="B4646">
            <v>0</v>
          </cell>
          <cell r="C4646" t="str">
            <v>Y070</v>
          </cell>
          <cell r="D4646">
            <v>0</v>
          </cell>
          <cell r="E4646" t="str">
            <v>饰条</v>
          </cell>
          <cell r="F4646" t="str">
            <v>5*10*1000</v>
          </cell>
          <cell r="G4646">
            <v>5</v>
          </cell>
          <cell r="H4646">
            <v>10</v>
          </cell>
          <cell r="I4646">
            <v>1000</v>
          </cell>
          <cell r="J4646">
            <v>0</v>
          </cell>
          <cell r="K4646">
            <v>0</v>
          </cell>
          <cell r="L4646">
            <v>0.22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</row>
        <row r="4647">
          <cell r="A4647" t="str">
            <v>Y071-001</v>
          </cell>
          <cell r="B4647" t="str">
            <v>環圈</v>
          </cell>
          <cell r="C4647" t="str">
            <v>Y071</v>
          </cell>
          <cell r="D4647" t="str">
            <v>009</v>
          </cell>
          <cell r="E4647" t="str">
            <v>poly饰板-环圈 Vòng tròn</v>
          </cell>
          <cell r="F4647" t="str">
            <v>32*140*1430</v>
          </cell>
          <cell r="G4647">
            <v>31</v>
          </cell>
          <cell r="H4647">
            <v>148</v>
          </cell>
          <cell r="I4647">
            <v>1430</v>
          </cell>
          <cell r="J4647">
            <v>0</v>
          </cell>
          <cell r="K4647">
            <v>0</v>
          </cell>
          <cell r="L4647">
            <v>11.7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</row>
        <row r="4648">
          <cell r="A4648" t="str">
            <v>Y071-002</v>
          </cell>
          <cell r="B4648" t="str">
            <v>大圓</v>
          </cell>
          <cell r="C4648" t="str">
            <v>Y071</v>
          </cell>
          <cell r="D4648" t="str">
            <v>010</v>
          </cell>
          <cell r="E4648" t="str">
            <v>poly饰板-大圆 Vòng tròn lớn</v>
          </cell>
          <cell r="F4648" t="str">
            <v>32*160*1500</v>
          </cell>
          <cell r="G4648">
            <v>31</v>
          </cell>
          <cell r="H4648">
            <v>147</v>
          </cell>
          <cell r="I4648">
            <v>1500</v>
          </cell>
          <cell r="J4648">
            <v>0</v>
          </cell>
          <cell r="K4648">
            <v>13.92</v>
          </cell>
          <cell r="L4648">
            <v>15.5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</row>
        <row r="4649">
          <cell r="A4649" t="str">
            <v>Y071-003</v>
          </cell>
          <cell r="B4649" t="str">
            <v>小圓</v>
          </cell>
          <cell r="C4649" t="str">
            <v>Y071</v>
          </cell>
          <cell r="D4649" t="str">
            <v>011</v>
          </cell>
          <cell r="E4649" t="str">
            <v>poly饰板-小圆 Vòng tròn nhỏ</v>
          </cell>
          <cell r="F4649" t="str">
            <v>32*170*1500</v>
          </cell>
          <cell r="G4649">
            <v>31</v>
          </cell>
          <cell r="H4649">
            <v>186</v>
          </cell>
          <cell r="I4649">
            <v>1500</v>
          </cell>
          <cell r="J4649">
            <v>0</v>
          </cell>
          <cell r="K4649">
            <v>0</v>
          </cell>
          <cell r="L4649">
            <v>16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</row>
        <row r="4650">
          <cell r="A4650" t="str">
            <v>Y071-004</v>
          </cell>
          <cell r="B4650" t="str">
            <v>大菱形</v>
          </cell>
          <cell r="C4650" t="str">
            <v>Y071</v>
          </cell>
          <cell r="D4650" t="str">
            <v>002</v>
          </cell>
          <cell r="E4650" t="str">
            <v>大菱形 -hình tứ giác</v>
          </cell>
          <cell r="F4650" t="str">
            <v>32*190*1372</v>
          </cell>
          <cell r="G4650">
            <v>31</v>
          </cell>
          <cell r="H4650">
            <v>186</v>
          </cell>
          <cell r="I4650">
            <v>1372</v>
          </cell>
          <cell r="J4650">
            <v>0</v>
          </cell>
          <cell r="K4650">
            <v>0</v>
          </cell>
          <cell r="L4650">
            <v>14.4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</row>
        <row r="4651">
          <cell r="A4651" t="str">
            <v>Y071-005</v>
          </cell>
          <cell r="B4651">
            <v>0</v>
          </cell>
          <cell r="C4651" t="str">
            <v>Y071</v>
          </cell>
          <cell r="D4651" t="str">
            <v>017</v>
          </cell>
          <cell r="E4651" t="str">
            <v>饰条-dây</v>
          </cell>
          <cell r="F4651" t="str">
            <v>9*27*2000</v>
          </cell>
          <cell r="G4651">
            <v>8.5</v>
          </cell>
          <cell r="H4651">
            <v>27</v>
          </cell>
          <cell r="I4651">
            <v>2417</v>
          </cell>
          <cell r="J4651">
            <v>0</v>
          </cell>
          <cell r="K4651">
            <v>0</v>
          </cell>
          <cell r="L4651">
            <v>1.62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</row>
        <row r="4652">
          <cell r="A4652" t="str">
            <v>Y071-006</v>
          </cell>
          <cell r="B4652">
            <v>0</v>
          </cell>
          <cell r="C4652" t="str">
            <v>Y071</v>
          </cell>
          <cell r="D4652" t="str">
            <v>016</v>
          </cell>
          <cell r="E4652" t="str">
            <v>饰条-dây</v>
          </cell>
          <cell r="F4652" t="str">
            <v>28*32*2411</v>
          </cell>
          <cell r="G4652">
            <v>27</v>
          </cell>
          <cell r="H4652">
            <v>33</v>
          </cell>
          <cell r="I4652">
            <v>2411</v>
          </cell>
          <cell r="J4652">
            <v>0</v>
          </cell>
          <cell r="K4652">
            <v>0</v>
          </cell>
          <cell r="L4652">
            <v>7.35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</row>
        <row r="4653">
          <cell r="A4653" t="str">
            <v>Y071-007</v>
          </cell>
          <cell r="B4653">
            <v>0</v>
          </cell>
          <cell r="C4653" t="str">
            <v>Y071</v>
          </cell>
          <cell r="D4653" t="str">
            <v>019</v>
          </cell>
          <cell r="E4653" t="str">
            <v>饰条-dây</v>
          </cell>
          <cell r="F4653" t="str">
            <v>12*27*2000</v>
          </cell>
          <cell r="G4653">
            <v>12</v>
          </cell>
          <cell r="H4653">
            <v>17</v>
          </cell>
          <cell r="I4653">
            <v>2417</v>
          </cell>
          <cell r="J4653">
            <v>0</v>
          </cell>
          <cell r="K4653">
            <v>0</v>
          </cell>
          <cell r="L4653">
            <v>2.2000000000000002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</row>
        <row r="4654">
          <cell r="A4654" t="str">
            <v>Y071-008</v>
          </cell>
          <cell r="B4654" t="str">
            <v>小蝦</v>
          </cell>
          <cell r="C4654" t="str">
            <v>Y071</v>
          </cell>
          <cell r="D4654" t="str">
            <v>038</v>
          </cell>
          <cell r="E4654" t="str">
            <v>小虾-Con Tôm</v>
          </cell>
          <cell r="F4654" t="str">
            <v>8.5*62*152</v>
          </cell>
          <cell r="G4654">
            <v>8.5</v>
          </cell>
          <cell r="H4654">
            <v>62</v>
          </cell>
          <cell r="I4654">
            <v>152</v>
          </cell>
          <cell r="J4654">
            <v>0</v>
          </cell>
          <cell r="K4654">
            <v>0</v>
          </cell>
          <cell r="L4654">
            <v>0.15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</row>
        <row r="4655">
          <cell r="A4655" t="str">
            <v>Y071-009</v>
          </cell>
          <cell r="B4655" t="str">
            <v>飾花</v>
          </cell>
          <cell r="C4655" t="str">
            <v>Y071</v>
          </cell>
          <cell r="D4655" t="str">
            <v>026</v>
          </cell>
          <cell r="E4655" t="str">
            <v>饰花-hoa</v>
          </cell>
          <cell r="F4655" t="str">
            <v>16*265*500</v>
          </cell>
          <cell r="G4655">
            <v>16</v>
          </cell>
          <cell r="H4655">
            <v>265</v>
          </cell>
          <cell r="I4655">
            <v>500</v>
          </cell>
          <cell r="J4655">
            <v>0</v>
          </cell>
          <cell r="K4655">
            <v>0</v>
          </cell>
          <cell r="L4655">
            <v>2.35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</row>
        <row r="4656">
          <cell r="A4656" t="str">
            <v>Y071-010</v>
          </cell>
          <cell r="B4656" t="str">
            <v>雙花</v>
          </cell>
          <cell r="C4656" t="str">
            <v>Y071</v>
          </cell>
          <cell r="D4656" t="str">
            <v>027</v>
          </cell>
          <cell r="E4656" t="str">
            <v>饰花-hoa đôi (LR)</v>
          </cell>
          <cell r="F4656" t="str">
            <v>15*565*460</v>
          </cell>
          <cell r="G4656">
            <v>15</v>
          </cell>
          <cell r="H4656">
            <v>565</v>
          </cell>
          <cell r="I4656">
            <v>460</v>
          </cell>
          <cell r="J4656">
            <v>0</v>
          </cell>
          <cell r="K4656">
            <v>0</v>
          </cell>
          <cell r="L4656">
            <v>5.3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</row>
        <row r="4657">
          <cell r="A4657" t="str">
            <v>Y071-011</v>
          </cell>
          <cell r="B4657" t="str">
            <v>雙花</v>
          </cell>
          <cell r="C4657" t="str">
            <v>Y071</v>
          </cell>
          <cell r="D4657" t="str">
            <v>028</v>
          </cell>
          <cell r="E4657" t="str">
            <v>饰花-hoa đôi (LR)</v>
          </cell>
          <cell r="F4657" t="str">
            <v>15*460*373</v>
          </cell>
          <cell r="G4657">
            <v>15</v>
          </cell>
          <cell r="H4657">
            <v>460</v>
          </cell>
          <cell r="I4657">
            <v>373</v>
          </cell>
          <cell r="J4657">
            <v>0</v>
          </cell>
          <cell r="K4657">
            <v>0</v>
          </cell>
          <cell r="L4657">
            <v>3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</row>
        <row r="4658">
          <cell r="A4658" t="str">
            <v>Y071-012</v>
          </cell>
          <cell r="B4658" t="str">
            <v>雙花</v>
          </cell>
          <cell r="C4658" t="str">
            <v>Y071</v>
          </cell>
          <cell r="D4658" t="str">
            <v>029</v>
          </cell>
          <cell r="E4658" t="str">
            <v>饰花-hoa đôi (LR)</v>
          </cell>
          <cell r="F4658" t="str">
            <v>15*385*370</v>
          </cell>
          <cell r="G4658">
            <v>15</v>
          </cell>
          <cell r="H4658">
            <v>385</v>
          </cell>
          <cell r="I4658">
            <v>370</v>
          </cell>
          <cell r="J4658">
            <v>0</v>
          </cell>
          <cell r="K4658">
            <v>0</v>
          </cell>
          <cell r="L4658">
            <v>2.6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</row>
        <row r="4659">
          <cell r="A4659" t="str">
            <v>Y071-013</v>
          </cell>
          <cell r="B4659" t="str">
            <v>環卷</v>
          </cell>
          <cell r="C4659" t="str">
            <v>Y071</v>
          </cell>
          <cell r="D4659" t="str">
            <v>030</v>
          </cell>
          <cell r="E4659" t="str">
            <v>飾板-環卷Vòng Tròn</v>
          </cell>
          <cell r="F4659" t="str">
            <v>16*125*1520</v>
          </cell>
          <cell r="G4659">
            <v>16</v>
          </cell>
          <cell r="H4659">
            <v>125</v>
          </cell>
          <cell r="I4659">
            <v>1520</v>
          </cell>
          <cell r="J4659">
            <v>0</v>
          </cell>
          <cell r="K4659">
            <v>0</v>
          </cell>
          <cell r="L4659">
            <v>7.9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</row>
        <row r="4660">
          <cell r="A4660" t="str">
            <v>Y071-014</v>
          </cell>
          <cell r="B4660" t="str">
            <v>菱形</v>
          </cell>
          <cell r="C4660" t="str">
            <v>Y071</v>
          </cell>
          <cell r="D4660" t="str">
            <v>031</v>
          </cell>
          <cell r="E4660" t="str">
            <v>飾板-菱形hình tứ giác</v>
          </cell>
          <cell r="F4660" t="str">
            <v>16*120*1573</v>
          </cell>
          <cell r="G4660">
            <v>16</v>
          </cell>
          <cell r="H4660">
            <v>120</v>
          </cell>
          <cell r="I4660">
            <v>1573</v>
          </cell>
          <cell r="J4660">
            <v>0</v>
          </cell>
          <cell r="K4660">
            <v>0</v>
          </cell>
          <cell r="L4660">
            <v>7.4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</row>
        <row r="4661">
          <cell r="A4661" t="str">
            <v>Y071-015</v>
          </cell>
          <cell r="B4661" t="str">
            <v>菱形-弧形</v>
          </cell>
          <cell r="C4661" t="str">
            <v>Y071</v>
          </cell>
          <cell r="D4661" t="str">
            <v>032</v>
          </cell>
          <cell r="E4661" t="str">
            <v>飾板-菱形-弧形hình tứ giác-cong</v>
          </cell>
          <cell r="F4661" t="str">
            <v>16*170*1300</v>
          </cell>
          <cell r="G4661">
            <v>16</v>
          </cell>
          <cell r="H4661">
            <v>170</v>
          </cell>
          <cell r="I4661">
            <v>1300</v>
          </cell>
          <cell r="J4661">
            <v>0</v>
          </cell>
          <cell r="K4661">
            <v>0</v>
          </cell>
          <cell r="L4661">
            <v>9.8000000000000007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</row>
        <row r="4662">
          <cell r="A4662" t="str">
            <v>Y071-015-1</v>
          </cell>
          <cell r="B4662" t="str">
            <v>菱形-弧形</v>
          </cell>
          <cell r="C4662" t="str">
            <v>Y071</v>
          </cell>
          <cell r="D4662" t="str">
            <v>032- L phải</v>
          </cell>
          <cell r="E4662" t="str">
            <v>飾板-菱形-弧形hình tứ giác-cong</v>
          </cell>
          <cell r="F4662" t="str">
            <v>16*170*1120</v>
          </cell>
          <cell r="G4662">
            <v>16</v>
          </cell>
          <cell r="H4662">
            <v>170</v>
          </cell>
          <cell r="I4662">
            <v>1120</v>
          </cell>
          <cell r="J4662">
            <v>0</v>
          </cell>
          <cell r="K4662">
            <v>0</v>
          </cell>
          <cell r="L4662">
            <v>9.5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</row>
        <row r="4663">
          <cell r="A4663" t="str">
            <v>Y071-016</v>
          </cell>
          <cell r="B4663" t="str">
            <v>圓形-弧形</v>
          </cell>
          <cell r="C4663" t="str">
            <v>Y071</v>
          </cell>
          <cell r="D4663" t="str">
            <v>033</v>
          </cell>
          <cell r="E4663" t="str">
            <v>飾板-圓形-弧形Vòng Tròn-cong</v>
          </cell>
          <cell r="F4663" t="str">
            <v>16*190*1310</v>
          </cell>
          <cell r="G4663">
            <v>16</v>
          </cell>
          <cell r="H4663">
            <v>190</v>
          </cell>
          <cell r="I4663">
            <v>1310</v>
          </cell>
          <cell r="J4663">
            <v>0</v>
          </cell>
          <cell r="K4663">
            <v>0</v>
          </cell>
          <cell r="L4663">
            <v>12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</row>
        <row r="4664">
          <cell r="A4664" t="str">
            <v>Y071-016-1</v>
          </cell>
          <cell r="B4664" t="str">
            <v>圓形-弧形</v>
          </cell>
          <cell r="C4664" t="str">
            <v>Y071</v>
          </cell>
          <cell r="D4664" t="str">
            <v>033- L phải</v>
          </cell>
          <cell r="E4664" t="str">
            <v>飾板-圓形-弧形Vòng Tròn-cong</v>
          </cell>
          <cell r="F4664" t="str">
            <v>16*190*1155</v>
          </cell>
          <cell r="G4664">
            <v>16</v>
          </cell>
          <cell r="H4664">
            <v>190</v>
          </cell>
          <cell r="I4664">
            <v>1155</v>
          </cell>
          <cell r="J4664">
            <v>0</v>
          </cell>
          <cell r="K4664">
            <v>0</v>
          </cell>
          <cell r="L4664">
            <v>10.5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</row>
        <row r="4665">
          <cell r="A4665" t="str">
            <v>Y071-017</v>
          </cell>
          <cell r="B4665" t="str">
            <v>圓形-弧形</v>
          </cell>
          <cell r="C4665" t="str">
            <v>Y071</v>
          </cell>
          <cell r="D4665" t="str">
            <v>034</v>
          </cell>
          <cell r="E4665" t="str">
            <v>飾板-圓形-弧形Vòng Tròn-cong</v>
          </cell>
          <cell r="F4665" t="str">
            <v>16*120*1320</v>
          </cell>
          <cell r="G4665">
            <v>16</v>
          </cell>
          <cell r="H4665">
            <v>120</v>
          </cell>
          <cell r="I4665">
            <v>1320</v>
          </cell>
          <cell r="J4665">
            <v>0</v>
          </cell>
          <cell r="K4665">
            <v>0</v>
          </cell>
          <cell r="L4665">
            <v>7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</row>
        <row r="4666">
          <cell r="A4666" t="str">
            <v>Y071-018</v>
          </cell>
          <cell r="B4666" t="str">
            <v>圓形-弧形</v>
          </cell>
          <cell r="C4666" t="str">
            <v>Y071</v>
          </cell>
          <cell r="D4666" t="str">
            <v>035</v>
          </cell>
          <cell r="E4666" t="str">
            <v>飾板-圓形-弧形Vòng Tròn-cong</v>
          </cell>
          <cell r="F4666" t="str">
            <v>16*120*1365</v>
          </cell>
          <cell r="G4666">
            <v>16</v>
          </cell>
          <cell r="H4666">
            <v>120</v>
          </cell>
          <cell r="I4666">
            <v>1365</v>
          </cell>
          <cell r="J4666">
            <v>0</v>
          </cell>
          <cell r="K4666">
            <v>0</v>
          </cell>
          <cell r="L4666">
            <v>8.5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</row>
        <row r="4667">
          <cell r="A4667" t="str">
            <v>Y071-018-1</v>
          </cell>
          <cell r="B4667" t="str">
            <v>圓形-弧形</v>
          </cell>
          <cell r="C4667" t="str">
            <v>Y071</v>
          </cell>
          <cell r="D4667" t="str">
            <v>035- L phải</v>
          </cell>
          <cell r="E4667" t="str">
            <v>飾板-圓形-弧形Vòng Tròn-cong</v>
          </cell>
          <cell r="F4667" t="str">
            <v>16*140*1500</v>
          </cell>
          <cell r="G4667">
            <v>16</v>
          </cell>
          <cell r="H4667">
            <v>140</v>
          </cell>
          <cell r="I4667">
            <v>1500</v>
          </cell>
          <cell r="J4667">
            <v>0</v>
          </cell>
          <cell r="K4667">
            <v>0</v>
          </cell>
          <cell r="L4667">
            <v>8.1999999999999993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</row>
        <row r="4668">
          <cell r="A4668" t="str">
            <v>Y071-019</v>
          </cell>
          <cell r="B4668" t="str">
            <v>菱形-弧形</v>
          </cell>
          <cell r="C4668" t="str">
            <v>Y071</v>
          </cell>
          <cell r="D4668" t="str">
            <v>036</v>
          </cell>
          <cell r="E4668" t="str">
            <v>飾板-菱形-弧形hình tứ giác-cong</v>
          </cell>
          <cell r="F4668" t="str">
            <v>16*190*1370</v>
          </cell>
          <cell r="G4668">
            <v>16</v>
          </cell>
          <cell r="H4668">
            <v>190</v>
          </cell>
          <cell r="I4668">
            <v>1370</v>
          </cell>
          <cell r="J4668">
            <v>0</v>
          </cell>
          <cell r="K4668">
            <v>0</v>
          </cell>
          <cell r="L4668">
            <v>11.2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</row>
        <row r="4669">
          <cell r="A4669" t="str">
            <v>Y071-019-1</v>
          </cell>
          <cell r="B4669" t="str">
            <v>菱形-弧形</v>
          </cell>
          <cell r="C4669" t="str">
            <v>Y071</v>
          </cell>
          <cell r="D4669" t="str">
            <v>036- L phải</v>
          </cell>
          <cell r="E4669" t="str">
            <v>飾板-菱形-弧形hình tứ giác-cong</v>
          </cell>
          <cell r="F4669" t="str">
            <v>16*190*1370</v>
          </cell>
          <cell r="G4669">
            <v>16</v>
          </cell>
          <cell r="H4669">
            <v>190</v>
          </cell>
          <cell r="I4669">
            <v>1370</v>
          </cell>
          <cell r="J4669">
            <v>0</v>
          </cell>
          <cell r="K4669">
            <v>0</v>
          </cell>
          <cell r="L4669">
            <v>10.8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</row>
        <row r="4670">
          <cell r="A4670" t="str">
            <v>Y071-020</v>
          </cell>
          <cell r="B4670" t="str">
            <v>圓形-弧形</v>
          </cell>
          <cell r="C4670" t="str">
            <v>Y071</v>
          </cell>
          <cell r="D4670" t="str">
            <v>037</v>
          </cell>
          <cell r="E4670" t="str">
            <v>飾板-圓形-弧形Vòng Tròn-cong</v>
          </cell>
          <cell r="F4670" t="str">
            <v>16*170*1300</v>
          </cell>
          <cell r="G4670">
            <v>16</v>
          </cell>
          <cell r="H4670">
            <v>170</v>
          </cell>
          <cell r="I4670">
            <v>1300</v>
          </cell>
          <cell r="J4670">
            <v>0</v>
          </cell>
          <cell r="K4670">
            <v>0</v>
          </cell>
          <cell r="L4670">
            <v>10.7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</row>
        <row r="4671">
          <cell r="A4671" t="str">
            <v>Y071-020-1</v>
          </cell>
          <cell r="B4671" t="str">
            <v>圓形-弧形</v>
          </cell>
          <cell r="C4671" t="str">
            <v>Y071</v>
          </cell>
          <cell r="D4671" t="str">
            <v>037- L phải</v>
          </cell>
          <cell r="E4671" t="str">
            <v>飾板-圓形-弧形Vòng Tròn-cong</v>
          </cell>
          <cell r="F4671" t="str">
            <v>16*170*1500</v>
          </cell>
          <cell r="G4671">
            <v>16</v>
          </cell>
          <cell r="H4671">
            <v>170</v>
          </cell>
          <cell r="I4671">
            <v>1500</v>
          </cell>
          <cell r="J4671">
            <v>0</v>
          </cell>
          <cell r="K4671">
            <v>0</v>
          </cell>
          <cell r="L4671">
            <v>9.6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</row>
        <row r="4672">
          <cell r="A4672" t="str">
            <v>Y071-021</v>
          </cell>
          <cell r="B4672" t="str">
            <v>大虾</v>
          </cell>
          <cell r="C4672" t="str">
            <v>Y071</v>
          </cell>
          <cell r="D4672" t="str">
            <v>039</v>
          </cell>
          <cell r="E4672" t="str">
            <v>大虾-Con Tôm lớn</v>
          </cell>
          <cell r="F4672" t="str">
            <v>12*90*240</v>
          </cell>
          <cell r="G4672">
            <v>12</v>
          </cell>
          <cell r="H4672">
            <v>90</v>
          </cell>
          <cell r="I4672">
            <v>240</v>
          </cell>
          <cell r="J4672">
            <v>0</v>
          </cell>
          <cell r="K4672">
            <v>0</v>
          </cell>
          <cell r="L4672">
            <v>1.38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</row>
        <row r="4673">
          <cell r="A4673" t="str">
            <v>Y071-022</v>
          </cell>
          <cell r="B4673" t="str">
            <v>小花</v>
          </cell>
          <cell r="C4673" t="str">
            <v>Y071</v>
          </cell>
          <cell r="D4673" t="str">
            <v>041</v>
          </cell>
          <cell r="E4673" t="str">
            <v>小花-Hoa lớn</v>
          </cell>
          <cell r="F4673" t="str">
            <v>6*35*150</v>
          </cell>
          <cell r="G4673">
            <v>6</v>
          </cell>
          <cell r="H4673">
            <v>35</v>
          </cell>
          <cell r="I4673">
            <v>150</v>
          </cell>
          <cell r="J4673">
            <v>0</v>
          </cell>
          <cell r="K4673">
            <v>0</v>
          </cell>
          <cell r="L4673">
            <v>0.08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</row>
        <row r="4674">
          <cell r="A4674" t="str">
            <v>Y071-023</v>
          </cell>
          <cell r="B4674" t="str">
            <v>雙花</v>
          </cell>
          <cell r="C4674" t="str">
            <v>Y071</v>
          </cell>
          <cell r="D4674" t="str">
            <v>043</v>
          </cell>
          <cell r="E4674" t="str">
            <v>饰花-hoa đôi (LR)</v>
          </cell>
          <cell r="F4674" t="str">
            <v>15*190*400</v>
          </cell>
          <cell r="G4674">
            <v>15</v>
          </cell>
          <cell r="H4674">
            <v>190</v>
          </cell>
          <cell r="I4674">
            <v>400</v>
          </cell>
          <cell r="J4674">
            <v>0</v>
          </cell>
          <cell r="K4674">
            <v>0</v>
          </cell>
          <cell r="L4674">
            <v>3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</row>
        <row r="4675">
          <cell r="A4675" t="str">
            <v>Y071-024</v>
          </cell>
          <cell r="B4675" t="str">
            <v>雙花</v>
          </cell>
          <cell r="C4675" t="str">
            <v>Y071</v>
          </cell>
          <cell r="D4675" t="str">
            <v>044</v>
          </cell>
          <cell r="E4675" t="str">
            <v>饰花-hoa đôi (LR)</v>
          </cell>
          <cell r="F4675" t="str">
            <v>15*240*320</v>
          </cell>
          <cell r="G4675">
            <v>15</v>
          </cell>
          <cell r="H4675">
            <v>240</v>
          </cell>
          <cell r="I4675">
            <v>320</v>
          </cell>
          <cell r="J4675">
            <v>0</v>
          </cell>
          <cell r="K4675">
            <v>0</v>
          </cell>
          <cell r="L4675">
            <v>2.7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</row>
        <row r="4676">
          <cell r="A4676" t="str">
            <v>Y071-025</v>
          </cell>
          <cell r="B4676" t="str">
            <v>圖騰</v>
          </cell>
          <cell r="C4676" t="str">
            <v>Y071</v>
          </cell>
          <cell r="D4676">
            <v>0</v>
          </cell>
          <cell r="E4676" t="str">
            <v>圖騰-Hình hoa văn</v>
          </cell>
          <cell r="F4676" t="str">
            <v>12.5*305*385</v>
          </cell>
          <cell r="G4676">
            <v>12.5</v>
          </cell>
          <cell r="H4676">
            <v>305</v>
          </cell>
          <cell r="I4676">
            <v>385</v>
          </cell>
          <cell r="J4676">
            <v>0</v>
          </cell>
          <cell r="K4676">
            <v>0</v>
          </cell>
          <cell r="L4676">
            <v>7.5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</row>
        <row r="4677">
          <cell r="A4677" t="str">
            <v>Y071-026</v>
          </cell>
          <cell r="B4677" t="str">
            <v>邊角-圓形</v>
          </cell>
          <cell r="C4677" t="str">
            <v>Y071</v>
          </cell>
          <cell r="D4677" t="str">
            <v>058</v>
          </cell>
          <cell r="E4677" t="str">
            <v>邊角-圓形-Cạnh chân, hình tròn</v>
          </cell>
          <cell r="F4677" t="str">
            <v>32*285*283</v>
          </cell>
          <cell r="G4677">
            <v>32</v>
          </cell>
          <cell r="H4677">
            <v>285</v>
          </cell>
          <cell r="I4677">
            <v>283</v>
          </cell>
          <cell r="J4677">
            <v>0</v>
          </cell>
          <cell r="K4677">
            <v>0</v>
          </cell>
          <cell r="L4677">
            <v>3.82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</row>
        <row r="4678">
          <cell r="A4678" t="str">
            <v>Y071-027</v>
          </cell>
          <cell r="B4678" t="str">
            <v>邊角-菱形</v>
          </cell>
          <cell r="C4678" t="str">
            <v>Y071</v>
          </cell>
          <cell r="D4678" t="str">
            <v>059</v>
          </cell>
          <cell r="E4678" t="str">
            <v>邊角-菱形-Canh chân, hình tứ giác</v>
          </cell>
          <cell r="F4678" t="str">
            <v>32*265*261</v>
          </cell>
          <cell r="G4678">
            <v>32</v>
          </cell>
          <cell r="H4678">
            <v>265</v>
          </cell>
          <cell r="I4678">
            <v>261</v>
          </cell>
          <cell r="J4678">
            <v>0</v>
          </cell>
          <cell r="K4678">
            <v>0</v>
          </cell>
          <cell r="L4678">
            <v>3.35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</row>
        <row r="4679">
          <cell r="A4679" t="str">
            <v>Y071-028</v>
          </cell>
          <cell r="B4679" t="str">
            <v>邊角-圓形</v>
          </cell>
          <cell r="C4679" t="str">
            <v>Y071</v>
          </cell>
          <cell r="D4679" t="str">
            <v>060</v>
          </cell>
          <cell r="E4679" t="str">
            <v>邊角-圓形-Cạnh chân, hình tròn</v>
          </cell>
          <cell r="F4679" t="str">
            <v>32*205*205</v>
          </cell>
          <cell r="G4679">
            <v>32</v>
          </cell>
          <cell r="H4679">
            <v>205</v>
          </cell>
          <cell r="I4679">
            <v>205</v>
          </cell>
          <cell r="J4679">
            <v>0</v>
          </cell>
          <cell r="K4679">
            <v>0</v>
          </cell>
          <cell r="L4679">
            <v>2.2799999999999998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</row>
        <row r="4680">
          <cell r="A4680" t="str">
            <v>Y071-029</v>
          </cell>
          <cell r="B4680" t="str">
            <v>邊角-環形</v>
          </cell>
          <cell r="C4680" t="str">
            <v>Y071</v>
          </cell>
          <cell r="D4680" t="str">
            <v>061</v>
          </cell>
          <cell r="E4680" t="str">
            <v>邊角-環形-Cạnh chân vòng tròn</v>
          </cell>
          <cell r="F4680" t="str">
            <v>32*176*174</v>
          </cell>
          <cell r="G4680">
            <v>32</v>
          </cell>
          <cell r="H4680">
            <v>176</v>
          </cell>
          <cell r="I4680">
            <v>174</v>
          </cell>
          <cell r="J4680">
            <v>0</v>
          </cell>
          <cell r="K4680">
            <v>0</v>
          </cell>
          <cell r="L4680">
            <v>1.72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</row>
        <row r="4681">
          <cell r="A4681" t="str">
            <v>Y071-030</v>
          </cell>
          <cell r="B4681" t="str">
            <v>邊角-飾條</v>
          </cell>
          <cell r="C4681" t="str">
            <v>Y071</v>
          </cell>
          <cell r="D4681" t="str">
            <v>062</v>
          </cell>
          <cell r="E4681" t="str">
            <v>邊角-飾條-Cạnh chân dây</v>
          </cell>
          <cell r="F4681" t="str">
            <v>32*295*230</v>
          </cell>
          <cell r="G4681">
            <v>32</v>
          </cell>
          <cell r="H4681">
            <v>295</v>
          </cell>
          <cell r="I4681">
            <v>230</v>
          </cell>
          <cell r="J4681">
            <v>0</v>
          </cell>
          <cell r="K4681">
            <v>0</v>
          </cell>
          <cell r="L4681">
            <v>2.92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</row>
        <row r="4682">
          <cell r="A4682" t="str">
            <v>Y071-031</v>
          </cell>
          <cell r="B4682" t="str">
            <v>邊角-飾條</v>
          </cell>
          <cell r="C4682" t="str">
            <v>Y071</v>
          </cell>
          <cell r="D4682" t="str">
            <v>063</v>
          </cell>
          <cell r="E4682" t="str">
            <v>邊角-飾條-Cạnh chân dây</v>
          </cell>
          <cell r="F4682" t="str">
            <v>32*310*250</v>
          </cell>
          <cell r="G4682">
            <v>32</v>
          </cell>
          <cell r="H4682">
            <v>310</v>
          </cell>
          <cell r="I4682">
            <v>250</v>
          </cell>
          <cell r="J4682">
            <v>0</v>
          </cell>
          <cell r="K4682">
            <v>0</v>
          </cell>
          <cell r="L4682">
            <v>3.53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</row>
        <row r="4683">
          <cell r="A4683" t="str">
            <v>Y071-032</v>
          </cell>
          <cell r="B4683" t="str">
            <v>邊角-飾條</v>
          </cell>
          <cell r="C4683" t="str">
            <v>Y071</v>
          </cell>
          <cell r="D4683" t="str">
            <v>064</v>
          </cell>
          <cell r="E4683" t="str">
            <v>邊角-飾條-Cạnh chân dây</v>
          </cell>
          <cell r="F4683" t="str">
            <v>32*290*238</v>
          </cell>
          <cell r="G4683">
            <v>32</v>
          </cell>
          <cell r="H4683">
            <v>290</v>
          </cell>
          <cell r="I4683">
            <v>238</v>
          </cell>
          <cell r="J4683">
            <v>0</v>
          </cell>
          <cell r="K4683">
            <v>0</v>
          </cell>
          <cell r="L4683">
            <v>3.21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</row>
        <row r="4684">
          <cell r="A4684" t="str">
            <v>Y071-033</v>
          </cell>
          <cell r="B4684" t="str">
            <v>邊角-飾條</v>
          </cell>
          <cell r="C4684" t="str">
            <v>Y071</v>
          </cell>
          <cell r="D4684" t="str">
            <v>065</v>
          </cell>
          <cell r="E4684" t="str">
            <v>邊角-飾條-Cạnh chân dây</v>
          </cell>
          <cell r="F4684" t="str">
            <v>32*210*155</v>
          </cell>
          <cell r="G4684">
            <v>32</v>
          </cell>
          <cell r="H4684">
            <v>210</v>
          </cell>
          <cell r="I4684">
            <v>155</v>
          </cell>
          <cell r="J4684">
            <v>0</v>
          </cell>
          <cell r="K4684">
            <v>0</v>
          </cell>
          <cell r="L4684">
            <v>1.66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</row>
        <row r="4685">
          <cell r="A4685" t="str">
            <v>Y071-034</v>
          </cell>
          <cell r="B4685" t="str">
            <v>長形-飾條</v>
          </cell>
          <cell r="C4685" t="str">
            <v>Y071</v>
          </cell>
          <cell r="D4685" t="str">
            <v>066</v>
          </cell>
          <cell r="E4685" t="str">
            <v>長形-飾條-Hình dây vuông dài</v>
          </cell>
          <cell r="F4685" t="str">
            <v>32*140*620</v>
          </cell>
          <cell r="G4685">
            <v>32</v>
          </cell>
          <cell r="H4685">
            <v>140</v>
          </cell>
          <cell r="I4685">
            <v>620</v>
          </cell>
          <cell r="J4685">
            <v>0</v>
          </cell>
          <cell r="K4685">
            <v>0</v>
          </cell>
          <cell r="L4685">
            <v>5.34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</row>
        <row r="4686">
          <cell r="A4686" t="str">
            <v>Y071-035</v>
          </cell>
          <cell r="B4686" t="str">
            <v>大虾</v>
          </cell>
          <cell r="C4686" t="str">
            <v>Y071</v>
          </cell>
          <cell r="D4686" t="str">
            <v>051</v>
          </cell>
          <cell r="E4686" t="str">
            <v>大虾-Con Tôm lớn</v>
          </cell>
          <cell r="F4686" t="str">
            <v>15*455*1225</v>
          </cell>
          <cell r="G4686">
            <v>15</v>
          </cell>
          <cell r="H4686">
            <v>455</v>
          </cell>
          <cell r="I4686">
            <v>1225</v>
          </cell>
          <cell r="J4686">
            <v>0</v>
          </cell>
          <cell r="K4686">
            <v>0</v>
          </cell>
          <cell r="L4686">
            <v>16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</row>
        <row r="4687">
          <cell r="A4687" t="str">
            <v>Y071-036</v>
          </cell>
          <cell r="B4687" t="str">
            <v>大虾</v>
          </cell>
          <cell r="C4687" t="str">
            <v>Y071</v>
          </cell>
          <cell r="D4687" t="str">
            <v>052</v>
          </cell>
          <cell r="E4687" t="str">
            <v>大虾-Con Tôm lớn</v>
          </cell>
          <cell r="F4687" t="str">
            <v>15*455*1222</v>
          </cell>
          <cell r="G4687">
            <v>15</v>
          </cell>
          <cell r="H4687">
            <v>455</v>
          </cell>
          <cell r="I4687">
            <v>1222</v>
          </cell>
          <cell r="J4687">
            <v>0</v>
          </cell>
          <cell r="K4687">
            <v>0</v>
          </cell>
          <cell r="L4687">
            <v>17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</row>
        <row r="4688">
          <cell r="A4688" t="str">
            <v>Y071-037</v>
          </cell>
          <cell r="B4688" t="str">
            <v>大菱形-修改067</v>
          </cell>
          <cell r="C4688" t="str">
            <v>Y071</v>
          </cell>
          <cell r="D4688" t="str">
            <v>002-sữa 067</v>
          </cell>
          <cell r="E4688" t="str">
            <v>大菱形 -hình tứ giác</v>
          </cell>
          <cell r="F4688" t="str">
            <v>32*190*1635</v>
          </cell>
          <cell r="G4688">
            <v>32</v>
          </cell>
          <cell r="H4688">
            <v>190</v>
          </cell>
          <cell r="I4688">
            <v>1635</v>
          </cell>
          <cell r="J4688">
            <v>0</v>
          </cell>
          <cell r="K4688">
            <v>0</v>
          </cell>
          <cell r="L4688">
            <v>15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</row>
        <row r="4689">
          <cell r="A4689" t="str">
            <v>Y071-038</v>
          </cell>
          <cell r="B4689" t="str">
            <v>饰板</v>
          </cell>
          <cell r="C4689" t="str">
            <v>Y071</v>
          </cell>
          <cell r="D4689" t="str">
            <v>073</v>
          </cell>
          <cell r="E4689" t="str">
            <v>poly饰板-hoa văn cổng phù điêu</v>
          </cell>
          <cell r="F4689" t="str">
            <v>12*510*570</v>
          </cell>
          <cell r="G4689">
            <v>12</v>
          </cell>
          <cell r="H4689">
            <v>510</v>
          </cell>
          <cell r="I4689">
            <v>570</v>
          </cell>
          <cell r="J4689">
            <v>0</v>
          </cell>
          <cell r="K4689">
            <v>0</v>
          </cell>
          <cell r="L4689">
            <v>6.2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</row>
        <row r="4690">
          <cell r="A4690" t="str">
            <v>Y071-039</v>
          </cell>
          <cell r="B4690" t="str">
            <v>饰板</v>
          </cell>
          <cell r="C4690" t="str">
            <v>Y071</v>
          </cell>
          <cell r="D4690" t="str">
            <v>074</v>
          </cell>
          <cell r="E4690" t="str">
            <v>poly饰板-hoa văn cổng phù điêu</v>
          </cell>
          <cell r="F4690" t="str">
            <v>12*510*570</v>
          </cell>
          <cell r="G4690">
            <v>12</v>
          </cell>
          <cell r="H4690">
            <v>510</v>
          </cell>
          <cell r="I4690">
            <v>570</v>
          </cell>
          <cell r="J4690">
            <v>0</v>
          </cell>
          <cell r="K4690">
            <v>0</v>
          </cell>
          <cell r="L4690">
            <v>6.2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</row>
        <row r="4691">
          <cell r="A4691" t="str">
            <v>Y071-040</v>
          </cell>
          <cell r="B4691" t="str">
            <v>饰板-十字葉</v>
          </cell>
          <cell r="C4691" t="str">
            <v>Y071</v>
          </cell>
          <cell r="D4691" t="str">
            <v>084</v>
          </cell>
          <cell r="E4691" t="str">
            <v>poly饰板-十字葉-đỗ cổng phù điêu</v>
          </cell>
          <cell r="F4691" t="str">
            <v>18*240*935</v>
          </cell>
          <cell r="G4691">
            <v>18</v>
          </cell>
          <cell r="H4691">
            <v>240</v>
          </cell>
          <cell r="I4691">
            <v>935</v>
          </cell>
          <cell r="J4691">
            <v>0</v>
          </cell>
          <cell r="K4691">
            <v>0</v>
          </cell>
          <cell r="L4691">
            <v>10.8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</row>
        <row r="4692">
          <cell r="A4692" t="str">
            <v>Y071-041</v>
          </cell>
          <cell r="B4692" t="str">
            <v>饰板-十字葉</v>
          </cell>
          <cell r="C4692" t="str">
            <v>Y071</v>
          </cell>
          <cell r="D4692" t="str">
            <v>085</v>
          </cell>
          <cell r="E4692" t="str">
            <v>poly饰板-十字葉-đỗ cổng phù điêu</v>
          </cell>
          <cell r="F4692" t="str">
            <v>18*240*1860</v>
          </cell>
          <cell r="G4692">
            <v>18</v>
          </cell>
          <cell r="H4692">
            <v>240</v>
          </cell>
          <cell r="I4692">
            <v>1860</v>
          </cell>
          <cell r="J4692">
            <v>0</v>
          </cell>
          <cell r="K4692">
            <v>0</v>
          </cell>
          <cell r="L4692">
            <v>18.7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</row>
        <row r="4693">
          <cell r="A4693" t="str">
            <v>Y071-042</v>
          </cell>
          <cell r="B4693" t="str">
            <v>饰板-龍</v>
          </cell>
          <cell r="C4693" t="str">
            <v>Y071</v>
          </cell>
          <cell r="D4693" t="str">
            <v>075</v>
          </cell>
          <cell r="E4693" t="str">
            <v>poly饰板-龍-hoa văn rồng</v>
          </cell>
          <cell r="F4693" t="str">
            <v>13*610*730</v>
          </cell>
          <cell r="G4693">
            <v>13</v>
          </cell>
          <cell r="H4693">
            <v>610</v>
          </cell>
          <cell r="I4693">
            <v>730</v>
          </cell>
          <cell r="J4693">
            <v>0</v>
          </cell>
          <cell r="K4693">
            <v>0</v>
          </cell>
          <cell r="L4693">
            <v>9.3000000000000007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</row>
        <row r="4694">
          <cell r="A4694" t="str">
            <v>Y071-043</v>
          </cell>
          <cell r="B4694" t="str">
            <v>饰板-鳯凰</v>
          </cell>
          <cell r="C4694" t="str">
            <v>Y071</v>
          </cell>
          <cell r="D4694" t="str">
            <v>076</v>
          </cell>
          <cell r="E4694" t="str">
            <v>poly饰板-鳯凰-hoa văn chim phụng</v>
          </cell>
          <cell r="F4694" t="str">
            <v>13*612*728</v>
          </cell>
          <cell r="G4694">
            <v>13</v>
          </cell>
          <cell r="H4694">
            <v>612</v>
          </cell>
          <cell r="I4694">
            <v>728</v>
          </cell>
          <cell r="J4694">
            <v>0</v>
          </cell>
          <cell r="K4694">
            <v>0</v>
          </cell>
          <cell r="L4694">
            <v>9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</row>
        <row r="4695">
          <cell r="A4695" t="str">
            <v>Y071-044</v>
          </cell>
          <cell r="B4695" t="str">
            <v>饰板-獸圖</v>
          </cell>
          <cell r="C4695" t="str">
            <v>Y071</v>
          </cell>
          <cell r="D4695" t="str">
            <v>077</v>
          </cell>
          <cell r="E4695" t="str">
            <v>poly饰板-獸圖-hoa văn con lân</v>
          </cell>
          <cell r="F4695" t="str">
            <v>13*612*730</v>
          </cell>
          <cell r="G4695">
            <v>13</v>
          </cell>
          <cell r="H4695">
            <v>612</v>
          </cell>
          <cell r="I4695">
            <v>730</v>
          </cell>
          <cell r="J4695">
            <v>0</v>
          </cell>
          <cell r="K4695">
            <v>0</v>
          </cell>
          <cell r="L4695">
            <v>10.5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</row>
        <row r="4696">
          <cell r="A4696" t="str">
            <v>Y071-045</v>
          </cell>
          <cell r="B4696" t="str">
            <v>饰板-荷花</v>
          </cell>
          <cell r="C4696" t="str">
            <v>Y071</v>
          </cell>
          <cell r="D4696" t="str">
            <v>078</v>
          </cell>
          <cell r="E4696" t="str">
            <v>poly饰板-荷花hoa văn con quy</v>
          </cell>
          <cell r="F4696" t="str">
            <v>13*612*730</v>
          </cell>
          <cell r="G4696">
            <v>13</v>
          </cell>
          <cell r="H4696">
            <v>612</v>
          </cell>
          <cell r="I4696">
            <v>730</v>
          </cell>
          <cell r="J4696">
            <v>0</v>
          </cell>
          <cell r="K4696">
            <v>0</v>
          </cell>
          <cell r="L4696">
            <v>11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</row>
        <row r="4697">
          <cell r="A4697" t="str">
            <v>Y071-046</v>
          </cell>
          <cell r="B4697" t="str">
            <v>饰板-大菊</v>
          </cell>
          <cell r="C4697" t="str">
            <v>Y071</v>
          </cell>
          <cell r="D4697" t="str">
            <v>079</v>
          </cell>
          <cell r="E4697" t="str">
            <v>poly饰板-大菊 hoa văn</v>
          </cell>
          <cell r="F4697" t="str">
            <v>13*500*1305</v>
          </cell>
          <cell r="G4697">
            <v>13</v>
          </cell>
          <cell r="H4697">
            <v>500</v>
          </cell>
          <cell r="I4697">
            <v>1305</v>
          </cell>
          <cell r="J4697">
            <v>0</v>
          </cell>
          <cell r="K4697">
            <v>0</v>
          </cell>
          <cell r="L4697">
            <v>19.5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</row>
        <row r="4698">
          <cell r="A4698" t="str">
            <v>Y071-047</v>
          </cell>
          <cell r="B4698" t="str">
            <v>饰板-大菊</v>
          </cell>
          <cell r="C4698" t="str">
            <v>Y071</v>
          </cell>
          <cell r="D4698" t="str">
            <v>080</v>
          </cell>
          <cell r="E4698" t="str">
            <v>poly饰板-大菊 hoa văn</v>
          </cell>
          <cell r="F4698" t="str">
            <v>13*500*1305</v>
          </cell>
          <cell r="G4698">
            <v>13</v>
          </cell>
          <cell r="H4698">
            <v>500</v>
          </cell>
          <cell r="I4698">
            <v>1305</v>
          </cell>
          <cell r="J4698">
            <v>0</v>
          </cell>
          <cell r="K4698">
            <v>0</v>
          </cell>
          <cell r="L4698">
            <v>18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</row>
        <row r="4699">
          <cell r="A4699" t="str">
            <v>Y071-048</v>
          </cell>
          <cell r="B4699" t="str">
            <v>饰片-橱枝</v>
          </cell>
          <cell r="C4699" t="str">
            <v>Y071</v>
          </cell>
          <cell r="D4699" t="str">
            <v>081</v>
          </cell>
          <cell r="E4699" t="str">
            <v>poly饰片-橱枝 hoa văn cây mai mặt A</v>
          </cell>
          <cell r="F4699" t="str">
            <v>13*525*1320</v>
          </cell>
          <cell r="G4699">
            <v>13</v>
          </cell>
          <cell r="H4699">
            <v>525</v>
          </cell>
          <cell r="I4699">
            <v>1320</v>
          </cell>
          <cell r="J4699">
            <v>0</v>
          </cell>
          <cell r="K4699">
            <v>0</v>
          </cell>
          <cell r="L4699">
            <v>14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</row>
        <row r="4700">
          <cell r="A4700" t="str">
            <v>Y071-049</v>
          </cell>
          <cell r="B4700" t="str">
            <v>饰片-橱枝</v>
          </cell>
          <cell r="C4700" t="str">
            <v>Y071</v>
          </cell>
          <cell r="D4700" t="str">
            <v>082</v>
          </cell>
          <cell r="E4700" t="str">
            <v>poly饰片-橱枝 hoa văn cây mai mặt B</v>
          </cell>
          <cell r="F4700" t="str">
            <v>13*525*1320</v>
          </cell>
          <cell r="G4700">
            <v>13</v>
          </cell>
          <cell r="H4700">
            <v>525</v>
          </cell>
          <cell r="I4700">
            <v>1320</v>
          </cell>
          <cell r="J4700">
            <v>0</v>
          </cell>
          <cell r="K4700">
            <v>0</v>
          </cell>
          <cell r="L4700">
            <v>14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</row>
        <row r="4701">
          <cell r="A4701" t="str">
            <v>Y071-050</v>
          </cell>
          <cell r="B4701" t="str">
            <v>饰片-向白葵</v>
          </cell>
          <cell r="C4701" t="str">
            <v>Y071</v>
          </cell>
          <cell r="D4701" t="str">
            <v>083</v>
          </cell>
          <cell r="E4701" t="str">
            <v>poly饰片-向白葵 hoa văn</v>
          </cell>
          <cell r="F4701" t="str">
            <v>13*350*796</v>
          </cell>
          <cell r="G4701">
            <v>13</v>
          </cell>
          <cell r="H4701">
            <v>350</v>
          </cell>
          <cell r="I4701">
            <v>796</v>
          </cell>
          <cell r="J4701">
            <v>0</v>
          </cell>
          <cell r="K4701">
            <v>0</v>
          </cell>
          <cell r="L4701">
            <v>7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</row>
        <row r="4702">
          <cell r="A4702" t="str">
            <v>Y071-051</v>
          </cell>
          <cell r="B4702" t="str">
            <v>饰板-小烏</v>
          </cell>
          <cell r="C4702" t="str">
            <v>Y071</v>
          </cell>
          <cell r="D4702" t="str">
            <v>004</v>
          </cell>
          <cell r="E4702" t="str">
            <v>poly饰板-小烏 đỏ cựa chim hạc</v>
          </cell>
          <cell r="F4702" t="str">
            <v>32*155*1648</v>
          </cell>
          <cell r="G4702">
            <v>32</v>
          </cell>
          <cell r="H4702">
            <v>155</v>
          </cell>
          <cell r="I4702">
            <v>1648</v>
          </cell>
          <cell r="J4702">
            <v>0</v>
          </cell>
          <cell r="K4702">
            <v>0</v>
          </cell>
          <cell r="L4702">
            <v>15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</row>
        <row r="4703">
          <cell r="A4703" t="str">
            <v>Y071-052</v>
          </cell>
          <cell r="B4703" t="str">
            <v>POLY飾板-小鳥</v>
          </cell>
          <cell r="C4703" t="str">
            <v>Y071</v>
          </cell>
          <cell r="D4703" t="str">
            <v>005</v>
          </cell>
          <cell r="E4703" t="str">
            <v>poly饰板-小烏 đỏ cựa chim hạc</v>
          </cell>
          <cell r="F4703" t="str">
            <v>32*147*1624</v>
          </cell>
          <cell r="G4703">
            <v>32</v>
          </cell>
          <cell r="H4703">
            <v>147</v>
          </cell>
          <cell r="I4703">
            <v>1624</v>
          </cell>
          <cell r="J4703">
            <v>0</v>
          </cell>
          <cell r="K4703">
            <v>0</v>
          </cell>
          <cell r="L4703">
            <v>14.5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</row>
        <row r="4704">
          <cell r="A4704" t="str">
            <v>Y071-053</v>
          </cell>
          <cell r="B4704">
            <v>0</v>
          </cell>
          <cell r="C4704" t="str">
            <v>Y071</v>
          </cell>
          <cell r="D4704" t="str">
            <v>012</v>
          </cell>
          <cell r="E4704" t="str">
            <v>POLY飾板-樹幹</v>
          </cell>
          <cell r="F4704">
            <v>0</v>
          </cell>
          <cell r="G4704">
            <v>1539</v>
          </cell>
          <cell r="H4704">
            <v>83</v>
          </cell>
          <cell r="I4704">
            <v>12</v>
          </cell>
          <cell r="J4704">
            <v>0</v>
          </cell>
          <cell r="K4704">
            <v>0</v>
          </cell>
          <cell r="L4704">
            <v>3.65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</row>
        <row r="4705">
          <cell r="A4705" t="str">
            <v>Y071-054</v>
          </cell>
          <cell r="B4705" t="str">
            <v>POLY飾板-葉</v>
          </cell>
          <cell r="C4705" t="str">
            <v>Y071</v>
          </cell>
          <cell r="D4705" t="str">
            <v>020</v>
          </cell>
          <cell r="E4705" t="str">
            <v>POLY飾板-葉</v>
          </cell>
          <cell r="F4705">
            <v>0</v>
          </cell>
          <cell r="G4705">
            <v>1846</v>
          </cell>
          <cell r="H4705">
            <v>146</v>
          </cell>
          <cell r="I4705">
            <v>32</v>
          </cell>
          <cell r="J4705">
            <v>0</v>
          </cell>
          <cell r="K4705">
            <v>0</v>
          </cell>
          <cell r="L4705">
            <v>16.5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</row>
        <row r="4706">
          <cell r="A4706" t="str">
            <v>Y071-055</v>
          </cell>
          <cell r="B4706" t="str">
            <v>POLY飾板-葉</v>
          </cell>
          <cell r="C4706" t="str">
            <v>Y071</v>
          </cell>
          <cell r="D4706" t="str">
            <v>021</v>
          </cell>
          <cell r="E4706" t="str">
            <v>POLY飾板-葉</v>
          </cell>
          <cell r="F4706">
            <v>0</v>
          </cell>
          <cell r="G4706">
            <v>1846</v>
          </cell>
          <cell r="H4706">
            <v>146</v>
          </cell>
          <cell r="I4706">
            <v>32</v>
          </cell>
          <cell r="J4706">
            <v>0</v>
          </cell>
          <cell r="K4706">
            <v>0</v>
          </cell>
          <cell r="L4706">
            <v>16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</row>
        <row r="4707">
          <cell r="A4707" t="str">
            <v>Y071-056</v>
          </cell>
          <cell r="B4707">
            <v>0</v>
          </cell>
          <cell r="C4707" t="str">
            <v>Y071</v>
          </cell>
          <cell r="D4707" t="str">
            <v>022</v>
          </cell>
          <cell r="E4707" t="str">
            <v>POLY飾板-雙C</v>
          </cell>
          <cell r="F4707">
            <v>0</v>
          </cell>
          <cell r="G4707">
            <v>1985</v>
          </cell>
          <cell r="H4707">
            <v>151</v>
          </cell>
          <cell r="I4707">
            <v>32</v>
          </cell>
          <cell r="J4707">
            <v>0</v>
          </cell>
          <cell r="K4707">
            <v>0</v>
          </cell>
          <cell r="L4707">
            <v>18.5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</row>
        <row r="4708">
          <cell r="A4708" t="str">
            <v>Y071-057</v>
          </cell>
          <cell r="B4708">
            <v>0</v>
          </cell>
          <cell r="C4708" t="str">
            <v>Y071</v>
          </cell>
          <cell r="D4708" t="str">
            <v>023</v>
          </cell>
          <cell r="E4708" t="str">
            <v>POLY飾板-雙C</v>
          </cell>
          <cell r="F4708">
            <v>0</v>
          </cell>
          <cell r="G4708">
            <v>1985</v>
          </cell>
          <cell r="H4708">
            <v>151</v>
          </cell>
          <cell r="I4708">
            <v>32</v>
          </cell>
          <cell r="J4708">
            <v>0</v>
          </cell>
          <cell r="K4708">
            <v>0</v>
          </cell>
          <cell r="L4708">
            <v>18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</row>
        <row r="4709">
          <cell r="A4709" t="str">
            <v>Y071-058</v>
          </cell>
          <cell r="B4709" t="str">
            <v>POLY飾板-鐵板</v>
          </cell>
          <cell r="C4709" t="str">
            <v>Y071</v>
          </cell>
          <cell r="D4709" t="str">
            <v>006</v>
          </cell>
          <cell r="E4709" t="str">
            <v>POLY飾板-鐵板</v>
          </cell>
          <cell r="F4709">
            <v>0</v>
          </cell>
          <cell r="G4709">
            <v>1805</v>
          </cell>
          <cell r="H4709">
            <v>142</v>
          </cell>
          <cell r="I4709">
            <v>32</v>
          </cell>
          <cell r="J4709">
            <v>0</v>
          </cell>
          <cell r="K4709">
            <v>0</v>
          </cell>
          <cell r="L4709">
            <v>16.5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</row>
        <row r="4710">
          <cell r="A4710" t="str">
            <v>Y071-059</v>
          </cell>
          <cell r="B4710" t="str">
            <v>POLY飾板-鐵板</v>
          </cell>
          <cell r="C4710" t="str">
            <v>Y071</v>
          </cell>
          <cell r="D4710" t="str">
            <v>007</v>
          </cell>
          <cell r="E4710" t="str">
            <v>POLY飾板-鐵板</v>
          </cell>
          <cell r="F4710">
            <v>0</v>
          </cell>
          <cell r="G4710">
            <v>1805</v>
          </cell>
          <cell r="H4710">
            <v>142</v>
          </cell>
          <cell r="I4710">
            <v>32</v>
          </cell>
          <cell r="J4710">
            <v>0</v>
          </cell>
          <cell r="K4710">
            <v>0</v>
          </cell>
          <cell r="L4710">
            <v>16.5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</row>
        <row r="4711">
          <cell r="A4711" t="str">
            <v>Y071-060</v>
          </cell>
          <cell r="B4711" t="str">
            <v>POLY飾板-不規則</v>
          </cell>
          <cell r="C4711" t="str">
            <v>Y071</v>
          </cell>
          <cell r="D4711" t="str">
            <v>014</v>
          </cell>
          <cell r="E4711" t="str">
            <v>POLY飾板-不規則</v>
          </cell>
          <cell r="F4711">
            <v>0</v>
          </cell>
          <cell r="G4711">
            <v>1455</v>
          </cell>
          <cell r="H4711">
            <v>177</v>
          </cell>
          <cell r="I4711">
            <v>32</v>
          </cell>
          <cell r="J4711">
            <v>0</v>
          </cell>
          <cell r="K4711">
            <v>0</v>
          </cell>
          <cell r="L4711">
            <v>13.7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</row>
        <row r="4712">
          <cell r="A4712" t="str">
            <v>Y071-061</v>
          </cell>
          <cell r="B4712" t="str">
            <v>POLY飾板-不規則</v>
          </cell>
          <cell r="C4712" t="str">
            <v>Y071</v>
          </cell>
          <cell r="D4712" t="str">
            <v>015</v>
          </cell>
          <cell r="E4712" t="str">
            <v>POLY飾板-不規則</v>
          </cell>
          <cell r="F4712">
            <v>0</v>
          </cell>
          <cell r="G4712">
            <v>1457</v>
          </cell>
          <cell r="H4712">
            <v>159</v>
          </cell>
          <cell r="I4712">
            <v>32</v>
          </cell>
          <cell r="J4712">
            <v>0</v>
          </cell>
          <cell r="K4712">
            <v>0</v>
          </cell>
          <cell r="L4712">
            <v>11.6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</row>
        <row r="4713">
          <cell r="A4713" t="str">
            <v>Y071-062</v>
          </cell>
          <cell r="B4713" t="str">
            <v>小圓-修改068</v>
          </cell>
          <cell r="C4713">
            <v>0</v>
          </cell>
          <cell r="D4713" t="str">
            <v>011-sữa 068</v>
          </cell>
          <cell r="E4713" t="str">
            <v>poly饰板-小圆 Vòng tròn nhỏ</v>
          </cell>
          <cell r="F4713" t="str">
            <v>32*190*1600</v>
          </cell>
          <cell r="G4713">
            <v>32</v>
          </cell>
          <cell r="H4713">
            <v>190</v>
          </cell>
          <cell r="I4713">
            <v>1600</v>
          </cell>
          <cell r="J4713">
            <v>0</v>
          </cell>
          <cell r="K4713">
            <v>0</v>
          </cell>
          <cell r="L4713">
            <v>16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</row>
        <row r="4714">
          <cell r="A4714" t="str">
            <v>Y072-001</v>
          </cell>
          <cell r="B4714">
            <v>0</v>
          </cell>
          <cell r="C4714" t="str">
            <v>Y072</v>
          </cell>
          <cell r="D4714" t="str">
            <v>PANO đầu</v>
          </cell>
          <cell r="E4714" t="str">
            <v>饰框</v>
          </cell>
          <cell r="F4714" t="str">
            <v>355*198*12</v>
          </cell>
          <cell r="G4714">
            <v>355</v>
          </cell>
          <cell r="H4714">
            <v>198</v>
          </cell>
          <cell r="I4714">
            <v>12</v>
          </cell>
          <cell r="J4714">
            <v>0</v>
          </cell>
          <cell r="K4714">
            <v>0</v>
          </cell>
          <cell r="L4714">
            <v>0.64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</row>
        <row r="4715">
          <cell r="A4715" t="str">
            <v>Y072-002</v>
          </cell>
          <cell r="B4715">
            <v>0</v>
          </cell>
          <cell r="C4715" t="str">
            <v>Y072</v>
          </cell>
          <cell r="D4715" t="str">
            <v xml:space="preserve">PANO đuôi </v>
          </cell>
          <cell r="E4715" t="str">
            <v>饰框</v>
          </cell>
          <cell r="F4715" t="str">
            <v>355*350*12</v>
          </cell>
          <cell r="G4715">
            <v>355</v>
          </cell>
          <cell r="H4715">
            <v>350</v>
          </cell>
          <cell r="I4715">
            <v>12</v>
          </cell>
          <cell r="J4715">
            <v>0</v>
          </cell>
          <cell r="K4715">
            <v>0</v>
          </cell>
          <cell r="L4715">
            <v>0.86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</row>
        <row r="4716">
          <cell r="A4716" t="str">
            <v>Y072-003</v>
          </cell>
          <cell r="B4716">
            <v>0</v>
          </cell>
          <cell r="C4716" t="str">
            <v>Y072</v>
          </cell>
          <cell r="D4716" t="str">
            <v>PANO đầu</v>
          </cell>
          <cell r="E4716" t="str">
            <v>饰框</v>
          </cell>
          <cell r="F4716" t="str">
            <v>355*304*12</v>
          </cell>
          <cell r="G4716">
            <v>355</v>
          </cell>
          <cell r="H4716">
            <v>304</v>
          </cell>
          <cell r="I4716">
            <v>12</v>
          </cell>
          <cell r="J4716">
            <v>0</v>
          </cell>
          <cell r="K4716">
            <v>0</v>
          </cell>
          <cell r="L4716">
            <v>0.75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</row>
        <row r="4717">
          <cell r="A4717" t="str">
            <v>Y072-004</v>
          </cell>
          <cell r="B4717">
            <v>0</v>
          </cell>
          <cell r="C4717" t="str">
            <v>Y072</v>
          </cell>
          <cell r="D4717" t="str">
            <v>PANO đầu</v>
          </cell>
          <cell r="E4717" t="str">
            <v>饰框</v>
          </cell>
          <cell r="F4717" t="str">
            <v>704*302*12</v>
          </cell>
          <cell r="G4717">
            <v>704</v>
          </cell>
          <cell r="H4717">
            <v>302</v>
          </cell>
          <cell r="I4717">
            <v>12</v>
          </cell>
          <cell r="J4717">
            <v>0</v>
          </cell>
          <cell r="K4717">
            <v>0</v>
          </cell>
          <cell r="L4717">
            <v>1.1200000000000001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</row>
        <row r="4718">
          <cell r="A4718" t="str">
            <v>Y072-005</v>
          </cell>
          <cell r="B4718">
            <v>0</v>
          </cell>
          <cell r="C4718" t="str">
            <v>Y072</v>
          </cell>
          <cell r="D4718" t="str">
            <v>PANO đầu</v>
          </cell>
          <cell r="E4718" t="str">
            <v>饰框</v>
          </cell>
          <cell r="F4718" t="str">
            <v>704*197*12</v>
          </cell>
          <cell r="G4718">
            <v>704</v>
          </cell>
          <cell r="H4718">
            <v>197</v>
          </cell>
          <cell r="I4718">
            <v>12</v>
          </cell>
          <cell r="J4718">
            <v>0</v>
          </cell>
          <cell r="K4718">
            <v>0</v>
          </cell>
          <cell r="L4718">
            <v>1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</row>
        <row r="4719">
          <cell r="A4719" t="str">
            <v>Y072-006</v>
          </cell>
          <cell r="B4719">
            <v>0</v>
          </cell>
          <cell r="C4719" t="str">
            <v>Y072</v>
          </cell>
          <cell r="D4719" t="str">
            <v>PANO đầu</v>
          </cell>
          <cell r="E4719" t="str">
            <v>饰框</v>
          </cell>
          <cell r="F4719" t="str">
            <v>704*350*12</v>
          </cell>
          <cell r="G4719">
            <v>704</v>
          </cell>
          <cell r="H4719">
            <v>350</v>
          </cell>
          <cell r="I4719">
            <v>12</v>
          </cell>
          <cell r="J4719">
            <v>0</v>
          </cell>
          <cell r="K4719">
            <v>0</v>
          </cell>
          <cell r="L4719">
            <v>1.2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</row>
        <row r="4720">
          <cell r="A4720" t="str">
            <v>Y072-007</v>
          </cell>
          <cell r="B4720">
            <v>0</v>
          </cell>
          <cell r="C4720" t="str">
            <v>Y072</v>
          </cell>
          <cell r="D4720" t="str">
            <v>Nóc đẩu đuôi+giường chrystel</v>
          </cell>
          <cell r="E4720" t="str">
            <v>饰框</v>
          </cell>
          <cell r="F4720" t="str">
            <v>1668*54*17</v>
          </cell>
          <cell r="G4720">
            <v>1668</v>
          </cell>
          <cell r="H4720">
            <v>54</v>
          </cell>
          <cell r="I4720">
            <v>17</v>
          </cell>
          <cell r="J4720">
            <v>0</v>
          </cell>
          <cell r="K4720">
            <v>0</v>
          </cell>
          <cell r="L4720">
            <v>1.91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</row>
        <row r="4721">
          <cell r="A4721" t="str">
            <v>Y072-008</v>
          </cell>
          <cell r="B4721" t="str">
            <v>180416修模種</v>
          </cell>
          <cell r="C4721" t="str">
            <v>Y072</v>
          </cell>
          <cell r="D4721" t="str">
            <v>Nóc tủ 2 học chrystel</v>
          </cell>
          <cell r="E4721" t="str">
            <v>饰框</v>
          </cell>
          <cell r="F4721" t="str">
            <v>674*394*17</v>
          </cell>
          <cell r="G4721">
            <v>674</v>
          </cell>
          <cell r="H4721">
            <v>394</v>
          </cell>
          <cell r="I4721">
            <v>17</v>
          </cell>
          <cell r="J4721">
            <v>0</v>
          </cell>
          <cell r="K4721">
            <v>0</v>
          </cell>
          <cell r="L4721">
            <v>1.5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</row>
        <row r="4722">
          <cell r="A4722" t="str">
            <v>Y072-009</v>
          </cell>
          <cell r="B4722" t="str">
            <v>180416修模種</v>
          </cell>
          <cell r="C4722" t="str">
            <v>Y072</v>
          </cell>
          <cell r="D4722" t="str">
            <v>Nóc tủ 6 học chrystel</v>
          </cell>
          <cell r="E4722" t="str">
            <v>饰框</v>
          </cell>
          <cell r="F4722" t="str">
            <v>967*394*17</v>
          </cell>
          <cell r="G4722">
            <v>967</v>
          </cell>
          <cell r="H4722">
            <v>394</v>
          </cell>
          <cell r="I4722">
            <v>17</v>
          </cell>
          <cell r="J4722">
            <v>0</v>
          </cell>
          <cell r="K4722">
            <v>0</v>
          </cell>
          <cell r="L4722">
            <v>1.83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</row>
        <row r="4723">
          <cell r="A4723" t="str">
            <v>Y072-010</v>
          </cell>
          <cell r="B4723" t="str">
            <v>180416修模種</v>
          </cell>
          <cell r="C4723" t="str">
            <v>Y072</v>
          </cell>
          <cell r="D4723" t="str">
            <v>Nóc 3H CHANEL</v>
          </cell>
          <cell r="E4723" t="str">
            <v>饰框</v>
          </cell>
          <cell r="F4723" t="str">
            <v>710*442*20</v>
          </cell>
          <cell r="G4723">
            <v>710</v>
          </cell>
          <cell r="H4723">
            <v>442</v>
          </cell>
          <cell r="I4723">
            <v>20</v>
          </cell>
          <cell r="J4723">
            <v>0</v>
          </cell>
          <cell r="K4723" t="str">
            <v>未確認</v>
          </cell>
          <cell r="L4723">
            <v>1.81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</row>
        <row r="4724">
          <cell r="A4724" t="str">
            <v>Y072-011</v>
          </cell>
          <cell r="B4724" t="str">
            <v>180416修模種</v>
          </cell>
          <cell r="C4724" t="str">
            <v>Y072</v>
          </cell>
          <cell r="D4724" t="str">
            <v>Nóc 3H CHANEL</v>
          </cell>
          <cell r="E4724" t="str">
            <v>饰框</v>
          </cell>
          <cell r="F4724" t="str">
            <v>974*441*20</v>
          </cell>
          <cell r="G4724">
            <v>974</v>
          </cell>
          <cell r="H4724">
            <v>441</v>
          </cell>
          <cell r="I4724">
            <v>20</v>
          </cell>
          <cell r="J4724">
            <v>0</v>
          </cell>
          <cell r="K4724">
            <v>0</v>
          </cell>
          <cell r="L4724">
            <v>2.0699999999999998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</row>
        <row r="4725">
          <cell r="A4725" t="str">
            <v>Y072-012</v>
          </cell>
          <cell r="B4725">
            <v>0</v>
          </cell>
          <cell r="C4725" t="str">
            <v>Y072</v>
          </cell>
          <cell r="D4725" t="str">
            <v>Giường pano king chanel</v>
          </cell>
          <cell r="E4725" t="str">
            <v>饰框</v>
          </cell>
          <cell r="F4725" t="str">
            <v>843*325*12</v>
          </cell>
          <cell r="G4725">
            <v>843</v>
          </cell>
          <cell r="H4725">
            <v>325</v>
          </cell>
          <cell r="I4725">
            <v>12</v>
          </cell>
          <cell r="J4725">
            <v>0</v>
          </cell>
          <cell r="K4725" t="str">
            <v>未確認</v>
          </cell>
          <cell r="L4725">
            <v>4.4000000000000004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</row>
        <row r="4726">
          <cell r="A4726" t="str">
            <v>Y072-013</v>
          </cell>
          <cell r="B4726">
            <v>0</v>
          </cell>
          <cell r="C4726" t="str">
            <v>Y072</v>
          </cell>
          <cell r="D4726" t="str">
            <v>Giường pano king chanel</v>
          </cell>
          <cell r="E4726" t="str">
            <v>饰框</v>
          </cell>
          <cell r="F4726" t="str">
            <v>695*320*12</v>
          </cell>
          <cell r="G4726">
            <v>695</v>
          </cell>
          <cell r="H4726">
            <v>320</v>
          </cell>
          <cell r="I4726">
            <v>12</v>
          </cell>
          <cell r="J4726">
            <v>0</v>
          </cell>
          <cell r="K4726" t="str">
            <v>未確認</v>
          </cell>
          <cell r="L4726">
            <v>3.75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</row>
        <row r="4727">
          <cell r="A4727" t="str">
            <v>Y072-014</v>
          </cell>
          <cell r="B4727">
            <v>0</v>
          </cell>
          <cell r="C4727" t="str">
            <v>Y072</v>
          </cell>
          <cell r="D4727" t="str">
            <v>Giường mhl queen chanel</v>
          </cell>
          <cell r="E4727" t="str">
            <v>饰框</v>
          </cell>
          <cell r="F4727" t="str">
            <v>566*256*12</v>
          </cell>
          <cell r="G4727">
            <v>566</v>
          </cell>
          <cell r="H4727">
            <v>256</v>
          </cell>
          <cell r="I4727">
            <v>12</v>
          </cell>
          <cell r="J4727">
            <v>0</v>
          </cell>
          <cell r="K4727">
            <v>0</v>
          </cell>
          <cell r="L4727">
            <v>3.1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</row>
        <row r="4728">
          <cell r="A4728" t="str">
            <v>Y072-015</v>
          </cell>
          <cell r="B4728">
            <v>0</v>
          </cell>
          <cell r="C4728" t="str">
            <v>Y072</v>
          </cell>
          <cell r="D4728" t="str">
            <v>Giường mhl queen chanel</v>
          </cell>
          <cell r="E4728" t="str">
            <v>饰框</v>
          </cell>
          <cell r="F4728" t="str">
            <v>695*255*12</v>
          </cell>
          <cell r="G4728">
            <v>695</v>
          </cell>
          <cell r="H4728">
            <v>255</v>
          </cell>
          <cell r="I4728">
            <v>12</v>
          </cell>
          <cell r="J4728">
            <v>0</v>
          </cell>
          <cell r="K4728">
            <v>0</v>
          </cell>
          <cell r="L4728">
            <v>3.6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</row>
        <row r="4729">
          <cell r="A4729" t="str">
            <v>Y072-016</v>
          </cell>
          <cell r="B4729">
            <v>0</v>
          </cell>
          <cell r="C4729" t="str">
            <v>Y072</v>
          </cell>
          <cell r="D4729" t="str">
            <v>MH 3H chanel</v>
          </cell>
          <cell r="E4729" t="str">
            <v>饰框</v>
          </cell>
          <cell r="F4729" t="str">
            <v>544*160*12</v>
          </cell>
          <cell r="G4729">
            <v>544</v>
          </cell>
          <cell r="H4729">
            <v>160</v>
          </cell>
          <cell r="I4729">
            <v>12</v>
          </cell>
          <cell r="J4729">
            <v>0</v>
          </cell>
          <cell r="K4729">
            <v>0</v>
          </cell>
          <cell r="L4729">
            <v>2.54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</row>
        <row r="4730">
          <cell r="A4730" t="str">
            <v>Y072-017</v>
          </cell>
          <cell r="B4730">
            <v>0</v>
          </cell>
          <cell r="C4730" t="str">
            <v>Y072</v>
          </cell>
          <cell r="D4730" t="str">
            <v>MH 6H nhỏ chanel</v>
          </cell>
          <cell r="E4730" t="str">
            <v>饰框</v>
          </cell>
          <cell r="F4730" t="str">
            <v>393*200*12</v>
          </cell>
          <cell r="G4730">
            <v>393</v>
          </cell>
          <cell r="H4730">
            <v>200</v>
          </cell>
          <cell r="I4730">
            <v>12</v>
          </cell>
          <cell r="J4730">
            <v>0</v>
          </cell>
          <cell r="K4730">
            <v>0</v>
          </cell>
          <cell r="L4730">
            <v>1.97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</row>
        <row r="4731">
          <cell r="A4731" t="str">
            <v>Y072-018</v>
          </cell>
          <cell r="B4731">
            <v>0</v>
          </cell>
          <cell r="C4731" t="str">
            <v>Y072</v>
          </cell>
          <cell r="D4731" t="str">
            <v>Giường mhl queen chanel</v>
          </cell>
          <cell r="E4731" t="str">
            <v>饰框</v>
          </cell>
          <cell r="F4731" t="str">
            <v>362*254*12</v>
          </cell>
          <cell r="G4731">
            <v>362</v>
          </cell>
          <cell r="H4731">
            <v>254</v>
          </cell>
          <cell r="I4731">
            <v>12</v>
          </cell>
          <cell r="J4731">
            <v>0</v>
          </cell>
          <cell r="K4731">
            <v>0</v>
          </cell>
          <cell r="L4731">
            <v>1.78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</row>
        <row r="4732">
          <cell r="A4732" t="str">
            <v>Y072-019</v>
          </cell>
          <cell r="B4732">
            <v>0</v>
          </cell>
          <cell r="C4732" t="str">
            <v>Y072</v>
          </cell>
          <cell r="D4732" t="str">
            <v>nóc khung gương chanel</v>
          </cell>
          <cell r="E4732" t="str">
            <v>饰框</v>
          </cell>
          <cell r="F4732" t="str">
            <v>1125*48*20</v>
          </cell>
          <cell r="G4732">
            <v>1125</v>
          </cell>
          <cell r="H4732">
            <v>48</v>
          </cell>
          <cell r="I4732">
            <v>20</v>
          </cell>
          <cell r="J4732">
            <v>0</v>
          </cell>
          <cell r="K4732">
            <v>0</v>
          </cell>
          <cell r="L4732">
            <v>1.47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</row>
        <row r="4733">
          <cell r="A4733" t="str">
            <v>Y072-020</v>
          </cell>
          <cell r="B4733">
            <v>0</v>
          </cell>
          <cell r="C4733" t="str">
            <v>Y072</v>
          </cell>
          <cell r="D4733" t="str">
            <v>nóc 8n chanel</v>
          </cell>
          <cell r="E4733" t="str">
            <v>饰框</v>
          </cell>
          <cell r="F4733" t="str">
            <v>1485*443*20</v>
          </cell>
          <cell r="G4733">
            <v>1485</v>
          </cell>
          <cell r="H4733">
            <v>443</v>
          </cell>
          <cell r="I4733">
            <v>20</v>
          </cell>
          <cell r="J4733">
            <v>0</v>
          </cell>
          <cell r="K4733">
            <v>0</v>
          </cell>
          <cell r="L4733">
            <v>2.95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</row>
        <row r="4734">
          <cell r="A4734" t="str">
            <v>Y072-021</v>
          </cell>
          <cell r="B4734">
            <v>0</v>
          </cell>
          <cell r="C4734" t="str">
            <v>Y072</v>
          </cell>
          <cell r="D4734" t="str">
            <v>nóc đầu king chanel</v>
          </cell>
          <cell r="E4734" t="str">
            <v>饰框</v>
          </cell>
          <cell r="F4734" t="str">
            <v>1945*60*20</v>
          </cell>
          <cell r="G4734">
            <v>1945</v>
          </cell>
          <cell r="H4734">
            <v>60</v>
          </cell>
          <cell r="I4734">
            <v>20</v>
          </cell>
          <cell r="J4734">
            <v>0</v>
          </cell>
          <cell r="K4734">
            <v>0</v>
          </cell>
          <cell r="L4734">
            <v>2.52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</row>
        <row r="4735">
          <cell r="A4735" t="str">
            <v>Y072-022</v>
          </cell>
          <cell r="B4735">
            <v>0</v>
          </cell>
          <cell r="C4735" t="str">
            <v>Y072</v>
          </cell>
          <cell r="D4735" t="str">
            <v>nóc đuôi king chanel</v>
          </cell>
          <cell r="E4735" t="str">
            <v>饰框</v>
          </cell>
          <cell r="F4735" t="str">
            <v>1927*60*20</v>
          </cell>
          <cell r="G4735">
            <v>1927</v>
          </cell>
          <cell r="H4735">
            <v>60</v>
          </cell>
          <cell r="I4735">
            <v>20</v>
          </cell>
          <cell r="J4735">
            <v>0</v>
          </cell>
          <cell r="K4735">
            <v>0</v>
          </cell>
          <cell r="L4735">
            <v>2.5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</row>
        <row r="4736">
          <cell r="A4736" t="str">
            <v>Y072-023</v>
          </cell>
          <cell r="B4736">
            <v>0</v>
          </cell>
          <cell r="C4736" t="str">
            <v>Y072</v>
          </cell>
          <cell r="D4736" t="str">
            <v>nóc đầu queen chanel</v>
          </cell>
          <cell r="E4736" t="str">
            <v>饰框</v>
          </cell>
          <cell r="F4736" t="str">
            <v>1653*60*20</v>
          </cell>
          <cell r="G4736">
            <v>1653</v>
          </cell>
          <cell r="H4736">
            <v>60</v>
          </cell>
          <cell r="I4736">
            <v>20</v>
          </cell>
          <cell r="J4736">
            <v>0</v>
          </cell>
          <cell r="K4736">
            <v>0</v>
          </cell>
          <cell r="L4736">
            <v>2.1800000000000002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</row>
        <row r="4737">
          <cell r="A4737" t="str">
            <v>Y072-024</v>
          </cell>
          <cell r="B4737">
            <v>0</v>
          </cell>
          <cell r="C4737" t="str">
            <v>Y072</v>
          </cell>
          <cell r="D4737" t="str">
            <v xml:space="preserve">nóc đuôi queen chanel </v>
          </cell>
          <cell r="E4737" t="str">
            <v>饰框</v>
          </cell>
          <cell r="F4737" t="str">
            <v>1632*60*20</v>
          </cell>
          <cell r="G4737">
            <v>1632</v>
          </cell>
          <cell r="H4737">
            <v>60</v>
          </cell>
          <cell r="I4737">
            <v>20</v>
          </cell>
          <cell r="J4737">
            <v>0</v>
          </cell>
          <cell r="K4737">
            <v>0</v>
          </cell>
          <cell r="L4737">
            <v>2.15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</row>
        <row r="4738">
          <cell r="A4738" t="str">
            <v>Y072-025</v>
          </cell>
          <cell r="B4738">
            <v>0</v>
          </cell>
          <cell r="C4738" t="str">
            <v>Y072</v>
          </cell>
          <cell r="D4738" t="str">
            <v xml:space="preserve">chỉ gốc trên </v>
          </cell>
          <cell r="E4738" t="str">
            <v>饰块</v>
          </cell>
          <cell r="F4738" t="str">
            <v>101*59*20</v>
          </cell>
          <cell r="G4738">
            <v>101</v>
          </cell>
          <cell r="H4738">
            <v>59</v>
          </cell>
          <cell r="I4738">
            <v>20</v>
          </cell>
          <cell r="J4738">
            <v>0</v>
          </cell>
          <cell r="K4738">
            <v>0</v>
          </cell>
          <cell r="L4738">
            <v>0.35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</row>
        <row r="4739">
          <cell r="A4739" t="str">
            <v>Y072-026</v>
          </cell>
          <cell r="B4739">
            <v>0</v>
          </cell>
          <cell r="C4739" t="str">
            <v>Y072</v>
          </cell>
          <cell r="D4739" t="str">
            <v xml:space="preserve">chỉ gốc dưới </v>
          </cell>
          <cell r="E4739" t="str">
            <v>饰块</v>
          </cell>
          <cell r="F4739" t="str">
            <v>101*64*20</v>
          </cell>
          <cell r="G4739">
            <v>101</v>
          </cell>
          <cell r="H4739">
            <v>64</v>
          </cell>
          <cell r="I4739">
            <v>20</v>
          </cell>
          <cell r="J4739">
            <v>0</v>
          </cell>
          <cell r="K4739">
            <v>0</v>
          </cell>
          <cell r="L4739">
            <v>0.5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</row>
        <row r="4740">
          <cell r="A4740" t="str">
            <v>Y073-001</v>
          </cell>
          <cell r="B4740" t="str">
            <v>Y036產品</v>
          </cell>
          <cell r="C4740" t="str">
            <v>Y073</v>
          </cell>
          <cell r="D4740" t="str">
            <v>#246-220 HUTCH</v>
          </cell>
          <cell r="E4740" t="str">
            <v>前顶缐</v>
          </cell>
          <cell r="F4740" t="str">
            <v>1219*92*82</v>
          </cell>
          <cell r="G4740">
            <v>1219</v>
          </cell>
          <cell r="H4740">
            <v>92</v>
          </cell>
          <cell r="I4740">
            <v>82</v>
          </cell>
          <cell r="J4740">
            <v>0</v>
          </cell>
          <cell r="K4740">
            <v>0</v>
          </cell>
          <cell r="L4740">
            <v>6.5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</row>
        <row r="4741">
          <cell r="A4741" t="str">
            <v>Y073-002</v>
          </cell>
          <cell r="B4741" t="str">
            <v>Y036產品</v>
          </cell>
          <cell r="C4741" t="str">
            <v>Y073</v>
          </cell>
          <cell r="D4741" t="str">
            <v>#246-220 HUTCH</v>
          </cell>
          <cell r="E4741" t="str">
            <v>前顶缐</v>
          </cell>
          <cell r="F4741" t="str">
            <v>388*92*49</v>
          </cell>
          <cell r="G4741">
            <v>388</v>
          </cell>
          <cell r="H4741">
            <v>92</v>
          </cell>
          <cell r="I4741">
            <v>49</v>
          </cell>
          <cell r="J4741">
            <v>0</v>
          </cell>
          <cell r="K4741">
            <v>0</v>
          </cell>
          <cell r="L4741">
            <v>1.78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</row>
        <row r="4742">
          <cell r="A4742" t="str">
            <v>Y074-001</v>
          </cell>
          <cell r="B4742">
            <v>0</v>
          </cell>
          <cell r="C4742" t="str">
            <v>Y074</v>
          </cell>
          <cell r="D4742" t="str">
            <v>#1579</v>
          </cell>
          <cell r="E4742" t="str">
            <v>麻花饰条</v>
          </cell>
          <cell r="F4742" t="str">
            <v>1960*20*10</v>
          </cell>
          <cell r="G4742">
            <v>1960</v>
          </cell>
          <cell r="H4742">
            <v>20</v>
          </cell>
          <cell r="I4742">
            <v>10</v>
          </cell>
          <cell r="J4742">
            <v>0</v>
          </cell>
          <cell r="K4742">
            <v>0</v>
          </cell>
          <cell r="L4742">
            <v>1.6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</row>
        <row r="4743">
          <cell r="A4743" t="str">
            <v>Y074-002</v>
          </cell>
          <cell r="B4743">
            <v>0</v>
          </cell>
          <cell r="C4743" t="str">
            <v>Y074</v>
          </cell>
          <cell r="D4743" t="str">
            <v>#1665</v>
          </cell>
          <cell r="E4743" t="str">
            <v>Dây viền bàn lớn(TABLF 飾板)</v>
          </cell>
          <cell r="F4743" t="str">
            <v>1920*22*22</v>
          </cell>
          <cell r="G4743">
            <v>1920</v>
          </cell>
          <cell r="H4743">
            <v>22</v>
          </cell>
          <cell r="I4743">
            <v>22</v>
          </cell>
          <cell r="J4743">
            <v>0</v>
          </cell>
          <cell r="K4743">
            <v>0</v>
          </cell>
          <cell r="L4743">
            <v>2.37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</row>
        <row r="4744">
          <cell r="A4744" t="str">
            <v>Y074-003</v>
          </cell>
          <cell r="B4744">
            <v>0</v>
          </cell>
          <cell r="C4744" t="str">
            <v>Y074</v>
          </cell>
          <cell r="D4744" t="str">
            <v>#1665</v>
          </cell>
          <cell r="E4744" t="str">
            <v>Dây viền bàn nhỏ(TABLF 飾板)</v>
          </cell>
          <cell r="F4744" t="str">
            <v>1870*15*6</v>
          </cell>
          <cell r="G4744">
            <v>1870</v>
          </cell>
          <cell r="H4744">
            <v>15</v>
          </cell>
          <cell r="I4744">
            <v>6</v>
          </cell>
          <cell r="J4744">
            <v>0</v>
          </cell>
          <cell r="K4744">
            <v>0</v>
          </cell>
          <cell r="L4744">
            <v>0.65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</row>
        <row r="4745">
          <cell r="A4745" t="str">
            <v>Y075-001</v>
          </cell>
          <cell r="B4745">
            <v>0</v>
          </cell>
          <cell r="C4745" t="str">
            <v>Y075</v>
          </cell>
          <cell r="D4745" t="str">
            <v>POLY</v>
          </cell>
          <cell r="E4745">
            <v>0</v>
          </cell>
          <cell r="F4745" t="str">
            <v>165*6*4</v>
          </cell>
          <cell r="G4745">
            <v>165</v>
          </cell>
          <cell r="H4745">
            <v>6</v>
          </cell>
          <cell r="I4745">
            <v>4</v>
          </cell>
          <cell r="J4745">
            <v>0</v>
          </cell>
          <cell r="K4745">
            <v>0</v>
          </cell>
          <cell r="L4745">
            <v>0.05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</row>
        <row r="4746">
          <cell r="A4746" t="str">
            <v>Y075-002</v>
          </cell>
          <cell r="B4746">
            <v>0</v>
          </cell>
          <cell r="C4746" t="str">
            <v>Y075</v>
          </cell>
          <cell r="D4746" t="str">
            <v>POLY</v>
          </cell>
          <cell r="E4746">
            <v>0</v>
          </cell>
          <cell r="F4746" t="str">
            <v>565*6*4</v>
          </cell>
          <cell r="G4746">
            <v>565</v>
          </cell>
          <cell r="H4746">
            <v>6</v>
          </cell>
          <cell r="I4746">
            <v>4</v>
          </cell>
          <cell r="J4746">
            <v>0</v>
          </cell>
          <cell r="K4746">
            <v>0</v>
          </cell>
          <cell r="L4746">
            <v>7.0000000000000007E-2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</row>
        <row r="4747">
          <cell r="A4747" t="str">
            <v>Y075-003</v>
          </cell>
          <cell r="B4747" t="str">
            <v>新模種</v>
          </cell>
          <cell r="C4747" t="str">
            <v>Y075</v>
          </cell>
          <cell r="D4747" t="str">
            <v>POLY</v>
          </cell>
          <cell r="E4747" t="str">
            <v>PHẢI - R</v>
          </cell>
          <cell r="F4747" t="str">
            <v>565*6*4</v>
          </cell>
          <cell r="G4747">
            <v>565</v>
          </cell>
          <cell r="H4747">
            <v>6</v>
          </cell>
          <cell r="I4747">
            <v>4</v>
          </cell>
          <cell r="J4747">
            <v>0</v>
          </cell>
          <cell r="K4747">
            <v>0</v>
          </cell>
          <cell r="L4747">
            <v>7.0000000000000007E-2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</row>
        <row r="4748">
          <cell r="A4748" t="str">
            <v>Y078-001</v>
          </cell>
          <cell r="B4748">
            <v>0</v>
          </cell>
          <cell r="C4748" t="str">
            <v>Y078</v>
          </cell>
          <cell r="D4748" t="str">
            <v>810-B285</v>
          </cell>
          <cell r="E4748" t="str">
            <v>（镜子）镜框上饰条</v>
          </cell>
          <cell r="F4748" t="str">
            <v>1000*10*5</v>
          </cell>
          <cell r="G4748">
            <v>1000</v>
          </cell>
          <cell r="H4748">
            <v>10</v>
          </cell>
          <cell r="I4748">
            <v>5</v>
          </cell>
          <cell r="J4748">
            <v>0</v>
          </cell>
          <cell r="K4748">
            <v>0</v>
          </cell>
          <cell r="L4748">
            <v>0.23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</row>
        <row r="4749">
          <cell r="A4749" t="str">
            <v>Y078-002</v>
          </cell>
          <cell r="B4749">
            <v>0</v>
          </cell>
          <cell r="C4749" t="str">
            <v>Y078</v>
          </cell>
          <cell r="D4749" t="str">
            <v>810-B285</v>
          </cell>
          <cell r="E4749" t="str">
            <v>（国王床+皇后床）上饰条</v>
          </cell>
          <cell r="F4749" t="str">
            <v>1000*10*5</v>
          </cell>
          <cell r="G4749">
            <v>1000</v>
          </cell>
          <cell r="H4749">
            <v>10</v>
          </cell>
          <cell r="I4749">
            <v>5</v>
          </cell>
          <cell r="J4749">
            <v>0</v>
          </cell>
          <cell r="K4749">
            <v>0</v>
          </cell>
          <cell r="L4749">
            <v>0.23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</row>
        <row r="4750">
          <cell r="A4750" t="str">
            <v>Y078-003</v>
          </cell>
          <cell r="B4750">
            <v>0</v>
          </cell>
          <cell r="C4750" t="str">
            <v>Y078</v>
          </cell>
          <cell r="D4750" t="str">
            <v>810-B285</v>
          </cell>
          <cell r="E4750" t="str">
            <v>（国王床+皇后床）内竖饰条</v>
          </cell>
          <cell r="F4750" t="str">
            <v>161*58(25)*15</v>
          </cell>
          <cell r="G4750">
            <v>161</v>
          </cell>
          <cell r="H4750" t="str">
            <v>58(25)</v>
          </cell>
          <cell r="I4750">
            <v>15</v>
          </cell>
          <cell r="J4750">
            <v>0</v>
          </cell>
          <cell r="K4750">
            <v>0</v>
          </cell>
          <cell r="L4750">
            <v>0.22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</row>
        <row r="4751">
          <cell r="A4751" t="str">
            <v>Y078-004</v>
          </cell>
          <cell r="B4751">
            <v>0</v>
          </cell>
          <cell r="C4751" t="str">
            <v>Y078</v>
          </cell>
          <cell r="D4751" t="str">
            <v>810-B285</v>
          </cell>
          <cell r="E4751" t="str">
            <v>（化妆柜）下抽内侧饰条</v>
          </cell>
          <cell r="F4751" t="str">
            <v>161*58(25)*15</v>
          </cell>
          <cell r="G4751">
            <v>161</v>
          </cell>
          <cell r="H4751" t="str">
            <v>58(25)</v>
          </cell>
          <cell r="I4751">
            <v>15</v>
          </cell>
          <cell r="J4751">
            <v>0</v>
          </cell>
          <cell r="K4751">
            <v>0</v>
          </cell>
          <cell r="L4751">
            <v>0.22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</row>
        <row r="4752">
          <cell r="A4752" t="str">
            <v>Y078-005</v>
          </cell>
          <cell r="B4752">
            <v>0</v>
          </cell>
          <cell r="C4752" t="str">
            <v>Y078</v>
          </cell>
          <cell r="D4752" t="str">
            <v>810-B285</v>
          </cell>
          <cell r="E4752" t="str">
            <v>（化妆柜）门外内横饰条</v>
          </cell>
          <cell r="F4752" t="str">
            <v>250*73(25)*15</v>
          </cell>
          <cell r="G4752">
            <v>250</v>
          </cell>
          <cell r="H4752" t="str">
            <v>73(25)</v>
          </cell>
          <cell r="I4752">
            <v>15</v>
          </cell>
          <cell r="J4752">
            <v>0</v>
          </cell>
          <cell r="K4752">
            <v>0</v>
          </cell>
          <cell r="L4752">
            <v>0.35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</row>
        <row r="4753">
          <cell r="A4753" t="str">
            <v>Y078-006</v>
          </cell>
          <cell r="B4753">
            <v>0</v>
          </cell>
          <cell r="C4753" t="str">
            <v>Y078</v>
          </cell>
          <cell r="D4753" t="str">
            <v>810-B285</v>
          </cell>
          <cell r="E4753" t="str">
            <v>（五斗柜）中抽内侧饰条</v>
          </cell>
          <cell r="F4753" t="str">
            <v>128*45(25)*15</v>
          </cell>
          <cell r="G4753">
            <v>128</v>
          </cell>
          <cell r="H4753" t="str">
            <v>45(25)</v>
          </cell>
          <cell r="I4753">
            <v>15</v>
          </cell>
          <cell r="J4753">
            <v>0</v>
          </cell>
          <cell r="K4753">
            <v>0</v>
          </cell>
          <cell r="L4753">
            <v>0.18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</row>
        <row r="4754">
          <cell r="A4754" t="str">
            <v>Y078-007</v>
          </cell>
          <cell r="B4754">
            <v>0</v>
          </cell>
          <cell r="C4754" t="str">
            <v>Y078</v>
          </cell>
          <cell r="D4754" t="str">
            <v>810-B285</v>
          </cell>
          <cell r="E4754" t="str">
            <v>（五斗柜）下抽内侧饰条</v>
          </cell>
          <cell r="F4754" t="str">
            <v>145*58(25)*15</v>
          </cell>
          <cell r="G4754">
            <v>145</v>
          </cell>
          <cell r="H4754" t="str">
            <v>58(25)</v>
          </cell>
          <cell r="I4754">
            <v>15</v>
          </cell>
          <cell r="J4754">
            <v>0</v>
          </cell>
          <cell r="K4754">
            <v>0</v>
          </cell>
          <cell r="L4754">
            <v>0.21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</row>
        <row r="4755">
          <cell r="A4755" t="str">
            <v>Y078-008</v>
          </cell>
          <cell r="B4755">
            <v>0</v>
          </cell>
          <cell r="C4755" t="str">
            <v>Y078</v>
          </cell>
          <cell r="D4755" t="str">
            <v>#9642-國王床</v>
          </cell>
          <cell r="E4755" t="str">
            <v>POLY-床頭-底腳</v>
          </cell>
          <cell r="F4755" t="str">
            <v>200*90*155</v>
          </cell>
          <cell r="G4755">
            <v>200</v>
          </cell>
          <cell r="H4755">
            <v>90</v>
          </cell>
          <cell r="I4755">
            <v>155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</row>
        <row r="4756">
          <cell r="A4756" t="str">
            <v>Y078-009</v>
          </cell>
          <cell r="B4756">
            <v>0</v>
          </cell>
          <cell r="C4756" t="str">
            <v>Y078</v>
          </cell>
          <cell r="D4756" t="str">
            <v>#9642-國王床</v>
          </cell>
          <cell r="E4756" t="str">
            <v>POLY-床尾-側立外貼</v>
          </cell>
          <cell r="F4756" t="str">
            <v>230*73*55</v>
          </cell>
          <cell r="G4756">
            <v>230</v>
          </cell>
          <cell r="H4756">
            <v>73</v>
          </cell>
          <cell r="I4756">
            <v>55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</row>
        <row r="4757">
          <cell r="A4757" t="str">
            <v>Y078-010</v>
          </cell>
          <cell r="B4757">
            <v>0</v>
          </cell>
          <cell r="C4757" t="str">
            <v>Y078</v>
          </cell>
          <cell r="D4757" t="str">
            <v>#9642-國王床</v>
          </cell>
          <cell r="E4757" t="str">
            <v>POLY-床尾-底腳</v>
          </cell>
          <cell r="F4757" t="str">
            <v>200*90*155</v>
          </cell>
          <cell r="G4757">
            <v>200</v>
          </cell>
          <cell r="H4757">
            <v>90</v>
          </cell>
          <cell r="I4757">
            <v>155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</row>
        <row r="4758">
          <cell r="A4758" t="str">
            <v>Y078-011</v>
          </cell>
          <cell r="B4758">
            <v>0</v>
          </cell>
          <cell r="C4758" t="str">
            <v>Y078</v>
          </cell>
          <cell r="D4758" t="str">
            <v>#9642-皇后床</v>
          </cell>
          <cell r="E4758" t="str">
            <v>POLY-床頭-底腳</v>
          </cell>
          <cell r="F4758" t="str">
            <v>200*90*155</v>
          </cell>
          <cell r="G4758">
            <v>200</v>
          </cell>
          <cell r="H4758">
            <v>90</v>
          </cell>
          <cell r="I4758">
            <v>155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</row>
        <row r="4759">
          <cell r="A4759" t="str">
            <v>Y078-012</v>
          </cell>
          <cell r="B4759">
            <v>0</v>
          </cell>
          <cell r="C4759" t="str">
            <v>Y078</v>
          </cell>
          <cell r="D4759" t="str">
            <v>#9642-皇后床</v>
          </cell>
          <cell r="E4759" t="str">
            <v>POLY-側立外貼</v>
          </cell>
          <cell r="F4759" t="str">
            <v>230*73*55</v>
          </cell>
          <cell r="G4759">
            <v>230</v>
          </cell>
          <cell r="H4759">
            <v>73</v>
          </cell>
          <cell r="I4759">
            <v>55</v>
          </cell>
          <cell r="J4759">
            <v>0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</row>
        <row r="4760">
          <cell r="A4760" t="str">
            <v>Y078-013</v>
          </cell>
          <cell r="B4760">
            <v>0</v>
          </cell>
          <cell r="C4760" t="str">
            <v>Y078</v>
          </cell>
          <cell r="D4760" t="str">
            <v>#9642-皇后床</v>
          </cell>
          <cell r="E4760" t="str">
            <v>POLY-床尾-底腳</v>
          </cell>
          <cell r="F4760" t="str">
            <v>200*90*155</v>
          </cell>
          <cell r="G4760">
            <v>200</v>
          </cell>
          <cell r="H4760">
            <v>90</v>
          </cell>
          <cell r="I4760">
            <v>155</v>
          </cell>
          <cell r="J4760">
            <v>0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</row>
        <row r="4761">
          <cell r="A4761" t="str">
            <v>Y078-014</v>
          </cell>
          <cell r="B4761">
            <v>0</v>
          </cell>
          <cell r="C4761" t="str">
            <v>Y078</v>
          </cell>
          <cell r="D4761" t="str">
            <v>#9642-化妝柜</v>
          </cell>
          <cell r="E4761" t="str">
            <v>POLY-側立外貼</v>
          </cell>
          <cell r="F4761" t="str">
            <v>750*90*50</v>
          </cell>
          <cell r="G4761">
            <v>750</v>
          </cell>
          <cell r="H4761">
            <v>90</v>
          </cell>
          <cell r="I4761">
            <v>50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</row>
        <row r="4762">
          <cell r="A4762" t="str">
            <v>Y078-015</v>
          </cell>
          <cell r="B4762">
            <v>0</v>
          </cell>
          <cell r="C4762" t="str">
            <v>Y078</v>
          </cell>
          <cell r="D4762" t="str">
            <v>#9642-化妝柜</v>
          </cell>
          <cell r="E4762" t="str">
            <v>POLY-立抽飾條</v>
          </cell>
          <cell r="F4762" t="str">
            <v>180*16*12</v>
          </cell>
          <cell r="G4762">
            <v>180</v>
          </cell>
          <cell r="H4762">
            <v>16</v>
          </cell>
          <cell r="I4762">
            <v>12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</row>
        <row r="4763">
          <cell r="A4763" t="str">
            <v>Y078-016</v>
          </cell>
          <cell r="B4763">
            <v>0</v>
          </cell>
          <cell r="C4763" t="str">
            <v>Y078</v>
          </cell>
          <cell r="D4763" t="str">
            <v>#9642-化妝柜</v>
          </cell>
          <cell r="E4763" t="str">
            <v>POLY-立抽飾條</v>
          </cell>
          <cell r="F4763" t="str">
            <v>231*16*12</v>
          </cell>
          <cell r="G4763">
            <v>231</v>
          </cell>
          <cell r="H4763">
            <v>16</v>
          </cell>
          <cell r="I4763">
            <v>12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</row>
        <row r="4764">
          <cell r="A4764" t="str">
            <v>Y078-017</v>
          </cell>
          <cell r="B4764">
            <v>0</v>
          </cell>
          <cell r="C4764" t="str">
            <v>Y078</v>
          </cell>
          <cell r="D4764" t="str">
            <v>#9642-化妝柜</v>
          </cell>
          <cell r="E4764" t="str">
            <v>POLY-橫抽飾條</v>
          </cell>
          <cell r="F4764" t="str">
            <v>367*16*12</v>
          </cell>
          <cell r="G4764">
            <v>367</v>
          </cell>
          <cell r="H4764">
            <v>16</v>
          </cell>
          <cell r="I4764">
            <v>12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</row>
        <row r="4765">
          <cell r="A4765" t="str">
            <v>Y078-018</v>
          </cell>
          <cell r="B4765">
            <v>0</v>
          </cell>
          <cell r="C4765" t="str">
            <v>Y078</v>
          </cell>
          <cell r="D4765" t="str">
            <v>#9642-化妝柜</v>
          </cell>
          <cell r="E4765" t="str">
            <v>POLY-橫抽飾條</v>
          </cell>
          <cell r="F4765" t="str">
            <v>682*16*12</v>
          </cell>
          <cell r="G4765">
            <v>682</v>
          </cell>
          <cell r="H4765">
            <v>16</v>
          </cell>
          <cell r="I4765">
            <v>12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</row>
        <row r="4766">
          <cell r="A4766" t="str">
            <v>Y078-019</v>
          </cell>
          <cell r="B4766">
            <v>0</v>
          </cell>
          <cell r="C4766" t="str">
            <v>Y078</v>
          </cell>
          <cell r="D4766" t="str">
            <v>#9642-化妝柜</v>
          </cell>
          <cell r="E4766" t="str">
            <v>POLY-柜腳</v>
          </cell>
          <cell r="F4766" t="str">
            <v>130*90*110</v>
          </cell>
          <cell r="G4766">
            <v>130</v>
          </cell>
          <cell r="H4766">
            <v>90</v>
          </cell>
          <cell r="I4766">
            <v>110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</row>
        <row r="4767">
          <cell r="A4767" t="str">
            <v>Y078-020</v>
          </cell>
          <cell r="B4767">
            <v>0</v>
          </cell>
          <cell r="C4767" t="str">
            <v>Y078</v>
          </cell>
          <cell r="D4767" t="str">
            <v>#9642-五斗柜</v>
          </cell>
          <cell r="E4767" t="str">
            <v>POLY-側立外貼</v>
          </cell>
          <cell r="F4767" t="str">
            <v>1234*90*50</v>
          </cell>
          <cell r="G4767">
            <v>1234</v>
          </cell>
          <cell r="H4767">
            <v>90</v>
          </cell>
          <cell r="I4767">
            <v>50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</row>
        <row r="4768">
          <cell r="A4768" t="str">
            <v>Y078-021</v>
          </cell>
          <cell r="B4768">
            <v>0</v>
          </cell>
          <cell r="C4768" t="str">
            <v>Y078</v>
          </cell>
          <cell r="D4768" t="str">
            <v>#9642-五斗柜</v>
          </cell>
          <cell r="E4768" t="str">
            <v>POLY-立抽飾條</v>
          </cell>
          <cell r="F4768" t="str">
            <v>170*16*12</v>
          </cell>
          <cell r="G4768">
            <v>170</v>
          </cell>
          <cell r="H4768">
            <v>16</v>
          </cell>
          <cell r="I4768">
            <v>12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</row>
        <row r="4769">
          <cell r="A4769" t="str">
            <v>Y078-022</v>
          </cell>
          <cell r="B4769">
            <v>0</v>
          </cell>
          <cell r="C4769" t="str">
            <v>Y078</v>
          </cell>
          <cell r="D4769" t="str">
            <v>#9642-五斗柜</v>
          </cell>
          <cell r="E4769" t="str">
            <v>POLY-立抽飾條</v>
          </cell>
          <cell r="F4769" t="str">
            <v>200*16*12</v>
          </cell>
          <cell r="G4769">
            <v>200</v>
          </cell>
          <cell r="H4769">
            <v>16</v>
          </cell>
          <cell r="I4769">
            <v>12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</row>
        <row r="4770">
          <cell r="A4770" t="str">
            <v>Y078-023</v>
          </cell>
          <cell r="B4770">
            <v>0</v>
          </cell>
          <cell r="C4770" t="str">
            <v>Y078</v>
          </cell>
          <cell r="D4770" t="str">
            <v>#9642-五斗柜</v>
          </cell>
          <cell r="E4770" t="str">
            <v>POLY-橫抽飾條</v>
          </cell>
          <cell r="F4770" t="str">
            <v>798*16*12</v>
          </cell>
          <cell r="G4770">
            <v>798</v>
          </cell>
          <cell r="H4770">
            <v>16</v>
          </cell>
          <cell r="I4770">
            <v>12</v>
          </cell>
          <cell r="J4770">
            <v>0</v>
          </cell>
          <cell r="K4770">
            <v>0</v>
          </cell>
          <cell r="L4770">
            <v>0.54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</row>
        <row r="4771">
          <cell r="A4771" t="str">
            <v>Y078-024</v>
          </cell>
          <cell r="B4771">
            <v>0</v>
          </cell>
          <cell r="C4771" t="str">
            <v>Y078</v>
          </cell>
          <cell r="D4771" t="str">
            <v>#9642-五斗柜</v>
          </cell>
          <cell r="E4771" t="str">
            <v>POLY-柜腳</v>
          </cell>
          <cell r="F4771" t="str">
            <v>130*90*110</v>
          </cell>
          <cell r="G4771">
            <v>130</v>
          </cell>
          <cell r="H4771">
            <v>90</v>
          </cell>
          <cell r="I4771">
            <v>110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</row>
        <row r="4772">
          <cell r="A4772" t="str">
            <v>Y078-025</v>
          </cell>
          <cell r="B4772">
            <v>0</v>
          </cell>
          <cell r="C4772" t="str">
            <v>Y078</v>
          </cell>
          <cell r="D4772" t="str">
            <v>#9642-床頭柜</v>
          </cell>
          <cell r="E4772" t="str">
            <v>POLY-側立外貼</v>
          </cell>
          <cell r="F4772" t="str">
            <v>559*90*50</v>
          </cell>
          <cell r="G4772">
            <v>559</v>
          </cell>
          <cell r="H4772">
            <v>90</v>
          </cell>
          <cell r="I4772">
            <v>50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</row>
        <row r="4773">
          <cell r="A4773" t="str">
            <v>Y078-026</v>
          </cell>
          <cell r="B4773">
            <v>0</v>
          </cell>
          <cell r="C4773" t="str">
            <v>Y078</v>
          </cell>
          <cell r="D4773" t="str">
            <v>#9642-床頭柜</v>
          </cell>
          <cell r="E4773" t="str">
            <v>POLY-立抽飾條</v>
          </cell>
          <cell r="F4773" t="str">
            <v>151*16*12</v>
          </cell>
          <cell r="G4773">
            <v>151</v>
          </cell>
          <cell r="H4773">
            <v>16</v>
          </cell>
          <cell r="I4773">
            <v>12</v>
          </cell>
          <cell r="J4773">
            <v>0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</row>
        <row r="4774">
          <cell r="A4774" t="str">
            <v>Y078-027</v>
          </cell>
          <cell r="B4774">
            <v>0</v>
          </cell>
          <cell r="C4774" t="str">
            <v>Y078</v>
          </cell>
          <cell r="D4774" t="str">
            <v>#9642-床頭柜</v>
          </cell>
          <cell r="E4774" t="str">
            <v>POLY-橫抽飾條</v>
          </cell>
          <cell r="F4774" t="str">
            <v>525*16*12</v>
          </cell>
          <cell r="G4774">
            <v>525</v>
          </cell>
          <cell r="H4774">
            <v>16</v>
          </cell>
          <cell r="I4774">
            <v>12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</row>
        <row r="4775">
          <cell r="A4775" t="str">
            <v>Y078-028</v>
          </cell>
          <cell r="B4775">
            <v>0</v>
          </cell>
          <cell r="C4775" t="str">
            <v>Y078</v>
          </cell>
          <cell r="D4775" t="str">
            <v>#9642-床頭柜</v>
          </cell>
          <cell r="E4775" t="str">
            <v>POLY-柜腳</v>
          </cell>
          <cell r="F4775" t="str">
            <v>130*90*110</v>
          </cell>
          <cell r="G4775">
            <v>130</v>
          </cell>
          <cell r="H4775">
            <v>90</v>
          </cell>
          <cell r="I4775">
            <v>110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</row>
        <row r="4776">
          <cell r="A4776" t="str">
            <v>Y079-001</v>
          </cell>
          <cell r="B4776">
            <v>0</v>
          </cell>
          <cell r="C4776" t="str">
            <v>Y079</v>
          </cell>
          <cell r="D4776" t="str">
            <v>PO55763</v>
          </cell>
          <cell r="E4776" t="str">
            <v>POLY HOA</v>
          </cell>
          <cell r="F4776" t="str">
            <v>410*131*46</v>
          </cell>
          <cell r="G4776">
            <v>410</v>
          </cell>
          <cell r="H4776">
            <v>131</v>
          </cell>
          <cell r="I4776">
            <v>46</v>
          </cell>
          <cell r="J4776">
            <v>0</v>
          </cell>
          <cell r="K4776">
            <v>0</v>
          </cell>
          <cell r="L4776">
            <v>2.5499999999999998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</row>
        <row r="4777">
          <cell r="A4777" t="str">
            <v>Y079-002</v>
          </cell>
          <cell r="B4777">
            <v>0</v>
          </cell>
          <cell r="C4777" t="str">
            <v>Y079</v>
          </cell>
          <cell r="D4777">
            <v>0</v>
          </cell>
          <cell r="E4777" t="str">
            <v>頂線</v>
          </cell>
          <cell r="F4777" t="str">
            <v>1390*230/45*39</v>
          </cell>
          <cell r="G4777">
            <v>1390</v>
          </cell>
          <cell r="H4777" t="str">
            <v>230/45</v>
          </cell>
          <cell r="I4777">
            <v>39</v>
          </cell>
          <cell r="J4777">
            <v>0</v>
          </cell>
          <cell r="K4777">
            <v>0</v>
          </cell>
          <cell r="L4777">
            <v>6.1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</row>
        <row r="4778">
          <cell r="A4778" t="str">
            <v>Y079-003</v>
          </cell>
          <cell r="B4778">
            <v>0</v>
          </cell>
          <cell r="C4778" t="str">
            <v>Y079</v>
          </cell>
          <cell r="D4778">
            <v>0</v>
          </cell>
          <cell r="E4778" t="str">
            <v>頂線</v>
          </cell>
          <cell r="F4778" t="str">
            <v>998*208/45*39</v>
          </cell>
          <cell r="G4778">
            <v>998</v>
          </cell>
          <cell r="H4778" t="str">
            <v>208/45</v>
          </cell>
          <cell r="I4778">
            <v>39</v>
          </cell>
          <cell r="J4778">
            <v>0</v>
          </cell>
          <cell r="K4778">
            <v>0</v>
          </cell>
          <cell r="L4778">
            <v>4.4000000000000004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</row>
        <row r="4779">
          <cell r="A4779" t="str">
            <v>Y079-004</v>
          </cell>
          <cell r="B4779">
            <v>0</v>
          </cell>
          <cell r="C4779" t="str">
            <v>Y079</v>
          </cell>
          <cell r="D4779">
            <v>0</v>
          </cell>
          <cell r="E4779" t="str">
            <v>poly花</v>
          </cell>
          <cell r="F4779" t="str">
            <v>126*68*6.5</v>
          </cell>
          <cell r="G4779">
            <v>126</v>
          </cell>
          <cell r="H4779">
            <v>68</v>
          </cell>
          <cell r="I4779">
            <v>6.5</v>
          </cell>
          <cell r="J4779">
            <v>0</v>
          </cell>
          <cell r="K4779">
            <v>0</v>
          </cell>
          <cell r="L4779">
            <v>0.13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</row>
        <row r="4780">
          <cell r="A4780" t="str">
            <v>Y080-001</v>
          </cell>
          <cell r="B4780" t="str">
            <v>Y008-075</v>
          </cell>
          <cell r="C4780" t="str">
            <v>Y080</v>
          </cell>
          <cell r="D4780" t="str">
            <v>MP-1869-0035</v>
          </cell>
          <cell r="E4780" t="str">
            <v>圓珠-側飾條</v>
          </cell>
          <cell r="F4780" t="str">
            <v>630*13*6</v>
          </cell>
          <cell r="G4780">
            <v>630</v>
          </cell>
          <cell r="H4780">
            <v>13</v>
          </cell>
          <cell r="I4780">
            <v>6</v>
          </cell>
          <cell r="J4780">
            <v>75</v>
          </cell>
          <cell r="K4780">
            <v>0</v>
          </cell>
          <cell r="L4780">
            <v>0.2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 t="str">
            <v>1010</v>
          </cell>
          <cell r="R4780">
            <v>2.666666666666667</v>
          </cell>
          <cell r="S4780">
            <v>42004</v>
          </cell>
          <cell r="T4780">
            <v>0</v>
          </cell>
        </row>
        <row r="4781">
          <cell r="A4781" t="str">
            <v>Y080-002</v>
          </cell>
          <cell r="B4781" t="str">
            <v>Y008-077</v>
          </cell>
          <cell r="C4781" t="str">
            <v>Y080</v>
          </cell>
          <cell r="D4781" t="str">
            <v>MP-1869-0036</v>
          </cell>
          <cell r="E4781" t="str">
            <v>圓珠-側飾條</v>
          </cell>
          <cell r="F4781" t="str">
            <v>790*13*6</v>
          </cell>
          <cell r="G4781">
            <v>790</v>
          </cell>
          <cell r="H4781">
            <v>13</v>
          </cell>
          <cell r="I4781">
            <v>6</v>
          </cell>
          <cell r="J4781">
            <v>95</v>
          </cell>
          <cell r="K4781">
            <v>0</v>
          </cell>
          <cell r="L4781">
            <v>0.23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 t="str">
            <v>1010</v>
          </cell>
          <cell r="R4781">
            <v>2.4210526315789473</v>
          </cell>
          <cell r="S4781">
            <v>42004</v>
          </cell>
          <cell r="T4781">
            <v>0</v>
          </cell>
        </row>
        <row r="4782">
          <cell r="A4782" t="str">
            <v>Y080-003</v>
          </cell>
          <cell r="B4782" t="str">
            <v>Y008-079</v>
          </cell>
          <cell r="C4782" t="str">
            <v>Y080</v>
          </cell>
          <cell r="D4782" t="str">
            <v>MP-1869-0037</v>
          </cell>
          <cell r="E4782" t="str">
            <v>圓珠-側飾條</v>
          </cell>
          <cell r="F4782" t="str">
            <v>937*13*6</v>
          </cell>
          <cell r="G4782">
            <v>937</v>
          </cell>
          <cell r="H4782">
            <v>13</v>
          </cell>
          <cell r="I4782">
            <v>6</v>
          </cell>
          <cell r="J4782">
            <v>112</v>
          </cell>
          <cell r="K4782">
            <v>0</v>
          </cell>
          <cell r="L4782">
            <v>0.3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 t="str">
            <v>1010</v>
          </cell>
          <cell r="R4782">
            <v>2.6785714285714284</v>
          </cell>
          <cell r="S4782">
            <v>42004</v>
          </cell>
          <cell r="T4782">
            <v>0</v>
          </cell>
        </row>
        <row r="4783">
          <cell r="A4783" t="str">
            <v>Y080-004</v>
          </cell>
          <cell r="B4783" t="str">
            <v>Y008-080</v>
          </cell>
          <cell r="C4783" t="str">
            <v>Y080</v>
          </cell>
          <cell r="D4783" t="str">
            <v>MP-1869-0038</v>
          </cell>
          <cell r="E4783" t="str">
            <v>圓珠-前飾條</v>
          </cell>
          <cell r="F4783" t="str">
            <v>380*13*6</v>
          </cell>
          <cell r="G4783">
            <v>380</v>
          </cell>
          <cell r="H4783">
            <v>13</v>
          </cell>
          <cell r="I4783">
            <v>6</v>
          </cell>
          <cell r="J4783">
            <v>50</v>
          </cell>
          <cell r="K4783">
            <v>0</v>
          </cell>
          <cell r="L4783">
            <v>0.11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 t="str">
            <v>1010</v>
          </cell>
          <cell r="R4783">
            <v>2.1999999999999997</v>
          </cell>
          <cell r="S4783">
            <v>42004</v>
          </cell>
          <cell r="T4783">
            <v>0</v>
          </cell>
        </row>
        <row r="4784">
          <cell r="A4784" t="str">
            <v>Y080-005</v>
          </cell>
          <cell r="B4784" t="str">
            <v>Y008-001</v>
          </cell>
          <cell r="C4784" t="str">
            <v>Y080</v>
          </cell>
          <cell r="D4784" t="str">
            <v>4337-D</v>
          </cell>
          <cell r="E4784" t="str">
            <v>1/4圓飾條-前飾條</v>
          </cell>
          <cell r="F4784" t="str">
            <v>1378*6*6</v>
          </cell>
          <cell r="G4784">
            <v>1378</v>
          </cell>
          <cell r="H4784">
            <v>6</v>
          </cell>
          <cell r="I4784">
            <v>6</v>
          </cell>
          <cell r="J4784">
            <v>70</v>
          </cell>
          <cell r="K4784">
            <v>0</v>
          </cell>
          <cell r="L4784">
            <v>0.68</v>
          </cell>
          <cell r="M4784">
            <v>0</v>
          </cell>
          <cell r="N4784">
            <v>0</v>
          </cell>
          <cell r="O4784" t="str">
            <v>40V</v>
          </cell>
          <cell r="P4784" t="str">
            <v>1010</v>
          </cell>
          <cell r="Q4784" t="str">
            <v>1010</v>
          </cell>
          <cell r="R4784">
            <v>9.7142857142857135</v>
          </cell>
          <cell r="S4784">
            <v>0</v>
          </cell>
          <cell r="T4784">
            <v>0</v>
          </cell>
        </row>
        <row r="4785">
          <cell r="A4785" t="str">
            <v>Y080-006</v>
          </cell>
          <cell r="B4785" t="str">
            <v>Y008-003</v>
          </cell>
          <cell r="C4785" t="str">
            <v>Y080</v>
          </cell>
          <cell r="D4785" t="str">
            <v>4337-D/4338-C/4339TV</v>
          </cell>
          <cell r="E4785" t="str">
            <v>1/4圓飾條-側飾條</v>
          </cell>
          <cell r="F4785" t="str">
            <v>380*6*6</v>
          </cell>
          <cell r="G4785">
            <v>380</v>
          </cell>
          <cell r="H4785">
            <v>6</v>
          </cell>
          <cell r="I4785">
            <v>6</v>
          </cell>
          <cell r="J4785">
            <v>25</v>
          </cell>
          <cell r="K4785">
            <v>0</v>
          </cell>
          <cell r="L4785">
            <v>0.39</v>
          </cell>
          <cell r="M4785">
            <v>0</v>
          </cell>
          <cell r="N4785">
            <v>0</v>
          </cell>
          <cell r="O4785" t="str">
            <v>40V</v>
          </cell>
          <cell r="P4785" t="str">
            <v>1010</v>
          </cell>
          <cell r="Q4785" t="str">
            <v>1010</v>
          </cell>
          <cell r="R4785">
            <v>15.6</v>
          </cell>
          <cell r="S4785">
            <v>0</v>
          </cell>
          <cell r="T4785">
            <v>0</v>
          </cell>
        </row>
        <row r="4786">
          <cell r="A4786" t="str">
            <v>Y080-007</v>
          </cell>
          <cell r="B4786" t="str">
            <v>Y008-002</v>
          </cell>
          <cell r="C4786" t="str">
            <v>Y080</v>
          </cell>
          <cell r="D4786" t="str">
            <v>4338-C / 4339TV</v>
          </cell>
          <cell r="E4786" t="str">
            <v>1/4圓飾條-前飾條</v>
          </cell>
          <cell r="F4786" t="str">
            <v>944*6*6</v>
          </cell>
          <cell r="G4786">
            <v>944</v>
          </cell>
          <cell r="H4786">
            <v>6</v>
          </cell>
          <cell r="I4786">
            <v>6</v>
          </cell>
          <cell r="J4786">
            <v>55</v>
          </cell>
          <cell r="K4786">
            <v>0</v>
          </cell>
          <cell r="L4786">
            <v>0.57999999999999996</v>
          </cell>
          <cell r="M4786">
            <v>0</v>
          </cell>
          <cell r="N4786">
            <v>0</v>
          </cell>
          <cell r="O4786" t="str">
            <v>40V</v>
          </cell>
          <cell r="P4786" t="str">
            <v>1010</v>
          </cell>
          <cell r="Q4786" t="str">
            <v>1010</v>
          </cell>
          <cell r="R4786">
            <v>10.545454545454545</v>
          </cell>
          <cell r="S4786">
            <v>0</v>
          </cell>
          <cell r="T4786">
            <v>0</v>
          </cell>
        </row>
        <row r="4787">
          <cell r="A4787" t="str">
            <v>Y080-008</v>
          </cell>
          <cell r="B4787">
            <v>0</v>
          </cell>
          <cell r="C4787" t="str">
            <v>Y080</v>
          </cell>
          <cell r="D4787" t="str">
            <v>MP-947</v>
          </cell>
          <cell r="E4787" t="str">
            <v>POLY HÀNG 947</v>
          </cell>
          <cell r="F4787" t="str">
            <v>1270*20*11</v>
          </cell>
          <cell r="G4787">
            <v>1270</v>
          </cell>
          <cell r="H4787">
            <v>20</v>
          </cell>
          <cell r="I4787">
            <v>11</v>
          </cell>
          <cell r="J4787">
            <v>0</v>
          </cell>
          <cell r="K4787">
            <v>0</v>
          </cell>
          <cell r="L4787">
            <v>1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</row>
        <row r="4788">
          <cell r="A4788" t="str">
            <v>Y080-009</v>
          </cell>
          <cell r="B4788">
            <v>0</v>
          </cell>
          <cell r="C4788" t="str">
            <v>Y080</v>
          </cell>
          <cell r="D4788" t="str">
            <v>MP-947-01</v>
          </cell>
          <cell r="E4788" t="str">
            <v>POLY HÀNG 947/POLY HÀNG 947</v>
          </cell>
          <cell r="F4788" t="str">
            <v>1267*25*20</v>
          </cell>
          <cell r="G4788">
            <v>1267</v>
          </cell>
          <cell r="H4788">
            <v>25</v>
          </cell>
          <cell r="I4788">
            <v>20</v>
          </cell>
          <cell r="J4788">
            <v>0</v>
          </cell>
          <cell r="K4788">
            <v>0</v>
          </cell>
          <cell r="L4788">
            <v>1.85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</row>
        <row r="4789">
          <cell r="A4789" t="str">
            <v>Y080-010</v>
          </cell>
          <cell r="B4789" t="str">
            <v>Y008-108</v>
          </cell>
          <cell r="C4789" t="str">
            <v>Y080</v>
          </cell>
          <cell r="D4789" t="str">
            <v>MP-1404-0004</v>
          </cell>
          <cell r="E4789" t="str">
            <v>B1404 -N DÂY VIỀN</v>
          </cell>
          <cell r="F4789" t="str">
            <v>555*10*5</v>
          </cell>
          <cell r="G4789">
            <v>555</v>
          </cell>
          <cell r="H4789">
            <v>10</v>
          </cell>
          <cell r="I4789">
            <v>5</v>
          </cell>
          <cell r="J4789">
            <v>63</v>
          </cell>
          <cell r="K4789">
            <v>49</v>
          </cell>
          <cell r="L4789">
            <v>0.16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 t="str">
            <v>1010</v>
          </cell>
          <cell r="R4789">
            <v>2.5396825396825395</v>
          </cell>
          <cell r="S4789">
            <v>0</v>
          </cell>
          <cell r="T4789">
            <v>0</v>
          </cell>
        </row>
        <row r="4790">
          <cell r="A4790" t="str">
            <v>Y080-011</v>
          </cell>
          <cell r="B4790" t="str">
            <v>Y008-109</v>
          </cell>
          <cell r="C4790" t="str">
            <v>Y080</v>
          </cell>
          <cell r="D4790" t="str">
            <v>MP-1404-0005</v>
          </cell>
          <cell r="E4790" t="str">
            <v>B1404 -N DÂY VIỀN</v>
          </cell>
          <cell r="F4790" t="str">
            <v>210*10*5</v>
          </cell>
          <cell r="G4790">
            <v>210</v>
          </cell>
          <cell r="H4790">
            <v>10</v>
          </cell>
          <cell r="I4790">
            <v>5</v>
          </cell>
          <cell r="J4790">
            <v>27</v>
          </cell>
          <cell r="K4790">
            <v>21</v>
          </cell>
          <cell r="L4790">
            <v>7.0000000000000007E-2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 t="str">
            <v>1010</v>
          </cell>
          <cell r="R4790">
            <v>2.592592592592593</v>
          </cell>
          <cell r="S4790">
            <v>0</v>
          </cell>
          <cell r="T4790">
            <v>0</v>
          </cell>
        </row>
        <row r="4791">
          <cell r="A4791" t="str">
            <v>Y080-012</v>
          </cell>
          <cell r="B4791" t="str">
            <v>Y008-110</v>
          </cell>
          <cell r="C4791" t="str">
            <v>Y080</v>
          </cell>
          <cell r="D4791" t="str">
            <v>MP-1404-0006</v>
          </cell>
          <cell r="E4791" t="str">
            <v>B1404 -D POLY DÂY VIỀN</v>
          </cell>
          <cell r="F4791" t="str">
            <v>759*10*5</v>
          </cell>
          <cell r="G4791">
            <v>759</v>
          </cell>
          <cell r="H4791">
            <v>10</v>
          </cell>
          <cell r="I4791">
            <v>5</v>
          </cell>
          <cell r="J4791">
            <v>79</v>
          </cell>
          <cell r="K4791">
            <v>63</v>
          </cell>
          <cell r="L4791">
            <v>0.23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 t="str">
            <v>1010</v>
          </cell>
          <cell r="R4791">
            <v>2.9113924050632911</v>
          </cell>
          <cell r="S4791">
            <v>0</v>
          </cell>
          <cell r="T4791">
            <v>0</v>
          </cell>
        </row>
        <row r="4792">
          <cell r="A4792" t="str">
            <v>Y080-013</v>
          </cell>
          <cell r="B4792" t="str">
            <v>Y008-111</v>
          </cell>
          <cell r="C4792" t="str">
            <v>Y080</v>
          </cell>
          <cell r="D4792" t="str">
            <v>MP-1404-0007</v>
          </cell>
          <cell r="E4792" t="str">
            <v>B1404 -D POLY DÂY VIỀN</v>
          </cell>
          <cell r="F4792" t="str">
            <v>213*10*5</v>
          </cell>
          <cell r="G4792">
            <v>213</v>
          </cell>
          <cell r="H4792">
            <v>10</v>
          </cell>
          <cell r="I4792">
            <v>5</v>
          </cell>
          <cell r="J4792">
            <v>28</v>
          </cell>
          <cell r="K4792">
            <v>0</v>
          </cell>
          <cell r="L4792">
            <v>7.0000000000000007E-2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2.5</v>
          </cell>
          <cell r="S4792">
            <v>0</v>
          </cell>
          <cell r="T4792">
            <v>0</v>
          </cell>
        </row>
        <row r="4793">
          <cell r="A4793" t="str">
            <v>Y080-014</v>
          </cell>
          <cell r="B4793" t="str">
            <v>Y008-112</v>
          </cell>
          <cell r="C4793" t="str">
            <v>Y080</v>
          </cell>
          <cell r="D4793" t="str">
            <v>MP-1404-0008</v>
          </cell>
          <cell r="E4793" t="str">
            <v>B1404 -D POLY DÂY VIỀN</v>
          </cell>
          <cell r="F4793" t="str">
            <v>388*10*5</v>
          </cell>
          <cell r="G4793">
            <v>388</v>
          </cell>
          <cell r="H4793">
            <v>10</v>
          </cell>
          <cell r="I4793">
            <v>5</v>
          </cell>
          <cell r="J4793">
            <v>60</v>
          </cell>
          <cell r="K4793">
            <v>0</v>
          </cell>
          <cell r="L4793">
            <v>0.11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1.8333333333333335</v>
          </cell>
          <cell r="S4793">
            <v>0</v>
          </cell>
          <cell r="T4793">
            <v>0</v>
          </cell>
        </row>
        <row r="4794">
          <cell r="A4794" t="str">
            <v>Y080-015</v>
          </cell>
          <cell r="B4794" t="str">
            <v>Y008-113</v>
          </cell>
          <cell r="C4794" t="str">
            <v>Y080</v>
          </cell>
          <cell r="D4794" t="str">
            <v>MP-1404-0009</v>
          </cell>
          <cell r="E4794" t="str">
            <v>B1404 -D POLY DÂY VIỀN</v>
          </cell>
          <cell r="F4794" t="str">
            <v>218*10*5</v>
          </cell>
          <cell r="G4794">
            <v>218</v>
          </cell>
          <cell r="H4794">
            <v>10</v>
          </cell>
          <cell r="I4794">
            <v>5</v>
          </cell>
          <cell r="J4794">
            <v>28</v>
          </cell>
          <cell r="K4794">
            <v>22</v>
          </cell>
          <cell r="L4794">
            <v>0.08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 t="str">
            <v>1010</v>
          </cell>
          <cell r="R4794">
            <v>2.8571428571428572</v>
          </cell>
          <cell r="S4794">
            <v>0</v>
          </cell>
          <cell r="T4794">
            <v>0</v>
          </cell>
        </row>
        <row r="4795">
          <cell r="A4795" t="str">
            <v>Y080-016</v>
          </cell>
          <cell r="B4795" t="str">
            <v>Y008-114</v>
          </cell>
          <cell r="C4795" t="str">
            <v>Y080</v>
          </cell>
          <cell r="D4795" t="str">
            <v>MP-1404-0010</v>
          </cell>
          <cell r="E4795" t="str">
            <v>B1404 -C POLY DÂY VIỀN</v>
          </cell>
          <cell r="F4795" t="str">
            <v>845*10*5</v>
          </cell>
          <cell r="G4795">
            <v>845</v>
          </cell>
          <cell r="H4795">
            <v>10</v>
          </cell>
          <cell r="I4795">
            <v>5</v>
          </cell>
          <cell r="J4795">
            <v>87</v>
          </cell>
          <cell r="K4795">
            <v>70</v>
          </cell>
          <cell r="L4795">
            <v>0.26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 t="str">
            <v>1010</v>
          </cell>
          <cell r="R4795">
            <v>2.9885057471264371</v>
          </cell>
          <cell r="S4795">
            <v>0</v>
          </cell>
          <cell r="T4795">
            <v>0</v>
          </cell>
        </row>
        <row r="4796">
          <cell r="A4796" t="str">
            <v>Y080-017</v>
          </cell>
          <cell r="B4796" t="str">
            <v>Y008-115</v>
          </cell>
          <cell r="C4796" t="str">
            <v>Y080</v>
          </cell>
          <cell r="D4796" t="str">
            <v>MP-1404-0011</v>
          </cell>
          <cell r="E4796" t="str">
            <v>B1404 -C POLY DÂY VIỀN</v>
          </cell>
          <cell r="F4796" t="str">
            <v>220*10*5</v>
          </cell>
          <cell r="G4796">
            <v>220</v>
          </cell>
          <cell r="H4796">
            <v>10</v>
          </cell>
          <cell r="I4796">
            <v>5</v>
          </cell>
          <cell r="J4796">
            <v>28</v>
          </cell>
          <cell r="K4796">
            <v>22</v>
          </cell>
          <cell r="L4796">
            <v>0.08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 t="str">
            <v>1010</v>
          </cell>
          <cell r="R4796">
            <v>2.8571428571428572</v>
          </cell>
          <cell r="S4796">
            <v>0</v>
          </cell>
          <cell r="T4796">
            <v>0</v>
          </cell>
        </row>
        <row r="4797">
          <cell r="A4797" t="str">
            <v>Y080-018</v>
          </cell>
          <cell r="B4797" t="str">
            <v>Y008-100</v>
          </cell>
          <cell r="C4797" t="str">
            <v>Y080</v>
          </cell>
          <cell r="D4797" t="str">
            <v>MP-1404-0014</v>
          </cell>
          <cell r="E4797" t="str">
            <v>B1404 N-POLY 前柜企柱 CHÂN TRỤ TRƯỚC TRÁI</v>
          </cell>
          <cell r="F4797" t="str">
            <v>463*62*50</v>
          </cell>
          <cell r="G4797">
            <v>469</v>
          </cell>
          <cell r="H4797">
            <v>62</v>
          </cell>
          <cell r="I4797">
            <v>50</v>
          </cell>
          <cell r="J4797">
            <v>708</v>
          </cell>
          <cell r="K4797">
            <v>680</v>
          </cell>
          <cell r="L4797">
            <v>1.8</v>
          </cell>
          <cell r="M4797">
            <v>0</v>
          </cell>
          <cell r="N4797">
            <v>306</v>
          </cell>
          <cell r="O4797">
            <v>0</v>
          </cell>
          <cell r="P4797">
            <v>0</v>
          </cell>
          <cell r="Q4797" t="str">
            <v>5510</v>
          </cell>
          <cell r="R4797">
            <v>2.5423728813559325</v>
          </cell>
          <cell r="S4797">
            <v>0</v>
          </cell>
          <cell r="T4797">
            <v>0</v>
          </cell>
        </row>
        <row r="4798">
          <cell r="A4798" t="str">
            <v>Y080-019</v>
          </cell>
          <cell r="B4798" t="str">
            <v>Y008-101</v>
          </cell>
          <cell r="C4798" t="str">
            <v>Y080</v>
          </cell>
          <cell r="D4798" t="str">
            <v>MP-1404-0015</v>
          </cell>
          <cell r="E4798" t="str">
            <v>B1404 N-POLY 前柜企柱 CHÂN TRỤ TRƯỚC PHẢI</v>
          </cell>
          <cell r="F4798" t="str">
            <v>463*62*50</v>
          </cell>
          <cell r="G4798">
            <v>469</v>
          </cell>
          <cell r="H4798">
            <v>62</v>
          </cell>
          <cell r="I4798">
            <v>50</v>
          </cell>
          <cell r="J4798">
            <v>708</v>
          </cell>
          <cell r="K4798">
            <v>680</v>
          </cell>
          <cell r="L4798">
            <v>1.8</v>
          </cell>
          <cell r="M4798">
            <v>0</v>
          </cell>
          <cell r="N4798">
            <v>306</v>
          </cell>
          <cell r="O4798">
            <v>0</v>
          </cell>
          <cell r="P4798">
            <v>0</v>
          </cell>
          <cell r="Q4798" t="str">
            <v>5510</v>
          </cell>
          <cell r="R4798">
            <v>2.5423728813559325</v>
          </cell>
          <cell r="S4798">
            <v>0</v>
          </cell>
          <cell r="T4798">
            <v>0</v>
          </cell>
        </row>
        <row r="4799">
          <cell r="A4799" t="str">
            <v>Y080-020</v>
          </cell>
          <cell r="B4799" t="str">
            <v>Y008-102</v>
          </cell>
          <cell r="C4799" t="str">
            <v>Y080</v>
          </cell>
          <cell r="D4799" t="str">
            <v>MP-1404-0016</v>
          </cell>
          <cell r="E4799" t="str">
            <v>B1404 D-POLY 前柜企柱 CHÂN TRỤ TRƯỚC TRÁI</v>
          </cell>
          <cell r="F4799" t="str">
            <v>692*62*50</v>
          </cell>
          <cell r="G4799">
            <v>698</v>
          </cell>
          <cell r="H4799">
            <v>62</v>
          </cell>
          <cell r="I4799">
            <v>50</v>
          </cell>
          <cell r="J4799">
            <v>1029</v>
          </cell>
          <cell r="K4799">
            <v>1018</v>
          </cell>
          <cell r="L4799">
            <v>2.69</v>
          </cell>
          <cell r="M4799">
            <v>0</v>
          </cell>
          <cell r="N4799">
            <v>527</v>
          </cell>
          <cell r="O4799">
            <v>0</v>
          </cell>
          <cell r="P4799">
            <v>0</v>
          </cell>
          <cell r="Q4799" t="str">
            <v>5510</v>
          </cell>
          <cell r="R4799">
            <v>2.6141885325558798</v>
          </cell>
          <cell r="S4799">
            <v>0</v>
          </cell>
          <cell r="T4799">
            <v>0</v>
          </cell>
        </row>
        <row r="4800">
          <cell r="A4800" t="str">
            <v>Y080-021</v>
          </cell>
          <cell r="B4800" t="str">
            <v>Y008-103</v>
          </cell>
          <cell r="C4800" t="str">
            <v>Y080</v>
          </cell>
          <cell r="D4800" t="str">
            <v>MP-1404-0017</v>
          </cell>
          <cell r="E4800" t="str">
            <v>B1404 D-POLY 前柜企柱 CHÂN TRỤ TRƯỚC PHẢI</v>
          </cell>
          <cell r="F4800" t="str">
            <v>692*62*50</v>
          </cell>
          <cell r="G4800">
            <v>698</v>
          </cell>
          <cell r="H4800">
            <v>62</v>
          </cell>
          <cell r="I4800">
            <v>50</v>
          </cell>
          <cell r="J4800">
            <v>1029</v>
          </cell>
          <cell r="K4800">
            <v>1018</v>
          </cell>
          <cell r="L4800">
            <v>2.69</v>
          </cell>
          <cell r="M4800">
            <v>0</v>
          </cell>
          <cell r="N4800">
            <v>527</v>
          </cell>
          <cell r="O4800">
            <v>0</v>
          </cell>
          <cell r="P4800">
            <v>0</v>
          </cell>
          <cell r="Q4800" t="str">
            <v>5510</v>
          </cell>
          <cell r="R4800">
            <v>2.6141885325558798</v>
          </cell>
          <cell r="S4800">
            <v>0</v>
          </cell>
          <cell r="T4800">
            <v>0</v>
          </cell>
        </row>
        <row r="4801">
          <cell r="A4801" t="str">
            <v>Y080-022</v>
          </cell>
          <cell r="B4801" t="str">
            <v>Y008-104</v>
          </cell>
          <cell r="C4801" t="str">
            <v>Y080</v>
          </cell>
          <cell r="D4801" t="str">
            <v>MP-1404-0018</v>
          </cell>
          <cell r="E4801" t="str">
            <v>B1404 C-POLY 前柜企柱 CHÂN TRỤ TRƯỚC TRÁI</v>
          </cell>
          <cell r="F4801" t="str">
            <v>1175*62*50</v>
          </cell>
          <cell r="G4801">
            <v>1181</v>
          </cell>
          <cell r="H4801">
            <v>62</v>
          </cell>
          <cell r="I4801">
            <v>50</v>
          </cell>
          <cell r="J4801">
            <v>1670</v>
          </cell>
          <cell r="K4801">
            <v>1540</v>
          </cell>
          <cell r="L4801">
            <v>4.32</v>
          </cell>
          <cell r="M4801">
            <v>0</v>
          </cell>
          <cell r="N4801">
            <v>293</v>
          </cell>
          <cell r="O4801">
            <v>0</v>
          </cell>
          <cell r="P4801">
            <v>0</v>
          </cell>
          <cell r="Q4801" t="str">
            <v>5510</v>
          </cell>
          <cell r="R4801">
            <v>2.5868263473053896</v>
          </cell>
          <cell r="S4801">
            <v>0</v>
          </cell>
          <cell r="T4801">
            <v>0</v>
          </cell>
        </row>
        <row r="4802">
          <cell r="A4802" t="str">
            <v>Y080-023</v>
          </cell>
          <cell r="B4802" t="str">
            <v>Y008-105</v>
          </cell>
          <cell r="C4802" t="str">
            <v>Y080</v>
          </cell>
          <cell r="D4802" t="str">
            <v>MP-1404-0019</v>
          </cell>
          <cell r="E4802" t="str">
            <v>B1404 C-POLY 前柜企柱 CHÂN TRỤ TRƯỚC PHẢI</v>
          </cell>
          <cell r="F4802" t="str">
            <v>1175*62*50</v>
          </cell>
          <cell r="G4802">
            <v>1181</v>
          </cell>
          <cell r="H4802">
            <v>62</v>
          </cell>
          <cell r="I4802">
            <v>50</v>
          </cell>
          <cell r="J4802">
            <v>1670</v>
          </cell>
          <cell r="K4802">
            <v>1540</v>
          </cell>
          <cell r="L4802">
            <v>4.32</v>
          </cell>
          <cell r="M4802">
            <v>0</v>
          </cell>
          <cell r="N4802">
            <v>293</v>
          </cell>
          <cell r="O4802">
            <v>0</v>
          </cell>
          <cell r="P4802">
            <v>0</v>
          </cell>
          <cell r="Q4802" t="str">
            <v>5510</v>
          </cell>
          <cell r="R4802">
            <v>2.5868263473053896</v>
          </cell>
          <cell r="S4802">
            <v>0</v>
          </cell>
          <cell r="T4802">
            <v>0</v>
          </cell>
        </row>
        <row r="4803">
          <cell r="A4803" t="str">
            <v>Y080-024</v>
          </cell>
          <cell r="B4803" t="str">
            <v>Y008-136</v>
          </cell>
          <cell r="C4803" t="str">
            <v>Y080</v>
          </cell>
          <cell r="D4803" t="str">
            <v>MP-1405-0010</v>
          </cell>
          <cell r="E4803" t="str">
            <v>1405EK-HB</v>
          </cell>
          <cell r="F4803" t="str">
            <v>137*27*8</v>
          </cell>
          <cell r="G4803">
            <v>137</v>
          </cell>
          <cell r="H4803">
            <v>27</v>
          </cell>
          <cell r="I4803">
            <v>8</v>
          </cell>
          <cell r="J4803">
            <v>28</v>
          </cell>
          <cell r="K4803">
            <v>0</v>
          </cell>
          <cell r="L4803">
            <v>8.5000000000000006E-2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 t="str">
            <v>1010</v>
          </cell>
          <cell r="R4803">
            <v>3.035714285714286</v>
          </cell>
          <cell r="S4803">
            <v>0</v>
          </cell>
          <cell r="T4803">
            <v>0</v>
          </cell>
        </row>
        <row r="4804">
          <cell r="A4804" t="str">
            <v>Y080-025</v>
          </cell>
          <cell r="B4804" t="str">
            <v>Y008-138</v>
          </cell>
          <cell r="C4804" t="str">
            <v>Y080</v>
          </cell>
          <cell r="D4804" t="str">
            <v>MP-1405-0012</v>
          </cell>
          <cell r="E4804" t="str">
            <v>1405EK-HB</v>
          </cell>
          <cell r="F4804" t="str">
            <v>174*148*96</v>
          </cell>
          <cell r="G4804">
            <v>174</v>
          </cell>
          <cell r="H4804">
            <v>148</v>
          </cell>
          <cell r="I4804">
            <v>96</v>
          </cell>
          <cell r="J4804">
            <v>375</v>
          </cell>
          <cell r="K4804">
            <v>0</v>
          </cell>
          <cell r="L4804">
            <v>1.04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 t="str">
            <v>1010</v>
          </cell>
          <cell r="R4804">
            <v>2.7733333333333334</v>
          </cell>
          <cell r="S4804">
            <v>0</v>
          </cell>
          <cell r="T4804">
            <v>0</v>
          </cell>
        </row>
        <row r="4805">
          <cell r="A4805" t="str">
            <v>Y080-026</v>
          </cell>
          <cell r="B4805" t="str">
            <v>Y008-137</v>
          </cell>
          <cell r="C4805" t="str">
            <v>Y080</v>
          </cell>
          <cell r="D4805" t="str">
            <v>MP-1405-0011</v>
          </cell>
          <cell r="E4805" t="str">
            <v>1405EK-HB</v>
          </cell>
          <cell r="F4805" t="str">
            <v>Ø58*8</v>
          </cell>
          <cell r="G4805" t="str">
            <v>Ø</v>
          </cell>
          <cell r="H4805">
            <v>58</v>
          </cell>
          <cell r="I4805">
            <v>8</v>
          </cell>
          <cell r="J4805">
            <v>32</v>
          </cell>
          <cell r="K4805">
            <v>0</v>
          </cell>
          <cell r="L4805">
            <v>9.5000000000000001E-2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 t="str">
            <v>1010</v>
          </cell>
          <cell r="R4805">
            <v>2.96875</v>
          </cell>
          <cell r="S4805">
            <v>0</v>
          </cell>
          <cell r="T4805">
            <v>0</v>
          </cell>
        </row>
        <row r="4806">
          <cell r="A4806" t="str">
            <v>Y081-001</v>
          </cell>
          <cell r="B4806" t="str">
            <v>Y016-044</v>
          </cell>
          <cell r="C4806" t="str">
            <v>Y080</v>
          </cell>
          <cell r="D4806">
            <v>0</v>
          </cell>
          <cell r="E4806" t="str">
            <v>BI LỚN</v>
          </cell>
          <cell r="F4806" t="str">
            <v>102*Ø*102</v>
          </cell>
          <cell r="G4806">
            <v>102</v>
          </cell>
          <cell r="H4806" t="str">
            <v>Ø</v>
          </cell>
          <cell r="I4806">
            <v>102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43312</v>
          </cell>
          <cell r="T4806">
            <v>0</v>
          </cell>
        </row>
        <row r="4807">
          <cell r="A4807" t="str">
            <v>Y081-002</v>
          </cell>
          <cell r="B4807" t="str">
            <v>Y016-045</v>
          </cell>
          <cell r="C4807" t="str">
            <v>Y080</v>
          </cell>
          <cell r="D4807">
            <v>0</v>
          </cell>
          <cell r="E4807" t="str">
            <v xml:space="preserve">BI GIỮA </v>
          </cell>
          <cell r="F4807" t="str">
            <v>49*Ø*49</v>
          </cell>
          <cell r="G4807">
            <v>49</v>
          </cell>
          <cell r="H4807" t="str">
            <v>Ø</v>
          </cell>
          <cell r="I4807">
            <v>49</v>
          </cell>
          <cell r="J4807">
            <v>0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43312</v>
          </cell>
          <cell r="T4807">
            <v>0</v>
          </cell>
        </row>
        <row r="4808">
          <cell r="A4808" t="str">
            <v>Y081-003</v>
          </cell>
          <cell r="B4808" t="str">
            <v>Y016-046</v>
          </cell>
          <cell r="C4808" t="str">
            <v>Y080</v>
          </cell>
          <cell r="D4808">
            <v>0</v>
          </cell>
          <cell r="E4808" t="str">
            <v>BI NHỎ</v>
          </cell>
          <cell r="F4808" t="str">
            <v>130*130*97</v>
          </cell>
          <cell r="G4808">
            <v>130</v>
          </cell>
          <cell r="H4808">
            <v>130</v>
          </cell>
          <cell r="I4808">
            <v>97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43312</v>
          </cell>
          <cell r="T4808">
            <v>0</v>
          </cell>
        </row>
        <row r="4809">
          <cell r="A4809" t="str">
            <v>Y082-001</v>
          </cell>
          <cell r="B4809">
            <v>0</v>
          </cell>
          <cell r="C4809" t="str">
            <v>Y082</v>
          </cell>
          <cell r="D4809">
            <v>0</v>
          </cell>
          <cell r="E4809" t="str">
            <v>DAY POLY</v>
          </cell>
          <cell r="F4809" t="str">
            <v>370*13*6</v>
          </cell>
          <cell r="G4809">
            <v>370</v>
          </cell>
          <cell r="H4809">
            <v>13</v>
          </cell>
          <cell r="I4809">
            <v>6</v>
          </cell>
          <cell r="J4809">
            <v>0</v>
          </cell>
          <cell r="K4809">
            <v>0</v>
          </cell>
          <cell r="L4809">
            <v>0.17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43358</v>
          </cell>
          <cell r="T4809">
            <v>0</v>
          </cell>
        </row>
        <row r="4810">
          <cell r="A4810" t="str">
            <v>Y083-001</v>
          </cell>
          <cell r="B4810">
            <v>0</v>
          </cell>
          <cell r="C4810" t="str">
            <v>Y083</v>
          </cell>
          <cell r="D4810" t="str">
            <v>S7888-00A2088-衣柜</v>
          </cell>
          <cell r="E4810" t="str">
            <v>注塑饰条1 thanh trang tri poly 1</v>
          </cell>
          <cell r="F4810" t="str">
            <v>1684*19*12</v>
          </cell>
          <cell r="G4810">
            <v>1684</v>
          </cell>
          <cell r="H4810">
            <v>19</v>
          </cell>
          <cell r="I4810">
            <v>12</v>
          </cell>
          <cell r="J4810">
            <v>0</v>
          </cell>
          <cell r="K4810">
            <v>0</v>
          </cell>
          <cell r="L4810">
            <v>0</v>
          </cell>
          <cell r="M4810">
            <v>26000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43435</v>
          </cell>
          <cell r="T4810">
            <v>0</v>
          </cell>
        </row>
        <row r="4811">
          <cell r="A4811" t="str">
            <v>Y083-002</v>
          </cell>
          <cell r="B4811">
            <v>0</v>
          </cell>
          <cell r="C4811" t="str">
            <v>Y083</v>
          </cell>
          <cell r="D4811" t="str">
            <v>S7888-00A2089-衣柜</v>
          </cell>
          <cell r="E4811" t="str">
            <v xml:space="preserve">注塑饰条2 thanh trang tri poly </v>
          </cell>
          <cell r="F4811" t="str">
            <v>592*19*12</v>
          </cell>
          <cell r="G4811">
            <v>592</v>
          </cell>
          <cell r="H4811">
            <v>19</v>
          </cell>
          <cell r="I4811">
            <v>12</v>
          </cell>
          <cell r="J4811">
            <v>0</v>
          </cell>
          <cell r="K4811">
            <v>0</v>
          </cell>
          <cell r="L4811">
            <v>0</v>
          </cell>
          <cell r="M4811">
            <v>9300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43435</v>
          </cell>
          <cell r="T4811">
            <v>0</v>
          </cell>
        </row>
        <row r="4812">
          <cell r="A4812" t="str">
            <v>Y083-003</v>
          </cell>
          <cell r="B4812">
            <v>0</v>
          </cell>
          <cell r="C4812" t="str">
            <v>Y083</v>
          </cell>
          <cell r="D4812" t="str">
            <v>S7888-00A2090-衣柜</v>
          </cell>
          <cell r="E4812" t="str">
            <v xml:space="preserve">注塑饰条3 thanh tranh tri poly </v>
          </cell>
          <cell r="F4812" t="str">
            <v>120*19*12</v>
          </cell>
          <cell r="G4812">
            <v>120</v>
          </cell>
          <cell r="H4812">
            <v>19</v>
          </cell>
          <cell r="I4812">
            <v>12</v>
          </cell>
          <cell r="J4812">
            <v>0</v>
          </cell>
          <cell r="K4812">
            <v>0</v>
          </cell>
          <cell r="L4812">
            <v>0</v>
          </cell>
          <cell r="M4812">
            <v>2100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43435</v>
          </cell>
          <cell r="T4812">
            <v>0</v>
          </cell>
        </row>
        <row r="4813">
          <cell r="A4813" t="str">
            <v>Y083-004</v>
          </cell>
          <cell r="B4813">
            <v>0</v>
          </cell>
          <cell r="C4813" t="str">
            <v>Y083</v>
          </cell>
          <cell r="D4813" t="str">
            <v>S7888-00A5951-衣柜</v>
          </cell>
          <cell r="E4813" t="str">
            <v>注塑（左边）饰块 poly dan trụ trái</v>
          </cell>
          <cell r="F4813" t="str">
            <v>180*103*12</v>
          </cell>
          <cell r="G4813">
            <v>180</v>
          </cell>
          <cell r="H4813">
            <v>103</v>
          </cell>
          <cell r="I4813">
            <v>12</v>
          </cell>
          <cell r="J4813">
            <v>0</v>
          </cell>
          <cell r="K4813">
            <v>0</v>
          </cell>
          <cell r="L4813">
            <v>0</v>
          </cell>
          <cell r="M4813">
            <v>8200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43435</v>
          </cell>
          <cell r="T4813">
            <v>0</v>
          </cell>
        </row>
        <row r="4814">
          <cell r="A4814" t="str">
            <v>Y083-005</v>
          </cell>
          <cell r="B4814">
            <v>0</v>
          </cell>
          <cell r="C4814" t="str">
            <v>Y083</v>
          </cell>
          <cell r="D4814" t="str">
            <v>S7888-00A5952-衣柜</v>
          </cell>
          <cell r="E4814" t="str">
            <v>注塑（右边）饰块 poly dan trụ phải</v>
          </cell>
          <cell r="F4814" t="str">
            <v>180*103*12</v>
          </cell>
          <cell r="G4814">
            <v>180</v>
          </cell>
          <cell r="H4814">
            <v>103</v>
          </cell>
          <cell r="I4814">
            <v>12</v>
          </cell>
          <cell r="J4814">
            <v>0</v>
          </cell>
          <cell r="K4814">
            <v>0</v>
          </cell>
          <cell r="L4814">
            <v>0</v>
          </cell>
          <cell r="M4814">
            <v>8200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43435</v>
          </cell>
          <cell r="T4814">
            <v>0</v>
          </cell>
        </row>
        <row r="4815">
          <cell r="A4815" t="str">
            <v>Y083-006</v>
          </cell>
          <cell r="B4815">
            <v>0</v>
          </cell>
          <cell r="C4815" t="str">
            <v>Y083</v>
          </cell>
          <cell r="D4815" t="str">
            <v>S7888-02A1931-床头柜</v>
          </cell>
          <cell r="E4815" t="str">
            <v xml:space="preserve">注塑饰条 trang trí keo nhựa </v>
          </cell>
          <cell r="F4815" t="str">
            <v>613*32*17</v>
          </cell>
          <cell r="G4815">
            <v>613</v>
          </cell>
          <cell r="H4815">
            <v>32</v>
          </cell>
          <cell r="I4815">
            <v>17</v>
          </cell>
          <cell r="J4815">
            <v>0</v>
          </cell>
          <cell r="K4815">
            <v>0</v>
          </cell>
          <cell r="L4815">
            <v>0</v>
          </cell>
          <cell r="M4815">
            <v>27300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43435</v>
          </cell>
          <cell r="T4815">
            <v>0</v>
          </cell>
        </row>
        <row r="4816">
          <cell r="A4816" t="str">
            <v>Y083-007</v>
          </cell>
          <cell r="B4816">
            <v>0</v>
          </cell>
          <cell r="C4816" t="str">
            <v>Y083</v>
          </cell>
          <cell r="D4816" t="str">
            <v>S7888-02A2088-床头柜</v>
          </cell>
          <cell r="E4816" t="str">
            <v xml:space="preserve">注塑饰条1 thanh trang tri poly </v>
          </cell>
          <cell r="F4816" t="str">
            <v>633*19*12</v>
          </cell>
          <cell r="G4816">
            <v>633</v>
          </cell>
          <cell r="H4816">
            <v>19</v>
          </cell>
          <cell r="I4816">
            <v>12</v>
          </cell>
          <cell r="J4816">
            <v>0</v>
          </cell>
          <cell r="K4816">
            <v>0</v>
          </cell>
          <cell r="L4816">
            <v>0</v>
          </cell>
          <cell r="M4816">
            <v>10000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43435</v>
          </cell>
          <cell r="T4816">
            <v>0</v>
          </cell>
        </row>
        <row r="4817">
          <cell r="A4817" t="str">
            <v>Y083-008</v>
          </cell>
          <cell r="B4817">
            <v>0</v>
          </cell>
          <cell r="C4817" t="str">
            <v>Y083</v>
          </cell>
          <cell r="D4817" t="str">
            <v>S7888-02A2089-床头柜</v>
          </cell>
          <cell r="E4817" t="str">
            <v xml:space="preserve">注塑饰条2 thanh trang tri poly </v>
          </cell>
          <cell r="F4817" t="str">
            <v>56*19*12</v>
          </cell>
          <cell r="G4817">
            <v>56</v>
          </cell>
          <cell r="H4817">
            <v>19</v>
          </cell>
          <cell r="I4817">
            <v>12</v>
          </cell>
          <cell r="J4817">
            <v>0</v>
          </cell>
          <cell r="K4817">
            <v>0</v>
          </cell>
          <cell r="L4817">
            <v>0</v>
          </cell>
          <cell r="M4817">
            <v>1000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43435</v>
          </cell>
          <cell r="T4817">
            <v>0</v>
          </cell>
        </row>
        <row r="4818">
          <cell r="A4818" t="str">
            <v>Y083-009</v>
          </cell>
          <cell r="B4818">
            <v>0</v>
          </cell>
          <cell r="C4818" t="str">
            <v>Y083</v>
          </cell>
          <cell r="D4818" t="str">
            <v>S7888-02A2090-床头柜</v>
          </cell>
          <cell r="E4818" t="str">
            <v xml:space="preserve">注塑饰条3 thanh tranh tri poly </v>
          </cell>
          <cell r="F4818" t="str">
            <v>113*19*12</v>
          </cell>
          <cell r="G4818">
            <v>113</v>
          </cell>
          <cell r="H4818">
            <v>19</v>
          </cell>
          <cell r="I4818">
            <v>12</v>
          </cell>
          <cell r="J4818">
            <v>0</v>
          </cell>
          <cell r="K4818">
            <v>0</v>
          </cell>
          <cell r="L4818">
            <v>0</v>
          </cell>
          <cell r="M4818">
            <v>1800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43435</v>
          </cell>
          <cell r="T4818">
            <v>0</v>
          </cell>
        </row>
        <row r="4819">
          <cell r="A4819" t="str">
            <v>Y083-010</v>
          </cell>
          <cell r="B4819">
            <v>0</v>
          </cell>
          <cell r="C4819" t="str">
            <v>Y083</v>
          </cell>
          <cell r="D4819" t="str">
            <v>S7888-02A2534-床头柜</v>
          </cell>
          <cell r="E4819" t="str">
            <v xml:space="preserve">注塑饰条4 </v>
          </cell>
          <cell r="F4819" t="str">
            <v>491*19*12</v>
          </cell>
          <cell r="G4819">
            <v>491</v>
          </cell>
          <cell r="H4819">
            <v>19</v>
          </cell>
          <cell r="I4819">
            <v>12</v>
          </cell>
          <cell r="J4819">
            <v>0</v>
          </cell>
          <cell r="K4819">
            <v>0</v>
          </cell>
          <cell r="L4819">
            <v>0</v>
          </cell>
          <cell r="M4819">
            <v>8000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43435</v>
          </cell>
          <cell r="T4819">
            <v>0</v>
          </cell>
        </row>
        <row r="4820">
          <cell r="A4820" t="str">
            <v>Y083-011</v>
          </cell>
          <cell r="B4820">
            <v>0</v>
          </cell>
          <cell r="C4820" t="str">
            <v>Y083</v>
          </cell>
          <cell r="D4820" t="str">
            <v>S7888-02A5796-床头柜</v>
          </cell>
          <cell r="E4820" t="str">
            <v xml:space="preserve">注塑脚垫 </v>
          </cell>
          <cell r="F4820" t="str">
            <v>75*154*154</v>
          </cell>
          <cell r="G4820">
            <v>75</v>
          </cell>
          <cell r="H4820">
            <v>154</v>
          </cell>
          <cell r="I4820">
            <v>154</v>
          </cell>
          <cell r="J4820">
            <v>0</v>
          </cell>
          <cell r="K4820">
            <v>0</v>
          </cell>
          <cell r="L4820">
            <v>0</v>
          </cell>
          <cell r="M4820">
            <v>50000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43435</v>
          </cell>
          <cell r="T4820">
            <v>0</v>
          </cell>
        </row>
        <row r="4821">
          <cell r="A4821" t="str">
            <v>Y083-012</v>
          </cell>
          <cell r="B4821">
            <v>0</v>
          </cell>
          <cell r="C4821" t="str">
            <v>Y083</v>
          </cell>
          <cell r="D4821" t="str">
            <v>S7888-02A5951-床头柜</v>
          </cell>
          <cell r="E4821" t="str">
            <v>注塑(左边)饰块 poly dan tru trai</v>
          </cell>
          <cell r="F4821" t="str">
            <v xml:space="preserve"> 96*65*12</v>
          </cell>
          <cell r="G4821">
            <v>96</v>
          </cell>
          <cell r="H4821">
            <v>65</v>
          </cell>
          <cell r="I4821">
            <v>12</v>
          </cell>
          <cell r="J4821">
            <v>0</v>
          </cell>
          <cell r="K4821">
            <v>0</v>
          </cell>
          <cell r="L4821">
            <v>0</v>
          </cell>
          <cell r="M4821">
            <v>3100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43435</v>
          </cell>
          <cell r="T4821">
            <v>0</v>
          </cell>
        </row>
        <row r="4822">
          <cell r="A4822" t="str">
            <v>Y083-013</v>
          </cell>
          <cell r="B4822">
            <v>0</v>
          </cell>
          <cell r="C4822" t="str">
            <v>Y083</v>
          </cell>
          <cell r="D4822" t="str">
            <v xml:space="preserve">S7888-02A5952-床头柜 </v>
          </cell>
          <cell r="E4822" t="str">
            <v xml:space="preserve">注塑(右边)饰块 poly dan tru phai </v>
          </cell>
          <cell r="F4822" t="str">
            <v xml:space="preserve"> 96*65*12</v>
          </cell>
          <cell r="G4822">
            <v>96</v>
          </cell>
          <cell r="H4822">
            <v>65</v>
          </cell>
          <cell r="I4822">
            <v>12</v>
          </cell>
          <cell r="J4822">
            <v>0</v>
          </cell>
          <cell r="K4822">
            <v>0</v>
          </cell>
          <cell r="L4822">
            <v>0</v>
          </cell>
          <cell r="M4822">
            <v>3100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43435</v>
          </cell>
          <cell r="T4822">
            <v>0</v>
          </cell>
        </row>
        <row r="4823">
          <cell r="A4823" t="str">
            <v>Y083-014</v>
          </cell>
          <cell r="B4823">
            <v>0</v>
          </cell>
          <cell r="C4823" t="str">
            <v>Y083</v>
          </cell>
          <cell r="D4823" t="str">
            <v>S7888-02A6001-床头柜</v>
          </cell>
          <cell r="E4823" t="str">
            <v xml:space="preserve">注塑(左边)饰块2 poly dan tru trai 2 </v>
          </cell>
          <cell r="F4823" t="str">
            <v>143*65*12</v>
          </cell>
          <cell r="G4823">
            <v>143</v>
          </cell>
          <cell r="H4823">
            <v>65</v>
          </cell>
          <cell r="I4823">
            <v>12</v>
          </cell>
          <cell r="J4823">
            <v>0</v>
          </cell>
          <cell r="K4823">
            <v>0</v>
          </cell>
          <cell r="L4823">
            <v>0</v>
          </cell>
          <cell r="M4823">
            <v>4500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43435</v>
          </cell>
          <cell r="T4823">
            <v>0</v>
          </cell>
        </row>
        <row r="4824">
          <cell r="A4824" t="str">
            <v>Y083-015</v>
          </cell>
          <cell r="B4824">
            <v>0</v>
          </cell>
          <cell r="C4824" t="str">
            <v>Y083</v>
          </cell>
          <cell r="D4824" t="str">
            <v>S7888-02A6002-床头柜</v>
          </cell>
          <cell r="E4824" t="str">
            <v xml:space="preserve">注塑(右边)饰块2 poly dan tru phai 2 </v>
          </cell>
          <cell r="F4824" t="str">
            <v>143*65*12</v>
          </cell>
          <cell r="G4824">
            <v>143</v>
          </cell>
          <cell r="H4824">
            <v>65</v>
          </cell>
          <cell r="I4824">
            <v>12</v>
          </cell>
          <cell r="J4824">
            <v>0</v>
          </cell>
          <cell r="K4824">
            <v>0</v>
          </cell>
          <cell r="L4824">
            <v>0</v>
          </cell>
          <cell r="M4824">
            <v>4500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43435</v>
          </cell>
          <cell r="T4824">
            <v>0</v>
          </cell>
        </row>
        <row r="4825">
          <cell r="A4825" t="str">
            <v>Y083-016</v>
          </cell>
          <cell r="B4825">
            <v>0</v>
          </cell>
          <cell r="C4825" t="str">
            <v>Y083</v>
          </cell>
          <cell r="D4825" t="str">
            <v>S7888-03A2088-大床床头</v>
          </cell>
          <cell r="E4825" t="str">
            <v xml:space="preserve">注塑饰条1 thanh trang tri poly 1 </v>
          </cell>
          <cell r="F4825" t="str">
            <v>2019*19*12</v>
          </cell>
          <cell r="G4825">
            <v>2019</v>
          </cell>
          <cell r="H4825">
            <v>19</v>
          </cell>
          <cell r="I4825">
            <v>12</v>
          </cell>
          <cell r="J4825">
            <v>0</v>
          </cell>
          <cell r="K4825">
            <v>0</v>
          </cell>
          <cell r="L4825">
            <v>0</v>
          </cell>
          <cell r="M4825">
            <v>32000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43435</v>
          </cell>
          <cell r="T4825">
            <v>0</v>
          </cell>
        </row>
        <row r="4826">
          <cell r="A4826" t="str">
            <v>Y083-017</v>
          </cell>
          <cell r="B4826">
            <v>0</v>
          </cell>
          <cell r="C4826" t="str">
            <v>Y083</v>
          </cell>
          <cell r="D4826" t="str">
            <v>S7888-03B1581-大床床头</v>
          </cell>
          <cell r="E4826" t="str">
            <v>注塑左饰条 trang tri poly trái</v>
          </cell>
          <cell r="F4826" t="str">
            <v>828*32*17</v>
          </cell>
          <cell r="G4826">
            <v>828</v>
          </cell>
          <cell r="H4826">
            <v>32</v>
          </cell>
          <cell r="I4826">
            <v>17</v>
          </cell>
          <cell r="J4826">
            <v>0</v>
          </cell>
          <cell r="K4826">
            <v>0</v>
          </cell>
          <cell r="L4826">
            <v>0</v>
          </cell>
          <cell r="M4826">
            <v>34000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43435</v>
          </cell>
          <cell r="T4826">
            <v>0</v>
          </cell>
        </row>
        <row r="4827">
          <cell r="A4827" t="str">
            <v>Y083-018</v>
          </cell>
          <cell r="B4827">
            <v>0</v>
          </cell>
          <cell r="C4827" t="str">
            <v>Y083</v>
          </cell>
          <cell r="D4827" t="str">
            <v>S7888-03B1582-大床床头</v>
          </cell>
          <cell r="E4827" t="str">
            <v>注塑右饰条 trang tri poly phải</v>
          </cell>
          <cell r="F4827" t="str">
            <v>828*32*17</v>
          </cell>
          <cell r="G4827">
            <v>828</v>
          </cell>
          <cell r="H4827">
            <v>32</v>
          </cell>
          <cell r="I4827">
            <v>17</v>
          </cell>
          <cell r="J4827">
            <v>0</v>
          </cell>
          <cell r="K4827">
            <v>0</v>
          </cell>
          <cell r="L4827">
            <v>0</v>
          </cell>
          <cell r="M4827">
            <v>34000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43435</v>
          </cell>
          <cell r="T4827">
            <v>0</v>
          </cell>
        </row>
        <row r="4828">
          <cell r="A4828" t="str">
            <v>Y083-019</v>
          </cell>
          <cell r="B4828">
            <v>0</v>
          </cell>
          <cell r="C4828" t="str">
            <v>Y083</v>
          </cell>
          <cell r="D4828" t="str">
            <v>S7888-04B1581-大床床尾</v>
          </cell>
          <cell r="E4828" t="str">
            <v>注塑左饰条 trang tri poly trái</v>
          </cell>
          <cell r="F4828" t="str">
            <v>443*34*17</v>
          </cell>
          <cell r="G4828">
            <v>443</v>
          </cell>
          <cell r="H4828">
            <v>32</v>
          </cell>
          <cell r="I4828">
            <v>17</v>
          </cell>
          <cell r="J4828">
            <v>0</v>
          </cell>
          <cell r="K4828">
            <v>0</v>
          </cell>
          <cell r="L4828">
            <v>0</v>
          </cell>
          <cell r="M4828">
            <v>19200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43435</v>
          </cell>
          <cell r="T4828">
            <v>0</v>
          </cell>
        </row>
        <row r="4829">
          <cell r="A4829" t="str">
            <v>Y083-020</v>
          </cell>
          <cell r="B4829">
            <v>0</v>
          </cell>
          <cell r="C4829" t="str">
            <v>Y083</v>
          </cell>
          <cell r="D4829" t="str">
            <v>S7888-04B1582-大床床尾</v>
          </cell>
          <cell r="E4829" t="str">
            <v>注塑右饰条 trang tri poly phải</v>
          </cell>
          <cell r="F4829" t="str">
            <v>443*34*17</v>
          </cell>
          <cell r="G4829">
            <v>443</v>
          </cell>
          <cell r="H4829">
            <v>32</v>
          </cell>
          <cell r="I4829">
            <v>17</v>
          </cell>
          <cell r="J4829">
            <v>0</v>
          </cell>
          <cell r="K4829">
            <v>0</v>
          </cell>
          <cell r="L4829">
            <v>0</v>
          </cell>
          <cell r="M4829">
            <v>19200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43435</v>
          </cell>
          <cell r="T4829">
            <v>0</v>
          </cell>
        </row>
        <row r="4830">
          <cell r="A4830" t="str">
            <v>Y083-021</v>
          </cell>
          <cell r="B4830">
            <v>0</v>
          </cell>
          <cell r="C4830" t="str">
            <v>Y083</v>
          </cell>
          <cell r="D4830" t="str">
            <v>S7888-05A2088-梳妆台</v>
          </cell>
          <cell r="E4830" t="str">
            <v xml:space="preserve">注塑饰条1 thanh trang tri poly 1 </v>
          </cell>
          <cell r="F4830" t="str">
            <v>1595*19*12</v>
          </cell>
          <cell r="G4830">
            <v>1595</v>
          </cell>
          <cell r="H4830">
            <v>19</v>
          </cell>
          <cell r="I4830">
            <v>12</v>
          </cell>
          <cell r="J4830">
            <v>0</v>
          </cell>
          <cell r="K4830">
            <v>0</v>
          </cell>
          <cell r="L4830">
            <v>0</v>
          </cell>
          <cell r="M4830">
            <v>25000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43435</v>
          </cell>
          <cell r="T4830">
            <v>0</v>
          </cell>
        </row>
        <row r="4831">
          <cell r="A4831" t="str">
            <v>Y083-022</v>
          </cell>
          <cell r="B4831">
            <v>0</v>
          </cell>
          <cell r="C4831" t="str">
            <v>Y083</v>
          </cell>
          <cell r="D4831" t="str">
            <v>S7888-05A2089-梳妆台</v>
          </cell>
          <cell r="E4831" t="str">
            <v xml:space="preserve">注塑饰条2 thanh trang tri poly </v>
          </cell>
          <cell r="F4831" t="str">
            <v>45*19*12</v>
          </cell>
          <cell r="G4831">
            <v>45</v>
          </cell>
          <cell r="H4831">
            <v>19</v>
          </cell>
          <cell r="I4831">
            <v>12</v>
          </cell>
          <cell r="J4831">
            <v>0</v>
          </cell>
          <cell r="K4831">
            <v>0</v>
          </cell>
          <cell r="L4831">
            <v>0</v>
          </cell>
          <cell r="M4831">
            <v>1000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43435</v>
          </cell>
          <cell r="T4831">
            <v>0</v>
          </cell>
        </row>
        <row r="4832">
          <cell r="A4832" t="str">
            <v>Y083-023</v>
          </cell>
          <cell r="B4832">
            <v>0</v>
          </cell>
          <cell r="C4832" t="str">
            <v>Y083</v>
          </cell>
          <cell r="D4832" t="str">
            <v>S7888-05A2090-梳妆台</v>
          </cell>
          <cell r="E4832" t="str">
            <v xml:space="preserve">注塑饰条3 thanh tranh tri poly </v>
          </cell>
          <cell r="F4832" t="str">
            <v>113*19*12</v>
          </cell>
          <cell r="G4832">
            <v>113</v>
          </cell>
          <cell r="H4832">
            <v>19</v>
          </cell>
          <cell r="I4832">
            <v>12</v>
          </cell>
          <cell r="J4832">
            <v>0</v>
          </cell>
          <cell r="K4832">
            <v>0</v>
          </cell>
          <cell r="L4832">
            <v>0</v>
          </cell>
          <cell r="M4832">
            <v>1800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43435</v>
          </cell>
          <cell r="T4832">
            <v>0</v>
          </cell>
        </row>
        <row r="4833">
          <cell r="A4833" t="str">
            <v>Y083-024</v>
          </cell>
          <cell r="B4833">
            <v>0</v>
          </cell>
          <cell r="C4833" t="str">
            <v>Y083</v>
          </cell>
          <cell r="D4833" t="str">
            <v>S7888-05A2534-梳妆台</v>
          </cell>
          <cell r="E4833" t="str">
            <v xml:space="preserve">注塑饰条4 </v>
          </cell>
          <cell r="F4833" t="str">
            <v>463*19*12</v>
          </cell>
          <cell r="G4833">
            <v>463</v>
          </cell>
          <cell r="H4833">
            <v>19</v>
          </cell>
          <cell r="I4833">
            <v>12</v>
          </cell>
          <cell r="J4833">
            <v>0</v>
          </cell>
          <cell r="K4833">
            <v>0</v>
          </cell>
          <cell r="L4833">
            <v>0</v>
          </cell>
          <cell r="M4833">
            <v>8000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43435</v>
          </cell>
          <cell r="T4833">
            <v>0</v>
          </cell>
        </row>
        <row r="4834">
          <cell r="A4834" t="str">
            <v>Y083-025</v>
          </cell>
          <cell r="B4834">
            <v>0</v>
          </cell>
          <cell r="C4834" t="str">
            <v>Y083</v>
          </cell>
          <cell r="D4834" t="str">
            <v>S7888-05A5796-梳妆台</v>
          </cell>
          <cell r="E4834" t="str">
            <v xml:space="preserve">注塑脚垫 </v>
          </cell>
          <cell r="F4834" t="str">
            <v>75*154*154</v>
          </cell>
          <cell r="G4834">
            <v>75</v>
          </cell>
          <cell r="H4834">
            <v>154</v>
          </cell>
          <cell r="I4834">
            <v>154</v>
          </cell>
          <cell r="J4834">
            <v>0</v>
          </cell>
          <cell r="K4834">
            <v>0</v>
          </cell>
          <cell r="L4834">
            <v>0</v>
          </cell>
          <cell r="M4834">
            <v>50000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43435</v>
          </cell>
          <cell r="T4834">
            <v>0</v>
          </cell>
        </row>
        <row r="4835">
          <cell r="A4835" t="str">
            <v>Y083-026</v>
          </cell>
          <cell r="B4835">
            <v>0</v>
          </cell>
          <cell r="C4835" t="str">
            <v>Y083</v>
          </cell>
          <cell r="D4835" t="str">
            <v>S7888-05A5951-梳妆台</v>
          </cell>
          <cell r="E4835" t="str">
            <v xml:space="preserve">注塑(左边)饰块 poly dan tru trai </v>
          </cell>
          <cell r="F4835" t="str">
            <v>96*65*12</v>
          </cell>
          <cell r="G4835">
            <v>96</v>
          </cell>
          <cell r="H4835">
            <v>65</v>
          </cell>
          <cell r="I4835">
            <v>12</v>
          </cell>
          <cell r="J4835">
            <v>0</v>
          </cell>
          <cell r="K4835">
            <v>0</v>
          </cell>
          <cell r="L4835">
            <v>0</v>
          </cell>
          <cell r="M4835">
            <v>3100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43435</v>
          </cell>
          <cell r="T4835">
            <v>0</v>
          </cell>
        </row>
        <row r="4836">
          <cell r="A4836" t="str">
            <v>Y083-027</v>
          </cell>
          <cell r="B4836">
            <v>0</v>
          </cell>
          <cell r="C4836" t="str">
            <v>Y083</v>
          </cell>
          <cell r="D4836" t="str">
            <v>S7888-05A5952-梳妆台</v>
          </cell>
          <cell r="E4836" t="str">
            <v xml:space="preserve">注塑(右边)饰块 poly dan tru phai </v>
          </cell>
          <cell r="F4836" t="str">
            <v>96*65*12</v>
          </cell>
          <cell r="G4836">
            <v>96</v>
          </cell>
          <cell r="H4836">
            <v>65</v>
          </cell>
          <cell r="I4836">
            <v>12</v>
          </cell>
          <cell r="J4836">
            <v>0</v>
          </cell>
          <cell r="K4836">
            <v>0</v>
          </cell>
          <cell r="L4836">
            <v>0</v>
          </cell>
          <cell r="M4836">
            <v>3100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43435</v>
          </cell>
          <cell r="T4836">
            <v>0</v>
          </cell>
        </row>
        <row r="4837">
          <cell r="A4837" t="str">
            <v>Y083-028</v>
          </cell>
          <cell r="B4837">
            <v>0</v>
          </cell>
          <cell r="C4837" t="str">
            <v>Y083</v>
          </cell>
          <cell r="D4837" t="str">
            <v>S7888-05A6001-梳妆台</v>
          </cell>
          <cell r="E4837" t="str">
            <v>注塑(左边)饰块2 poly dan tru trai 2</v>
          </cell>
          <cell r="F4837" t="str">
            <v xml:space="preserve"> 143*65*12</v>
          </cell>
          <cell r="G4837">
            <v>143</v>
          </cell>
          <cell r="H4837">
            <v>65</v>
          </cell>
          <cell r="I4837">
            <v>12</v>
          </cell>
          <cell r="J4837">
            <v>0</v>
          </cell>
          <cell r="K4837">
            <v>0</v>
          </cell>
          <cell r="L4837">
            <v>0</v>
          </cell>
          <cell r="M4837">
            <v>4500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43435</v>
          </cell>
          <cell r="T4837">
            <v>0</v>
          </cell>
        </row>
        <row r="4838">
          <cell r="A4838" t="str">
            <v>Y083-029</v>
          </cell>
          <cell r="B4838">
            <v>0</v>
          </cell>
          <cell r="C4838" t="str">
            <v>Y083</v>
          </cell>
          <cell r="D4838" t="str">
            <v>S7888-05A6002-梳妆台</v>
          </cell>
          <cell r="E4838" t="str">
            <v xml:space="preserve">注塑(右边)饰块2 poly dan tru phai 2 </v>
          </cell>
          <cell r="F4838" t="str">
            <v xml:space="preserve"> 143*65*12</v>
          </cell>
          <cell r="G4838">
            <v>143</v>
          </cell>
          <cell r="H4838">
            <v>65</v>
          </cell>
          <cell r="I4838">
            <v>12</v>
          </cell>
          <cell r="J4838">
            <v>0</v>
          </cell>
          <cell r="K4838">
            <v>0</v>
          </cell>
          <cell r="L4838">
            <v>0</v>
          </cell>
          <cell r="M4838">
            <v>4500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43435</v>
          </cell>
          <cell r="T4838">
            <v>0</v>
          </cell>
        </row>
        <row r="4839">
          <cell r="A4839" t="str">
            <v>Y083-030</v>
          </cell>
          <cell r="B4839">
            <v>0</v>
          </cell>
          <cell r="C4839" t="str">
            <v>Y083</v>
          </cell>
          <cell r="D4839" t="str">
            <v>S7888-05A6005-梳妆台</v>
          </cell>
          <cell r="E4839" t="str">
            <v xml:space="preserve">注塑抽头板长饰条1 poly thanh trang tri dai mat hoc keo 1 </v>
          </cell>
          <cell r="F4839" t="str">
            <v>515*34*17</v>
          </cell>
          <cell r="G4839">
            <v>515</v>
          </cell>
          <cell r="H4839">
            <v>32</v>
          </cell>
          <cell r="I4839">
            <v>17</v>
          </cell>
          <cell r="J4839">
            <v>0</v>
          </cell>
          <cell r="K4839">
            <v>0</v>
          </cell>
          <cell r="L4839">
            <v>0</v>
          </cell>
          <cell r="M4839">
            <v>23500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43435</v>
          </cell>
          <cell r="T4839">
            <v>0</v>
          </cell>
        </row>
        <row r="4840">
          <cell r="A4840" t="str">
            <v>Y083-031</v>
          </cell>
          <cell r="B4840">
            <v>0</v>
          </cell>
          <cell r="C4840" t="str">
            <v>Y083</v>
          </cell>
          <cell r="D4840" t="str">
            <v>S7888-05A6006-梳妆台</v>
          </cell>
          <cell r="E4840" t="str">
            <v xml:space="preserve">注塑抽头板长饰条2 poly thanh trang tri dai mat hoc keo 2 </v>
          </cell>
          <cell r="F4840" t="str">
            <v>511*32*17</v>
          </cell>
          <cell r="G4840">
            <v>511</v>
          </cell>
          <cell r="H4840">
            <v>32</v>
          </cell>
          <cell r="I4840">
            <v>17</v>
          </cell>
          <cell r="J4840">
            <v>0</v>
          </cell>
          <cell r="K4840">
            <v>0</v>
          </cell>
          <cell r="L4840">
            <v>0</v>
          </cell>
          <cell r="M4840">
            <v>23000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43435</v>
          </cell>
          <cell r="T4840">
            <v>0</v>
          </cell>
        </row>
        <row r="4841">
          <cell r="A4841" t="str">
            <v>Y083-032</v>
          </cell>
          <cell r="B4841">
            <v>0</v>
          </cell>
          <cell r="C4841" t="str">
            <v>Y083</v>
          </cell>
          <cell r="D4841" t="str">
            <v>S7888-05A6007-梳妆台</v>
          </cell>
          <cell r="E4841" t="str">
            <v xml:space="preserve">注塑抽头板长饰条3 poly thanh trang tri dai mat hoc keo 3 </v>
          </cell>
          <cell r="F4841" t="str">
            <v>782*34*17</v>
          </cell>
          <cell r="G4841">
            <v>782</v>
          </cell>
          <cell r="H4841">
            <v>32</v>
          </cell>
          <cell r="I4841">
            <v>17</v>
          </cell>
          <cell r="J4841">
            <v>0</v>
          </cell>
          <cell r="K4841">
            <v>0</v>
          </cell>
          <cell r="L4841">
            <v>0</v>
          </cell>
          <cell r="M4841">
            <v>34500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43435</v>
          </cell>
          <cell r="T4841">
            <v>0</v>
          </cell>
        </row>
        <row r="4842">
          <cell r="A4842" t="str">
            <v>Y083-033</v>
          </cell>
          <cell r="B4842">
            <v>0</v>
          </cell>
          <cell r="C4842" t="str">
            <v>Y083</v>
          </cell>
          <cell r="D4842" t="str">
            <v>S7888-06A2089-镜子</v>
          </cell>
          <cell r="E4842" t="str">
            <v xml:space="preserve">注塑饰条2 thanh trang tri poly </v>
          </cell>
          <cell r="F4842" t="str">
            <v>32*19*12</v>
          </cell>
          <cell r="G4842">
            <v>32</v>
          </cell>
          <cell r="H4842">
            <v>19</v>
          </cell>
          <cell r="I4842">
            <v>12</v>
          </cell>
          <cell r="J4842">
            <v>0</v>
          </cell>
          <cell r="K4842">
            <v>0</v>
          </cell>
          <cell r="L4842">
            <v>0</v>
          </cell>
          <cell r="M4842">
            <v>1000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43435</v>
          </cell>
          <cell r="T4842">
            <v>0</v>
          </cell>
        </row>
        <row r="4843">
          <cell r="A4843" t="str">
            <v>Y083-034</v>
          </cell>
          <cell r="B4843">
            <v>0</v>
          </cell>
          <cell r="C4843" t="str">
            <v>Y083</v>
          </cell>
          <cell r="D4843" t="str">
            <v>S7888-06A2090-镜子</v>
          </cell>
          <cell r="E4843" t="str">
            <v xml:space="preserve">注塑饰条3 thanh tranh tri poly </v>
          </cell>
          <cell r="F4843" t="str">
            <v>113*19*12</v>
          </cell>
          <cell r="G4843">
            <v>113</v>
          </cell>
          <cell r="H4843">
            <v>19</v>
          </cell>
          <cell r="I4843">
            <v>12</v>
          </cell>
          <cell r="J4843">
            <v>0</v>
          </cell>
          <cell r="K4843">
            <v>0</v>
          </cell>
          <cell r="L4843">
            <v>0</v>
          </cell>
          <cell r="M4843">
            <v>1800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43435</v>
          </cell>
          <cell r="T4843">
            <v>0</v>
          </cell>
        </row>
        <row r="4844">
          <cell r="A4844" t="str">
            <v>Y083-035</v>
          </cell>
          <cell r="B4844">
            <v>0</v>
          </cell>
          <cell r="C4844" t="str">
            <v>Y083</v>
          </cell>
          <cell r="D4844" t="str">
            <v>S7888-06A2534-镜子</v>
          </cell>
          <cell r="E4844" t="str">
            <v xml:space="preserve">注塑饰条4 </v>
          </cell>
          <cell r="F4844" t="str">
            <v>50*19*12</v>
          </cell>
          <cell r="G4844">
            <v>50</v>
          </cell>
          <cell r="H4844">
            <v>19</v>
          </cell>
          <cell r="I4844">
            <v>12</v>
          </cell>
          <cell r="J4844">
            <v>0</v>
          </cell>
          <cell r="K4844">
            <v>0</v>
          </cell>
          <cell r="L4844">
            <v>0</v>
          </cell>
          <cell r="M4844">
            <v>1000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43435</v>
          </cell>
          <cell r="T4844">
            <v>0</v>
          </cell>
        </row>
        <row r="4845">
          <cell r="A4845" t="str">
            <v>Y083-036</v>
          </cell>
          <cell r="B4845">
            <v>0</v>
          </cell>
          <cell r="C4845" t="str">
            <v>Y083</v>
          </cell>
          <cell r="D4845" t="str">
            <v>S7888-06A5951-镜子</v>
          </cell>
          <cell r="E4845" t="str">
            <v xml:space="preserve">注塑(左边)饰块 poly dan tru trai </v>
          </cell>
          <cell r="F4845" t="str">
            <v>61*60*12</v>
          </cell>
          <cell r="G4845">
            <v>61</v>
          </cell>
          <cell r="H4845">
            <v>60</v>
          </cell>
          <cell r="I4845">
            <v>12</v>
          </cell>
          <cell r="J4845">
            <v>0</v>
          </cell>
          <cell r="K4845">
            <v>0</v>
          </cell>
          <cell r="L4845">
            <v>0</v>
          </cell>
          <cell r="M4845">
            <v>2400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43435</v>
          </cell>
          <cell r="T4845">
            <v>0</v>
          </cell>
        </row>
        <row r="4846">
          <cell r="A4846" t="str">
            <v>Y083-037</v>
          </cell>
          <cell r="B4846">
            <v>0</v>
          </cell>
          <cell r="C4846" t="str">
            <v>Y083</v>
          </cell>
          <cell r="D4846" t="str">
            <v>S7888-06A5952-镜子</v>
          </cell>
          <cell r="E4846" t="str">
            <v xml:space="preserve">注塑(右边)饰块 poly dan tru phai </v>
          </cell>
          <cell r="F4846" t="str">
            <v>61*60*12</v>
          </cell>
          <cell r="G4846">
            <v>61</v>
          </cell>
          <cell r="H4846">
            <v>60</v>
          </cell>
          <cell r="I4846">
            <v>12</v>
          </cell>
          <cell r="J4846">
            <v>0</v>
          </cell>
          <cell r="K4846">
            <v>0</v>
          </cell>
          <cell r="L4846">
            <v>0</v>
          </cell>
          <cell r="M4846">
            <v>2400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43435</v>
          </cell>
          <cell r="T4846">
            <v>0</v>
          </cell>
        </row>
        <row r="4847">
          <cell r="A4847" t="str">
            <v>Y083-038</v>
          </cell>
          <cell r="B4847">
            <v>0</v>
          </cell>
          <cell r="C4847" t="str">
            <v>Y083</v>
          </cell>
          <cell r="D4847" t="str">
            <v>S7888-06A6001-镜子</v>
          </cell>
          <cell r="E4847" t="str">
            <v xml:space="preserve">注塑(左边)饰块2 poly dan tru trai 2 </v>
          </cell>
          <cell r="F4847" t="str">
            <v>143*65*12</v>
          </cell>
          <cell r="G4847">
            <v>143</v>
          </cell>
          <cell r="H4847">
            <v>65</v>
          </cell>
          <cell r="I4847">
            <v>12</v>
          </cell>
          <cell r="J4847">
            <v>0</v>
          </cell>
          <cell r="K4847">
            <v>0</v>
          </cell>
          <cell r="L4847">
            <v>0</v>
          </cell>
          <cell r="M4847">
            <v>4500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43435</v>
          </cell>
          <cell r="T4847">
            <v>0</v>
          </cell>
        </row>
        <row r="4848">
          <cell r="A4848" t="str">
            <v>Y083-039</v>
          </cell>
          <cell r="B4848">
            <v>0</v>
          </cell>
          <cell r="C4848" t="str">
            <v>Y083</v>
          </cell>
          <cell r="D4848" t="str">
            <v>S7888-06A6002-镜子</v>
          </cell>
          <cell r="E4848" t="str">
            <v>注塑(右边)饰块2 poly dan tru phai 2</v>
          </cell>
          <cell r="F4848" t="str">
            <v>143*65*12</v>
          </cell>
          <cell r="G4848">
            <v>143</v>
          </cell>
          <cell r="H4848">
            <v>65</v>
          </cell>
          <cell r="I4848">
            <v>12</v>
          </cell>
          <cell r="J4848">
            <v>0</v>
          </cell>
          <cell r="K4848">
            <v>0</v>
          </cell>
          <cell r="L4848">
            <v>0</v>
          </cell>
          <cell r="M4848">
            <v>4500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43435</v>
          </cell>
          <cell r="T4848">
            <v>0</v>
          </cell>
        </row>
        <row r="4849">
          <cell r="A4849" t="str">
            <v>Y083-040</v>
          </cell>
          <cell r="B4849">
            <v>0</v>
          </cell>
          <cell r="C4849" t="str">
            <v>Y083</v>
          </cell>
          <cell r="D4849" t="str">
            <v>S7888-11A2088-五头柜</v>
          </cell>
          <cell r="E4849" t="str">
            <v xml:space="preserve">注塑饰条1 thanh trang tri poly 1 </v>
          </cell>
          <cell r="F4849" t="str">
            <v>937*19*12</v>
          </cell>
          <cell r="G4849">
            <v>937</v>
          </cell>
          <cell r="H4849">
            <v>19</v>
          </cell>
          <cell r="I4849">
            <v>12</v>
          </cell>
          <cell r="J4849">
            <v>0</v>
          </cell>
          <cell r="K4849">
            <v>0</v>
          </cell>
          <cell r="L4849">
            <v>0</v>
          </cell>
          <cell r="M4849">
            <v>14500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43435</v>
          </cell>
          <cell r="T4849">
            <v>0</v>
          </cell>
        </row>
        <row r="4850">
          <cell r="A4850" t="str">
            <v>Y083-041</v>
          </cell>
          <cell r="B4850">
            <v>0</v>
          </cell>
          <cell r="C4850" t="str">
            <v>Y083</v>
          </cell>
          <cell r="D4850" t="str">
            <v>S7888-11A2089-五头柜</v>
          </cell>
          <cell r="E4850" t="str">
            <v xml:space="preserve">注塑饰条2 thanh trang tri poly </v>
          </cell>
          <cell r="F4850" t="str">
            <v>51*19*12</v>
          </cell>
          <cell r="G4850">
            <v>51</v>
          </cell>
          <cell r="H4850">
            <v>19</v>
          </cell>
          <cell r="I4850">
            <v>12</v>
          </cell>
          <cell r="J4850">
            <v>0</v>
          </cell>
          <cell r="K4850">
            <v>0</v>
          </cell>
          <cell r="L4850">
            <v>0</v>
          </cell>
          <cell r="M4850">
            <v>1000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43435</v>
          </cell>
          <cell r="T4850">
            <v>0</v>
          </cell>
        </row>
        <row r="4851">
          <cell r="A4851" t="str">
            <v>Y083-042</v>
          </cell>
          <cell r="B4851">
            <v>0</v>
          </cell>
          <cell r="C4851" t="str">
            <v>Y083</v>
          </cell>
          <cell r="D4851" t="str">
            <v>S7888-11A2090-五头柜</v>
          </cell>
          <cell r="E4851" t="str">
            <v xml:space="preserve">注塑饰条3 thanh tranh tri poly </v>
          </cell>
          <cell r="F4851" t="str">
            <v>113*19*12</v>
          </cell>
          <cell r="G4851">
            <v>113</v>
          </cell>
          <cell r="H4851">
            <v>19</v>
          </cell>
          <cell r="I4851">
            <v>12</v>
          </cell>
          <cell r="J4851">
            <v>0</v>
          </cell>
          <cell r="K4851">
            <v>0</v>
          </cell>
          <cell r="L4851">
            <v>0</v>
          </cell>
          <cell r="M4851">
            <v>1800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43435</v>
          </cell>
          <cell r="T4851">
            <v>0</v>
          </cell>
        </row>
        <row r="4852">
          <cell r="A4852" t="str">
            <v>Y083-043</v>
          </cell>
          <cell r="B4852">
            <v>0</v>
          </cell>
          <cell r="C4852" t="str">
            <v>Y083</v>
          </cell>
          <cell r="D4852" t="str">
            <v>S7888-11A2534-五头柜</v>
          </cell>
          <cell r="E4852" t="str">
            <v xml:space="preserve">注塑饰条4 </v>
          </cell>
          <cell r="F4852" t="str">
            <v>476*19*12</v>
          </cell>
          <cell r="G4852">
            <v>476</v>
          </cell>
          <cell r="H4852">
            <v>19</v>
          </cell>
          <cell r="I4852">
            <v>12</v>
          </cell>
          <cell r="J4852">
            <v>0</v>
          </cell>
          <cell r="K4852">
            <v>0</v>
          </cell>
          <cell r="L4852">
            <v>0</v>
          </cell>
          <cell r="M4852">
            <v>7600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43435</v>
          </cell>
          <cell r="T4852">
            <v>0</v>
          </cell>
        </row>
        <row r="4853">
          <cell r="A4853" t="str">
            <v>Y083-044</v>
          </cell>
          <cell r="B4853">
            <v>0</v>
          </cell>
          <cell r="C4853" t="str">
            <v>Y083</v>
          </cell>
          <cell r="D4853" t="str">
            <v>S7888-11A5796-五头柜</v>
          </cell>
          <cell r="E4853" t="str">
            <v xml:space="preserve">注塑脚垫 </v>
          </cell>
          <cell r="F4853" t="str">
            <v>75*154*154</v>
          </cell>
          <cell r="G4853">
            <v>75</v>
          </cell>
          <cell r="H4853">
            <v>154</v>
          </cell>
          <cell r="I4853">
            <v>154</v>
          </cell>
          <cell r="J4853">
            <v>0</v>
          </cell>
          <cell r="K4853">
            <v>0</v>
          </cell>
          <cell r="L4853">
            <v>0</v>
          </cell>
          <cell r="M4853">
            <v>50000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43435</v>
          </cell>
          <cell r="T4853">
            <v>0</v>
          </cell>
        </row>
        <row r="4854">
          <cell r="A4854" t="str">
            <v>Y083-045</v>
          </cell>
          <cell r="B4854">
            <v>0</v>
          </cell>
          <cell r="C4854" t="str">
            <v>Y083</v>
          </cell>
          <cell r="D4854" t="str">
            <v>S7888-11A5951-五头柜</v>
          </cell>
          <cell r="E4854" t="str">
            <v xml:space="preserve">注塑(左边)饰块 poly dan tru trai </v>
          </cell>
          <cell r="F4854" t="str">
            <v>96*65*12</v>
          </cell>
          <cell r="G4854">
            <v>96</v>
          </cell>
          <cell r="H4854">
            <v>65</v>
          </cell>
          <cell r="I4854">
            <v>12</v>
          </cell>
          <cell r="J4854">
            <v>0</v>
          </cell>
          <cell r="K4854">
            <v>0</v>
          </cell>
          <cell r="L4854">
            <v>0</v>
          </cell>
          <cell r="M4854">
            <v>3100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43435</v>
          </cell>
          <cell r="T4854">
            <v>0</v>
          </cell>
        </row>
        <row r="4855">
          <cell r="A4855" t="str">
            <v>Y083-046</v>
          </cell>
          <cell r="B4855">
            <v>0</v>
          </cell>
          <cell r="C4855" t="str">
            <v>Y083</v>
          </cell>
          <cell r="D4855" t="str">
            <v>S7888-11A5952-五头柜</v>
          </cell>
          <cell r="E4855" t="str">
            <v xml:space="preserve">注塑(右边)饰块 poly dan tru phai </v>
          </cell>
          <cell r="F4855" t="str">
            <v>96*65*12</v>
          </cell>
          <cell r="G4855">
            <v>96</v>
          </cell>
          <cell r="H4855">
            <v>65</v>
          </cell>
          <cell r="I4855">
            <v>12</v>
          </cell>
          <cell r="J4855">
            <v>0</v>
          </cell>
          <cell r="K4855">
            <v>0</v>
          </cell>
          <cell r="L4855">
            <v>0</v>
          </cell>
          <cell r="M4855">
            <v>3100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43435</v>
          </cell>
          <cell r="T4855">
            <v>0</v>
          </cell>
        </row>
        <row r="4856">
          <cell r="A4856" t="str">
            <v>Y083-047</v>
          </cell>
          <cell r="B4856">
            <v>0</v>
          </cell>
          <cell r="C4856" t="str">
            <v>Y083</v>
          </cell>
          <cell r="D4856" t="str">
            <v>S7888-11A6001-五头柜</v>
          </cell>
          <cell r="E4856" t="str">
            <v xml:space="preserve">注塑(左边)饰块2 poly dan tru trai 2 </v>
          </cell>
          <cell r="F4856" t="str">
            <v>143*65*15</v>
          </cell>
          <cell r="G4856">
            <v>143</v>
          </cell>
          <cell r="H4856">
            <v>65</v>
          </cell>
          <cell r="I4856">
            <v>12</v>
          </cell>
          <cell r="J4856">
            <v>0</v>
          </cell>
          <cell r="K4856">
            <v>0</v>
          </cell>
          <cell r="L4856">
            <v>0</v>
          </cell>
          <cell r="M4856">
            <v>4500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43435</v>
          </cell>
          <cell r="T4856">
            <v>0</v>
          </cell>
        </row>
        <row r="4857">
          <cell r="A4857" t="str">
            <v>Y083-048</v>
          </cell>
          <cell r="B4857">
            <v>0</v>
          </cell>
          <cell r="C4857" t="str">
            <v>Y083</v>
          </cell>
          <cell r="D4857" t="str">
            <v>S7888-11A6002-五头柜</v>
          </cell>
          <cell r="E4857" t="str">
            <v xml:space="preserve">注塑(右边)饰块2 poly dan tru phai 2 </v>
          </cell>
          <cell r="F4857" t="str">
            <v>143*65*15</v>
          </cell>
          <cell r="G4857">
            <v>143</v>
          </cell>
          <cell r="H4857">
            <v>65</v>
          </cell>
          <cell r="I4857">
            <v>12</v>
          </cell>
          <cell r="J4857">
            <v>0</v>
          </cell>
          <cell r="K4857">
            <v>0</v>
          </cell>
          <cell r="L4857">
            <v>0</v>
          </cell>
          <cell r="M4857">
            <v>4500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43435</v>
          </cell>
          <cell r="T4857">
            <v>0</v>
          </cell>
        </row>
        <row r="4858">
          <cell r="A4858" t="str">
            <v>Y083-049</v>
          </cell>
          <cell r="B4858">
            <v>0</v>
          </cell>
          <cell r="C4858" t="str">
            <v>Y083</v>
          </cell>
          <cell r="D4858" t="str">
            <v>S7888-11A6005-五头柜</v>
          </cell>
          <cell r="E4858" t="str">
            <v xml:space="preserve">注塑抽头板长饰条1 poly thanh trang tri dai mat hoc keo 1 </v>
          </cell>
          <cell r="F4858" t="str">
            <v>931*32*17</v>
          </cell>
          <cell r="G4858">
            <v>931</v>
          </cell>
          <cell r="H4858">
            <v>32</v>
          </cell>
          <cell r="I4858">
            <v>17</v>
          </cell>
          <cell r="J4858">
            <v>0</v>
          </cell>
          <cell r="K4858">
            <v>0</v>
          </cell>
          <cell r="L4858">
            <v>0</v>
          </cell>
          <cell r="M4858">
            <v>43500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43435</v>
          </cell>
          <cell r="T4858">
            <v>0</v>
          </cell>
        </row>
        <row r="4859">
          <cell r="A4859" t="str">
            <v>Y083-050</v>
          </cell>
          <cell r="B4859">
            <v>0</v>
          </cell>
          <cell r="C4859" t="str">
            <v>Y083</v>
          </cell>
          <cell r="D4859" t="str">
            <v>S7888-13A2088-小床床头</v>
          </cell>
          <cell r="E4859" t="str">
            <v xml:space="preserve">注塑饰条1 thanh trang tri poly 1 </v>
          </cell>
          <cell r="F4859" t="str">
            <v>1500*19*12</v>
          </cell>
          <cell r="G4859">
            <v>1500</v>
          </cell>
          <cell r="H4859">
            <v>19</v>
          </cell>
          <cell r="I4859">
            <v>12</v>
          </cell>
          <cell r="J4859">
            <v>0</v>
          </cell>
          <cell r="K4859">
            <v>0</v>
          </cell>
          <cell r="L4859">
            <v>0</v>
          </cell>
          <cell r="M4859">
            <v>23000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43435</v>
          </cell>
          <cell r="T4859">
            <v>0</v>
          </cell>
        </row>
        <row r="4860">
          <cell r="A4860" t="str">
            <v>Y083-051</v>
          </cell>
          <cell r="B4860">
            <v>0</v>
          </cell>
          <cell r="C4860" t="str">
            <v>Y083</v>
          </cell>
          <cell r="D4860" t="str">
            <v>S7888-13B1581-小床床头</v>
          </cell>
          <cell r="E4860" t="str">
            <v>注塑左饰条trang tri poly trái</v>
          </cell>
          <cell r="F4860" t="str">
            <v>828*34*17</v>
          </cell>
          <cell r="G4860">
            <v>828</v>
          </cell>
          <cell r="H4860">
            <v>32</v>
          </cell>
          <cell r="I4860">
            <v>17</v>
          </cell>
          <cell r="J4860">
            <v>0</v>
          </cell>
          <cell r="K4860">
            <v>0</v>
          </cell>
          <cell r="L4860">
            <v>0</v>
          </cell>
          <cell r="M4860">
            <v>34000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43435</v>
          </cell>
          <cell r="T4860">
            <v>0</v>
          </cell>
        </row>
        <row r="4861">
          <cell r="A4861" t="str">
            <v>Y083-052</v>
          </cell>
          <cell r="B4861">
            <v>0</v>
          </cell>
          <cell r="C4861" t="str">
            <v>Y083</v>
          </cell>
          <cell r="D4861" t="str">
            <v>S7888-13B1582-小床床头</v>
          </cell>
          <cell r="E4861" t="str">
            <v>注塑右饰条trang tri poly phải</v>
          </cell>
          <cell r="F4861" t="str">
            <v>828*34*17</v>
          </cell>
          <cell r="G4861">
            <v>828</v>
          </cell>
          <cell r="H4861">
            <v>32</v>
          </cell>
          <cell r="I4861">
            <v>17</v>
          </cell>
          <cell r="J4861">
            <v>0</v>
          </cell>
          <cell r="K4861">
            <v>0</v>
          </cell>
          <cell r="L4861">
            <v>0</v>
          </cell>
          <cell r="M4861">
            <v>34000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43435</v>
          </cell>
          <cell r="T4861">
            <v>0</v>
          </cell>
        </row>
        <row r="4862">
          <cell r="A4862" t="str">
            <v>Y083-053</v>
          </cell>
          <cell r="B4862">
            <v>0</v>
          </cell>
          <cell r="C4862" t="str">
            <v>Y083</v>
          </cell>
          <cell r="D4862" t="str">
            <v>S7888-14B1581-小床床尾</v>
          </cell>
          <cell r="E4862" t="str">
            <v>注塑左饰条trang tri poly trái</v>
          </cell>
          <cell r="F4862" t="str">
            <v>443*34*17</v>
          </cell>
          <cell r="G4862">
            <v>443</v>
          </cell>
          <cell r="H4862">
            <v>32</v>
          </cell>
          <cell r="I4862">
            <v>17</v>
          </cell>
          <cell r="J4862">
            <v>0</v>
          </cell>
          <cell r="K4862">
            <v>0</v>
          </cell>
          <cell r="L4862">
            <v>0</v>
          </cell>
          <cell r="M4862">
            <v>19200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43435</v>
          </cell>
          <cell r="T4862">
            <v>0</v>
          </cell>
        </row>
        <row r="4863">
          <cell r="A4863" t="str">
            <v>Y083-054</v>
          </cell>
          <cell r="B4863">
            <v>0</v>
          </cell>
          <cell r="C4863" t="str">
            <v>Y083</v>
          </cell>
          <cell r="D4863" t="str">
            <v>S7888-14B1582-小床床尾</v>
          </cell>
          <cell r="E4863" t="str">
            <v>注塑右饰条trang tri poly phải</v>
          </cell>
          <cell r="F4863" t="str">
            <v>443*34*17</v>
          </cell>
          <cell r="G4863">
            <v>443</v>
          </cell>
          <cell r="H4863">
            <v>32</v>
          </cell>
          <cell r="I4863">
            <v>17</v>
          </cell>
          <cell r="J4863">
            <v>0</v>
          </cell>
          <cell r="K4863">
            <v>0</v>
          </cell>
          <cell r="L4863">
            <v>0</v>
          </cell>
          <cell r="M4863">
            <v>19200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43435</v>
          </cell>
          <cell r="T4863">
            <v>0</v>
          </cell>
        </row>
        <row r="4864">
          <cell r="A4864" t="str">
            <v>Y083-055</v>
          </cell>
          <cell r="B4864">
            <v>0</v>
          </cell>
          <cell r="C4864" t="str">
            <v>Y083</v>
          </cell>
          <cell r="D4864" t="str">
            <v>S7888-03/04</v>
          </cell>
          <cell r="E4864" t="str">
            <v>床尾柱饰花（左边）</v>
          </cell>
          <cell r="F4864" t="str">
            <v>172*114*12</v>
          </cell>
          <cell r="G4864">
            <v>172</v>
          </cell>
          <cell r="H4864">
            <v>114</v>
          </cell>
          <cell r="I4864">
            <v>12</v>
          </cell>
          <cell r="J4864">
            <v>0</v>
          </cell>
          <cell r="K4864">
            <v>0</v>
          </cell>
          <cell r="L4864">
            <v>0</v>
          </cell>
          <cell r="M4864">
            <v>8500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43444</v>
          </cell>
          <cell r="T4864">
            <v>0</v>
          </cell>
        </row>
        <row r="4865">
          <cell r="A4865" t="str">
            <v>Y083-056</v>
          </cell>
          <cell r="B4865">
            <v>0</v>
          </cell>
          <cell r="C4865" t="str">
            <v>Y083</v>
          </cell>
          <cell r="D4865" t="str">
            <v>S7888-03/04</v>
          </cell>
          <cell r="E4865" t="str">
            <v>床尾柱饰花（右边）</v>
          </cell>
          <cell r="F4865" t="str">
            <v>172*114*12</v>
          </cell>
          <cell r="G4865">
            <v>172</v>
          </cell>
          <cell r="H4865">
            <v>114</v>
          </cell>
          <cell r="I4865">
            <v>12</v>
          </cell>
          <cell r="J4865">
            <v>0</v>
          </cell>
          <cell r="K4865">
            <v>0</v>
          </cell>
          <cell r="L4865">
            <v>0</v>
          </cell>
          <cell r="M4865">
            <v>8500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43444</v>
          </cell>
          <cell r="T4865">
            <v>0</v>
          </cell>
        </row>
        <row r="4866">
          <cell r="A4866" t="str">
            <v>Y083-057</v>
          </cell>
          <cell r="B4866">
            <v>0</v>
          </cell>
          <cell r="C4866" t="str">
            <v>Y083</v>
          </cell>
          <cell r="D4866" t="str">
            <v>S7888-13/14</v>
          </cell>
          <cell r="E4866" t="str">
            <v>床头柱饰花（左边）</v>
          </cell>
          <cell r="F4866" t="str">
            <v>182*32*12</v>
          </cell>
          <cell r="G4866">
            <v>182</v>
          </cell>
          <cell r="H4866">
            <v>32</v>
          </cell>
          <cell r="I4866">
            <v>12</v>
          </cell>
          <cell r="J4866">
            <v>0</v>
          </cell>
          <cell r="K4866">
            <v>0</v>
          </cell>
          <cell r="L4866">
            <v>0</v>
          </cell>
          <cell r="M4866">
            <v>3500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43444</v>
          </cell>
          <cell r="T4866">
            <v>0</v>
          </cell>
        </row>
        <row r="4867">
          <cell r="A4867" t="str">
            <v>Y083-058</v>
          </cell>
          <cell r="B4867">
            <v>0</v>
          </cell>
          <cell r="C4867" t="str">
            <v>Y083</v>
          </cell>
          <cell r="D4867" t="str">
            <v>S7888-13/14</v>
          </cell>
          <cell r="E4867" t="str">
            <v>床头柱饰花（右边）</v>
          </cell>
          <cell r="F4867" t="str">
            <v>182*32*12</v>
          </cell>
          <cell r="G4867">
            <v>182</v>
          </cell>
          <cell r="H4867">
            <v>32</v>
          </cell>
          <cell r="I4867">
            <v>12</v>
          </cell>
          <cell r="J4867">
            <v>0</v>
          </cell>
          <cell r="K4867">
            <v>0</v>
          </cell>
          <cell r="L4867">
            <v>0</v>
          </cell>
          <cell r="M4867">
            <v>3500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43444</v>
          </cell>
          <cell r="T4867">
            <v>0</v>
          </cell>
        </row>
        <row r="4868">
          <cell r="A4868" t="str">
            <v>Y083-059</v>
          </cell>
          <cell r="B4868">
            <v>0</v>
          </cell>
          <cell r="C4868" t="str">
            <v>Y083</v>
          </cell>
          <cell r="D4868" t="str">
            <v>S7888-06A6003</v>
          </cell>
          <cell r="E4868" t="str">
            <v>镜子注塑饰块3 poly dán 3</v>
          </cell>
          <cell r="F4868" t="str">
            <v>981*19*12</v>
          </cell>
          <cell r="G4868">
            <v>981</v>
          </cell>
          <cell r="H4868">
            <v>19</v>
          </cell>
          <cell r="I4868">
            <v>12</v>
          </cell>
          <cell r="J4868">
            <v>0</v>
          </cell>
          <cell r="K4868">
            <v>0</v>
          </cell>
          <cell r="L4868">
            <v>0</v>
          </cell>
          <cell r="M4868">
            <v>15100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43446</v>
          </cell>
          <cell r="T4868">
            <v>0</v>
          </cell>
        </row>
        <row r="4869">
          <cell r="A4869" t="str">
            <v>Y083-060</v>
          </cell>
          <cell r="B4869">
            <v>0</v>
          </cell>
          <cell r="C4869" t="str">
            <v>Y083</v>
          </cell>
          <cell r="D4869" t="str">
            <v>S7888-13A2088-小床床头</v>
          </cell>
          <cell r="E4869" t="str">
            <v xml:space="preserve">注塑饰条1 thanh trang tri poly 1 </v>
          </cell>
          <cell r="F4869" t="str">
            <v>1600*19*12</v>
          </cell>
          <cell r="G4869">
            <v>1600</v>
          </cell>
          <cell r="H4869">
            <v>19</v>
          </cell>
          <cell r="I4869">
            <v>12</v>
          </cell>
          <cell r="J4869">
            <v>0</v>
          </cell>
          <cell r="K4869">
            <v>0</v>
          </cell>
          <cell r="L4869">
            <v>0</v>
          </cell>
          <cell r="M4869">
            <v>25000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</row>
        <row r="4870">
          <cell r="A4870" t="str">
            <v>Y084-001</v>
          </cell>
          <cell r="B4870">
            <v>0</v>
          </cell>
          <cell r="C4870" t="str">
            <v>Y084</v>
          </cell>
          <cell r="D4870" t="str">
            <v>贴花（小）</v>
          </cell>
          <cell r="E4870" t="str">
            <v>POLY HOA NHỎ</v>
          </cell>
          <cell r="F4870" t="str">
            <v>165*62*38</v>
          </cell>
          <cell r="G4870">
            <v>165</v>
          </cell>
          <cell r="H4870">
            <v>62</v>
          </cell>
          <cell r="I4870">
            <v>38</v>
          </cell>
          <cell r="J4870">
            <v>0</v>
          </cell>
          <cell r="K4870">
            <v>0</v>
          </cell>
          <cell r="L4870">
            <v>0.31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43533</v>
          </cell>
          <cell r="T4870" t="str">
            <v>毅哥</v>
          </cell>
        </row>
        <row r="4871">
          <cell r="A4871" t="str">
            <v>Y084-002</v>
          </cell>
          <cell r="B4871">
            <v>0</v>
          </cell>
          <cell r="C4871" t="str">
            <v>Y084</v>
          </cell>
          <cell r="D4871" t="str">
            <v>贴花（大）</v>
          </cell>
          <cell r="E4871" t="str">
            <v>POLY HOA LƠN</v>
          </cell>
          <cell r="F4871" t="str">
            <v>260*62*38</v>
          </cell>
          <cell r="G4871">
            <v>260</v>
          </cell>
          <cell r="H4871">
            <v>62</v>
          </cell>
          <cell r="I4871">
            <v>38</v>
          </cell>
          <cell r="J4871">
            <v>0</v>
          </cell>
          <cell r="K4871">
            <v>0</v>
          </cell>
          <cell r="L4871">
            <v>0.4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43533</v>
          </cell>
          <cell r="T4871" t="str">
            <v>毅哥</v>
          </cell>
        </row>
        <row r="4872">
          <cell r="A4872" t="str">
            <v>Y084-003</v>
          </cell>
          <cell r="B4872">
            <v>0</v>
          </cell>
          <cell r="C4872" t="str">
            <v>Y084</v>
          </cell>
          <cell r="D4872" t="str">
            <v>椅脑（不拉丝）</v>
          </cell>
          <cell r="E4872" t="str">
            <v>POLY KHÔNG SỚ</v>
          </cell>
          <cell r="F4872" t="str">
            <v>412*170*28</v>
          </cell>
          <cell r="G4872">
            <v>412</v>
          </cell>
          <cell r="H4872">
            <v>170</v>
          </cell>
          <cell r="I4872">
            <v>28</v>
          </cell>
          <cell r="J4872">
            <v>0</v>
          </cell>
          <cell r="K4872">
            <v>0</v>
          </cell>
          <cell r="L4872">
            <v>1.55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43533</v>
          </cell>
          <cell r="T4872" t="str">
            <v>毅哥+啊才</v>
          </cell>
        </row>
        <row r="4873">
          <cell r="A4873" t="str">
            <v>Y084-004</v>
          </cell>
          <cell r="B4873">
            <v>0</v>
          </cell>
          <cell r="C4873" t="str">
            <v>Y084</v>
          </cell>
          <cell r="D4873" t="str">
            <v xml:space="preserve">铁花 </v>
          </cell>
          <cell r="E4873" t="str">
            <v>PPLY</v>
          </cell>
          <cell r="F4873" t="str">
            <v>978*661*15</v>
          </cell>
          <cell r="G4873">
            <v>978</v>
          </cell>
          <cell r="H4873">
            <v>661</v>
          </cell>
          <cell r="I4873">
            <v>15</v>
          </cell>
          <cell r="J4873">
            <v>0</v>
          </cell>
          <cell r="K4873">
            <v>0</v>
          </cell>
          <cell r="L4873">
            <v>5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43533</v>
          </cell>
          <cell r="T4873" t="str">
            <v>毅哥+啊才</v>
          </cell>
        </row>
        <row r="4874">
          <cell r="A4874" t="str">
            <v>Y084-005</v>
          </cell>
          <cell r="B4874">
            <v>0</v>
          </cell>
          <cell r="C4874" t="str">
            <v>Y084</v>
          </cell>
          <cell r="D4874" t="str">
            <v>脚</v>
          </cell>
          <cell r="E4874" t="str">
            <v>CHÂN POLY</v>
          </cell>
          <cell r="F4874" t="str">
            <v>760*100*100</v>
          </cell>
          <cell r="G4874">
            <v>760</v>
          </cell>
          <cell r="H4874">
            <v>100</v>
          </cell>
          <cell r="I4874">
            <v>100</v>
          </cell>
          <cell r="J4874">
            <v>0</v>
          </cell>
          <cell r="K4874">
            <v>0</v>
          </cell>
          <cell r="L4874">
            <v>4.3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43533</v>
          </cell>
          <cell r="T4874" t="str">
            <v>毅哥+啊才</v>
          </cell>
        </row>
        <row r="4875">
          <cell r="A4875" t="str">
            <v>Y084-006</v>
          </cell>
          <cell r="B4875">
            <v>0</v>
          </cell>
          <cell r="C4875" t="str">
            <v>Y084</v>
          </cell>
          <cell r="D4875" t="str">
            <v>POLY 饰条</v>
          </cell>
          <cell r="E4875">
            <v>0</v>
          </cell>
          <cell r="F4875" t="str">
            <v>635*26*7</v>
          </cell>
          <cell r="G4875">
            <v>635</v>
          </cell>
          <cell r="H4875">
            <v>26</v>
          </cell>
          <cell r="I4875">
            <v>7</v>
          </cell>
          <cell r="J4875">
            <v>0</v>
          </cell>
          <cell r="K4875">
            <v>0</v>
          </cell>
          <cell r="L4875">
            <v>0.46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43546</v>
          </cell>
          <cell r="T4875" t="str">
            <v>啊才</v>
          </cell>
        </row>
        <row r="4876">
          <cell r="A4876" t="str">
            <v>Y084-007</v>
          </cell>
          <cell r="B4876">
            <v>0</v>
          </cell>
          <cell r="C4876" t="str">
            <v>Y084</v>
          </cell>
          <cell r="D4876" t="str">
            <v>POLY 饰条</v>
          </cell>
          <cell r="E4876">
            <v>0</v>
          </cell>
          <cell r="F4876" t="str">
            <v>409*26*7</v>
          </cell>
          <cell r="G4876">
            <v>409</v>
          </cell>
          <cell r="H4876">
            <v>26</v>
          </cell>
          <cell r="I4876">
            <v>7</v>
          </cell>
          <cell r="J4876">
            <v>0</v>
          </cell>
          <cell r="K4876">
            <v>0</v>
          </cell>
          <cell r="L4876">
            <v>0.26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43546</v>
          </cell>
          <cell r="T4876" t="str">
            <v>啊才</v>
          </cell>
        </row>
        <row r="4877">
          <cell r="A4877" t="str">
            <v>Y084-008</v>
          </cell>
          <cell r="B4877">
            <v>0</v>
          </cell>
          <cell r="C4877" t="str">
            <v>Y084</v>
          </cell>
          <cell r="D4877" t="str">
            <v>POLY 饰条</v>
          </cell>
          <cell r="E4877">
            <v>0</v>
          </cell>
          <cell r="F4877" t="str">
            <v>1005*26*7</v>
          </cell>
          <cell r="G4877">
            <v>1005</v>
          </cell>
          <cell r="H4877">
            <v>26</v>
          </cell>
          <cell r="I4877">
            <v>7</v>
          </cell>
          <cell r="J4877">
            <v>0</v>
          </cell>
          <cell r="K4877">
            <v>0</v>
          </cell>
          <cell r="L4877">
            <v>0.65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43546</v>
          </cell>
          <cell r="T4877" t="str">
            <v>啊才</v>
          </cell>
        </row>
        <row r="4878">
          <cell r="A4878" t="str">
            <v>Y084-009</v>
          </cell>
          <cell r="B4878">
            <v>0</v>
          </cell>
          <cell r="C4878" t="str">
            <v>Y084</v>
          </cell>
          <cell r="D4878" t="str">
            <v>POLY 饰条</v>
          </cell>
          <cell r="E4878">
            <v>0</v>
          </cell>
          <cell r="F4878" t="str">
            <v>450*26*7</v>
          </cell>
          <cell r="G4878">
            <v>450</v>
          </cell>
          <cell r="H4878">
            <v>26</v>
          </cell>
          <cell r="I4878">
            <v>7</v>
          </cell>
          <cell r="J4878">
            <v>0</v>
          </cell>
          <cell r="K4878">
            <v>0</v>
          </cell>
          <cell r="L4878">
            <v>0.3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43546</v>
          </cell>
          <cell r="T4878" t="str">
            <v>啊才</v>
          </cell>
        </row>
        <row r="4879">
          <cell r="A4879" t="str">
            <v>Y084-010</v>
          </cell>
          <cell r="B4879">
            <v>0</v>
          </cell>
          <cell r="C4879" t="str">
            <v>Y084</v>
          </cell>
          <cell r="D4879" t="str">
            <v>POLY 饰条</v>
          </cell>
          <cell r="E4879">
            <v>0</v>
          </cell>
          <cell r="F4879" t="str">
            <v>1514*26*7</v>
          </cell>
          <cell r="G4879">
            <v>1514</v>
          </cell>
          <cell r="H4879">
            <v>26</v>
          </cell>
          <cell r="I4879">
            <v>7</v>
          </cell>
          <cell r="J4879">
            <v>0</v>
          </cell>
          <cell r="K4879">
            <v>0</v>
          </cell>
          <cell r="L4879">
            <v>0.95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43546</v>
          </cell>
          <cell r="T4879" t="str">
            <v>啊才</v>
          </cell>
        </row>
        <row r="4880">
          <cell r="A4880" t="str">
            <v>Y084-011</v>
          </cell>
          <cell r="B4880">
            <v>0</v>
          </cell>
          <cell r="C4880" t="str">
            <v>Y084</v>
          </cell>
          <cell r="D4880" t="str">
            <v>POLY 塔头</v>
          </cell>
          <cell r="E4880">
            <v>0</v>
          </cell>
          <cell r="F4880" t="str">
            <v>60*105*96</v>
          </cell>
          <cell r="G4880">
            <v>60</v>
          </cell>
          <cell r="H4880">
            <v>105</v>
          </cell>
          <cell r="I4880">
            <v>96</v>
          </cell>
          <cell r="J4880">
            <v>0</v>
          </cell>
          <cell r="K4880">
            <v>0</v>
          </cell>
          <cell r="L4880">
            <v>0.8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43546</v>
          </cell>
          <cell r="T4880" t="str">
            <v>啊才</v>
          </cell>
        </row>
        <row r="4881">
          <cell r="A4881" t="str">
            <v>Y085-001</v>
          </cell>
          <cell r="B4881">
            <v>0</v>
          </cell>
          <cell r="C4881" t="str">
            <v>Y085</v>
          </cell>
          <cell r="D4881" t="str">
            <v>小炮管</v>
          </cell>
          <cell r="E4881">
            <v>0</v>
          </cell>
          <cell r="F4881" t="str">
            <v>559*152*152</v>
          </cell>
          <cell r="G4881">
            <v>559</v>
          </cell>
          <cell r="H4881">
            <v>152</v>
          </cell>
          <cell r="I4881">
            <v>152</v>
          </cell>
          <cell r="J4881">
            <v>0</v>
          </cell>
          <cell r="K4881">
            <v>0</v>
          </cell>
          <cell r="L4881">
            <v>6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43572</v>
          </cell>
          <cell r="T4881" t="str">
            <v>啊才</v>
          </cell>
        </row>
        <row r="4882">
          <cell r="A4882" t="str">
            <v>Y086-001</v>
          </cell>
          <cell r="B4882">
            <v>0</v>
          </cell>
          <cell r="C4882" t="str">
            <v>Y086</v>
          </cell>
          <cell r="D4882" t="str">
            <v>17BPOLY</v>
          </cell>
          <cell r="E4882" t="str">
            <v>POLY 饰块</v>
          </cell>
          <cell r="F4882" t="str">
            <v>74*60*19</v>
          </cell>
          <cell r="G4882">
            <v>74</v>
          </cell>
          <cell r="H4882">
            <v>60</v>
          </cell>
          <cell r="I4882">
            <v>19</v>
          </cell>
          <cell r="J4882">
            <v>0</v>
          </cell>
          <cell r="K4882">
            <v>0</v>
          </cell>
          <cell r="L4882">
            <v>0</v>
          </cell>
          <cell r="M4882">
            <v>4000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43577</v>
          </cell>
          <cell r="T4882" t="str">
            <v>啊才</v>
          </cell>
        </row>
        <row r="4883">
          <cell r="A4883" t="str">
            <v>Y087-001</v>
          </cell>
          <cell r="B4883">
            <v>0</v>
          </cell>
          <cell r="C4883" t="str">
            <v>Y087</v>
          </cell>
          <cell r="D4883" t="str">
            <v>脚 POLY</v>
          </cell>
          <cell r="E4883" t="str">
            <v>CHÂN POLY</v>
          </cell>
          <cell r="F4883" t="str">
            <v>760*100*100</v>
          </cell>
          <cell r="G4883">
            <v>760</v>
          </cell>
          <cell r="H4883">
            <v>100</v>
          </cell>
          <cell r="I4883">
            <v>100</v>
          </cell>
          <cell r="J4883">
            <v>0</v>
          </cell>
          <cell r="K4883">
            <v>0</v>
          </cell>
          <cell r="L4883">
            <v>5.2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43602</v>
          </cell>
          <cell r="T4883">
            <v>0</v>
          </cell>
        </row>
        <row r="4884">
          <cell r="A4884" t="str">
            <v>Y087-002</v>
          </cell>
          <cell r="B4884">
            <v>0</v>
          </cell>
          <cell r="C4884" t="str">
            <v>Y087</v>
          </cell>
          <cell r="D4884" t="str">
            <v>POLY 下脚柱</v>
          </cell>
          <cell r="E4884" t="str">
            <v>CHÂN POLY</v>
          </cell>
          <cell r="F4884" t="str">
            <v>90*50*50</v>
          </cell>
          <cell r="G4884">
            <v>90</v>
          </cell>
          <cell r="H4884">
            <v>50</v>
          </cell>
          <cell r="I4884">
            <v>50</v>
          </cell>
          <cell r="J4884">
            <v>0</v>
          </cell>
          <cell r="K4884">
            <v>0</v>
          </cell>
          <cell r="L4884">
            <v>0.4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</row>
        <row r="4885">
          <cell r="A4885" t="str">
            <v>Y088-001</v>
          </cell>
          <cell r="B4885">
            <v>0</v>
          </cell>
          <cell r="C4885" t="str">
            <v>Y088</v>
          </cell>
          <cell r="D4885" t="str">
            <v>KHUNG TRÁI -L</v>
          </cell>
          <cell r="E4885" t="str">
            <v>饰框 左-L</v>
          </cell>
          <cell r="F4885" t="str">
            <v>455*216*10</v>
          </cell>
          <cell r="G4885">
            <v>455</v>
          </cell>
          <cell r="H4885">
            <v>216</v>
          </cell>
          <cell r="I4885">
            <v>10</v>
          </cell>
          <cell r="J4885">
            <v>0</v>
          </cell>
          <cell r="K4885">
            <v>0</v>
          </cell>
          <cell r="L4885">
            <v>0</v>
          </cell>
          <cell r="M4885">
            <v>11500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</row>
        <row r="4886">
          <cell r="A4886" t="str">
            <v>Y088-002</v>
          </cell>
          <cell r="B4886">
            <v>0</v>
          </cell>
          <cell r="C4886" t="str">
            <v>Y088</v>
          </cell>
          <cell r="D4886" t="str">
            <v>KHUNG PHẢI -R</v>
          </cell>
          <cell r="E4886" t="str">
            <v>饰框 右-R</v>
          </cell>
          <cell r="F4886" t="str">
            <v>455*216*10</v>
          </cell>
          <cell r="G4886">
            <v>455</v>
          </cell>
          <cell r="H4886">
            <v>216</v>
          </cell>
          <cell r="I4886">
            <v>10</v>
          </cell>
          <cell r="J4886">
            <v>0</v>
          </cell>
          <cell r="K4886">
            <v>0</v>
          </cell>
          <cell r="L4886">
            <v>0</v>
          </cell>
          <cell r="M4886">
            <v>11500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</row>
        <row r="4887">
          <cell r="A4887" t="str">
            <v>Y088-003</v>
          </cell>
          <cell r="B4887">
            <v>0</v>
          </cell>
          <cell r="C4887" t="str">
            <v>Y088</v>
          </cell>
          <cell r="D4887" t="str">
            <v>KHUNG GIỮA</v>
          </cell>
          <cell r="E4887" t="str">
            <v>中框</v>
          </cell>
          <cell r="F4887" t="str">
            <v>540*305*10</v>
          </cell>
          <cell r="G4887">
            <v>540</v>
          </cell>
          <cell r="H4887">
            <v>305</v>
          </cell>
          <cell r="I4887">
            <v>10</v>
          </cell>
          <cell r="J4887">
            <v>0</v>
          </cell>
          <cell r="K4887">
            <v>0</v>
          </cell>
          <cell r="L4887">
            <v>0</v>
          </cell>
          <cell r="M4887">
            <v>16000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</row>
        <row r="4888">
          <cell r="A4888" t="str">
            <v>Y088-004</v>
          </cell>
          <cell r="B4888">
            <v>0</v>
          </cell>
          <cell r="C4888" t="str">
            <v>Y088</v>
          </cell>
          <cell r="D4888" t="str">
            <v xml:space="preserve">MẶT HỌC KÉO </v>
          </cell>
          <cell r="E4888" t="str">
            <v>抽面框</v>
          </cell>
          <cell r="F4888" t="str">
            <v>625*99*21</v>
          </cell>
          <cell r="G4888">
            <v>625</v>
          </cell>
          <cell r="H4888">
            <v>99</v>
          </cell>
          <cell r="I4888">
            <v>21</v>
          </cell>
          <cell r="J4888">
            <v>0</v>
          </cell>
          <cell r="K4888">
            <v>0</v>
          </cell>
          <cell r="L4888">
            <v>0</v>
          </cell>
          <cell r="M4888">
            <v>36000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</row>
        <row r="4889">
          <cell r="A4889" t="str">
            <v>Y088-005</v>
          </cell>
          <cell r="B4889">
            <v>0</v>
          </cell>
          <cell r="C4889" t="str">
            <v>Y088</v>
          </cell>
          <cell r="D4889" t="str">
            <v>HOA LỚN</v>
          </cell>
          <cell r="E4889" t="str">
            <v>大花</v>
          </cell>
          <cell r="F4889" t="str">
            <v>5*53*120</v>
          </cell>
          <cell r="G4889">
            <v>5</v>
          </cell>
          <cell r="H4889">
            <v>53</v>
          </cell>
          <cell r="I4889">
            <v>120</v>
          </cell>
          <cell r="J4889">
            <v>0</v>
          </cell>
          <cell r="K4889">
            <v>0</v>
          </cell>
          <cell r="L4889">
            <v>0</v>
          </cell>
          <cell r="M4889">
            <v>3000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</row>
        <row r="4890">
          <cell r="A4890" t="str">
            <v>Y088-006</v>
          </cell>
          <cell r="B4890">
            <v>0</v>
          </cell>
          <cell r="C4890" t="str">
            <v>Y088</v>
          </cell>
          <cell r="D4890" t="str">
            <v>HOA NHỎ</v>
          </cell>
          <cell r="E4890" t="str">
            <v>小花</v>
          </cell>
          <cell r="F4890" t="str">
            <v>5*33*73</v>
          </cell>
          <cell r="G4890">
            <v>5</v>
          </cell>
          <cell r="H4890">
            <v>33</v>
          </cell>
          <cell r="I4890">
            <v>73</v>
          </cell>
          <cell r="J4890">
            <v>0</v>
          </cell>
          <cell r="K4890">
            <v>0</v>
          </cell>
          <cell r="L4890">
            <v>0</v>
          </cell>
          <cell r="M4890">
            <v>1250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</row>
        <row r="4891">
          <cell r="A4891" t="str">
            <v>Y088-007</v>
          </cell>
          <cell r="B4891">
            <v>0</v>
          </cell>
          <cell r="C4891" t="str">
            <v>Y088</v>
          </cell>
          <cell r="D4891" t="str">
            <v>DÂY CHUỖI</v>
          </cell>
          <cell r="E4891" t="str">
            <v>饰條</v>
          </cell>
          <cell r="F4891" t="str">
            <v>10*14*306</v>
          </cell>
          <cell r="G4891">
            <v>14</v>
          </cell>
          <cell r="H4891">
            <v>10</v>
          </cell>
          <cell r="I4891">
            <v>306</v>
          </cell>
          <cell r="J4891">
            <v>0</v>
          </cell>
          <cell r="K4891">
            <v>0</v>
          </cell>
          <cell r="L4891">
            <v>0</v>
          </cell>
          <cell r="M4891">
            <v>3000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</row>
        <row r="4892">
          <cell r="A4892" t="str">
            <v>Y088-008</v>
          </cell>
          <cell r="B4892">
            <v>0</v>
          </cell>
          <cell r="C4892" t="str">
            <v>Y088</v>
          </cell>
          <cell r="D4892" t="str">
            <v>DÂY CHUỖI</v>
          </cell>
          <cell r="E4892" t="str">
            <v>饰條</v>
          </cell>
          <cell r="F4892" t="str">
            <v>10*14*256</v>
          </cell>
          <cell r="G4892">
            <v>10</v>
          </cell>
          <cell r="H4892">
            <v>14</v>
          </cell>
          <cell r="I4892">
            <v>256</v>
          </cell>
          <cell r="J4892">
            <v>0</v>
          </cell>
          <cell r="K4892">
            <v>0</v>
          </cell>
          <cell r="L4892">
            <v>0</v>
          </cell>
          <cell r="M4892">
            <v>2500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</row>
        <row r="4893">
          <cell r="A4893" t="str">
            <v>Y089-001</v>
          </cell>
          <cell r="B4893">
            <v>0</v>
          </cell>
          <cell r="C4893" t="str">
            <v>Y089</v>
          </cell>
          <cell r="D4893" t="str">
            <v xml:space="preserve"> POLY 饰品</v>
          </cell>
          <cell r="E4893" t="str">
            <v>CHÂN 4 CẠNH</v>
          </cell>
          <cell r="F4893" t="str">
            <v>280*280*68</v>
          </cell>
          <cell r="G4893">
            <v>280</v>
          </cell>
          <cell r="H4893">
            <v>280</v>
          </cell>
          <cell r="I4893">
            <v>68</v>
          </cell>
          <cell r="J4893">
            <v>0</v>
          </cell>
          <cell r="K4893">
            <v>0</v>
          </cell>
          <cell r="L4893">
            <v>3.4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</row>
        <row r="4894">
          <cell r="A4894" t="str">
            <v>Y089-002</v>
          </cell>
          <cell r="B4894">
            <v>0</v>
          </cell>
          <cell r="C4894" t="str">
            <v>Y089</v>
          </cell>
          <cell r="D4894" t="str">
            <v xml:space="preserve"> POLY 饰品</v>
          </cell>
          <cell r="E4894" t="str">
            <v>ỐNG PHÁO</v>
          </cell>
          <cell r="F4894" t="str">
            <v>260*260*215</v>
          </cell>
          <cell r="G4894">
            <v>260</v>
          </cell>
          <cell r="H4894">
            <v>260</v>
          </cell>
          <cell r="I4894">
            <v>215</v>
          </cell>
          <cell r="J4894">
            <v>0</v>
          </cell>
          <cell r="K4894">
            <v>0</v>
          </cell>
          <cell r="L4894">
            <v>4.75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</row>
        <row r="4895">
          <cell r="A4895" t="str">
            <v>Y089-003</v>
          </cell>
          <cell r="B4895">
            <v>0</v>
          </cell>
          <cell r="C4895" t="str">
            <v>Y089</v>
          </cell>
          <cell r="D4895" t="str">
            <v xml:space="preserve"> POLY 饰品</v>
          </cell>
          <cell r="E4895" t="str">
            <v>HÌNH VUÔNG</v>
          </cell>
          <cell r="F4895" t="str">
            <v>230*200*90</v>
          </cell>
          <cell r="G4895">
            <v>230</v>
          </cell>
          <cell r="H4895">
            <v>200</v>
          </cell>
          <cell r="I4895">
            <v>90</v>
          </cell>
          <cell r="J4895">
            <v>0</v>
          </cell>
          <cell r="K4895">
            <v>0</v>
          </cell>
          <cell r="L4895">
            <v>4.9000000000000004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</row>
        <row r="4896">
          <cell r="A4896" t="str">
            <v>Y090-001</v>
          </cell>
          <cell r="B4896">
            <v>0</v>
          </cell>
          <cell r="C4896" t="str">
            <v>Y090</v>
          </cell>
          <cell r="D4896" t="str">
            <v>床柱上饰瑰</v>
          </cell>
          <cell r="E4896">
            <v>0</v>
          </cell>
          <cell r="F4896" t="str">
            <v>261*244*217</v>
          </cell>
          <cell r="G4896">
            <v>261</v>
          </cell>
          <cell r="H4896">
            <v>244</v>
          </cell>
          <cell r="I4896">
            <v>217</v>
          </cell>
          <cell r="J4896">
            <v>0</v>
          </cell>
          <cell r="K4896">
            <v>0</v>
          </cell>
          <cell r="L4896">
            <v>5.2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</row>
        <row r="4897">
          <cell r="A4897" t="str">
            <v>Y091-001</v>
          </cell>
          <cell r="B4897">
            <v>0</v>
          </cell>
          <cell r="C4897" t="str">
            <v>Y091</v>
          </cell>
          <cell r="D4897">
            <v>0</v>
          </cell>
          <cell r="E4897">
            <v>0</v>
          </cell>
          <cell r="F4897" t="str">
            <v>60*15*7</v>
          </cell>
          <cell r="G4897">
            <v>60</v>
          </cell>
          <cell r="H4897">
            <v>15</v>
          </cell>
          <cell r="I4897">
            <v>7</v>
          </cell>
          <cell r="J4897">
            <v>0</v>
          </cell>
          <cell r="K4897">
            <v>0</v>
          </cell>
          <cell r="L4897">
            <v>0.04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</row>
        <row r="4898">
          <cell r="A4898" t="str">
            <v>Y091-002</v>
          </cell>
          <cell r="B4898">
            <v>0</v>
          </cell>
          <cell r="C4898" t="str">
            <v>Y091</v>
          </cell>
          <cell r="D4898" t="str">
            <v>BH1841-040</v>
          </cell>
          <cell r="E4898" t="str">
            <v>NS企柱饰块</v>
          </cell>
          <cell r="F4898" t="str">
            <v>150*71*40</v>
          </cell>
          <cell r="G4898">
            <v>150</v>
          </cell>
          <cell r="H4898">
            <v>71</v>
          </cell>
          <cell r="I4898">
            <v>40</v>
          </cell>
          <cell r="J4898">
            <v>0</v>
          </cell>
          <cell r="K4898">
            <v>0</v>
          </cell>
          <cell r="L4898">
            <v>0.55000000000000004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</row>
        <row r="4899">
          <cell r="A4899" t="str">
            <v>Y091-003</v>
          </cell>
          <cell r="B4899">
            <v>0</v>
          </cell>
          <cell r="C4899" t="str">
            <v>Y091</v>
          </cell>
          <cell r="D4899" t="str">
            <v>BH1841-050/070/110/120/310/320</v>
          </cell>
          <cell r="E4899" t="str">
            <v>企柱饰块</v>
          </cell>
          <cell r="F4899" t="str">
            <v>180*71*40</v>
          </cell>
          <cell r="G4899">
            <v>180</v>
          </cell>
          <cell r="H4899">
            <v>71</v>
          </cell>
          <cell r="I4899">
            <v>40</v>
          </cell>
          <cell r="J4899">
            <v>0</v>
          </cell>
          <cell r="K4899">
            <v>0</v>
          </cell>
          <cell r="L4899">
            <v>0.65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</row>
        <row r="4900">
          <cell r="A4900" t="str">
            <v>Y092-001</v>
          </cell>
          <cell r="B4900">
            <v>0</v>
          </cell>
          <cell r="C4900" t="str">
            <v>Y092</v>
          </cell>
          <cell r="D4900" t="str">
            <v>#5494</v>
          </cell>
          <cell r="E4900" t="str">
            <v>poly門饰板</v>
          </cell>
          <cell r="F4900" t="str">
            <v>810*410*7</v>
          </cell>
          <cell r="G4900">
            <v>740</v>
          </cell>
          <cell r="H4900">
            <v>420</v>
          </cell>
          <cell r="I4900">
            <v>5</v>
          </cell>
          <cell r="J4900">
            <v>0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</row>
        <row r="4901">
          <cell r="A4901" t="str">
            <v>Y092-002</v>
          </cell>
          <cell r="B4901">
            <v>0</v>
          </cell>
          <cell r="C4901" t="str">
            <v>Y092</v>
          </cell>
          <cell r="D4901" t="str">
            <v xml:space="preserve">#855 </v>
          </cell>
          <cell r="E4901" t="str">
            <v>前脚</v>
          </cell>
          <cell r="F4901" t="str">
            <v>410*80*80</v>
          </cell>
          <cell r="G4901">
            <v>410</v>
          </cell>
          <cell r="H4901">
            <v>80</v>
          </cell>
          <cell r="I4901">
            <v>80</v>
          </cell>
          <cell r="J4901">
            <v>0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</row>
        <row r="4902">
          <cell r="A4902" t="str">
            <v>Y092-003</v>
          </cell>
          <cell r="B4902">
            <v>0</v>
          </cell>
          <cell r="C4902" t="str">
            <v>Y092</v>
          </cell>
          <cell r="D4902" t="str">
            <v xml:space="preserve">#855 </v>
          </cell>
          <cell r="E4902" t="str">
            <v>前饰條</v>
          </cell>
          <cell r="F4902" t="str">
            <v>397*45.5*7</v>
          </cell>
          <cell r="G4902">
            <v>397</v>
          </cell>
          <cell r="H4902">
            <v>45.5</v>
          </cell>
          <cell r="I4902">
            <v>7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</row>
        <row r="4903">
          <cell r="A4903" t="str">
            <v>Y092-004</v>
          </cell>
          <cell r="B4903">
            <v>0</v>
          </cell>
          <cell r="C4903" t="str">
            <v>Y092</v>
          </cell>
          <cell r="D4903" t="str">
            <v xml:space="preserve">#855 </v>
          </cell>
          <cell r="E4903" t="str">
            <v>后饰條</v>
          </cell>
          <cell r="F4903" t="str">
            <v>300*46*7</v>
          </cell>
          <cell r="G4903">
            <v>300</v>
          </cell>
          <cell r="H4903">
            <v>46</v>
          </cell>
          <cell r="I4903">
            <v>7</v>
          </cell>
          <cell r="J4903">
            <v>0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</row>
        <row r="4904">
          <cell r="A4904" t="str">
            <v>Y092-005</v>
          </cell>
          <cell r="B4904">
            <v>0</v>
          </cell>
          <cell r="C4904" t="str">
            <v>Y092</v>
          </cell>
          <cell r="D4904" t="str">
            <v xml:space="preserve">#855 </v>
          </cell>
          <cell r="E4904" t="str">
            <v>侧饰條</v>
          </cell>
          <cell r="F4904" t="str">
            <v>375*46*7</v>
          </cell>
          <cell r="G4904">
            <v>375</v>
          </cell>
          <cell r="H4904">
            <v>46</v>
          </cell>
          <cell r="I4904">
            <v>7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</row>
        <row r="4905">
          <cell r="A4905" t="str">
            <v>Y092-006</v>
          </cell>
          <cell r="B4905">
            <v>0</v>
          </cell>
          <cell r="C4905" t="str">
            <v>Y092</v>
          </cell>
          <cell r="D4905" t="str">
            <v xml:space="preserve">#855 </v>
          </cell>
          <cell r="E4905" t="str">
            <v>侧耳</v>
          </cell>
          <cell r="F4905" t="str">
            <v>195*34*20</v>
          </cell>
          <cell r="G4905">
            <v>195</v>
          </cell>
          <cell r="H4905">
            <v>34</v>
          </cell>
          <cell r="I4905">
            <v>20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</row>
        <row r="4906">
          <cell r="A4906" t="str">
            <v>Y093-001</v>
          </cell>
          <cell r="B4906">
            <v>0</v>
          </cell>
          <cell r="C4906" t="str">
            <v>Y093</v>
          </cell>
          <cell r="D4906" t="str">
            <v>93026PE</v>
          </cell>
          <cell r="E4906" t="str">
            <v>沙发脚</v>
          </cell>
          <cell r="F4906" t="str">
            <v>137*137*55</v>
          </cell>
          <cell r="G4906">
            <v>137</v>
          </cell>
          <cell r="H4906">
            <v>137</v>
          </cell>
          <cell r="I4906">
            <v>55</v>
          </cell>
          <cell r="J4906">
            <v>0</v>
          </cell>
          <cell r="K4906">
            <v>0</v>
          </cell>
          <cell r="L4906">
            <v>1.45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</row>
        <row r="4907">
          <cell r="A4907" t="str">
            <v>Y923-001</v>
          </cell>
          <cell r="B4907">
            <v>0</v>
          </cell>
          <cell r="C4907" t="str">
            <v>Y923</v>
          </cell>
          <cell r="D4907" t="str">
            <v>3531B/C 饰条</v>
          </cell>
          <cell r="E4907">
            <v>0</v>
          </cell>
          <cell r="F4907" t="str">
            <v>580*19*8</v>
          </cell>
          <cell r="G4907">
            <v>580</v>
          </cell>
          <cell r="H4907">
            <v>19</v>
          </cell>
          <cell r="I4907">
            <v>8</v>
          </cell>
          <cell r="J4907">
            <v>0</v>
          </cell>
          <cell r="K4907">
            <v>0</v>
          </cell>
          <cell r="L4907">
            <v>0.15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</row>
        <row r="4908">
          <cell r="A4908" t="str">
            <v>Y077-001</v>
          </cell>
          <cell r="B4908">
            <v>0</v>
          </cell>
          <cell r="C4908" t="str">
            <v>Y077</v>
          </cell>
          <cell r="D4908" t="str">
            <v>POLY HOA</v>
          </cell>
          <cell r="E4908">
            <v>0</v>
          </cell>
          <cell r="F4908" t="str">
            <v>390*123*7</v>
          </cell>
          <cell r="G4908">
            <v>390</v>
          </cell>
          <cell r="H4908">
            <v>123</v>
          </cell>
          <cell r="I4908">
            <v>7</v>
          </cell>
          <cell r="J4908">
            <v>0</v>
          </cell>
          <cell r="K4908">
            <v>0</v>
          </cell>
          <cell r="L4908">
            <v>0.36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</row>
        <row r="4909">
          <cell r="A4909" t="str">
            <v>LC-001</v>
          </cell>
          <cell r="B4909">
            <v>0</v>
          </cell>
          <cell r="C4909" t="str">
            <v>LC</v>
          </cell>
          <cell r="D4909">
            <v>0</v>
          </cell>
          <cell r="E4909">
            <v>0</v>
          </cell>
          <cell r="F4909">
            <v>0</v>
          </cell>
          <cell r="G4909">
            <v>38</v>
          </cell>
          <cell r="H4909">
            <v>12</v>
          </cell>
          <cell r="I4909">
            <v>7</v>
          </cell>
          <cell r="J4909">
            <v>10</v>
          </cell>
          <cell r="K4909">
            <v>0</v>
          </cell>
          <cell r="L4909">
            <v>1.2E-2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1.2</v>
          </cell>
        </row>
        <row r="4910">
          <cell r="A4910" t="str">
            <v>LC-002</v>
          </cell>
          <cell r="B4910" t="str">
            <v>LC-002</v>
          </cell>
          <cell r="C4910" t="str">
            <v>LC</v>
          </cell>
          <cell r="D4910">
            <v>0</v>
          </cell>
          <cell r="E4910" t="str">
            <v>圓珠飾條</v>
          </cell>
          <cell r="F4910">
            <v>0</v>
          </cell>
          <cell r="G4910">
            <v>1100</v>
          </cell>
          <cell r="H4910">
            <v>12</v>
          </cell>
          <cell r="I4910">
            <v>6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 t="e">
            <v>#DIV/0!</v>
          </cell>
        </row>
        <row r="4911">
          <cell r="A4911" t="str">
            <v>LC-003</v>
          </cell>
          <cell r="B4911">
            <v>0</v>
          </cell>
          <cell r="C4911" t="str">
            <v>LC</v>
          </cell>
          <cell r="D4911" t="str">
            <v>石粉</v>
          </cell>
          <cell r="E4911" t="str">
            <v>石粉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9.5000000000000001E-2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 t="e">
            <v>#DIV/0!</v>
          </cell>
        </row>
        <row r="4912">
          <cell r="A4912" t="str">
            <v>LC-004</v>
          </cell>
          <cell r="B4912">
            <v>0</v>
          </cell>
          <cell r="C4912" t="str">
            <v>LC</v>
          </cell>
          <cell r="D4912" t="str">
            <v>石粉袋</v>
          </cell>
          <cell r="E4912" t="str">
            <v>石粉袋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 t="e">
            <v>#DIV/0!</v>
          </cell>
        </row>
        <row r="4913">
          <cell r="A4913" t="str">
            <v>LC-005</v>
          </cell>
          <cell r="B4913">
            <v>0</v>
          </cell>
          <cell r="C4913" t="str">
            <v>LC</v>
          </cell>
          <cell r="D4913" t="str">
            <v>油土</v>
          </cell>
          <cell r="E4913" t="str">
            <v>油土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2.5350000000000001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 t="e">
            <v>#DIV/0!</v>
          </cell>
        </row>
        <row r="4914">
          <cell r="A4914" t="str">
            <v>LC-006</v>
          </cell>
          <cell r="B4914">
            <v>0</v>
          </cell>
          <cell r="C4914" t="str">
            <v>LC</v>
          </cell>
          <cell r="D4914" t="str">
            <v>石膏</v>
          </cell>
          <cell r="E4914" t="str">
            <v>石膏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0.1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 t="e">
            <v>#DIV/0!</v>
          </cell>
        </row>
        <row r="4915">
          <cell r="A4915" t="str">
            <v>Y1015-001</v>
          </cell>
          <cell r="B4915" t="str">
            <v>立特-樣品</v>
          </cell>
          <cell r="C4915" t="str">
            <v>Y1015</v>
          </cell>
          <cell r="D4915">
            <v>0</v>
          </cell>
          <cell r="E4915" t="str">
            <v>POLY飾板</v>
          </cell>
          <cell r="F4915">
            <v>0</v>
          </cell>
          <cell r="G4915">
            <v>750</v>
          </cell>
          <cell r="H4915">
            <v>450</v>
          </cell>
          <cell r="I4915">
            <v>6</v>
          </cell>
          <cell r="J4915">
            <v>0</v>
          </cell>
          <cell r="K4915">
            <v>0</v>
          </cell>
          <cell r="L4915">
            <v>6.9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 t="e">
            <v>#DIV/0!</v>
          </cell>
        </row>
        <row r="4916">
          <cell r="A4916" t="str">
            <v>Y1016-001</v>
          </cell>
          <cell r="B4916" t="str">
            <v>新楊</v>
          </cell>
          <cell r="C4916" t="str">
            <v>Y1016</v>
          </cell>
          <cell r="D4916">
            <v>0</v>
          </cell>
          <cell r="E4916" t="str">
            <v>半圓飾條</v>
          </cell>
          <cell r="F4916">
            <v>0</v>
          </cell>
          <cell r="G4916">
            <v>800</v>
          </cell>
          <cell r="H4916">
            <v>10</v>
          </cell>
          <cell r="I4916">
            <v>5</v>
          </cell>
          <cell r="J4916">
            <v>75</v>
          </cell>
          <cell r="K4916">
            <v>0</v>
          </cell>
          <cell r="L4916">
            <v>0.23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3.0666666666666669</v>
          </cell>
        </row>
        <row r="4917">
          <cell r="A4917" t="str">
            <v>Y1016-002</v>
          </cell>
          <cell r="B4917" t="str">
            <v>新楊</v>
          </cell>
          <cell r="C4917" t="str">
            <v>Y1016</v>
          </cell>
          <cell r="D4917">
            <v>0</v>
          </cell>
          <cell r="E4917" t="str">
            <v>POLY饰条</v>
          </cell>
          <cell r="F4917" t="str">
            <v>1050*10*4.5</v>
          </cell>
          <cell r="G4917">
            <v>1050</v>
          </cell>
          <cell r="H4917">
            <v>10</v>
          </cell>
          <cell r="I4917">
            <v>4.5</v>
          </cell>
          <cell r="J4917">
            <v>98</v>
          </cell>
          <cell r="K4917">
            <v>0</v>
          </cell>
          <cell r="L4917">
            <v>0.28999999999999998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2.9591836734693873</v>
          </cell>
          <cell r="S4917">
            <v>0</v>
          </cell>
        </row>
        <row r="4918">
          <cell r="A4918" t="str">
            <v>Y1016-003</v>
          </cell>
          <cell r="B4918" t="str">
            <v>新楊</v>
          </cell>
          <cell r="C4918" t="str">
            <v>Y1016</v>
          </cell>
          <cell r="D4918" t="str">
            <v>885#</v>
          </cell>
          <cell r="E4918" t="str">
            <v>半圓饰条</v>
          </cell>
          <cell r="F4918" t="str">
            <v>900*10*5</v>
          </cell>
          <cell r="G4918">
            <v>900</v>
          </cell>
          <cell r="H4918">
            <v>10</v>
          </cell>
          <cell r="I4918">
            <v>5</v>
          </cell>
          <cell r="J4918">
            <v>87</v>
          </cell>
          <cell r="K4918">
            <v>0</v>
          </cell>
          <cell r="L4918">
            <v>0.26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2.9885057471264371</v>
          </cell>
          <cell r="S4918">
            <v>0</v>
          </cell>
        </row>
        <row r="4919">
          <cell r="B4919">
            <v>0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 t="e">
            <v>#DIV/0!</v>
          </cell>
        </row>
        <row r="4920">
          <cell r="B4920">
            <v>0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 t="e">
            <v>#DIV/0!</v>
          </cell>
        </row>
        <row r="4921">
          <cell r="A4921" t="str">
            <v>Y045-001</v>
          </cell>
          <cell r="B4921" t="str">
            <v>Y045-001</v>
          </cell>
          <cell r="C4921">
            <v>0</v>
          </cell>
          <cell r="D4921" t="str">
            <v>So  4</v>
          </cell>
          <cell r="E4921" t="str">
            <v>飾條-Chi hoc keo NS</v>
          </cell>
          <cell r="F4921" t="str">
            <v>680*15*10</v>
          </cell>
          <cell r="G4921">
            <v>680</v>
          </cell>
          <cell r="H4921">
            <v>15</v>
          </cell>
          <cell r="I4921">
            <v>10</v>
          </cell>
          <cell r="J4921">
            <v>0</v>
          </cell>
          <cell r="K4921">
            <v>0</v>
          </cell>
          <cell r="L4921">
            <v>0.41499999999999998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 t="e">
            <v>#DIV/0!</v>
          </cell>
        </row>
        <row r="4922">
          <cell r="A4922" t="str">
            <v>Y045-002</v>
          </cell>
          <cell r="B4922" t="str">
            <v>Y045-002</v>
          </cell>
          <cell r="C4922">
            <v>0</v>
          </cell>
          <cell r="D4922" t="str">
            <v>So  4</v>
          </cell>
          <cell r="E4922" t="str">
            <v>飾條-Chi hoc keo 5D</v>
          </cell>
          <cell r="F4922" t="str">
            <v>1180*15*10</v>
          </cell>
          <cell r="G4922">
            <v>1180</v>
          </cell>
          <cell r="H4922">
            <v>15</v>
          </cell>
          <cell r="I4922">
            <v>10</v>
          </cell>
          <cell r="J4922">
            <v>0</v>
          </cell>
          <cell r="K4922">
            <v>0</v>
          </cell>
          <cell r="L4922">
            <v>0.72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 t="e">
            <v>#DIV/0!</v>
          </cell>
        </row>
        <row r="4923">
          <cell r="A4923" t="str">
            <v>Y045-003</v>
          </cell>
          <cell r="B4923" t="str">
            <v>Y045-003</v>
          </cell>
          <cell r="C4923">
            <v>0</v>
          </cell>
          <cell r="D4923" t="str">
            <v>So  4</v>
          </cell>
          <cell r="E4923" t="str">
            <v>飾條-Chi hoc keo 5D</v>
          </cell>
          <cell r="F4923" t="str">
            <v>880*15*10</v>
          </cell>
          <cell r="G4923">
            <v>880</v>
          </cell>
          <cell r="H4923">
            <v>15</v>
          </cell>
          <cell r="I4923">
            <v>10</v>
          </cell>
          <cell r="J4923">
            <v>0</v>
          </cell>
          <cell r="K4923">
            <v>0</v>
          </cell>
          <cell r="L4923">
            <v>0.53700000000000003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 t="e">
            <v>#DIV/0!</v>
          </cell>
        </row>
        <row r="4924">
          <cell r="A4924" t="str">
            <v>Y045-004</v>
          </cell>
          <cell r="B4924" t="str">
            <v>Y045-004</v>
          </cell>
          <cell r="C4924">
            <v>0</v>
          </cell>
          <cell r="D4924" t="str">
            <v>So  4</v>
          </cell>
          <cell r="E4924" t="str">
            <v>飾條</v>
          </cell>
          <cell r="F4924" t="str">
            <v>1000*15*10</v>
          </cell>
          <cell r="G4924">
            <v>1000</v>
          </cell>
          <cell r="H4924">
            <v>15</v>
          </cell>
          <cell r="I4924">
            <v>10</v>
          </cell>
          <cell r="J4924">
            <v>0</v>
          </cell>
          <cell r="K4924">
            <v>0</v>
          </cell>
          <cell r="L4924">
            <v>0.61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 t="e">
            <v>#DIV/0!</v>
          </cell>
        </row>
        <row r="4925">
          <cell r="A4925" t="str">
            <v>Y045-005</v>
          </cell>
          <cell r="B4925" t="str">
            <v>Y045-005</v>
          </cell>
          <cell r="C4925">
            <v>0</v>
          </cell>
          <cell r="D4925" t="str">
            <v>So  5-L</v>
          </cell>
          <cell r="E4925" t="str">
            <v>腳柱-L</v>
          </cell>
          <cell r="F4925" t="str">
            <v>1162*50*50</v>
          </cell>
          <cell r="G4925">
            <v>1162</v>
          </cell>
          <cell r="H4925">
            <v>50</v>
          </cell>
          <cell r="I4925">
            <v>50</v>
          </cell>
          <cell r="J4925">
            <v>0</v>
          </cell>
          <cell r="K4925">
            <v>0</v>
          </cell>
          <cell r="L4925">
            <v>6.3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 t="e">
            <v>#DIV/0!</v>
          </cell>
        </row>
        <row r="4926">
          <cell r="A4926" t="str">
            <v>Y045-006</v>
          </cell>
          <cell r="B4926" t="str">
            <v>Y045-006</v>
          </cell>
          <cell r="C4926">
            <v>0</v>
          </cell>
          <cell r="D4926" t="str">
            <v>So  5-R</v>
          </cell>
          <cell r="E4926" t="str">
            <v>腳柱-R</v>
          </cell>
          <cell r="F4926" t="str">
            <v>1162*50*50</v>
          </cell>
          <cell r="G4926">
            <v>1162</v>
          </cell>
          <cell r="H4926">
            <v>50</v>
          </cell>
          <cell r="I4926">
            <v>50</v>
          </cell>
          <cell r="J4926">
            <v>0</v>
          </cell>
          <cell r="K4926">
            <v>0</v>
          </cell>
          <cell r="L4926">
            <v>6.3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 t="e">
            <v>#DIV/0!</v>
          </cell>
        </row>
        <row r="4927">
          <cell r="A4927" t="str">
            <v>Y045-007</v>
          </cell>
          <cell r="B4927" t="str">
            <v>Y045-007</v>
          </cell>
          <cell r="C4927">
            <v>0</v>
          </cell>
          <cell r="D4927" t="str">
            <v>So  6-L</v>
          </cell>
          <cell r="E4927" t="str">
            <v>腳柱-L</v>
          </cell>
          <cell r="F4927" t="str">
            <v>863*50*50</v>
          </cell>
          <cell r="G4927">
            <v>863</v>
          </cell>
          <cell r="H4927">
            <v>50</v>
          </cell>
          <cell r="I4927">
            <v>50</v>
          </cell>
          <cell r="J4927">
            <v>0</v>
          </cell>
          <cell r="K4927">
            <v>0</v>
          </cell>
          <cell r="L4927">
            <v>4.66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 t="e">
            <v>#DIV/0!</v>
          </cell>
        </row>
        <row r="4928">
          <cell r="A4928" t="str">
            <v>Y045-008</v>
          </cell>
          <cell r="B4928" t="str">
            <v>Y045-008</v>
          </cell>
          <cell r="C4928">
            <v>0</v>
          </cell>
          <cell r="D4928" t="str">
            <v>So  6-R</v>
          </cell>
          <cell r="E4928" t="str">
            <v>腳柱-R</v>
          </cell>
          <cell r="F4928" t="str">
            <v>863*50*50</v>
          </cell>
          <cell r="G4928">
            <v>863</v>
          </cell>
          <cell r="H4928">
            <v>50</v>
          </cell>
          <cell r="I4928">
            <v>50</v>
          </cell>
          <cell r="J4928">
            <v>0</v>
          </cell>
          <cell r="K4928">
            <v>0</v>
          </cell>
          <cell r="L4928">
            <v>4.66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 t="e">
            <v>#DIV/0!</v>
          </cell>
        </row>
        <row r="4929">
          <cell r="A4929" t="str">
            <v>Y045-009</v>
          </cell>
          <cell r="B4929" t="str">
            <v>Y045-009</v>
          </cell>
          <cell r="C4929">
            <v>0</v>
          </cell>
          <cell r="D4929" t="str">
            <v>So  7-L</v>
          </cell>
          <cell r="E4929" t="str">
            <v>腳柱-L</v>
          </cell>
          <cell r="F4929" t="str">
            <v>1043*50*50</v>
          </cell>
          <cell r="G4929">
            <v>1043</v>
          </cell>
          <cell r="H4929">
            <v>50</v>
          </cell>
          <cell r="I4929">
            <v>50</v>
          </cell>
          <cell r="J4929">
            <v>0</v>
          </cell>
          <cell r="K4929">
            <v>0</v>
          </cell>
          <cell r="L4929">
            <v>5.63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 t="e">
            <v>#DIV/0!</v>
          </cell>
        </row>
        <row r="4930">
          <cell r="A4930" t="str">
            <v>Y045-010</v>
          </cell>
          <cell r="B4930" t="str">
            <v>Y045-010</v>
          </cell>
          <cell r="C4930">
            <v>0</v>
          </cell>
          <cell r="D4930" t="str">
            <v>So  7-R</v>
          </cell>
          <cell r="E4930" t="str">
            <v>腳柱-R</v>
          </cell>
          <cell r="F4930" t="str">
            <v>1043*50*50</v>
          </cell>
          <cell r="G4930">
            <v>1043</v>
          </cell>
          <cell r="H4930">
            <v>50</v>
          </cell>
          <cell r="I4930">
            <v>50</v>
          </cell>
          <cell r="J4930">
            <v>0</v>
          </cell>
          <cell r="K4930">
            <v>0</v>
          </cell>
          <cell r="L4930">
            <v>5.63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 t="e">
            <v>#DIV/0!</v>
          </cell>
        </row>
        <row r="4931">
          <cell r="A4931" t="str">
            <v>Y045-011</v>
          </cell>
          <cell r="B4931" t="str">
            <v>Y045-011</v>
          </cell>
          <cell r="C4931">
            <v>0</v>
          </cell>
          <cell r="D4931" t="str">
            <v>So  8-L</v>
          </cell>
          <cell r="E4931" t="str">
            <v>虎腳-L</v>
          </cell>
          <cell r="F4931" t="str">
            <v>218*68*68</v>
          </cell>
          <cell r="G4931">
            <v>218</v>
          </cell>
          <cell r="H4931">
            <v>68</v>
          </cell>
          <cell r="I4931">
            <v>68</v>
          </cell>
          <cell r="J4931">
            <v>0</v>
          </cell>
          <cell r="K4931">
            <v>0</v>
          </cell>
          <cell r="L4931">
            <v>1.4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 t="e">
            <v>#DIV/0!</v>
          </cell>
        </row>
        <row r="4932">
          <cell r="A4932" t="str">
            <v>Y045-012</v>
          </cell>
          <cell r="B4932" t="str">
            <v>Y045-012</v>
          </cell>
          <cell r="C4932">
            <v>0</v>
          </cell>
          <cell r="D4932" t="str">
            <v>So  8-R</v>
          </cell>
          <cell r="E4932" t="str">
            <v xml:space="preserve">虎腳-R </v>
          </cell>
          <cell r="F4932" t="str">
            <v>218*68*68</v>
          </cell>
          <cell r="G4932">
            <v>218</v>
          </cell>
          <cell r="H4932">
            <v>68</v>
          </cell>
          <cell r="I4932">
            <v>68</v>
          </cell>
          <cell r="J4932">
            <v>0</v>
          </cell>
          <cell r="K4932">
            <v>0</v>
          </cell>
          <cell r="L4932">
            <v>1.4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 t="e">
            <v>#DIV/0!</v>
          </cell>
        </row>
        <row r="4933">
          <cell r="A4933" t="str">
            <v>Y045-013</v>
          </cell>
          <cell r="B4933" t="str">
            <v>Y045-013</v>
          </cell>
          <cell r="C4933">
            <v>0</v>
          </cell>
          <cell r="D4933" t="str">
            <v>So  9-L</v>
          </cell>
          <cell r="E4933" t="str">
            <v>虎腳-L</v>
          </cell>
          <cell r="F4933" t="str">
            <v>212*68*68</v>
          </cell>
          <cell r="G4933">
            <v>212</v>
          </cell>
          <cell r="H4933">
            <v>68</v>
          </cell>
          <cell r="I4933">
            <v>68</v>
          </cell>
          <cell r="J4933">
            <v>0</v>
          </cell>
          <cell r="K4933">
            <v>0</v>
          </cell>
          <cell r="L4933">
            <v>1.4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 t="e">
            <v>#DIV/0!</v>
          </cell>
        </row>
        <row r="4934">
          <cell r="A4934" t="str">
            <v>Y045-014</v>
          </cell>
          <cell r="B4934" t="str">
            <v>Y045-014</v>
          </cell>
          <cell r="C4934">
            <v>0</v>
          </cell>
          <cell r="D4934" t="str">
            <v>So  9-R</v>
          </cell>
          <cell r="E4934" t="str">
            <v xml:space="preserve">虎腳-R </v>
          </cell>
          <cell r="F4934" t="str">
            <v>212*68*68</v>
          </cell>
          <cell r="G4934">
            <v>212</v>
          </cell>
          <cell r="H4934">
            <v>68</v>
          </cell>
          <cell r="I4934">
            <v>68</v>
          </cell>
          <cell r="J4934">
            <v>0</v>
          </cell>
          <cell r="K4934">
            <v>0</v>
          </cell>
          <cell r="L4934">
            <v>1.4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 t="e">
            <v>#DIV/0!</v>
          </cell>
        </row>
        <row r="4935">
          <cell r="A4935" t="str">
            <v>Y045-015</v>
          </cell>
          <cell r="B4935" t="str">
            <v>Y045-015</v>
          </cell>
          <cell r="C4935">
            <v>0</v>
          </cell>
          <cell r="D4935" t="str">
            <v>So 2</v>
          </cell>
          <cell r="E4935" t="str">
            <v>頂冠</v>
          </cell>
          <cell r="F4935" t="str">
            <v>791*50*35</v>
          </cell>
          <cell r="G4935">
            <v>791</v>
          </cell>
          <cell r="H4935">
            <v>50</v>
          </cell>
          <cell r="I4935">
            <v>35</v>
          </cell>
          <cell r="J4935">
            <v>0</v>
          </cell>
          <cell r="K4935">
            <v>0</v>
          </cell>
          <cell r="L4935">
            <v>4.66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 t="e">
            <v>#DIV/0!</v>
          </cell>
        </row>
        <row r="4936">
          <cell r="A4936" t="str">
            <v>Y045-016</v>
          </cell>
          <cell r="B4936" t="str">
            <v>Y045-016</v>
          </cell>
          <cell r="C4936">
            <v>0</v>
          </cell>
          <cell r="D4936" t="str">
            <v>So 10</v>
          </cell>
          <cell r="E4936" t="str">
            <v>頂冠</v>
          </cell>
          <cell r="F4936" t="str">
            <v>791*50*50</v>
          </cell>
          <cell r="G4936">
            <v>791</v>
          </cell>
          <cell r="H4936">
            <v>50</v>
          </cell>
          <cell r="I4936">
            <v>50</v>
          </cell>
          <cell r="J4936">
            <v>0</v>
          </cell>
          <cell r="K4936">
            <v>0</v>
          </cell>
          <cell r="L4936">
            <v>5.44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 t="e">
            <v>#DIV/0!</v>
          </cell>
        </row>
        <row r="4937">
          <cell r="A4937" t="str">
            <v>Y045-017</v>
          </cell>
          <cell r="B4937" t="str">
            <v>Y045-017</v>
          </cell>
          <cell r="C4937">
            <v>0</v>
          </cell>
          <cell r="D4937" t="str">
            <v>So 11+12</v>
          </cell>
          <cell r="E4937" t="str">
            <v>頂冠</v>
          </cell>
          <cell r="F4937" t="str">
            <v>1016*50*50</v>
          </cell>
          <cell r="G4937">
            <v>1016</v>
          </cell>
          <cell r="H4937">
            <v>50</v>
          </cell>
          <cell r="I4937">
            <v>50</v>
          </cell>
          <cell r="J4937">
            <v>0</v>
          </cell>
          <cell r="K4937">
            <v>0</v>
          </cell>
          <cell r="L4937">
            <v>6.61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 t="e">
            <v>#DIV/0!</v>
          </cell>
        </row>
        <row r="4938">
          <cell r="A4938" t="str">
            <v>Y045-018</v>
          </cell>
          <cell r="B4938" t="str">
            <v>Y045-018</v>
          </cell>
          <cell r="C4938">
            <v>0</v>
          </cell>
          <cell r="D4938" t="str">
            <v>BONG So 1</v>
          </cell>
          <cell r="E4938" t="str">
            <v>飾花</v>
          </cell>
          <cell r="F4938" t="str">
            <v>570*70*4</v>
          </cell>
          <cell r="G4938">
            <v>570</v>
          </cell>
          <cell r="H4938">
            <v>70</v>
          </cell>
          <cell r="I4938">
            <v>4</v>
          </cell>
          <cell r="J4938">
            <v>350</v>
          </cell>
          <cell r="K4938">
            <v>0</v>
          </cell>
          <cell r="L4938">
            <v>1.28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3.6571428571428575</v>
          </cell>
        </row>
        <row r="4939">
          <cell r="A4939" t="str">
            <v>Y045-019</v>
          </cell>
          <cell r="B4939" t="str">
            <v>Y045-019</v>
          </cell>
          <cell r="C4939">
            <v>0</v>
          </cell>
          <cell r="D4939" t="str">
            <v>BONG So 2</v>
          </cell>
          <cell r="E4939" t="str">
            <v>飾花</v>
          </cell>
          <cell r="F4939" t="str">
            <v>370*65*5</v>
          </cell>
          <cell r="G4939">
            <v>370</v>
          </cell>
          <cell r="H4939">
            <v>65</v>
          </cell>
          <cell r="I4939">
            <v>5</v>
          </cell>
          <cell r="J4939">
            <v>110</v>
          </cell>
          <cell r="K4939">
            <v>0</v>
          </cell>
          <cell r="L4939">
            <v>0.49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4.4545454545454541</v>
          </cell>
        </row>
        <row r="4940">
          <cell r="A4940" t="str">
            <v>Y045-020</v>
          </cell>
          <cell r="B4940" t="str">
            <v>Y045-020</v>
          </cell>
          <cell r="C4940">
            <v>0</v>
          </cell>
          <cell r="D4940" t="str">
            <v>BONG So 3</v>
          </cell>
          <cell r="E4940" t="str">
            <v>飾花</v>
          </cell>
          <cell r="F4940" t="str">
            <v>278*60*8</v>
          </cell>
          <cell r="G4940">
            <v>278</v>
          </cell>
          <cell r="H4940">
            <v>60</v>
          </cell>
          <cell r="I4940">
            <v>8</v>
          </cell>
          <cell r="J4940">
            <v>90</v>
          </cell>
          <cell r="K4940">
            <v>0</v>
          </cell>
          <cell r="L4940">
            <v>0.39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4.3333333333333339</v>
          </cell>
        </row>
        <row r="4941">
          <cell r="A4941" t="str">
            <v>Y045-021</v>
          </cell>
          <cell r="B4941" t="str">
            <v>Y045-021</v>
          </cell>
          <cell r="C4941">
            <v>0</v>
          </cell>
          <cell r="D4941" t="str">
            <v>BONG So 5</v>
          </cell>
          <cell r="E4941" t="str">
            <v>飾花</v>
          </cell>
          <cell r="F4941" t="str">
            <v>260*54*5</v>
          </cell>
          <cell r="G4941">
            <v>260</v>
          </cell>
          <cell r="H4941">
            <v>54</v>
          </cell>
          <cell r="I4941">
            <v>5</v>
          </cell>
          <cell r="J4941">
            <v>60</v>
          </cell>
          <cell r="K4941">
            <v>0</v>
          </cell>
          <cell r="L4941">
            <v>0.36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6</v>
          </cell>
        </row>
        <row r="4942">
          <cell r="A4942" t="str">
            <v>Y045-022</v>
          </cell>
          <cell r="B4942" t="str">
            <v>Y045-022</v>
          </cell>
          <cell r="C4942">
            <v>0</v>
          </cell>
          <cell r="D4942" t="str">
            <v>BONG So 7 a</v>
          </cell>
          <cell r="E4942" t="str">
            <v>飾花</v>
          </cell>
          <cell r="F4942" t="str">
            <v>350*70*5</v>
          </cell>
          <cell r="G4942">
            <v>350</v>
          </cell>
          <cell r="H4942">
            <v>70</v>
          </cell>
          <cell r="I4942">
            <v>5</v>
          </cell>
          <cell r="J4942">
            <v>125</v>
          </cell>
          <cell r="K4942">
            <v>0</v>
          </cell>
          <cell r="L4942">
            <v>0.5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4</v>
          </cell>
        </row>
        <row r="4943">
          <cell r="A4943" t="str">
            <v>Y045-023</v>
          </cell>
          <cell r="B4943" t="str">
            <v>Y045-023</v>
          </cell>
          <cell r="C4943">
            <v>0</v>
          </cell>
          <cell r="D4943" t="str">
            <v>BONG So 7 b</v>
          </cell>
          <cell r="E4943" t="str">
            <v>飾花</v>
          </cell>
          <cell r="F4943" t="str">
            <v>350*70*5</v>
          </cell>
          <cell r="G4943">
            <v>350</v>
          </cell>
          <cell r="H4943">
            <v>70</v>
          </cell>
          <cell r="I4943">
            <v>5</v>
          </cell>
          <cell r="J4943">
            <v>125</v>
          </cell>
          <cell r="K4943">
            <v>0</v>
          </cell>
          <cell r="L4943">
            <v>0.44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3.52</v>
          </cell>
        </row>
        <row r="4944">
          <cell r="A4944" t="str">
            <v>Y045-024</v>
          </cell>
          <cell r="B4944" t="str">
            <v>Y045-024</v>
          </cell>
          <cell r="C4944">
            <v>0</v>
          </cell>
          <cell r="D4944" t="str">
            <v xml:space="preserve">BONG So 8 </v>
          </cell>
          <cell r="E4944" t="str">
            <v>飾花</v>
          </cell>
          <cell r="F4944" t="str">
            <v>360*80*5</v>
          </cell>
          <cell r="G4944">
            <v>360</v>
          </cell>
          <cell r="H4944">
            <v>80</v>
          </cell>
          <cell r="I4944">
            <v>5</v>
          </cell>
          <cell r="J4944">
            <v>150</v>
          </cell>
          <cell r="K4944">
            <v>0</v>
          </cell>
          <cell r="L4944">
            <v>0.6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4</v>
          </cell>
        </row>
        <row r="4945">
          <cell r="A4945" t="str">
            <v>Y045-025</v>
          </cell>
          <cell r="B4945" t="str">
            <v>Y045-025</v>
          </cell>
          <cell r="C4945">
            <v>0</v>
          </cell>
          <cell r="D4945" t="str">
            <v xml:space="preserve">BONG So 9 </v>
          </cell>
          <cell r="E4945" t="str">
            <v>飾花</v>
          </cell>
          <cell r="F4945" t="str">
            <v>235*50*7</v>
          </cell>
          <cell r="G4945">
            <v>235</v>
          </cell>
          <cell r="H4945">
            <v>50</v>
          </cell>
          <cell r="I4945">
            <v>7</v>
          </cell>
          <cell r="J4945">
            <v>80</v>
          </cell>
          <cell r="K4945">
            <v>0</v>
          </cell>
          <cell r="L4945">
            <v>0.32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4</v>
          </cell>
        </row>
        <row r="4946">
          <cell r="A4946" t="str">
            <v>Y045-001</v>
          </cell>
          <cell r="B4946" t="str">
            <v>Y045-001</v>
          </cell>
          <cell r="C4946" t="str">
            <v>Y045</v>
          </cell>
          <cell r="D4946" t="str">
            <v>So  4</v>
          </cell>
          <cell r="E4946" t="str">
            <v>飾條-Chi hoc keo NS</v>
          </cell>
          <cell r="F4946" t="str">
            <v>690*15*10</v>
          </cell>
          <cell r="G4946">
            <v>690</v>
          </cell>
          <cell r="H4946">
            <v>15</v>
          </cell>
          <cell r="I4946">
            <v>10</v>
          </cell>
          <cell r="J4946">
            <v>165</v>
          </cell>
          <cell r="K4946">
            <v>0.42099999999999999</v>
          </cell>
          <cell r="L4946">
            <v>0.42099999999999999</v>
          </cell>
          <cell r="M4946">
            <v>0</v>
          </cell>
          <cell r="N4946">
            <v>0</v>
          </cell>
          <cell r="O4946" t="str">
            <v>40V</v>
          </cell>
          <cell r="P4946" t="str">
            <v>1010</v>
          </cell>
          <cell r="Q4946" t="str">
            <v>1010</v>
          </cell>
          <cell r="R4946">
            <v>2.5515151515151513</v>
          </cell>
        </row>
        <row r="4947">
          <cell r="A4947" t="str">
            <v>Y045-002</v>
          </cell>
          <cell r="B4947" t="str">
            <v>Y045-002</v>
          </cell>
          <cell r="C4947" t="str">
            <v>Y045</v>
          </cell>
          <cell r="D4947" t="str">
            <v>So  4</v>
          </cell>
          <cell r="E4947" t="str">
            <v>飾條-Chi hoc keo 5D</v>
          </cell>
          <cell r="F4947" t="str">
            <v>680*15*10</v>
          </cell>
          <cell r="G4947">
            <v>680</v>
          </cell>
          <cell r="H4947">
            <v>15</v>
          </cell>
          <cell r="I4947">
            <v>10</v>
          </cell>
          <cell r="J4947">
            <v>165</v>
          </cell>
          <cell r="K4947">
            <v>0.41499999999999998</v>
          </cell>
          <cell r="L4947">
            <v>0.41499999999999998</v>
          </cell>
          <cell r="M4947">
            <v>0</v>
          </cell>
          <cell r="N4947">
            <v>0</v>
          </cell>
          <cell r="O4947" t="str">
            <v>40V</v>
          </cell>
          <cell r="P4947" t="str">
            <v>1010</v>
          </cell>
          <cell r="Q4947" t="str">
            <v>1010</v>
          </cell>
          <cell r="R4947">
            <v>2.5151515151515147</v>
          </cell>
        </row>
        <row r="4948">
          <cell r="A4948" t="str">
            <v>Y045-003</v>
          </cell>
          <cell r="B4948" t="str">
            <v>Y045-003</v>
          </cell>
          <cell r="C4948" t="str">
            <v>Y045</v>
          </cell>
          <cell r="D4948" t="str">
            <v>So  4</v>
          </cell>
          <cell r="E4948" t="str">
            <v>飾條-Chi hoc keo 5D</v>
          </cell>
          <cell r="F4948" t="str">
            <v>1184*15*10</v>
          </cell>
          <cell r="G4948">
            <v>1184</v>
          </cell>
          <cell r="H4948">
            <v>15</v>
          </cell>
          <cell r="I4948">
            <v>10</v>
          </cell>
          <cell r="J4948">
            <v>285</v>
          </cell>
          <cell r="K4948">
            <v>0.72199999999999998</v>
          </cell>
          <cell r="L4948">
            <v>0.72199999999999998</v>
          </cell>
          <cell r="M4948">
            <v>0</v>
          </cell>
          <cell r="N4948">
            <v>0</v>
          </cell>
          <cell r="O4948" t="str">
            <v>40V</v>
          </cell>
          <cell r="P4948" t="str">
            <v>1010</v>
          </cell>
          <cell r="Q4948" t="str">
            <v>1010</v>
          </cell>
          <cell r="R4948">
            <v>2.5333333333333337</v>
          </cell>
        </row>
        <row r="4949">
          <cell r="A4949" t="str">
            <v>Y045-004</v>
          </cell>
          <cell r="B4949" t="str">
            <v>Y045-004</v>
          </cell>
          <cell r="C4949" t="str">
            <v>Y045</v>
          </cell>
          <cell r="D4949" t="str">
            <v>So  4</v>
          </cell>
          <cell r="E4949" t="str">
            <v>飾條-Chi hoc keo 7D</v>
          </cell>
          <cell r="F4949" t="str">
            <v>642*15*10</v>
          </cell>
          <cell r="G4949">
            <v>642</v>
          </cell>
          <cell r="H4949">
            <v>15</v>
          </cell>
          <cell r="I4949">
            <v>10</v>
          </cell>
          <cell r="J4949">
            <v>155</v>
          </cell>
          <cell r="K4949">
            <v>0.39200000000000002</v>
          </cell>
          <cell r="L4949">
            <v>0.39200000000000002</v>
          </cell>
          <cell r="M4949">
            <v>0</v>
          </cell>
          <cell r="N4949">
            <v>0</v>
          </cell>
          <cell r="O4949" t="str">
            <v>40V</v>
          </cell>
          <cell r="P4949" t="str">
            <v>1010</v>
          </cell>
          <cell r="Q4949" t="str">
            <v>1010</v>
          </cell>
          <cell r="R4949">
            <v>2.5290322580645164</v>
          </cell>
        </row>
        <row r="4950">
          <cell r="A4950" t="str">
            <v>Y045-005</v>
          </cell>
          <cell r="B4950" t="str">
            <v>Y045-005</v>
          </cell>
          <cell r="C4950" t="str">
            <v>Y045</v>
          </cell>
          <cell r="D4950" t="str">
            <v>So  4</v>
          </cell>
          <cell r="E4950" t="str">
            <v>飾條-Chi hoc keo 7D</v>
          </cell>
          <cell r="F4950" t="str">
            <v>895*15*10</v>
          </cell>
          <cell r="G4950">
            <v>895</v>
          </cell>
          <cell r="H4950">
            <v>15</v>
          </cell>
          <cell r="I4950">
            <v>10</v>
          </cell>
          <cell r="J4950">
            <v>215</v>
          </cell>
          <cell r="K4950">
            <v>0.54600000000000004</v>
          </cell>
          <cell r="L4950">
            <v>0.54600000000000004</v>
          </cell>
          <cell r="M4950">
            <v>0</v>
          </cell>
          <cell r="N4950">
            <v>0</v>
          </cell>
          <cell r="O4950" t="str">
            <v>40V</v>
          </cell>
          <cell r="P4950" t="str">
            <v>1010</v>
          </cell>
          <cell r="Q4950" t="str">
            <v>1010</v>
          </cell>
          <cell r="R4950">
            <v>2.5395348837209304</v>
          </cell>
        </row>
        <row r="4951">
          <cell r="A4951" t="str">
            <v>Y045-006</v>
          </cell>
          <cell r="B4951" t="str">
            <v>Y045-006</v>
          </cell>
          <cell r="C4951" t="str">
            <v>Y045</v>
          </cell>
          <cell r="D4951" t="str">
            <v>So  4</v>
          </cell>
          <cell r="E4951" t="str">
            <v>飾條-Chi hoc keo BC</v>
          </cell>
          <cell r="F4951" t="str">
            <v>1217*15*10</v>
          </cell>
          <cell r="G4951">
            <v>1217</v>
          </cell>
          <cell r="H4951">
            <v>15</v>
          </cell>
          <cell r="I4951">
            <v>10</v>
          </cell>
          <cell r="J4951">
            <v>292</v>
          </cell>
          <cell r="K4951">
            <v>0.74</v>
          </cell>
          <cell r="L4951">
            <v>0.74199999999999999</v>
          </cell>
          <cell r="M4951">
            <v>0</v>
          </cell>
          <cell r="N4951">
            <v>0</v>
          </cell>
          <cell r="O4951" t="str">
            <v>40V</v>
          </cell>
          <cell r="P4951" t="str">
            <v>1010</v>
          </cell>
          <cell r="Q4951" t="str">
            <v>1010</v>
          </cell>
          <cell r="R4951">
            <v>2.5410958904109591</v>
          </cell>
        </row>
        <row r="4952">
          <cell r="A4952" t="str">
            <v>Y045-007</v>
          </cell>
          <cell r="B4952" t="str">
            <v>Y045-007</v>
          </cell>
          <cell r="C4952" t="str">
            <v>Y045</v>
          </cell>
          <cell r="D4952" t="str">
            <v>So 2</v>
          </cell>
          <cell r="E4952" t="str">
            <v>頂冠-Chi tren mirror</v>
          </cell>
          <cell r="F4952" t="str">
            <v>791*50*35</v>
          </cell>
          <cell r="G4952">
            <v>791</v>
          </cell>
          <cell r="H4952">
            <v>50</v>
          </cell>
          <cell r="I4952">
            <v>35</v>
          </cell>
          <cell r="J4952">
            <v>1700</v>
          </cell>
          <cell r="K4952">
            <v>4.33</v>
          </cell>
          <cell r="L4952">
            <v>4.66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2.7411764705882353</v>
          </cell>
        </row>
        <row r="4953">
          <cell r="A4953" t="str">
            <v>Y045-008</v>
          </cell>
          <cell r="B4953" t="str">
            <v>Y045-008</v>
          </cell>
          <cell r="C4953" t="str">
            <v>Y045</v>
          </cell>
          <cell r="D4953" t="str">
            <v>So 10</v>
          </cell>
          <cell r="E4953" t="str">
            <v>頂冠-Chi tren noi nho</v>
          </cell>
          <cell r="F4953" t="str">
            <v>791*50*50</v>
          </cell>
          <cell r="G4953">
            <v>791</v>
          </cell>
          <cell r="H4953">
            <v>50</v>
          </cell>
          <cell r="I4953">
            <v>50</v>
          </cell>
          <cell r="J4953">
            <v>1700</v>
          </cell>
          <cell r="K4953">
            <v>5.0599999999999996</v>
          </cell>
          <cell r="L4953">
            <v>5.44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3.2</v>
          </cell>
        </row>
        <row r="4954">
          <cell r="A4954" t="str">
            <v>Y045-009</v>
          </cell>
          <cell r="B4954" t="str">
            <v>Y045-009</v>
          </cell>
          <cell r="C4954" t="str">
            <v>Y045</v>
          </cell>
          <cell r="D4954" t="str">
            <v>So 11+12</v>
          </cell>
          <cell r="E4954" t="str">
            <v xml:space="preserve">頂冠-Chi tren noc </v>
          </cell>
          <cell r="F4954" t="str">
            <v>1016*50*50</v>
          </cell>
          <cell r="G4954">
            <v>1016</v>
          </cell>
          <cell r="H4954">
            <v>50</v>
          </cell>
          <cell r="I4954">
            <v>50</v>
          </cell>
          <cell r="J4954">
            <v>1910</v>
          </cell>
          <cell r="K4954">
            <v>6.15</v>
          </cell>
          <cell r="L4954">
            <v>6.61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3.4607329842931942</v>
          </cell>
        </row>
        <row r="4955">
          <cell r="A4955" t="str">
            <v>Y045-010</v>
          </cell>
          <cell r="B4955" t="str">
            <v>Y045-010</v>
          </cell>
          <cell r="C4955" t="str">
            <v>Y045</v>
          </cell>
          <cell r="D4955" t="str">
            <v>BONG So 1</v>
          </cell>
          <cell r="E4955" t="str">
            <v>飾花-Bong hau noi lon</v>
          </cell>
          <cell r="F4955" t="str">
            <v>570*70*4</v>
          </cell>
          <cell r="G4955">
            <v>570</v>
          </cell>
          <cell r="H4955">
            <v>70</v>
          </cell>
          <cell r="I4955">
            <v>4</v>
          </cell>
          <cell r="J4955">
            <v>350</v>
          </cell>
          <cell r="K4955">
            <v>1.19</v>
          </cell>
          <cell r="L4955">
            <v>1.28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3.6571428571428575</v>
          </cell>
        </row>
        <row r="4956">
          <cell r="A4956" t="str">
            <v>Y045-011</v>
          </cell>
          <cell r="B4956" t="str">
            <v>Y045-011</v>
          </cell>
          <cell r="C4956" t="str">
            <v>Y045</v>
          </cell>
          <cell r="D4956" t="str">
            <v>BONG So 2</v>
          </cell>
          <cell r="E4956" t="str">
            <v>飾花-Bong tren thanh mat truoc noi lon</v>
          </cell>
          <cell r="F4956" t="str">
            <v>370*65*5</v>
          </cell>
          <cell r="G4956">
            <v>370</v>
          </cell>
          <cell r="H4956">
            <v>65</v>
          </cell>
          <cell r="I4956">
            <v>5</v>
          </cell>
          <cell r="J4956">
            <v>110</v>
          </cell>
          <cell r="K4956">
            <v>0.46</v>
          </cell>
          <cell r="L4956">
            <v>0.49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4.4545454545454541</v>
          </cell>
        </row>
        <row r="4957">
          <cell r="A4957" t="str">
            <v>Y045-012</v>
          </cell>
          <cell r="B4957" t="str">
            <v>Y045-012</v>
          </cell>
          <cell r="C4957" t="str">
            <v>Y045</v>
          </cell>
          <cell r="D4957" t="str">
            <v>BONG So 3</v>
          </cell>
          <cell r="E4957" t="str">
            <v>飾花-Bong tren thanh day  noi lon</v>
          </cell>
          <cell r="F4957" t="str">
            <v>278*60*8</v>
          </cell>
          <cell r="G4957">
            <v>278</v>
          </cell>
          <cell r="H4957">
            <v>60</v>
          </cell>
          <cell r="I4957">
            <v>8</v>
          </cell>
          <cell r="J4957">
            <v>90</v>
          </cell>
          <cell r="K4957">
            <v>0.36</v>
          </cell>
          <cell r="L4957">
            <v>0.39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4.3333333333333339</v>
          </cell>
        </row>
        <row r="4958">
          <cell r="A4958" t="str">
            <v>Y045-013</v>
          </cell>
          <cell r="B4958" t="str">
            <v>Y045-013</v>
          </cell>
          <cell r="C4958" t="str">
            <v>Y045</v>
          </cell>
          <cell r="D4958" t="str">
            <v>BONG So 5</v>
          </cell>
          <cell r="E4958" t="str">
            <v>飾花-Bong mat hoc tren tu DD</v>
          </cell>
          <cell r="F4958" t="str">
            <v>260*54*5</v>
          </cell>
          <cell r="G4958">
            <v>260</v>
          </cell>
          <cell r="H4958">
            <v>54</v>
          </cell>
          <cell r="I4958">
            <v>5</v>
          </cell>
          <cell r="J4958">
            <v>60</v>
          </cell>
          <cell r="K4958">
            <v>0.33</v>
          </cell>
          <cell r="L4958">
            <v>0.36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6</v>
          </cell>
        </row>
        <row r="4959">
          <cell r="A4959" t="str">
            <v>Y045-014</v>
          </cell>
          <cell r="B4959" t="str">
            <v>Y045-014</v>
          </cell>
          <cell r="C4959" t="str">
            <v>Y045</v>
          </cell>
          <cell r="D4959" t="str">
            <v>BONG So 7 a</v>
          </cell>
          <cell r="E4959" t="str">
            <v>飾花-Bong cua tu ao L</v>
          </cell>
          <cell r="F4959" t="str">
            <v>350*70*5</v>
          </cell>
          <cell r="G4959">
            <v>350</v>
          </cell>
          <cell r="H4959">
            <v>70</v>
          </cell>
          <cell r="I4959">
            <v>5</v>
          </cell>
          <cell r="J4959">
            <v>125</v>
          </cell>
          <cell r="K4959">
            <v>0.42</v>
          </cell>
          <cell r="L4959">
            <v>0.5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4</v>
          </cell>
        </row>
        <row r="4960">
          <cell r="A4960" t="str">
            <v>Y045-015</v>
          </cell>
          <cell r="B4960" t="str">
            <v>Y045-015</v>
          </cell>
          <cell r="C4960" t="str">
            <v>Y045</v>
          </cell>
          <cell r="D4960" t="str">
            <v>BONG So 7 b</v>
          </cell>
          <cell r="E4960" t="str">
            <v xml:space="preserve">飾花-Bong cua tu ao R </v>
          </cell>
          <cell r="F4960" t="str">
            <v>350*70*5</v>
          </cell>
          <cell r="G4960">
            <v>350</v>
          </cell>
          <cell r="H4960">
            <v>70</v>
          </cell>
          <cell r="I4960">
            <v>5</v>
          </cell>
          <cell r="J4960">
            <v>125</v>
          </cell>
          <cell r="K4960">
            <v>0.42</v>
          </cell>
          <cell r="L4960">
            <v>0.44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3.52</v>
          </cell>
        </row>
        <row r="4961">
          <cell r="A4961" t="str">
            <v>Y045-016</v>
          </cell>
          <cell r="B4961" t="str">
            <v>Y045-016</v>
          </cell>
          <cell r="C4961" t="str">
            <v>Y045</v>
          </cell>
          <cell r="D4961" t="str">
            <v xml:space="preserve">BONG So 8 </v>
          </cell>
          <cell r="E4961" t="str">
            <v>飾花-Bong Hutch</v>
          </cell>
          <cell r="F4961" t="str">
            <v>360*80*5</v>
          </cell>
          <cell r="G4961">
            <v>360</v>
          </cell>
          <cell r="H4961">
            <v>80</v>
          </cell>
          <cell r="I4961">
            <v>5</v>
          </cell>
          <cell r="J4961">
            <v>150</v>
          </cell>
          <cell r="K4961">
            <v>0.56000000000000005</v>
          </cell>
          <cell r="L4961">
            <v>0.6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4</v>
          </cell>
        </row>
        <row r="4962">
          <cell r="A4962" t="str">
            <v>Y045-017</v>
          </cell>
          <cell r="B4962" t="str">
            <v>Y045-017</v>
          </cell>
          <cell r="C4962" t="str">
            <v>Y045</v>
          </cell>
          <cell r="D4962" t="str">
            <v xml:space="preserve">BONG So 9 </v>
          </cell>
          <cell r="E4962" t="str">
            <v>飾花-Bong duoi thanh day tu NS</v>
          </cell>
          <cell r="F4962" t="str">
            <v>235*50*7</v>
          </cell>
          <cell r="G4962">
            <v>235</v>
          </cell>
          <cell r="H4962">
            <v>50</v>
          </cell>
          <cell r="I4962">
            <v>7</v>
          </cell>
          <cell r="J4962">
            <v>80</v>
          </cell>
          <cell r="K4962">
            <v>0.3</v>
          </cell>
          <cell r="L4962">
            <v>0.32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4</v>
          </cell>
        </row>
        <row r="4963">
          <cell r="A4963" t="str">
            <v>Y045-018</v>
          </cell>
          <cell r="B4963" t="str">
            <v>Y045-018</v>
          </cell>
          <cell r="C4963" t="str">
            <v>Y045</v>
          </cell>
          <cell r="D4963">
            <v>0</v>
          </cell>
          <cell r="E4963" t="str">
            <v>飾條-Chi vien noi nho</v>
          </cell>
          <cell r="F4963" t="str">
            <v>810*15*5</v>
          </cell>
          <cell r="G4963">
            <v>810</v>
          </cell>
          <cell r="H4963">
            <v>15</v>
          </cell>
          <cell r="I4963">
            <v>5</v>
          </cell>
          <cell r="J4963">
            <v>140</v>
          </cell>
          <cell r="K4963">
            <v>0.33600000000000002</v>
          </cell>
          <cell r="L4963">
            <v>0.33600000000000002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2.4</v>
          </cell>
        </row>
        <row r="4964">
          <cell r="A4964" t="str">
            <v>Y045-019</v>
          </cell>
          <cell r="B4964" t="str">
            <v>Y045-019</v>
          </cell>
          <cell r="C4964" t="str">
            <v>Y045</v>
          </cell>
          <cell r="D4964">
            <v>0</v>
          </cell>
          <cell r="E4964" t="str">
            <v>飾條-Chi vien noi nho</v>
          </cell>
          <cell r="F4964" t="str">
            <v>660*15*5</v>
          </cell>
          <cell r="G4964">
            <v>660</v>
          </cell>
          <cell r="H4964">
            <v>15</v>
          </cell>
          <cell r="I4964">
            <v>5</v>
          </cell>
          <cell r="J4964">
            <v>115</v>
          </cell>
          <cell r="K4964">
            <v>0.27600000000000002</v>
          </cell>
          <cell r="L4964">
            <v>0.27600000000000002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2.4</v>
          </cell>
        </row>
        <row r="4965">
          <cell r="A4965" t="str">
            <v>Y045-005</v>
          </cell>
          <cell r="B4965" t="str">
            <v>Y045-005</v>
          </cell>
          <cell r="C4965" t="str">
            <v>Y045</v>
          </cell>
          <cell r="D4965" t="str">
            <v>So  5-L</v>
          </cell>
          <cell r="E4965" t="str">
            <v>腳柱-L</v>
          </cell>
          <cell r="F4965" t="str">
            <v>1162*50*50</v>
          </cell>
          <cell r="G4965">
            <v>1167</v>
          </cell>
          <cell r="H4965">
            <v>50</v>
          </cell>
          <cell r="I4965">
            <v>50</v>
          </cell>
          <cell r="J4965">
            <v>1600</v>
          </cell>
          <cell r="K4965">
            <v>6.11</v>
          </cell>
          <cell r="L4965">
            <v>6.3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3.9374999999999996</v>
          </cell>
        </row>
        <row r="4966">
          <cell r="A4966" t="str">
            <v>Y045-006</v>
          </cell>
          <cell r="B4966" t="str">
            <v>Y045-006</v>
          </cell>
          <cell r="C4966" t="str">
            <v>Y045</v>
          </cell>
          <cell r="D4966" t="str">
            <v>So  5-R</v>
          </cell>
          <cell r="E4966" t="str">
            <v>腳柱-R</v>
          </cell>
          <cell r="F4966" t="str">
            <v>1162*50*50</v>
          </cell>
          <cell r="G4966">
            <v>1167</v>
          </cell>
          <cell r="H4966">
            <v>50</v>
          </cell>
          <cell r="I4966">
            <v>50</v>
          </cell>
          <cell r="J4966">
            <v>1600</v>
          </cell>
          <cell r="K4966">
            <v>6.11</v>
          </cell>
          <cell r="L4966">
            <v>6.3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3.9374999999999996</v>
          </cell>
        </row>
        <row r="4967">
          <cell r="A4967" t="str">
            <v>Y045-007</v>
          </cell>
          <cell r="B4967" t="str">
            <v>Y045-007</v>
          </cell>
          <cell r="C4967" t="str">
            <v>Y045</v>
          </cell>
          <cell r="D4967" t="str">
            <v>So  6-L</v>
          </cell>
          <cell r="E4967" t="str">
            <v>腳柱-L</v>
          </cell>
          <cell r="F4967" t="str">
            <v>863*50*50</v>
          </cell>
          <cell r="G4967">
            <v>867</v>
          </cell>
          <cell r="H4967">
            <v>50</v>
          </cell>
          <cell r="I4967">
            <v>50</v>
          </cell>
          <cell r="J4967">
            <v>1400</v>
          </cell>
          <cell r="K4967">
            <v>4.5</v>
          </cell>
          <cell r="L4967">
            <v>4.66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3.3285714285714287</v>
          </cell>
        </row>
        <row r="4968">
          <cell r="A4968" t="str">
            <v>Y045-008</v>
          </cell>
          <cell r="B4968" t="str">
            <v>Y045-008</v>
          </cell>
          <cell r="C4968" t="str">
            <v>Y045</v>
          </cell>
          <cell r="D4968" t="str">
            <v>So  6-R</v>
          </cell>
          <cell r="E4968" t="str">
            <v>腳柱-R</v>
          </cell>
          <cell r="F4968" t="str">
            <v>863*50*50</v>
          </cell>
          <cell r="G4968">
            <v>867</v>
          </cell>
          <cell r="H4968">
            <v>50</v>
          </cell>
          <cell r="I4968">
            <v>50</v>
          </cell>
          <cell r="J4968">
            <v>1400</v>
          </cell>
          <cell r="K4968">
            <v>4.5</v>
          </cell>
          <cell r="L4968">
            <v>4.66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3.3285714285714287</v>
          </cell>
        </row>
        <row r="4969">
          <cell r="A4969" t="str">
            <v>Y045-009</v>
          </cell>
          <cell r="B4969" t="str">
            <v>Y045-009</v>
          </cell>
          <cell r="C4969" t="str">
            <v>Y045</v>
          </cell>
          <cell r="D4969" t="str">
            <v>So  7-L</v>
          </cell>
          <cell r="E4969" t="str">
            <v>腳柱-L</v>
          </cell>
          <cell r="F4969" t="str">
            <v>1043*50*50</v>
          </cell>
          <cell r="G4969">
            <v>1036</v>
          </cell>
          <cell r="H4969">
            <v>50</v>
          </cell>
          <cell r="I4969">
            <v>50</v>
          </cell>
          <cell r="J4969">
            <v>1580</v>
          </cell>
          <cell r="K4969">
            <v>5.4</v>
          </cell>
          <cell r="L4969">
            <v>5.63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3.5632911392405062</v>
          </cell>
        </row>
        <row r="4970">
          <cell r="A4970" t="str">
            <v>Y045-010</v>
          </cell>
          <cell r="B4970" t="str">
            <v>Y045-010</v>
          </cell>
          <cell r="C4970" t="str">
            <v>Y045</v>
          </cell>
          <cell r="D4970" t="str">
            <v>So  7-R</v>
          </cell>
          <cell r="E4970" t="str">
            <v>腳柱-R</v>
          </cell>
          <cell r="F4970" t="str">
            <v>1043*50*50</v>
          </cell>
          <cell r="G4970">
            <v>1036</v>
          </cell>
          <cell r="H4970">
            <v>50</v>
          </cell>
          <cell r="I4970">
            <v>50</v>
          </cell>
          <cell r="J4970">
            <v>1580</v>
          </cell>
          <cell r="K4970">
            <v>5.4</v>
          </cell>
          <cell r="L4970">
            <v>5.63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3.5632911392405062</v>
          </cell>
        </row>
        <row r="4971">
          <cell r="A4971" t="str">
            <v>Y045-011</v>
          </cell>
          <cell r="B4971" t="str">
            <v>Y045-011</v>
          </cell>
          <cell r="C4971" t="str">
            <v>Y045</v>
          </cell>
          <cell r="D4971" t="str">
            <v>So  8-L</v>
          </cell>
          <cell r="E4971" t="str">
            <v>虎腳-L</v>
          </cell>
          <cell r="F4971" t="str">
            <v>218*68*68</v>
          </cell>
          <cell r="G4971">
            <v>221</v>
          </cell>
          <cell r="H4971">
            <v>68</v>
          </cell>
          <cell r="I4971">
            <v>68</v>
          </cell>
          <cell r="J4971">
            <v>470</v>
          </cell>
          <cell r="K4971">
            <v>1.3</v>
          </cell>
          <cell r="L4971">
            <v>1.4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2.978723404255319</v>
          </cell>
        </row>
        <row r="4972">
          <cell r="A4972" t="str">
            <v>Y045-012</v>
          </cell>
          <cell r="B4972" t="str">
            <v>Y045-012</v>
          </cell>
          <cell r="C4972" t="str">
            <v>Y045</v>
          </cell>
          <cell r="D4972" t="str">
            <v>So  8-R</v>
          </cell>
          <cell r="E4972" t="str">
            <v xml:space="preserve">虎腳-R </v>
          </cell>
          <cell r="F4972" t="str">
            <v>218*68*68</v>
          </cell>
          <cell r="G4972">
            <v>221</v>
          </cell>
          <cell r="H4972">
            <v>68</v>
          </cell>
          <cell r="I4972">
            <v>68</v>
          </cell>
          <cell r="J4972">
            <v>470</v>
          </cell>
          <cell r="K4972">
            <v>1.3</v>
          </cell>
          <cell r="L4972">
            <v>1.4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2.978723404255319</v>
          </cell>
        </row>
        <row r="4974">
          <cell r="A4974">
            <v>0</v>
          </cell>
          <cell r="B4974">
            <v>0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  <cell r="G4974">
            <v>0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</row>
        <row r="4975">
          <cell r="A4975">
            <v>0</v>
          </cell>
          <cell r="B4975">
            <v>0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  <cell r="G4975">
            <v>0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</row>
        <row r="4976">
          <cell r="A4976">
            <v>0</v>
          </cell>
          <cell r="B4976">
            <v>0</v>
          </cell>
          <cell r="C4976">
            <v>0</v>
          </cell>
          <cell r="D4976">
            <v>0</v>
          </cell>
          <cell r="E4976">
            <v>0</v>
          </cell>
          <cell r="F4976">
            <v>0</v>
          </cell>
          <cell r="G4976">
            <v>0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</row>
        <row r="4977">
          <cell r="A4977">
            <v>0</v>
          </cell>
          <cell r="B4977">
            <v>0</v>
          </cell>
          <cell r="C4977">
            <v>0</v>
          </cell>
          <cell r="D4977">
            <v>0</v>
          </cell>
          <cell r="E4977">
            <v>0</v>
          </cell>
          <cell r="F4977">
            <v>0</v>
          </cell>
          <cell r="G4977">
            <v>0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</row>
        <row r="4978">
          <cell r="A4978">
            <v>0</v>
          </cell>
          <cell r="B4978">
            <v>0</v>
          </cell>
          <cell r="C4978">
            <v>0</v>
          </cell>
          <cell r="D4978">
            <v>0</v>
          </cell>
          <cell r="E4978">
            <v>0</v>
          </cell>
          <cell r="F4978">
            <v>0</v>
          </cell>
          <cell r="G4978">
            <v>0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</row>
        <row r="4979">
          <cell r="A4979">
            <v>0</v>
          </cell>
          <cell r="B4979">
            <v>0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</row>
        <row r="4980">
          <cell r="A4980">
            <v>0</v>
          </cell>
          <cell r="B4980">
            <v>0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</row>
        <row r="4981">
          <cell r="A4981">
            <v>0</v>
          </cell>
          <cell r="B4981">
            <v>0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  <cell r="G4981">
            <v>0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</row>
        <row r="4982">
          <cell r="A4982">
            <v>0</v>
          </cell>
          <cell r="B4982">
            <v>0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  <cell r="G4982">
            <v>0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</row>
        <row r="4983">
          <cell r="A4983">
            <v>0</v>
          </cell>
          <cell r="B4983">
            <v>0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  <cell r="G4983">
            <v>0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</row>
        <row r="4984">
          <cell r="A4984">
            <v>0</v>
          </cell>
          <cell r="B4984">
            <v>0</v>
          </cell>
          <cell r="C4984">
            <v>0</v>
          </cell>
          <cell r="D4984">
            <v>0</v>
          </cell>
          <cell r="E4984">
            <v>0</v>
          </cell>
          <cell r="F4984">
            <v>0</v>
          </cell>
          <cell r="G4984">
            <v>0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</row>
        <row r="4986">
          <cell r="A4986" t="str">
            <v>Y048-001</v>
          </cell>
          <cell r="B4986" t="str">
            <v>Y048-001</v>
          </cell>
          <cell r="C4986">
            <v>0</v>
          </cell>
          <cell r="D4986" t="str">
            <v>#323</v>
          </cell>
          <cell r="E4986" t="str">
            <v>POLY 圆珠饰条(報價用)</v>
          </cell>
          <cell r="F4986" t="str">
            <v>800*10*5</v>
          </cell>
          <cell r="G4986">
            <v>800</v>
          </cell>
          <cell r="H4986">
            <v>10</v>
          </cell>
          <cell r="I4986">
            <v>5</v>
          </cell>
          <cell r="J4986">
            <v>60</v>
          </cell>
          <cell r="K4986">
            <v>0</v>
          </cell>
          <cell r="L4986">
            <v>0.26</v>
          </cell>
          <cell r="M4986">
            <v>0</v>
          </cell>
          <cell r="N4986">
            <v>0</v>
          </cell>
          <cell r="O4986">
            <v>40</v>
          </cell>
          <cell r="P4986" t="str">
            <v>1010</v>
          </cell>
          <cell r="Q4986">
            <v>1010</v>
          </cell>
          <cell r="R4986">
            <v>4.3333333333333339</v>
          </cell>
        </row>
        <row r="4987">
          <cell r="A4987" t="str">
            <v>Y021-019</v>
          </cell>
          <cell r="B4987" t="str">
            <v>Y021-019</v>
          </cell>
          <cell r="C4987">
            <v>0</v>
          </cell>
          <cell r="D4987">
            <v>0</v>
          </cell>
          <cell r="E4987" t="str">
            <v>POLY 半圓飾條(報價用)</v>
          </cell>
          <cell r="F4987" t="str">
            <v>1000*10*5</v>
          </cell>
          <cell r="G4987">
            <v>1000</v>
          </cell>
          <cell r="H4987">
            <v>10</v>
          </cell>
          <cell r="I4987">
            <v>5</v>
          </cell>
          <cell r="J4987">
            <v>80</v>
          </cell>
          <cell r="K4987">
            <v>0</v>
          </cell>
          <cell r="L4987">
            <v>0.45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5.625</v>
          </cell>
        </row>
        <row r="6860">
          <cell r="A6860">
            <v>0</v>
          </cell>
          <cell r="B6860">
            <v>0</v>
          </cell>
          <cell r="C6860">
            <v>0</v>
          </cell>
          <cell r="D6860">
            <v>0</v>
          </cell>
          <cell r="E6860">
            <v>0</v>
          </cell>
          <cell r="F6860">
            <v>0</v>
          </cell>
          <cell r="G6860">
            <v>0</v>
          </cell>
          <cell r="H6860">
            <v>0</v>
          </cell>
          <cell r="I6860">
            <v>0</v>
          </cell>
          <cell r="J6860">
            <v>0</v>
          </cell>
          <cell r="K6860">
            <v>0</v>
          </cell>
          <cell r="L6860">
            <v>0</v>
          </cell>
          <cell r="M6860">
            <v>0</v>
          </cell>
          <cell r="N6860">
            <v>0</v>
          </cell>
          <cell r="O6860">
            <v>0</v>
          </cell>
          <cell r="P6860">
            <v>0</v>
          </cell>
          <cell r="Q6860">
            <v>0</v>
          </cell>
          <cell r="R6860">
            <v>0</v>
          </cell>
          <cell r="S6860">
            <v>0</v>
          </cell>
        </row>
        <row r="6861">
          <cell r="A6861">
            <v>0</v>
          </cell>
          <cell r="B6861">
            <v>0</v>
          </cell>
          <cell r="C6861">
            <v>0</v>
          </cell>
          <cell r="D6861">
            <v>0</v>
          </cell>
          <cell r="E6861">
            <v>0</v>
          </cell>
          <cell r="F6861">
            <v>0</v>
          </cell>
          <cell r="G6861">
            <v>0</v>
          </cell>
          <cell r="H6861">
            <v>0</v>
          </cell>
          <cell r="I6861">
            <v>0</v>
          </cell>
          <cell r="J6861">
            <v>0</v>
          </cell>
          <cell r="K6861">
            <v>0</v>
          </cell>
          <cell r="L6861">
            <v>0</v>
          </cell>
          <cell r="M6861">
            <v>0</v>
          </cell>
          <cell r="N6861">
            <v>0</v>
          </cell>
          <cell r="O6861">
            <v>0</v>
          </cell>
          <cell r="P6861">
            <v>0</v>
          </cell>
          <cell r="Q6861">
            <v>0</v>
          </cell>
          <cell r="R6861">
            <v>0</v>
          </cell>
          <cell r="S686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會計科目"/>
      <sheetName val="1712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應收月別"/>
      <sheetName val="客戶別"/>
      <sheetName val="應收2016"/>
    </sheetNames>
    <sheetDataSet>
      <sheetData sheetId="0">
        <row r="2">
          <cell r="B2">
            <v>1101</v>
          </cell>
          <cell r="C2" t="str">
            <v>現金</v>
          </cell>
        </row>
        <row r="3">
          <cell r="B3">
            <v>1102</v>
          </cell>
          <cell r="C3" t="str">
            <v>銀行存款</v>
          </cell>
        </row>
        <row r="4">
          <cell r="B4">
            <v>1105</v>
          </cell>
          <cell r="C4" t="str">
            <v>零用金</v>
          </cell>
        </row>
        <row r="5">
          <cell r="B5">
            <v>1106</v>
          </cell>
          <cell r="C5" t="str">
            <v>現金-美金</v>
          </cell>
        </row>
        <row r="6">
          <cell r="B6">
            <v>1541</v>
          </cell>
          <cell r="C6" t="str">
            <v>機器設備</v>
          </cell>
          <cell r="D6">
            <v>1541</v>
          </cell>
        </row>
        <row r="7">
          <cell r="B7">
            <v>1548</v>
          </cell>
          <cell r="C7" t="str">
            <v>生財器具</v>
          </cell>
          <cell r="D7">
            <v>1548</v>
          </cell>
        </row>
        <row r="8">
          <cell r="B8">
            <v>1551</v>
          </cell>
          <cell r="C8" t="str">
            <v>運輸設備</v>
          </cell>
          <cell r="D8">
            <v>2143</v>
          </cell>
        </row>
        <row r="9">
          <cell r="B9">
            <v>1878</v>
          </cell>
          <cell r="C9" t="str">
            <v>暫付款</v>
          </cell>
        </row>
        <row r="10">
          <cell r="B10" t="str">
            <v>1878-001</v>
          </cell>
          <cell r="C10" t="str">
            <v>暫付款-LC</v>
          </cell>
          <cell r="D10" t="str">
            <v>暫付款-LC</v>
          </cell>
        </row>
        <row r="11">
          <cell r="B11">
            <v>7101</v>
          </cell>
          <cell r="C11" t="str">
            <v>利息收益</v>
          </cell>
        </row>
        <row r="12">
          <cell r="B12">
            <v>2179</v>
          </cell>
          <cell r="C12" t="str">
            <v>其他應付款</v>
          </cell>
          <cell r="D12" t="str">
            <v>其他應付款</v>
          </cell>
        </row>
        <row r="14">
          <cell r="B14">
            <v>1144</v>
          </cell>
          <cell r="C14" t="str">
            <v>應收帳款</v>
          </cell>
        </row>
        <row r="15">
          <cell r="B15" t="str">
            <v>1144-001</v>
          </cell>
          <cell r="C15" t="str">
            <v>應收帳款-太平洋</v>
          </cell>
          <cell r="D15" t="str">
            <v>太平洋</v>
          </cell>
        </row>
        <row r="16">
          <cell r="B16" t="str">
            <v>1144-002</v>
          </cell>
          <cell r="C16" t="str">
            <v>應收帳款-越鑫</v>
          </cell>
          <cell r="D16" t="str">
            <v>越鑫</v>
          </cell>
        </row>
        <row r="17">
          <cell r="B17" t="str">
            <v>1144-003</v>
          </cell>
          <cell r="C17" t="str">
            <v>應收帳款-金鋒</v>
          </cell>
          <cell r="D17" t="str">
            <v>金鋒</v>
          </cell>
        </row>
        <row r="18">
          <cell r="B18" t="str">
            <v>1144-004</v>
          </cell>
          <cell r="C18" t="str">
            <v>應收帳款-信亞</v>
          </cell>
          <cell r="D18" t="str">
            <v>信亞</v>
          </cell>
        </row>
        <row r="19">
          <cell r="B19" t="str">
            <v>1144-005</v>
          </cell>
          <cell r="C19" t="str">
            <v>應收帳款-豐群</v>
          </cell>
          <cell r="D19" t="str">
            <v>豐群</v>
          </cell>
        </row>
        <row r="20">
          <cell r="B20" t="str">
            <v>1144-006-BD</v>
          </cell>
          <cell r="C20" t="str">
            <v>應收帳款-堡發-BD</v>
          </cell>
          <cell r="D20" t="str">
            <v>堡發</v>
          </cell>
        </row>
        <row r="21">
          <cell r="B21" t="str">
            <v>1144-006-DN</v>
          </cell>
          <cell r="C21" t="str">
            <v>應收帳款-堡發-DN</v>
          </cell>
          <cell r="D21" t="str">
            <v>堡發</v>
          </cell>
        </row>
        <row r="22">
          <cell r="B22" t="str">
            <v>1144-007</v>
          </cell>
          <cell r="C22" t="str">
            <v>應收帳款-順泰</v>
          </cell>
          <cell r="D22" t="str">
            <v>順泰</v>
          </cell>
        </row>
        <row r="23">
          <cell r="B23" t="str">
            <v>1144-008</v>
          </cell>
          <cell r="C23" t="str">
            <v>應收帳款-越發 1</v>
          </cell>
          <cell r="D23" t="str">
            <v>越發 1</v>
          </cell>
        </row>
        <row r="24">
          <cell r="B24" t="str">
            <v>1144-008-2</v>
          </cell>
          <cell r="C24" t="str">
            <v>應收帳款-越發 2</v>
          </cell>
          <cell r="D24" t="str">
            <v>越發 2</v>
          </cell>
        </row>
        <row r="25">
          <cell r="B25" t="str">
            <v>1144-009</v>
          </cell>
          <cell r="C25" t="str">
            <v>應收帳款-興盛家</v>
          </cell>
          <cell r="D25" t="str">
            <v>興盛家</v>
          </cell>
        </row>
        <row r="26">
          <cell r="B26" t="str">
            <v>1144-010</v>
          </cell>
          <cell r="C26" t="str">
            <v>應收帳款-豐全</v>
          </cell>
          <cell r="D26" t="str">
            <v>豐全</v>
          </cell>
        </row>
        <row r="27">
          <cell r="B27" t="str">
            <v>1144-011</v>
          </cell>
          <cell r="C27" t="str">
            <v>應收帳款-金輝</v>
          </cell>
          <cell r="D27" t="str">
            <v>金輝</v>
          </cell>
        </row>
        <row r="28">
          <cell r="B28" t="str">
            <v>1144-012</v>
          </cell>
          <cell r="C28" t="str">
            <v>應收帳款-上順</v>
          </cell>
          <cell r="D28" t="str">
            <v>上順</v>
          </cell>
        </row>
        <row r="29">
          <cell r="B29" t="str">
            <v>1144-013</v>
          </cell>
          <cell r="C29" t="str">
            <v>應收帳款-富鼎</v>
          </cell>
          <cell r="D29" t="str">
            <v>富鼎</v>
          </cell>
        </row>
        <row r="30">
          <cell r="B30" t="str">
            <v>1144-014</v>
          </cell>
          <cell r="C30" t="str">
            <v>應收帳款-緯樹</v>
          </cell>
          <cell r="D30" t="str">
            <v>緯樹</v>
          </cell>
        </row>
        <row r="31">
          <cell r="B31" t="str">
            <v>1144-015</v>
          </cell>
          <cell r="C31" t="str">
            <v>應收帳款-林源</v>
          </cell>
          <cell r="D31" t="str">
            <v>林源</v>
          </cell>
        </row>
        <row r="32">
          <cell r="B32" t="str">
            <v>1144-016</v>
          </cell>
          <cell r="C32" t="str">
            <v>應收帳款-林盛</v>
          </cell>
          <cell r="D32" t="str">
            <v>林盛</v>
          </cell>
        </row>
        <row r="33">
          <cell r="B33" t="str">
            <v>1144-016-PU</v>
          </cell>
          <cell r="C33" t="str">
            <v>應收帳款-林盛(PU)</v>
          </cell>
          <cell r="D33" t="str">
            <v>林盛(PU)</v>
          </cell>
        </row>
        <row r="34">
          <cell r="B34" t="str">
            <v>1144-017</v>
          </cell>
          <cell r="C34" t="str">
            <v>應收帳款-振傑</v>
          </cell>
          <cell r="D34" t="str">
            <v>振傑</v>
          </cell>
        </row>
        <row r="35">
          <cell r="B35" t="str">
            <v>1144-018</v>
          </cell>
          <cell r="C35" t="str">
            <v>應收帳款-CHILANO</v>
          </cell>
          <cell r="D35" t="str">
            <v>CHILANO</v>
          </cell>
        </row>
        <row r="36">
          <cell r="B36" t="str">
            <v>1144-019</v>
          </cell>
          <cell r="C36" t="str">
            <v>應收帳款-德善</v>
          </cell>
          <cell r="D36" t="str">
            <v>德善</v>
          </cell>
        </row>
        <row r="37">
          <cell r="B37" t="str">
            <v>1144-020</v>
          </cell>
          <cell r="C37" t="str">
            <v>應收帳款-越宏</v>
          </cell>
          <cell r="D37" t="str">
            <v>越宏</v>
          </cell>
        </row>
        <row r="38">
          <cell r="B38" t="str">
            <v>1144-021</v>
          </cell>
          <cell r="C38" t="str">
            <v>應收帳款-協楊</v>
          </cell>
          <cell r="D38" t="str">
            <v>協楊</v>
          </cell>
        </row>
        <row r="39">
          <cell r="B39" t="str">
            <v>1144-022</v>
          </cell>
          <cell r="C39" t="str">
            <v>應收帳款-名益</v>
          </cell>
          <cell r="D39" t="str">
            <v>名益</v>
          </cell>
        </row>
        <row r="40">
          <cell r="B40" t="str">
            <v>1144-022-PU</v>
          </cell>
          <cell r="C40" t="str">
            <v>應收帳款-名益(PU)</v>
          </cell>
          <cell r="D40" t="str">
            <v>名益(PU)</v>
          </cell>
        </row>
        <row r="41">
          <cell r="B41" t="str">
            <v>1144-023</v>
          </cell>
          <cell r="C41" t="str">
            <v>應收帳款-儂根</v>
          </cell>
          <cell r="D41" t="str">
            <v>儂根</v>
          </cell>
        </row>
        <row r="42">
          <cell r="B42" t="str">
            <v>1144-024</v>
          </cell>
          <cell r="C42" t="str">
            <v>應收帳款-樺鑫</v>
          </cell>
          <cell r="D42" t="str">
            <v>樺鑫</v>
          </cell>
        </row>
        <row r="43">
          <cell r="B43" t="str">
            <v>1144-025</v>
          </cell>
          <cell r="C43" t="str">
            <v>應收帳款-木川(新)</v>
          </cell>
          <cell r="D43" t="str">
            <v>木川(新)</v>
          </cell>
        </row>
        <row r="44">
          <cell r="B44" t="str">
            <v>1144-026</v>
          </cell>
          <cell r="C44" t="str">
            <v>應收帳款-欣元記</v>
          </cell>
          <cell r="D44" t="str">
            <v>欣元記</v>
          </cell>
        </row>
        <row r="45">
          <cell r="B45" t="str">
            <v>1144-027</v>
          </cell>
          <cell r="C45" t="str">
            <v>應收帳款-源永興隆</v>
          </cell>
          <cell r="D45" t="str">
            <v>永興隆</v>
          </cell>
        </row>
        <row r="46">
          <cell r="B46" t="str">
            <v>1144-028</v>
          </cell>
          <cell r="C46" t="str">
            <v>應收帳款-馬榮</v>
          </cell>
          <cell r="D46" t="str">
            <v>馬榮</v>
          </cell>
        </row>
        <row r="47">
          <cell r="B47" t="str">
            <v>1144-029</v>
          </cell>
          <cell r="C47" t="str">
            <v>應收帳款-TPP</v>
          </cell>
          <cell r="D47" t="str">
            <v>TPP</v>
          </cell>
        </row>
        <row r="48">
          <cell r="B48" t="str">
            <v>1144-030</v>
          </cell>
          <cell r="C48" t="str">
            <v>應收帳款-隆好</v>
          </cell>
          <cell r="D48" t="str">
            <v>隆好</v>
          </cell>
        </row>
        <row r="49">
          <cell r="B49" t="str">
            <v>1144-031</v>
          </cell>
          <cell r="C49" t="str">
            <v>應收帳款-高點/越秀</v>
          </cell>
          <cell r="D49" t="str">
            <v>高點/越秀</v>
          </cell>
        </row>
        <row r="50">
          <cell r="B50" t="str">
            <v>1144-032</v>
          </cell>
          <cell r="C50" t="str">
            <v>應收帳款-泰合</v>
          </cell>
          <cell r="D50" t="str">
            <v>泰合</v>
          </cell>
        </row>
        <row r="51">
          <cell r="B51" t="str">
            <v>1144-033</v>
          </cell>
          <cell r="C51" t="str">
            <v>應收帳款-木美</v>
          </cell>
          <cell r="D51" t="str">
            <v>木美</v>
          </cell>
        </row>
        <row r="52">
          <cell r="B52" t="str">
            <v>1144-034</v>
          </cell>
          <cell r="C52" t="str">
            <v>應收帳款-明發2</v>
          </cell>
          <cell r="D52" t="str">
            <v>明發2</v>
          </cell>
        </row>
        <row r="53">
          <cell r="B53" t="str">
            <v>1144-035</v>
          </cell>
          <cell r="C53" t="str">
            <v>應收帳款-宏森</v>
          </cell>
          <cell r="D53" t="str">
            <v>宏森</v>
          </cell>
        </row>
        <row r="54">
          <cell r="B54" t="str">
            <v>1144-036</v>
          </cell>
          <cell r="C54" t="str">
            <v>應收帳款-大有</v>
          </cell>
          <cell r="D54" t="str">
            <v>大有</v>
          </cell>
        </row>
        <row r="55">
          <cell r="B55" t="str">
            <v>1144-037</v>
          </cell>
          <cell r="C55" t="str">
            <v>應收帳款-鑫鴻運</v>
          </cell>
          <cell r="D55" t="str">
            <v>鑫鴻運</v>
          </cell>
        </row>
        <row r="56">
          <cell r="B56" t="str">
            <v>1144-038</v>
          </cell>
          <cell r="C56" t="str">
            <v>應收帳款-歐旻</v>
          </cell>
          <cell r="D56" t="str">
            <v>歐旻</v>
          </cell>
        </row>
        <row r="57">
          <cell r="B57" t="str">
            <v>1144-039</v>
          </cell>
          <cell r="C57" t="str">
            <v>應收帳款-PTG</v>
          </cell>
          <cell r="D57" t="str">
            <v>PTG</v>
          </cell>
        </row>
        <row r="58">
          <cell r="B58" t="str">
            <v>1144-040</v>
          </cell>
          <cell r="C58" t="str">
            <v>應收帳款-強盛</v>
          </cell>
          <cell r="D58" t="str">
            <v>強盛</v>
          </cell>
        </row>
        <row r="59">
          <cell r="B59" t="str">
            <v>1144-041</v>
          </cell>
          <cell r="C59" t="str">
            <v>應收帳款-龍源</v>
          </cell>
          <cell r="D59" t="str">
            <v>龍源</v>
          </cell>
        </row>
        <row r="60">
          <cell r="B60" t="str">
            <v>1144-042</v>
          </cell>
          <cell r="C60" t="str">
            <v>應收帳款-木川</v>
          </cell>
          <cell r="D60" t="str">
            <v>木川</v>
          </cell>
          <cell r="E60" t="str">
            <v>1144-042</v>
          </cell>
          <cell r="F60" t="str">
            <v>4101-042</v>
          </cell>
        </row>
        <row r="61">
          <cell r="B61" t="str">
            <v>1144-042-PU</v>
          </cell>
          <cell r="C61" t="str">
            <v>應收帳款-木川(PU)</v>
          </cell>
          <cell r="D61" t="str">
            <v>木川(pu)</v>
          </cell>
          <cell r="E61" t="str">
            <v>1144-042-PU</v>
          </cell>
          <cell r="F61" t="str">
            <v>4101-042-PU</v>
          </cell>
        </row>
        <row r="62">
          <cell r="B62" t="str">
            <v>1144-043</v>
          </cell>
          <cell r="C62" t="str">
            <v>應收帳款-茂旭</v>
          </cell>
          <cell r="D62" t="str">
            <v>茂旭</v>
          </cell>
          <cell r="E62" t="str">
            <v>1144-043</v>
          </cell>
          <cell r="F62" t="str">
            <v>4101-043</v>
          </cell>
        </row>
        <row r="63">
          <cell r="B63" t="str">
            <v>1144-044</v>
          </cell>
          <cell r="C63" t="str">
            <v>應收帳款-亞力山卓</v>
          </cell>
          <cell r="D63" t="str">
            <v>亞力山卓</v>
          </cell>
          <cell r="E63" t="str">
            <v>1144-044</v>
          </cell>
          <cell r="F63" t="str">
            <v>4101-044</v>
          </cell>
        </row>
        <row r="64">
          <cell r="B64" t="str">
            <v>1144-045</v>
          </cell>
          <cell r="C64" t="str">
            <v>應收帳款-新西蘭</v>
          </cell>
          <cell r="D64" t="str">
            <v>新西蘭</v>
          </cell>
          <cell r="E64" t="str">
            <v>1144-045</v>
          </cell>
          <cell r="F64" t="str">
            <v>4101-045</v>
          </cell>
        </row>
        <row r="65">
          <cell r="B65" t="str">
            <v>1144-046</v>
          </cell>
          <cell r="C65" t="str">
            <v>應收帳款-隆興</v>
          </cell>
          <cell r="D65" t="str">
            <v>隆興</v>
          </cell>
          <cell r="E65" t="str">
            <v>1144-046</v>
          </cell>
          <cell r="F65" t="str">
            <v>4101-046</v>
          </cell>
        </row>
        <row r="66">
          <cell r="B66" t="str">
            <v>1144-047</v>
          </cell>
          <cell r="C66" t="str">
            <v>應收帳款-源立盛</v>
          </cell>
          <cell r="D66" t="str">
            <v>源立盛</v>
          </cell>
          <cell r="E66" t="str">
            <v>1144-047</v>
          </cell>
          <cell r="F66" t="str">
            <v>4101-047</v>
          </cell>
        </row>
        <row r="67">
          <cell r="B67" t="str">
            <v>1144-048</v>
          </cell>
          <cell r="C67" t="str">
            <v>應收帳款-恒威</v>
          </cell>
          <cell r="D67" t="str">
            <v>恒威</v>
          </cell>
          <cell r="E67" t="str">
            <v>1144-048</v>
          </cell>
          <cell r="F67" t="str">
            <v>4101-048</v>
          </cell>
        </row>
        <row r="68">
          <cell r="B68" t="str">
            <v>1144-049</v>
          </cell>
          <cell r="C68" t="str">
            <v>應收帳款-盛林</v>
          </cell>
          <cell r="D68" t="str">
            <v>盛林</v>
          </cell>
          <cell r="E68" t="str">
            <v>1144-049</v>
          </cell>
          <cell r="F68" t="str">
            <v>4101-049</v>
          </cell>
        </row>
        <row r="69">
          <cell r="B69" t="str">
            <v>1144-050</v>
          </cell>
          <cell r="C69" t="str">
            <v>應收帳款-晶鑽</v>
          </cell>
          <cell r="D69" t="str">
            <v>晶鑽</v>
          </cell>
          <cell r="E69" t="str">
            <v>1144-050</v>
          </cell>
          <cell r="F69" t="str">
            <v>4101-050</v>
          </cell>
        </row>
        <row r="70">
          <cell r="B70" t="str">
            <v>1144-051</v>
          </cell>
          <cell r="C70" t="str">
            <v>鎖貨收入-贏傢</v>
          </cell>
          <cell r="D70" t="str">
            <v>贏傢</v>
          </cell>
          <cell r="E70" t="str">
            <v>1144-051</v>
          </cell>
          <cell r="F70" t="str">
            <v>4101-051</v>
          </cell>
        </row>
        <row r="71">
          <cell r="B71" t="str">
            <v>1144-052</v>
          </cell>
          <cell r="C71" t="str">
            <v>應收帳款-宏森743</v>
          </cell>
          <cell r="D71" t="str">
            <v>宏森743</v>
          </cell>
          <cell r="E71" t="str">
            <v>1144-052</v>
          </cell>
          <cell r="F71" t="str">
            <v>4101-052</v>
          </cell>
        </row>
        <row r="72">
          <cell r="B72" t="str">
            <v>1144-053</v>
          </cell>
          <cell r="C72" t="str">
            <v>應收帳款-恒昌</v>
          </cell>
          <cell r="D72" t="str">
            <v>恒昌</v>
          </cell>
          <cell r="E72" t="str">
            <v>1144-053</v>
          </cell>
          <cell r="F72" t="str">
            <v>4101-053</v>
          </cell>
        </row>
        <row r="73">
          <cell r="B73" t="str">
            <v>1144-054</v>
          </cell>
          <cell r="C73" t="str">
            <v>應收帳款-吳興</v>
          </cell>
          <cell r="D73" t="str">
            <v>吳興</v>
          </cell>
          <cell r="E73" t="str">
            <v>1144-054</v>
          </cell>
          <cell r="F73" t="str">
            <v>4101-054</v>
          </cell>
        </row>
        <row r="74">
          <cell r="B74" t="str">
            <v>1144-055</v>
          </cell>
          <cell r="C74" t="str">
            <v>應收帳款-昌大</v>
          </cell>
          <cell r="D74" t="str">
            <v>昌大</v>
          </cell>
          <cell r="E74" t="str">
            <v>1144-055</v>
          </cell>
          <cell r="F74" t="str">
            <v>4101-055</v>
          </cell>
        </row>
        <row r="75">
          <cell r="B75" t="str">
            <v>1144-056</v>
          </cell>
          <cell r="C75" t="str">
            <v>應收帳款-恒義</v>
          </cell>
          <cell r="D75" t="str">
            <v>恒義</v>
          </cell>
          <cell r="E75" t="str">
            <v>1144-056</v>
          </cell>
          <cell r="F75" t="str">
            <v>4101-056</v>
          </cell>
        </row>
        <row r="76">
          <cell r="B76" t="str">
            <v>1144-057</v>
          </cell>
          <cell r="C76" t="str">
            <v>應收帳款-富源</v>
          </cell>
          <cell r="D76" t="str">
            <v>富源</v>
          </cell>
          <cell r="E76" t="str">
            <v>1144-057</v>
          </cell>
          <cell r="F76" t="str">
            <v>4101-057</v>
          </cell>
        </row>
        <row r="77">
          <cell r="B77" t="str">
            <v>1144-058</v>
          </cell>
          <cell r="C77" t="str">
            <v>應收帳款-太平</v>
          </cell>
          <cell r="D77" t="str">
            <v>太平</v>
          </cell>
          <cell r="E77" t="str">
            <v>1144-058</v>
          </cell>
          <cell r="F77" t="str">
            <v>4101-058</v>
          </cell>
        </row>
        <row r="78">
          <cell r="B78" t="str">
            <v>1144-059</v>
          </cell>
          <cell r="C78" t="str">
            <v>應收帳款-大順</v>
          </cell>
          <cell r="D78" t="str">
            <v>大順</v>
          </cell>
          <cell r="E78" t="str">
            <v>1144-059</v>
          </cell>
          <cell r="F78" t="str">
            <v>4101-059</v>
          </cell>
        </row>
        <row r="79">
          <cell r="B79" t="str">
            <v>1144-060</v>
          </cell>
          <cell r="C79" t="str">
            <v>應收帳款-富鼎(新)</v>
          </cell>
          <cell r="D79" t="str">
            <v>富鼎(新)</v>
          </cell>
          <cell r="E79" t="str">
            <v>1144-060</v>
          </cell>
          <cell r="F79" t="str">
            <v>4101-060</v>
          </cell>
        </row>
        <row r="80">
          <cell r="B80" t="str">
            <v>1144-061</v>
          </cell>
          <cell r="C80" t="str">
            <v>應收帳款-三發</v>
          </cell>
          <cell r="D80" t="str">
            <v>三發</v>
          </cell>
          <cell r="E80" t="str">
            <v>1144-061</v>
          </cell>
          <cell r="F80" t="str">
            <v>4101-061</v>
          </cell>
        </row>
        <row r="81">
          <cell r="B81" t="str">
            <v>1144-062</v>
          </cell>
          <cell r="C81" t="str">
            <v>應收帳款-展富</v>
          </cell>
          <cell r="D81" t="str">
            <v>展富</v>
          </cell>
          <cell r="E81" t="str">
            <v>1144-062</v>
          </cell>
          <cell r="F81" t="str">
            <v>4101-062</v>
          </cell>
        </row>
        <row r="82">
          <cell r="B82" t="str">
            <v>1144-063</v>
          </cell>
          <cell r="C82" t="str">
            <v>應收帳款-VO VA</v>
          </cell>
          <cell r="D82" t="str">
            <v>VO VA</v>
          </cell>
          <cell r="E82" t="str">
            <v>1144-063</v>
          </cell>
          <cell r="F82" t="str">
            <v>4101-063</v>
          </cell>
        </row>
        <row r="83">
          <cell r="B83" t="str">
            <v>1144-064</v>
          </cell>
          <cell r="C83" t="str">
            <v>應收帳款-北宏</v>
          </cell>
          <cell r="D83" t="str">
            <v>北宏</v>
          </cell>
          <cell r="E83" t="str">
            <v>1144-064</v>
          </cell>
          <cell r="F83" t="str">
            <v>4101-064</v>
          </cell>
        </row>
        <row r="84">
          <cell r="B84" t="str">
            <v>1144-064-PU</v>
          </cell>
          <cell r="C84" t="str">
            <v>應收帳款-北宏(PU)</v>
          </cell>
          <cell r="D84" t="str">
            <v>北宏(PU)</v>
          </cell>
          <cell r="E84" t="str">
            <v>1144-064-PU</v>
          </cell>
          <cell r="F84" t="str">
            <v>4101-064-PU</v>
          </cell>
        </row>
        <row r="85">
          <cell r="B85" t="str">
            <v>1144-065</v>
          </cell>
          <cell r="C85" t="str">
            <v>應收帳款-冠君</v>
          </cell>
          <cell r="D85" t="str">
            <v>冠君</v>
          </cell>
          <cell r="E85" t="str">
            <v>1144-065</v>
          </cell>
          <cell r="F85" t="str">
            <v>4101-065</v>
          </cell>
        </row>
        <row r="86">
          <cell r="B86" t="str">
            <v>1144-066</v>
          </cell>
          <cell r="C86" t="str">
            <v>應收帳款-興宏</v>
          </cell>
          <cell r="D86" t="str">
            <v>興宏</v>
          </cell>
          <cell r="E86" t="str">
            <v>1144-066</v>
          </cell>
          <cell r="F86" t="str">
            <v>4101-066</v>
          </cell>
        </row>
        <row r="87">
          <cell r="B87" t="str">
            <v>1144-067</v>
          </cell>
          <cell r="C87" t="str">
            <v>應收帳款-康德盛</v>
          </cell>
          <cell r="D87" t="str">
            <v>康德盛(林盛2)</v>
          </cell>
          <cell r="E87" t="str">
            <v>1144-067</v>
          </cell>
          <cell r="F87" t="str">
            <v>4101-067</v>
          </cell>
        </row>
        <row r="88">
          <cell r="B88" t="str">
            <v>1144-068</v>
          </cell>
          <cell r="C88" t="str">
            <v>應收帳款-金原通</v>
          </cell>
          <cell r="D88" t="str">
            <v>金原通</v>
          </cell>
          <cell r="E88" t="str">
            <v>1144-068</v>
          </cell>
          <cell r="F88" t="str">
            <v>4101-068</v>
          </cell>
        </row>
        <row r="89">
          <cell r="B89" t="str">
            <v>1144-068-PU</v>
          </cell>
          <cell r="C89" t="str">
            <v>應收帳款-金原通(PU)</v>
          </cell>
          <cell r="D89" t="str">
            <v>金原通(PU)</v>
          </cell>
          <cell r="E89" t="str">
            <v>1144-068-PU</v>
          </cell>
          <cell r="F89" t="str">
            <v>4101-068-PU</v>
          </cell>
        </row>
        <row r="90">
          <cell r="B90" t="str">
            <v>1144-069</v>
          </cell>
          <cell r="C90" t="str">
            <v>應收帳款-永霖</v>
          </cell>
          <cell r="D90" t="str">
            <v>永霖</v>
          </cell>
          <cell r="E90" t="str">
            <v>1144-069</v>
          </cell>
          <cell r="F90" t="str">
            <v>4101-069</v>
          </cell>
        </row>
        <row r="91">
          <cell r="B91" t="str">
            <v>1144-070</v>
          </cell>
          <cell r="C91" t="str">
            <v>應收帳款-華麗</v>
          </cell>
          <cell r="D91" t="str">
            <v>華麗</v>
          </cell>
          <cell r="E91" t="str">
            <v>1144-070</v>
          </cell>
          <cell r="F91" t="str">
            <v>4101-070</v>
          </cell>
        </row>
        <row r="92">
          <cell r="B92" t="str">
            <v>1144-071</v>
          </cell>
          <cell r="C92" t="str">
            <v>應收帳款-天青保</v>
          </cell>
          <cell r="D92" t="str">
            <v>天青保</v>
          </cell>
          <cell r="E92" t="str">
            <v>1144-071</v>
          </cell>
          <cell r="F92" t="str">
            <v>4101-071</v>
          </cell>
        </row>
        <row r="93">
          <cell r="B93" t="str">
            <v>1144-072</v>
          </cell>
          <cell r="C93" t="str">
            <v>應收帳款-明進</v>
          </cell>
          <cell r="D93" t="str">
            <v>明進</v>
          </cell>
          <cell r="E93" t="str">
            <v>1144-072</v>
          </cell>
          <cell r="F93" t="str">
            <v>4101-072</v>
          </cell>
        </row>
        <row r="94">
          <cell r="B94" t="str">
            <v>1144-073</v>
          </cell>
          <cell r="C94" t="str">
            <v>應收帳款-立特</v>
          </cell>
          <cell r="D94" t="str">
            <v>立特</v>
          </cell>
          <cell r="E94" t="str">
            <v>1144-073</v>
          </cell>
          <cell r="F94" t="str">
            <v>4101-073</v>
          </cell>
        </row>
        <row r="95">
          <cell r="B95" t="str">
            <v>1144-074</v>
          </cell>
          <cell r="C95" t="str">
            <v>銷貨收入-振豐</v>
          </cell>
          <cell r="D95" t="str">
            <v>振豐</v>
          </cell>
          <cell r="E95" t="str">
            <v>1144-074</v>
          </cell>
          <cell r="F95" t="str">
            <v>4101-074</v>
          </cell>
        </row>
        <row r="96">
          <cell r="B96" t="str">
            <v>1144-075</v>
          </cell>
          <cell r="C96" t="str">
            <v>銷貨收入-鉅偉</v>
          </cell>
          <cell r="D96" t="str">
            <v>鉅偉</v>
          </cell>
          <cell r="E96" t="str">
            <v>1144-075</v>
          </cell>
          <cell r="F96" t="str">
            <v>4101-075</v>
          </cell>
        </row>
        <row r="97">
          <cell r="B97" t="str">
            <v>1144-076</v>
          </cell>
          <cell r="C97" t="str">
            <v>銷貨收入-誠業</v>
          </cell>
          <cell r="D97" t="str">
            <v>誠業</v>
          </cell>
          <cell r="E97" t="str">
            <v>1144-076</v>
          </cell>
          <cell r="F97" t="str">
            <v>4101-076</v>
          </cell>
        </row>
        <row r="98">
          <cell r="B98" t="str">
            <v>1144-077</v>
          </cell>
          <cell r="C98" t="str">
            <v>銷貨收入-興玄</v>
          </cell>
          <cell r="D98" t="str">
            <v>興玄</v>
          </cell>
          <cell r="E98" t="str">
            <v>1144-077</v>
          </cell>
          <cell r="F98" t="str">
            <v>4101-077</v>
          </cell>
        </row>
        <row r="99">
          <cell r="B99" t="str">
            <v>1144-078</v>
          </cell>
          <cell r="C99" t="str">
            <v>銷貨收入-森茂</v>
          </cell>
          <cell r="D99" t="str">
            <v>森茂</v>
          </cell>
          <cell r="E99" t="str">
            <v>1144-078</v>
          </cell>
          <cell r="F99" t="str">
            <v>4101-078</v>
          </cell>
        </row>
        <row r="100">
          <cell r="B100" t="str">
            <v>1144-079</v>
          </cell>
          <cell r="C100" t="str">
            <v>銷貨收入-大裕</v>
          </cell>
          <cell r="D100" t="str">
            <v>大裕</v>
          </cell>
          <cell r="E100" t="str">
            <v>1144-079</v>
          </cell>
          <cell r="F100" t="str">
            <v>4101-079</v>
          </cell>
        </row>
        <row r="101">
          <cell r="B101" t="str">
            <v>1144-080</v>
          </cell>
          <cell r="C101" t="str">
            <v>銷貨收入-景富發</v>
          </cell>
          <cell r="D101" t="str">
            <v>景富發</v>
          </cell>
          <cell r="E101" t="str">
            <v>1144-080</v>
          </cell>
          <cell r="F101" t="str">
            <v>4101-080</v>
          </cell>
        </row>
        <row r="102">
          <cell r="B102" t="str">
            <v>1144-080-PU</v>
          </cell>
          <cell r="C102" t="str">
            <v>銷貨收入-景富發(PU)</v>
          </cell>
          <cell r="D102" t="str">
            <v>景富發(PU)</v>
          </cell>
          <cell r="E102" t="str">
            <v>1144-080-PU</v>
          </cell>
          <cell r="F102" t="str">
            <v>4101-080-PU</v>
          </cell>
        </row>
        <row r="103">
          <cell r="B103" t="str">
            <v>1144-081</v>
          </cell>
          <cell r="C103" t="str">
            <v>銷貨收入-APC</v>
          </cell>
          <cell r="D103" t="str">
            <v>APC</v>
          </cell>
          <cell r="E103" t="str">
            <v>1144-081</v>
          </cell>
          <cell r="F103" t="str">
            <v>4101-081</v>
          </cell>
        </row>
        <row r="104">
          <cell r="B104" t="str">
            <v>1144-082</v>
          </cell>
          <cell r="C104" t="str">
            <v>銷貨收入-黃日成</v>
          </cell>
          <cell r="D104" t="str">
            <v>黃日成</v>
          </cell>
          <cell r="E104" t="str">
            <v>1144-082</v>
          </cell>
          <cell r="F104" t="str">
            <v>4101-082</v>
          </cell>
        </row>
        <row r="105">
          <cell r="B105" t="str">
            <v>1144-083</v>
          </cell>
          <cell r="C105" t="str">
            <v>銷貨收入-TOC</v>
          </cell>
          <cell r="D105" t="str">
            <v>TOC</v>
          </cell>
          <cell r="E105" t="str">
            <v>1144-083</v>
          </cell>
          <cell r="F105" t="str">
            <v>4101-083</v>
          </cell>
        </row>
        <row r="106">
          <cell r="B106" t="str">
            <v>1144-901</v>
          </cell>
          <cell r="C106" t="str">
            <v>應收帳款-VAN CHINH</v>
          </cell>
          <cell r="D106" t="str">
            <v>VAN CHINH</v>
          </cell>
        </row>
        <row r="107">
          <cell r="B107" t="str">
            <v>1144-902</v>
          </cell>
          <cell r="C107" t="str">
            <v>應收帳款-全心發</v>
          </cell>
          <cell r="D107" t="str">
            <v>全心發</v>
          </cell>
        </row>
        <row r="108">
          <cell r="B108" t="str">
            <v>1144-903</v>
          </cell>
          <cell r="C108" t="str">
            <v>應收帳款-金換</v>
          </cell>
          <cell r="D108" t="str">
            <v>金換</v>
          </cell>
        </row>
        <row r="109">
          <cell r="B109" t="str">
            <v>1144-904</v>
          </cell>
          <cell r="C109" t="str">
            <v>應收帳款-義期</v>
          </cell>
          <cell r="D109" t="str">
            <v>義期</v>
          </cell>
        </row>
        <row r="110">
          <cell r="B110" t="str">
            <v>1144-905</v>
          </cell>
          <cell r="C110" t="str">
            <v>應收帳款-成德</v>
          </cell>
          <cell r="D110" t="str">
            <v>成德</v>
          </cell>
        </row>
        <row r="111">
          <cell r="B111" t="str">
            <v>1144-906</v>
          </cell>
          <cell r="C111" t="str">
            <v>應收帳款-下威</v>
          </cell>
          <cell r="D111" t="str">
            <v>下威</v>
          </cell>
        </row>
        <row r="112">
          <cell r="B112" t="str">
            <v>1144-907</v>
          </cell>
          <cell r="C112" t="str">
            <v>應收帳款-GOMO</v>
          </cell>
          <cell r="D112" t="str">
            <v>GOMO</v>
          </cell>
        </row>
        <row r="113">
          <cell r="B113" t="str">
            <v>1144-908</v>
          </cell>
          <cell r="C113" t="str">
            <v>應收帳款-范李</v>
          </cell>
          <cell r="D113" t="str">
            <v>范李</v>
          </cell>
        </row>
        <row r="114">
          <cell r="B114" t="str">
            <v>1144-909</v>
          </cell>
          <cell r="C114" t="str">
            <v>應收帳款-德越</v>
          </cell>
          <cell r="D114" t="str">
            <v>德越</v>
          </cell>
        </row>
        <row r="115">
          <cell r="B115" t="str">
            <v>1144-910</v>
          </cell>
          <cell r="C115" t="str">
            <v>應收帳款-PLC</v>
          </cell>
          <cell r="D115" t="str">
            <v>PLC</v>
          </cell>
        </row>
        <row r="116">
          <cell r="B116" t="str">
            <v>1144-911</v>
          </cell>
          <cell r="C116" t="str">
            <v>應收帳款-GH</v>
          </cell>
          <cell r="D116" t="str">
            <v>GH</v>
          </cell>
        </row>
        <row r="117">
          <cell r="B117" t="str">
            <v>1144-912</v>
          </cell>
          <cell r="C117" t="str">
            <v>應收帳款-DN</v>
          </cell>
          <cell r="D117" t="str">
            <v>DN</v>
          </cell>
        </row>
        <row r="118">
          <cell r="B118" t="str">
            <v>1144-913</v>
          </cell>
          <cell r="C118" t="str">
            <v>應收帳款-海越南</v>
          </cell>
          <cell r="D118" t="str">
            <v>海越南</v>
          </cell>
        </row>
        <row r="119">
          <cell r="B119" t="str">
            <v>1144-914</v>
          </cell>
          <cell r="C119" t="str">
            <v>銷貨收入-ANPHA</v>
          </cell>
          <cell r="D119" t="str">
            <v>ANPHA</v>
          </cell>
          <cell r="E119" t="str">
            <v>1144-914</v>
          </cell>
          <cell r="F119" t="str">
            <v>4104-914</v>
          </cell>
        </row>
        <row r="120">
          <cell r="B120" t="str">
            <v>1144-915</v>
          </cell>
          <cell r="C120" t="str">
            <v>銷貨收入-MN</v>
          </cell>
          <cell r="D120" t="str">
            <v>明源</v>
          </cell>
          <cell r="E120" t="str">
            <v>1144-915</v>
          </cell>
          <cell r="F120" t="str">
            <v>4104-915</v>
          </cell>
        </row>
        <row r="121">
          <cell r="B121" t="str">
            <v>1144-916</v>
          </cell>
          <cell r="C121" t="str">
            <v>銷貨收入-BH</v>
          </cell>
          <cell r="D121" t="str">
            <v>BH</v>
          </cell>
          <cell r="E121" t="str">
            <v>1144-916</v>
          </cell>
          <cell r="F121" t="str">
            <v>4104-916</v>
          </cell>
        </row>
        <row r="122">
          <cell r="B122" t="str">
            <v>1144-917</v>
          </cell>
          <cell r="C122" t="str">
            <v>銷貨收入-QVT</v>
          </cell>
          <cell r="D122" t="str">
            <v>QVT</v>
          </cell>
          <cell r="E122" t="str">
            <v>1144-917</v>
          </cell>
          <cell r="F122" t="str">
            <v>4104-917</v>
          </cell>
        </row>
        <row r="123">
          <cell r="B123" t="str">
            <v>1144-918</v>
          </cell>
          <cell r="C123" t="str">
            <v>銷貨收入-圓橋</v>
          </cell>
          <cell r="D123" t="str">
            <v>圓橋</v>
          </cell>
          <cell r="E123" t="str">
            <v>1144-918</v>
          </cell>
          <cell r="F123" t="str">
            <v>4104-918</v>
          </cell>
        </row>
        <row r="124">
          <cell r="B124" t="str">
            <v>1144-918-PU</v>
          </cell>
          <cell r="C124" t="str">
            <v>銷貨收入-圓橋-PU</v>
          </cell>
          <cell r="D124" t="str">
            <v>圓橋-PU</v>
          </cell>
          <cell r="E124" t="str">
            <v>1144-918-PU</v>
          </cell>
          <cell r="F124" t="str">
            <v>4104-918-PU</v>
          </cell>
          <cell r="G124" t="str">
            <v>A</v>
          </cell>
        </row>
        <row r="125">
          <cell r="B125" t="str">
            <v>1144-919</v>
          </cell>
          <cell r="C125" t="str">
            <v>銷貨收入-阮發</v>
          </cell>
          <cell r="D125" t="str">
            <v>阮發</v>
          </cell>
          <cell r="E125" t="str">
            <v>1144-919</v>
          </cell>
          <cell r="F125" t="str">
            <v>4104-919</v>
          </cell>
        </row>
        <row r="126">
          <cell r="B126" t="str">
            <v>1144-920</v>
          </cell>
          <cell r="C126" t="str">
            <v>銷貨收入-明洋</v>
          </cell>
          <cell r="D126" t="str">
            <v>明洋</v>
          </cell>
          <cell r="E126" t="str">
            <v>1144-920</v>
          </cell>
          <cell r="F126" t="str">
            <v>4104-920</v>
          </cell>
        </row>
        <row r="127">
          <cell r="B127" t="str">
            <v>1144-921</v>
          </cell>
          <cell r="C127" t="str">
            <v>銷貨收入-南潮-NT</v>
          </cell>
          <cell r="D127" t="str">
            <v>南潮-NT</v>
          </cell>
          <cell r="E127" t="str">
            <v>1144-921</v>
          </cell>
          <cell r="F127" t="str">
            <v>4104-921</v>
          </cell>
        </row>
        <row r="128">
          <cell r="B128" t="str">
            <v>1144-1015</v>
          </cell>
          <cell r="C128" t="str">
            <v>應收帳款-立特</v>
          </cell>
          <cell r="D128" t="str">
            <v>立特</v>
          </cell>
          <cell r="E128" t="str">
            <v>1144-1015</v>
          </cell>
          <cell r="F128" t="str">
            <v>4104-1015</v>
          </cell>
        </row>
        <row r="129">
          <cell r="B129" t="str">
            <v>1144-1016</v>
          </cell>
          <cell r="C129" t="str">
            <v>應收帳款-新楊</v>
          </cell>
          <cell r="D129" t="str">
            <v>新楊</v>
          </cell>
          <cell r="E129" t="str">
            <v>1144-1016</v>
          </cell>
          <cell r="F129" t="str">
            <v>4104-1016</v>
          </cell>
        </row>
        <row r="130">
          <cell r="B130" t="str">
            <v>1144-1017</v>
          </cell>
          <cell r="C130" t="str">
            <v>應收帳款-德仁</v>
          </cell>
          <cell r="D130" t="str">
            <v>德仁</v>
          </cell>
          <cell r="E130" t="str">
            <v>1144-1017</v>
          </cell>
          <cell r="F130" t="str">
            <v>4104-1017</v>
          </cell>
        </row>
        <row r="131">
          <cell r="B131" t="str">
            <v>1144-U001-PU</v>
          </cell>
          <cell r="C131" t="str">
            <v>應收帳款-新源興-PU</v>
          </cell>
          <cell r="D131" t="str">
            <v>新源興-PU</v>
          </cell>
        </row>
        <row r="132">
          <cell r="B132">
            <v>1165</v>
          </cell>
          <cell r="C132" t="str">
            <v>員工借支</v>
          </cell>
          <cell r="D132" t="str">
            <v>員工借支</v>
          </cell>
        </row>
        <row r="133">
          <cell r="B133">
            <v>1877</v>
          </cell>
          <cell r="C133" t="str">
            <v>進項稅額</v>
          </cell>
        </row>
        <row r="134">
          <cell r="B134">
            <v>1878</v>
          </cell>
          <cell r="C134" t="str">
            <v>暫付款</v>
          </cell>
        </row>
        <row r="135">
          <cell r="B135">
            <v>2143</v>
          </cell>
          <cell r="C135" t="str">
            <v>應付帳款</v>
          </cell>
          <cell r="D135" t="str">
            <v>應付帳款</v>
          </cell>
        </row>
        <row r="136">
          <cell r="B136" t="str">
            <v>2143-001</v>
          </cell>
          <cell r="C136" t="str">
            <v>應付帳款-月明(吉蘭)</v>
          </cell>
          <cell r="D136" t="str">
            <v>明德海峰</v>
          </cell>
        </row>
        <row r="137">
          <cell r="B137" t="str">
            <v>2143-002</v>
          </cell>
          <cell r="C137" t="str">
            <v>應付帳款-</v>
          </cell>
          <cell r="D137" t="str">
            <v>興達</v>
          </cell>
        </row>
        <row r="138">
          <cell r="B138" t="str">
            <v>2143-003</v>
          </cell>
          <cell r="C138" t="str">
            <v>應付帳款-</v>
          </cell>
          <cell r="D138" t="str">
            <v>長興化工</v>
          </cell>
        </row>
        <row r="139">
          <cell r="B139" t="str">
            <v>2143-004</v>
          </cell>
          <cell r="C139" t="str">
            <v>應付帳款-</v>
          </cell>
          <cell r="D139" t="str">
            <v>海峰</v>
          </cell>
        </row>
        <row r="140">
          <cell r="B140" t="str">
            <v>2143-005</v>
          </cell>
          <cell r="C140" t="str">
            <v>應付帳款-</v>
          </cell>
          <cell r="D140" t="str">
            <v>佳利</v>
          </cell>
        </row>
        <row r="141">
          <cell r="B141" t="str">
            <v>2143-006</v>
          </cell>
          <cell r="C141" t="str">
            <v>應付帳款-</v>
          </cell>
          <cell r="D141" t="str">
            <v>富玉平</v>
          </cell>
        </row>
        <row r="142">
          <cell r="B142" t="str">
            <v>2143-007</v>
          </cell>
          <cell r="C142" t="str">
            <v>應付帳款-</v>
          </cell>
          <cell r="D142" t="str">
            <v>友誼</v>
          </cell>
        </row>
        <row r="143">
          <cell r="B143" t="str">
            <v>2143-008</v>
          </cell>
          <cell r="C143" t="str">
            <v>應付帳款-</v>
          </cell>
        </row>
        <row r="144">
          <cell r="B144" t="str">
            <v>2143-009</v>
          </cell>
          <cell r="C144" t="str">
            <v>應付帳款-</v>
          </cell>
        </row>
        <row r="145">
          <cell r="B145" t="str">
            <v>2143-010</v>
          </cell>
          <cell r="C145" t="str">
            <v>應付帳款-</v>
          </cell>
        </row>
        <row r="146">
          <cell r="B146" t="str">
            <v>2143-011</v>
          </cell>
          <cell r="C146" t="str">
            <v>應付帳款-</v>
          </cell>
        </row>
        <row r="147">
          <cell r="B147" t="str">
            <v>2143-012</v>
          </cell>
          <cell r="C147" t="str">
            <v>應付帳款-</v>
          </cell>
        </row>
        <row r="148">
          <cell r="B148" t="str">
            <v>2143-013</v>
          </cell>
          <cell r="C148" t="str">
            <v>應付帳款-</v>
          </cell>
        </row>
        <row r="149">
          <cell r="B149" t="str">
            <v>2143-014</v>
          </cell>
          <cell r="C149" t="str">
            <v>應付帳款-</v>
          </cell>
        </row>
        <row r="150">
          <cell r="B150" t="str">
            <v>2143-015</v>
          </cell>
          <cell r="C150" t="str">
            <v>應付帳款-</v>
          </cell>
        </row>
        <row r="151">
          <cell r="B151" t="str">
            <v>2143-016</v>
          </cell>
          <cell r="C151" t="str">
            <v>應付帳款-</v>
          </cell>
        </row>
        <row r="152">
          <cell r="B152" t="str">
            <v>2143-017</v>
          </cell>
          <cell r="C152" t="str">
            <v>應付帳款-</v>
          </cell>
        </row>
        <row r="153">
          <cell r="B153" t="str">
            <v>2143-018</v>
          </cell>
          <cell r="C153" t="str">
            <v>應付帳款-</v>
          </cell>
        </row>
        <row r="154">
          <cell r="B154" t="str">
            <v>2143-019</v>
          </cell>
          <cell r="C154" t="str">
            <v>應付帳款-</v>
          </cell>
        </row>
        <row r="155">
          <cell r="B155" t="str">
            <v>2143-020</v>
          </cell>
          <cell r="C155" t="str">
            <v>應付帳款-</v>
          </cell>
        </row>
        <row r="156">
          <cell r="B156" t="str">
            <v>2143-101</v>
          </cell>
          <cell r="C156" t="str">
            <v>應付帳款-石膏</v>
          </cell>
          <cell r="D156" t="str">
            <v>石膏</v>
          </cell>
        </row>
        <row r="157">
          <cell r="B157" t="str">
            <v>2143-102</v>
          </cell>
          <cell r="C157" t="str">
            <v>應付帳款-手套商</v>
          </cell>
          <cell r="D157" t="str">
            <v>手套商</v>
          </cell>
        </row>
        <row r="158">
          <cell r="B158" t="str">
            <v>2143-103</v>
          </cell>
          <cell r="C158" t="str">
            <v>應付帳款-MDF明德</v>
          </cell>
          <cell r="D158" t="str">
            <v>MDF明德</v>
          </cell>
        </row>
        <row r="159">
          <cell r="B159" t="str">
            <v>2143-104</v>
          </cell>
          <cell r="C159" t="str">
            <v>應付帳款-專盛</v>
          </cell>
          <cell r="D159" t="str">
            <v>專盛</v>
          </cell>
        </row>
        <row r="160">
          <cell r="B160" t="str">
            <v>2143-105</v>
          </cell>
          <cell r="C160" t="str">
            <v>應付帳款-臆鼎</v>
          </cell>
          <cell r="D160" t="str">
            <v>臆鼎</v>
          </cell>
        </row>
        <row r="161">
          <cell r="B161" t="str">
            <v>2143-106</v>
          </cell>
          <cell r="C161" t="str">
            <v>應付帳款-</v>
          </cell>
        </row>
        <row r="162">
          <cell r="B162" t="str">
            <v>2143-107</v>
          </cell>
          <cell r="C162" t="str">
            <v>應付帳款-</v>
          </cell>
        </row>
        <row r="163">
          <cell r="B163" t="str">
            <v>2143-108</v>
          </cell>
          <cell r="C163" t="str">
            <v>應付帳款-</v>
          </cell>
        </row>
        <row r="164">
          <cell r="B164" t="str">
            <v>2143-109</v>
          </cell>
          <cell r="C164" t="str">
            <v>應付帳款-</v>
          </cell>
        </row>
        <row r="165">
          <cell r="B165" t="str">
            <v>2143-110</v>
          </cell>
          <cell r="C165" t="str">
            <v>應付帳款-</v>
          </cell>
        </row>
        <row r="166">
          <cell r="B166" t="str">
            <v>2143-111</v>
          </cell>
          <cell r="C166" t="str">
            <v>應付帳款-</v>
          </cell>
        </row>
        <row r="167">
          <cell r="B167" t="str">
            <v>2143-112</v>
          </cell>
          <cell r="C167" t="str">
            <v>應付帳款-</v>
          </cell>
        </row>
        <row r="168">
          <cell r="B168" t="str">
            <v>2143-113</v>
          </cell>
          <cell r="C168" t="str">
            <v>應付帳款-</v>
          </cell>
        </row>
        <row r="169">
          <cell r="B169" t="str">
            <v>2143-114</v>
          </cell>
          <cell r="C169" t="str">
            <v>應付帳款-</v>
          </cell>
        </row>
        <row r="170">
          <cell r="B170" t="str">
            <v>2143-115</v>
          </cell>
          <cell r="C170" t="str">
            <v>應付帳款-</v>
          </cell>
        </row>
        <row r="171">
          <cell r="B171">
            <v>2147</v>
          </cell>
          <cell r="C171" t="str">
            <v>應付費用</v>
          </cell>
        </row>
        <row r="172">
          <cell r="B172" t="str">
            <v>2147-001</v>
          </cell>
          <cell r="C172" t="str">
            <v>應付費用-直接人工</v>
          </cell>
          <cell r="D172" t="str">
            <v>直接人工</v>
          </cell>
        </row>
        <row r="173">
          <cell r="B173" t="str">
            <v>2147-002</v>
          </cell>
          <cell r="C173" t="str">
            <v>應付費用-秀</v>
          </cell>
        </row>
        <row r="174">
          <cell r="B174" t="str">
            <v>2147-003</v>
          </cell>
          <cell r="C174" t="str">
            <v>應付費用-才</v>
          </cell>
        </row>
        <row r="175">
          <cell r="B175" t="str">
            <v>2147-004</v>
          </cell>
          <cell r="C175" t="str">
            <v>應付費用-</v>
          </cell>
        </row>
        <row r="176">
          <cell r="B176" t="str">
            <v>2147-005</v>
          </cell>
        </row>
        <row r="177">
          <cell r="B177" t="str">
            <v>2147-006</v>
          </cell>
        </row>
        <row r="178">
          <cell r="B178" t="str">
            <v>2147-007</v>
          </cell>
        </row>
        <row r="179">
          <cell r="B179" t="str">
            <v>2147-008</v>
          </cell>
        </row>
        <row r="180">
          <cell r="B180" t="str">
            <v>2147-009</v>
          </cell>
        </row>
        <row r="181">
          <cell r="B181" t="str">
            <v>2147-010</v>
          </cell>
        </row>
        <row r="182">
          <cell r="B182" t="str">
            <v>2147-011</v>
          </cell>
        </row>
        <row r="183">
          <cell r="B183" t="str">
            <v>2147-012</v>
          </cell>
        </row>
        <row r="184">
          <cell r="B184" t="str">
            <v>2147-013</v>
          </cell>
          <cell r="C184" t="str">
            <v>應付費用-進柜稅</v>
          </cell>
          <cell r="D184" t="str">
            <v>應付費用-進柜稅</v>
          </cell>
        </row>
        <row r="185">
          <cell r="B185" t="str">
            <v>2147-014</v>
          </cell>
          <cell r="C185" t="str">
            <v>應付費用-報關費</v>
          </cell>
          <cell r="D185" t="str">
            <v>應付費用-報關費</v>
          </cell>
        </row>
        <row r="186">
          <cell r="B186" t="str">
            <v>2147-015</v>
          </cell>
        </row>
        <row r="187">
          <cell r="B187" t="str">
            <v>2147-016</v>
          </cell>
        </row>
        <row r="188">
          <cell r="B188" t="str">
            <v>2147-017</v>
          </cell>
        </row>
        <row r="189">
          <cell r="B189" t="str">
            <v>2147-018</v>
          </cell>
        </row>
        <row r="190">
          <cell r="B190" t="str">
            <v>2147-019</v>
          </cell>
        </row>
        <row r="191">
          <cell r="B191" t="str">
            <v>2147-020</v>
          </cell>
        </row>
        <row r="192">
          <cell r="B192" t="str">
            <v>2147-201</v>
          </cell>
          <cell r="C192" t="str">
            <v>應付費用-廠租(黎成南)</v>
          </cell>
        </row>
        <row r="193">
          <cell r="B193" t="str">
            <v>2147-202</v>
          </cell>
          <cell r="C193" t="str">
            <v>應付費用-保全(大黃南)</v>
          </cell>
          <cell r="D193" t="str">
            <v>租金</v>
          </cell>
        </row>
        <row r="194">
          <cell r="B194" t="str">
            <v>2147-206</v>
          </cell>
          <cell r="C194" t="str">
            <v>應付費用-電信費</v>
          </cell>
          <cell r="D194" t="str">
            <v>電信費</v>
          </cell>
        </row>
        <row r="195">
          <cell r="B195" t="str">
            <v>2147-209</v>
          </cell>
          <cell r="C195" t="str">
            <v>應付費用-水電費</v>
          </cell>
          <cell r="D195" t="str">
            <v>水電費</v>
          </cell>
        </row>
        <row r="196">
          <cell r="B196" t="str">
            <v>2147-225</v>
          </cell>
          <cell r="C196" t="str">
            <v>應付費用-交通費</v>
          </cell>
          <cell r="D196" t="str">
            <v>交通費</v>
          </cell>
        </row>
        <row r="197">
          <cell r="B197" t="str">
            <v>2147-510</v>
          </cell>
          <cell r="C197" t="str">
            <v>應付費用-勞保費</v>
          </cell>
          <cell r="D197" t="str">
            <v>勞保費</v>
          </cell>
        </row>
        <row r="198">
          <cell r="B198" t="str">
            <v>2147-522</v>
          </cell>
          <cell r="C198" t="str">
            <v>應付費用-清潔費</v>
          </cell>
          <cell r="D198" t="str">
            <v>垃圾費</v>
          </cell>
        </row>
        <row r="199">
          <cell r="B199" t="str">
            <v>2147-524</v>
          </cell>
          <cell r="C199" t="str">
            <v>應付費用-燃料費</v>
          </cell>
          <cell r="D199" t="str">
            <v>燃料費</v>
          </cell>
        </row>
        <row r="204">
          <cell r="B204">
            <v>2148</v>
          </cell>
          <cell r="C204" t="str">
            <v>應付所得稅</v>
          </cell>
          <cell r="D204" t="str">
            <v>應付所得稅</v>
          </cell>
        </row>
        <row r="205">
          <cell r="B205">
            <v>2506</v>
          </cell>
          <cell r="C205" t="str">
            <v>應付分期款</v>
          </cell>
          <cell r="D205" t="str">
            <v>應付分期款</v>
          </cell>
        </row>
        <row r="206">
          <cell r="B206" t="str">
            <v>2506-002</v>
          </cell>
          <cell r="C206" t="str">
            <v>應付分期款-車貸</v>
          </cell>
          <cell r="D206" t="str">
            <v>車貸</v>
          </cell>
        </row>
        <row r="207">
          <cell r="B207">
            <v>2864</v>
          </cell>
          <cell r="C207" t="str">
            <v>存出保證金</v>
          </cell>
          <cell r="D207" t="str">
            <v>存出保證金</v>
          </cell>
        </row>
        <row r="208">
          <cell r="B208">
            <v>2867</v>
          </cell>
          <cell r="C208" t="str">
            <v>暫收款</v>
          </cell>
          <cell r="D208" t="str">
            <v>暫收款</v>
          </cell>
        </row>
        <row r="209">
          <cell r="B209" t="str">
            <v>2867-001</v>
          </cell>
          <cell r="C209" t="str">
            <v>暫收款-工費</v>
          </cell>
          <cell r="D209" t="str">
            <v>暫收款-工費</v>
          </cell>
        </row>
        <row r="210">
          <cell r="B210">
            <v>2866</v>
          </cell>
          <cell r="C210" t="str">
            <v>銷項稅額</v>
          </cell>
          <cell r="D210" t="str">
            <v>銷項稅額</v>
          </cell>
        </row>
        <row r="211">
          <cell r="B211">
            <v>4101</v>
          </cell>
          <cell r="C211" t="str">
            <v>銷貨收入</v>
          </cell>
          <cell r="E211">
            <v>1144</v>
          </cell>
          <cell r="F211">
            <v>4104</v>
          </cell>
        </row>
        <row r="212">
          <cell r="B212" t="str">
            <v>4101-001</v>
          </cell>
          <cell r="C212" t="str">
            <v>銷貨收入-太平洋</v>
          </cell>
          <cell r="D212" t="str">
            <v>太平洋</v>
          </cell>
          <cell r="E212" t="str">
            <v>1144-001</v>
          </cell>
          <cell r="F212" t="str">
            <v>4104-001</v>
          </cell>
        </row>
        <row r="213">
          <cell r="B213" t="str">
            <v>4101-002</v>
          </cell>
          <cell r="C213" t="str">
            <v>銷貨收入-越鑫</v>
          </cell>
          <cell r="D213" t="str">
            <v>越鑫</v>
          </cell>
          <cell r="E213" t="str">
            <v>1144-002</v>
          </cell>
          <cell r="F213" t="str">
            <v>4104-002</v>
          </cell>
        </row>
        <row r="214">
          <cell r="B214" t="str">
            <v>4101-003</v>
          </cell>
          <cell r="C214" t="str">
            <v>銷貨收入-金鋒</v>
          </cell>
          <cell r="D214" t="str">
            <v>金鋒</v>
          </cell>
          <cell r="E214" t="str">
            <v>1144-003</v>
          </cell>
          <cell r="F214" t="str">
            <v>4104-003</v>
          </cell>
        </row>
        <row r="215">
          <cell r="B215" t="str">
            <v>4101-004</v>
          </cell>
          <cell r="C215" t="str">
            <v>銷貨收入-信亞</v>
          </cell>
          <cell r="D215" t="str">
            <v>信亞</v>
          </cell>
          <cell r="E215" t="str">
            <v>1144-004</v>
          </cell>
          <cell r="F215" t="str">
            <v>4104-004</v>
          </cell>
        </row>
        <row r="216">
          <cell r="B216" t="str">
            <v>4101-005</v>
          </cell>
          <cell r="C216" t="str">
            <v>銷貨收入-豐群</v>
          </cell>
          <cell r="D216" t="str">
            <v>豐群</v>
          </cell>
          <cell r="E216" t="str">
            <v>1144-005</v>
          </cell>
          <cell r="F216" t="str">
            <v>4104-005</v>
          </cell>
        </row>
        <row r="217">
          <cell r="B217" t="str">
            <v>4101-006-BD</v>
          </cell>
          <cell r="C217" t="str">
            <v>銷貨收入-堡發-BD</v>
          </cell>
          <cell r="D217" t="str">
            <v>堡發-BD</v>
          </cell>
          <cell r="E217" t="str">
            <v>1144-006-BD</v>
          </cell>
          <cell r="F217" t="str">
            <v>4104-006-BD</v>
          </cell>
        </row>
        <row r="218">
          <cell r="B218" t="str">
            <v>4101-006-DN</v>
          </cell>
          <cell r="C218" t="str">
            <v>銷貨收入-堡發-DN</v>
          </cell>
          <cell r="D218" t="str">
            <v>堡發-DN</v>
          </cell>
          <cell r="E218" t="str">
            <v>1144-006-DN</v>
          </cell>
          <cell r="F218" t="str">
            <v>4104-006-DN</v>
          </cell>
        </row>
        <row r="219">
          <cell r="B219" t="str">
            <v>4101-007</v>
          </cell>
          <cell r="C219" t="str">
            <v>銷貨收入-順泰</v>
          </cell>
          <cell r="D219" t="str">
            <v>順泰</v>
          </cell>
          <cell r="E219" t="str">
            <v>1144-007</v>
          </cell>
          <cell r="F219" t="str">
            <v>4104-007</v>
          </cell>
        </row>
        <row r="220">
          <cell r="B220" t="str">
            <v>4101-008</v>
          </cell>
          <cell r="C220" t="str">
            <v>銷貨收入-越發 1</v>
          </cell>
          <cell r="D220" t="str">
            <v>越發 1</v>
          </cell>
          <cell r="E220" t="str">
            <v>1144-008</v>
          </cell>
          <cell r="F220" t="str">
            <v>4104-008</v>
          </cell>
        </row>
        <row r="221">
          <cell r="B221" t="str">
            <v>4101-008-2</v>
          </cell>
          <cell r="C221" t="str">
            <v>銷貨收入-越發 2</v>
          </cell>
          <cell r="D221" t="str">
            <v>越發 2</v>
          </cell>
          <cell r="E221" t="str">
            <v>1144-008-2</v>
          </cell>
          <cell r="F221" t="str">
            <v>4104-008-2</v>
          </cell>
        </row>
        <row r="222">
          <cell r="B222" t="str">
            <v>4101-009</v>
          </cell>
          <cell r="C222" t="str">
            <v>銷貨收入-興盛家</v>
          </cell>
          <cell r="D222" t="str">
            <v>興盛家</v>
          </cell>
          <cell r="E222" t="str">
            <v>1144-009</v>
          </cell>
          <cell r="F222" t="str">
            <v>4104-009</v>
          </cell>
        </row>
        <row r="223">
          <cell r="B223" t="str">
            <v>4101-010</v>
          </cell>
          <cell r="C223" t="str">
            <v>銷貨收入-豐全</v>
          </cell>
          <cell r="D223" t="str">
            <v>豐全</v>
          </cell>
          <cell r="E223" t="str">
            <v>1144-010</v>
          </cell>
          <cell r="F223" t="str">
            <v>4104-010</v>
          </cell>
        </row>
        <row r="224">
          <cell r="B224" t="str">
            <v>4101-011</v>
          </cell>
          <cell r="C224" t="str">
            <v>銷貨收入-金輝</v>
          </cell>
          <cell r="D224" t="str">
            <v>金輝</v>
          </cell>
          <cell r="E224" t="str">
            <v>1144-011</v>
          </cell>
          <cell r="F224" t="str">
            <v>4104-011</v>
          </cell>
        </row>
        <row r="225">
          <cell r="B225" t="str">
            <v>4101-012</v>
          </cell>
          <cell r="C225" t="str">
            <v>銷貨收入-上順</v>
          </cell>
          <cell r="D225" t="str">
            <v>上順</v>
          </cell>
          <cell r="E225" t="str">
            <v>1144-012</v>
          </cell>
          <cell r="F225" t="str">
            <v>4104-012</v>
          </cell>
        </row>
        <row r="226">
          <cell r="B226" t="str">
            <v>4101-013</v>
          </cell>
          <cell r="C226" t="str">
            <v>銷貨收入-富鼎</v>
          </cell>
          <cell r="D226" t="str">
            <v>富鼎</v>
          </cell>
          <cell r="E226" t="str">
            <v>1144-013</v>
          </cell>
          <cell r="F226" t="str">
            <v>4104-013</v>
          </cell>
        </row>
        <row r="227">
          <cell r="B227" t="str">
            <v>4101-014</v>
          </cell>
          <cell r="C227" t="str">
            <v>銷貨收入-緯樹</v>
          </cell>
          <cell r="D227" t="str">
            <v>緯樹</v>
          </cell>
          <cell r="E227" t="str">
            <v>1144-014</v>
          </cell>
          <cell r="F227" t="str">
            <v>4104-014</v>
          </cell>
        </row>
        <row r="228">
          <cell r="B228" t="str">
            <v>4101-015</v>
          </cell>
          <cell r="C228" t="str">
            <v>銷貨收入-林源</v>
          </cell>
          <cell r="D228" t="str">
            <v>林源</v>
          </cell>
          <cell r="E228" t="str">
            <v>1144-015</v>
          </cell>
          <cell r="F228" t="str">
            <v>4104-015</v>
          </cell>
        </row>
        <row r="229">
          <cell r="B229" t="str">
            <v>4101-016</v>
          </cell>
          <cell r="C229" t="str">
            <v>銷貨收入-林盛</v>
          </cell>
          <cell r="D229" t="str">
            <v>林盛</v>
          </cell>
          <cell r="E229" t="str">
            <v>1144-016</v>
          </cell>
          <cell r="F229" t="str">
            <v>4104-016</v>
          </cell>
        </row>
        <row r="230">
          <cell r="B230" t="str">
            <v>4101-016-PU</v>
          </cell>
          <cell r="C230" t="str">
            <v>銷貨收入-林盛(PU)</v>
          </cell>
          <cell r="D230" t="str">
            <v>林盛(PU)</v>
          </cell>
          <cell r="E230" t="str">
            <v>1144-016-PU</v>
          </cell>
          <cell r="F230" t="str">
            <v>4104-016-PU</v>
          </cell>
        </row>
        <row r="231">
          <cell r="B231" t="str">
            <v>4101-017</v>
          </cell>
          <cell r="C231" t="str">
            <v>銷貨收入-振傑</v>
          </cell>
          <cell r="D231" t="str">
            <v>振傑</v>
          </cell>
          <cell r="E231" t="str">
            <v>1144-017</v>
          </cell>
          <cell r="F231" t="str">
            <v>4104-017</v>
          </cell>
        </row>
        <row r="232">
          <cell r="B232" t="str">
            <v>4101-018</v>
          </cell>
          <cell r="C232" t="str">
            <v>銷貨收入-CHILANO</v>
          </cell>
          <cell r="D232" t="str">
            <v>CHILANO</v>
          </cell>
          <cell r="E232" t="str">
            <v>1144-018</v>
          </cell>
          <cell r="F232" t="str">
            <v>4104-018</v>
          </cell>
        </row>
        <row r="233">
          <cell r="B233" t="str">
            <v>4101-019</v>
          </cell>
          <cell r="C233" t="str">
            <v>銷貨收入-德善</v>
          </cell>
          <cell r="D233" t="str">
            <v>德善</v>
          </cell>
          <cell r="E233" t="str">
            <v>1144-019</v>
          </cell>
          <cell r="F233" t="str">
            <v>4104-019</v>
          </cell>
        </row>
        <row r="234">
          <cell r="B234" t="str">
            <v>4101-020</v>
          </cell>
          <cell r="C234" t="str">
            <v>銷貨收入-越宏</v>
          </cell>
          <cell r="D234" t="str">
            <v>越宏</v>
          </cell>
          <cell r="E234" t="str">
            <v>1144-020</v>
          </cell>
          <cell r="F234" t="str">
            <v>4104-020</v>
          </cell>
        </row>
        <row r="235">
          <cell r="B235" t="str">
            <v>4101-021</v>
          </cell>
          <cell r="C235" t="str">
            <v>銷貨收入-協楊</v>
          </cell>
          <cell r="D235" t="str">
            <v>協楊</v>
          </cell>
          <cell r="E235" t="str">
            <v>1144-021</v>
          </cell>
          <cell r="F235" t="str">
            <v>4104-021</v>
          </cell>
        </row>
        <row r="236">
          <cell r="B236" t="str">
            <v>4101-022</v>
          </cell>
          <cell r="C236" t="str">
            <v>銷貨收入-名益</v>
          </cell>
          <cell r="D236" t="str">
            <v>名益</v>
          </cell>
          <cell r="E236" t="str">
            <v>1144-022</v>
          </cell>
          <cell r="F236" t="str">
            <v>4104-022</v>
          </cell>
        </row>
        <row r="237">
          <cell r="B237" t="str">
            <v>4101-022-PU</v>
          </cell>
          <cell r="C237" t="str">
            <v>銷貨收入-名益(PU)</v>
          </cell>
          <cell r="D237" t="str">
            <v>名益(PU)</v>
          </cell>
          <cell r="E237" t="str">
            <v>1144-022-PU</v>
          </cell>
          <cell r="F237" t="str">
            <v>4104-022-PU</v>
          </cell>
          <cell r="G237" t="str">
            <v>A</v>
          </cell>
        </row>
        <row r="238">
          <cell r="B238" t="str">
            <v>4101-023</v>
          </cell>
          <cell r="C238" t="str">
            <v>銷貨收入-儂根</v>
          </cell>
          <cell r="D238" t="str">
            <v>儂根</v>
          </cell>
          <cell r="E238" t="str">
            <v>1144-023</v>
          </cell>
          <cell r="F238" t="str">
            <v>4104-023</v>
          </cell>
        </row>
        <row r="239">
          <cell r="B239" t="str">
            <v>4101-024</v>
          </cell>
          <cell r="C239" t="str">
            <v>銷貨收入-樺鑫</v>
          </cell>
          <cell r="D239" t="str">
            <v>樺鑫</v>
          </cell>
          <cell r="E239" t="str">
            <v>1144-024</v>
          </cell>
          <cell r="F239" t="str">
            <v>4104-024</v>
          </cell>
        </row>
        <row r="240">
          <cell r="B240" t="str">
            <v>4101-025</v>
          </cell>
          <cell r="C240" t="str">
            <v>銷貨收入-木川(新)</v>
          </cell>
          <cell r="D240" t="str">
            <v>木川(新)</v>
          </cell>
          <cell r="E240" t="str">
            <v>1144-025</v>
          </cell>
          <cell r="F240" t="str">
            <v>4104-025</v>
          </cell>
        </row>
        <row r="241">
          <cell r="B241" t="str">
            <v>4101-026</v>
          </cell>
          <cell r="C241" t="str">
            <v>銷貨收入-欣元記</v>
          </cell>
          <cell r="D241" t="str">
            <v>欣元記</v>
          </cell>
          <cell r="E241" t="str">
            <v>1144-026</v>
          </cell>
          <cell r="F241" t="str">
            <v>4104-026</v>
          </cell>
        </row>
        <row r="242">
          <cell r="B242" t="str">
            <v>4101-027</v>
          </cell>
          <cell r="C242" t="str">
            <v>銷貨收入-源永興隆</v>
          </cell>
          <cell r="D242" t="str">
            <v>永興隆</v>
          </cell>
          <cell r="E242" t="str">
            <v>1144-027</v>
          </cell>
          <cell r="F242" t="str">
            <v>4104-027</v>
          </cell>
        </row>
        <row r="243">
          <cell r="B243" t="str">
            <v>4101-028</v>
          </cell>
          <cell r="C243" t="str">
            <v>銷貨收入-馬榮</v>
          </cell>
          <cell r="D243" t="str">
            <v>馬榮</v>
          </cell>
          <cell r="E243" t="str">
            <v>1144-028</v>
          </cell>
          <cell r="F243" t="str">
            <v>4104-028</v>
          </cell>
        </row>
        <row r="244">
          <cell r="B244" t="str">
            <v>4101-029</v>
          </cell>
          <cell r="C244" t="str">
            <v>銷貨收入-TPP</v>
          </cell>
          <cell r="D244" t="str">
            <v>TPP</v>
          </cell>
          <cell r="E244" t="str">
            <v>1144-029</v>
          </cell>
          <cell r="F244" t="str">
            <v>4104-029</v>
          </cell>
        </row>
        <row r="245">
          <cell r="B245" t="str">
            <v>4101-030</v>
          </cell>
          <cell r="C245" t="str">
            <v>銷貨收入-隆好</v>
          </cell>
          <cell r="D245" t="str">
            <v>隆好</v>
          </cell>
          <cell r="E245" t="str">
            <v>1144-030</v>
          </cell>
          <cell r="F245" t="str">
            <v>4104-030</v>
          </cell>
        </row>
        <row r="246">
          <cell r="B246" t="str">
            <v>4101-031</v>
          </cell>
          <cell r="C246" t="str">
            <v>銷貨收入-高點/越秀</v>
          </cell>
          <cell r="D246" t="str">
            <v>高點/越秀</v>
          </cell>
          <cell r="E246" t="str">
            <v>1144-031</v>
          </cell>
          <cell r="F246" t="str">
            <v>4104-031</v>
          </cell>
        </row>
        <row r="247">
          <cell r="B247" t="str">
            <v>4101-032</v>
          </cell>
          <cell r="C247" t="str">
            <v>銷貨收入-泰合</v>
          </cell>
          <cell r="D247" t="str">
            <v>泰合</v>
          </cell>
          <cell r="E247" t="str">
            <v>1144-032</v>
          </cell>
          <cell r="F247" t="str">
            <v>4104-032</v>
          </cell>
        </row>
        <row r="248">
          <cell r="B248" t="str">
            <v>4101-033</v>
          </cell>
          <cell r="C248" t="str">
            <v>銷貨收入-木美</v>
          </cell>
          <cell r="D248" t="str">
            <v>木美</v>
          </cell>
          <cell r="E248" t="str">
            <v>1144-033</v>
          </cell>
          <cell r="F248" t="str">
            <v>4104-033</v>
          </cell>
        </row>
        <row r="249">
          <cell r="B249" t="str">
            <v>4101-034</v>
          </cell>
          <cell r="C249" t="str">
            <v>銷貨收入-明發2</v>
          </cell>
          <cell r="D249" t="str">
            <v>明發2</v>
          </cell>
          <cell r="E249" t="str">
            <v>1144-034</v>
          </cell>
          <cell r="F249" t="str">
            <v>4104-034</v>
          </cell>
        </row>
        <row r="250">
          <cell r="B250" t="str">
            <v>4101-035</v>
          </cell>
          <cell r="C250" t="str">
            <v>銷貨收入-宏森</v>
          </cell>
          <cell r="D250" t="str">
            <v>宏森</v>
          </cell>
          <cell r="E250" t="str">
            <v>1144-035</v>
          </cell>
          <cell r="F250" t="str">
            <v>4104-035</v>
          </cell>
        </row>
        <row r="251">
          <cell r="B251" t="str">
            <v>4101-036</v>
          </cell>
          <cell r="C251" t="str">
            <v>銷貨收入-大有</v>
          </cell>
          <cell r="D251" t="str">
            <v>大有</v>
          </cell>
          <cell r="E251" t="str">
            <v>1144-036</v>
          </cell>
          <cell r="F251" t="str">
            <v>4104-036</v>
          </cell>
        </row>
        <row r="252">
          <cell r="B252" t="str">
            <v>4101-037</v>
          </cell>
          <cell r="C252" t="str">
            <v>銷貨收入-鑫鴻運</v>
          </cell>
          <cell r="D252" t="str">
            <v>鑫鴻運</v>
          </cell>
          <cell r="E252" t="str">
            <v>1144-037</v>
          </cell>
          <cell r="F252" t="str">
            <v>4104-037</v>
          </cell>
        </row>
        <row r="253">
          <cell r="B253" t="str">
            <v>4101-038</v>
          </cell>
          <cell r="C253" t="str">
            <v>銷貨收入-歐旻</v>
          </cell>
          <cell r="D253" t="str">
            <v>歐旻</v>
          </cell>
          <cell r="E253" t="str">
            <v>1144-038</v>
          </cell>
          <cell r="F253" t="str">
            <v>4104-038</v>
          </cell>
        </row>
        <row r="254">
          <cell r="B254" t="str">
            <v>4101-039</v>
          </cell>
          <cell r="C254" t="str">
            <v>銷貨收入-PGT</v>
          </cell>
          <cell r="D254" t="str">
            <v>PGT</v>
          </cell>
          <cell r="E254" t="str">
            <v>1144-039</v>
          </cell>
          <cell r="F254" t="str">
            <v>4104-039</v>
          </cell>
        </row>
        <row r="255">
          <cell r="B255" t="str">
            <v>4101-040</v>
          </cell>
          <cell r="C255" t="str">
            <v>銷貨收入-強盛</v>
          </cell>
          <cell r="D255" t="str">
            <v>強盛</v>
          </cell>
          <cell r="E255" t="str">
            <v>1144-040</v>
          </cell>
          <cell r="F255" t="str">
            <v>4104-040</v>
          </cell>
        </row>
        <row r="256">
          <cell r="B256" t="str">
            <v>4101-041</v>
          </cell>
          <cell r="C256" t="str">
            <v>銷貨收入-龍源</v>
          </cell>
          <cell r="D256" t="str">
            <v>龍源</v>
          </cell>
          <cell r="E256" t="str">
            <v>1144-041</v>
          </cell>
          <cell r="F256" t="str">
            <v>4104-041</v>
          </cell>
        </row>
        <row r="257">
          <cell r="B257" t="str">
            <v>4101-042</v>
          </cell>
          <cell r="C257" t="str">
            <v>銷貨收入-木川</v>
          </cell>
          <cell r="D257" t="str">
            <v>木川</v>
          </cell>
          <cell r="E257" t="str">
            <v>1144-042</v>
          </cell>
          <cell r="F257" t="str">
            <v>4104-042</v>
          </cell>
        </row>
        <row r="258">
          <cell r="B258" t="str">
            <v>4101-042-PU</v>
          </cell>
          <cell r="C258" t="str">
            <v>銷貨收入-木川(PU)</v>
          </cell>
          <cell r="D258" t="str">
            <v>木川(PU)</v>
          </cell>
          <cell r="E258" t="str">
            <v>1144-042-pu</v>
          </cell>
          <cell r="F258" t="str">
            <v>4104-042-pu</v>
          </cell>
        </row>
        <row r="259">
          <cell r="B259" t="str">
            <v>4101-043</v>
          </cell>
          <cell r="C259" t="str">
            <v>銷貨收入-茂旭</v>
          </cell>
          <cell r="D259" t="str">
            <v>茂旭</v>
          </cell>
          <cell r="E259" t="str">
            <v>1144-043</v>
          </cell>
          <cell r="F259" t="str">
            <v>4104-043</v>
          </cell>
        </row>
        <row r="260">
          <cell r="B260" t="str">
            <v>4101-044</v>
          </cell>
          <cell r="C260" t="str">
            <v>銷貨收入-亞力山卓</v>
          </cell>
          <cell r="D260" t="str">
            <v>亞力山卓</v>
          </cell>
          <cell r="E260" t="str">
            <v>1144-044</v>
          </cell>
          <cell r="F260" t="str">
            <v>4104-044</v>
          </cell>
        </row>
        <row r="261">
          <cell r="B261" t="str">
            <v>4101-045</v>
          </cell>
          <cell r="C261" t="str">
            <v>銷貨收入-新西蘭</v>
          </cell>
          <cell r="D261" t="str">
            <v>新西蘭</v>
          </cell>
          <cell r="E261" t="str">
            <v>1144-045</v>
          </cell>
          <cell r="F261" t="str">
            <v>4104-045</v>
          </cell>
        </row>
        <row r="262">
          <cell r="B262" t="str">
            <v>4101-046</v>
          </cell>
          <cell r="C262" t="str">
            <v>銷貨收入-隆興</v>
          </cell>
          <cell r="D262" t="str">
            <v>隆興</v>
          </cell>
          <cell r="E262" t="str">
            <v>1144-046</v>
          </cell>
          <cell r="F262" t="str">
            <v>4104-046</v>
          </cell>
        </row>
        <row r="263">
          <cell r="B263" t="str">
            <v>4101-047</v>
          </cell>
          <cell r="C263" t="str">
            <v>銷貨收入-源立盛</v>
          </cell>
          <cell r="D263" t="str">
            <v>源立盛</v>
          </cell>
          <cell r="E263" t="str">
            <v>1144-047</v>
          </cell>
          <cell r="F263" t="str">
            <v>4104-047</v>
          </cell>
        </row>
        <row r="264">
          <cell r="B264" t="str">
            <v>4101-048</v>
          </cell>
          <cell r="C264" t="str">
            <v>銷貨收入-恒威</v>
          </cell>
          <cell r="D264" t="str">
            <v>恒威</v>
          </cell>
          <cell r="E264" t="str">
            <v>1144-048</v>
          </cell>
          <cell r="F264" t="str">
            <v>4104-048</v>
          </cell>
        </row>
        <row r="265">
          <cell r="B265" t="str">
            <v>4101-049</v>
          </cell>
          <cell r="C265" t="str">
            <v>銷貨收入-盛林</v>
          </cell>
          <cell r="D265" t="str">
            <v>盛林</v>
          </cell>
          <cell r="E265" t="str">
            <v>1144-049</v>
          </cell>
          <cell r="F265" t="str">
            <v>4104-049</v>
          </cell>
        </row>
        <row r="266">
          <cell r="B266" t="str">
            <v>4101-050</v>
          </cell>
          <cell r="C266" t="str">
            <v>鎖貨收入-晶鑽</v>
          </cell>
          <cell r="D266" t="str">
            <v>晶鑽</v>
          </cell>
          <cell r="E266" t="str">
            <v>1144-050</v>
          </cell>
          <cell r="F266" t="str">
            <v>4104-050</v>
          </cell>
        </row>
        <row r="267">
          <cell r="B267" t="str">
            <v>4101-051</v>
          </cell>
          <cell r="C267" t="str">
            <v>銷貨收入-贏傢</v>
          </cell>
          <cell r="D267" t="str">
            <v>贏傢</v>
          </cell>
          <cell r="E267" t="str">
            <v>1144-051</v>
          </cell>
          <cell r="F267" t="str">
            <v>4104-051</v>
          </cell>
        </row>
        <row r="268">
          <cell r="B268" t="str">
            <v>4101-052</v>
          </cell>
          <cell r="C268" t="str">
            <v>鎖貨收入-宏森743</v>
          </cell>
          <cell r="D268" t="str">
            <v>宏森743</v>
          </cell>
          <cell r="E268" t="str">
            <v>1144-052</v>
          </cell>
          <cell r="F268" t="str">
            <v>4104-052</v>
          </cell>
        </row>
        <row r="269">
          <cell r="B269" t="str">
            <v>4101-053</v>
          </cell>
          <cell r="C269" t="str">
            <v>鎖貨收入-恒昌</v>
          </cell>
          <cell r="D269" t="str">
            <v>恒昌</v>
          </cell>
          <cell r="E269" t="str">
            <v>1144-053</v>
          </cell>
          <cell r="F269" t="str">
            <v>4104-053</v>
          </cell>
        </row>
        <row r="270">
          <cell r="B270" t="str">
            <v>4101-054</v>
          </cell>
          <cell r="C270" t="str">
            <v>鎖貨收入-吳興</v>
          </cell>
          <cell r="D270" t="str">
            <v>吳興</v>
          </cell>
          <cell r="E270" t="str">
            <v>1144-054</v>
          </cell>
          <cell r="F270" t="str">
            <v>4104-054</v>
          </cell>
        </row>
        <row r="271">
          <cell r="B271" t="str">
            <v>4101-055</v>
          </cell>
          <cell r="C271" t="str">
            <v>鎖貨收入-昌大</v>
          </cell>
          <cell r="D271" t="str">
            <v>昌大</v>
          </cell>
          <cell r="E271" t="str">
            <v>1144-055</v>
          </cell>
          <cell r="F271" t="str">
            <v>4104-055</v>
          </cell>
        </row>
        <row r="272">
          <cell r="B272" t="str">
            <v>4101-056</v>
          </cell>
          <cell r="C272" t="str">
            <v>銷貨收入-恒義</v>
          </cell>
          <cell r="D272" t="str">
            <v>恒義</v>
          </cell>
          <cell r="E272" t="str">
            <v>1144-056</v>
          </cell>
          <cell r="F272" t="str">
            <v>4104-056</v>
          </cell>
        </row>
        <row r="273">
          <cell r="B273" t="str">
            <v>4101-057</v>
          </cell>
          <cell r="C273" t="str">
            <v>銷貨收入-富源</v>
          </cell>
          <cell r="D273" t="str">
            <v>富源</v>
          </cell>
          <cell r="E273" t="str">
            <v>1144-057</v>
          </cell>
          <cell r="F273" t="str">
            <v>4104-057</v>
          </cell>
        </row>
        <row r="274">
          <cell r="B274" t="str">
            <v>4101-058</v>
          </cell>
          <cell r="C274" t="str">
            <v>銷貨收入-太平</v>
          </cell>
          <cell r="D274" t="str">
            <v>太平</v>
          </cell>
          <cell r="E274" t="str">
            <v>1144-058</v>
          </cell>
          <cell r="F274" t="str">
            <v>4104-058</v>
          </cell>
        </row>
        <row r="275">
          <cell r="B275" t="str">
            <v>4101-059</v>
          </cell>
          <cell r="C275" t="str">
            <v>銷貨收入-大順</v>
          </cell>
          <cell r="D275" t="str">
            <v>大順</v>
          </cell>
          <cell r="E275" t="str">
            <v>1144-059</v>
          </cell>
          <cell r="F275" t="str">
            <v>4104-059</v>
          </cell>
        </row>
        <row r="276">
          <cell r="B276" t="str">
            <v>4101-060</v>
          </cell>
          <cell r="C276" t="str">
            <v>銷貨收入-富鼎(新)</v>
          </cell>
          <cell r="D276" t="str">
            <v>富鼎(新)</v>
          </cell>
          <cell r="E276" t="str">
            <v>1144-060</v>
          </cell>
          <cell r="F276" t="str">
            <v>4104-060</v>
          </cell>
        </row>
        <row r="277">
          <cell r="B277" t="str">
            <v>4101-061</v>
          </cell>
          <cell r="C277" t="str">
            <v>銷貨收入-三發</v>
          </cell>
          <cell r="D277" t="str">
            <v>三發</v>
          </cell>
          <cell r="E277" t="str">
            <v>1144-061</v>
          </cell>
          <cell r="F277" t="str">
            <v>4104-061</v>
          </cell>
        </row>
        <row r="278">
          <cell r="B278" t="str">
            <v>4101-062</v>
          </cell>
          <cell r="C278" t="str">
            <v>銷貨收入-展富</v>
          </cell>
          <cell r="D278" t="str">
            <v>展富</v>
          </cell>
          <cell r="E278" t="str">
            <v>1144-062</v>
          </cell>
          <cell r="F278" t="str">
            <v>4104-062</v>
          </cell>
        </row>
        <row r="279">
          <cell r="B279" t="str">
            <v>4101-063</v>
          </cell>
          <cell r="C279" t="str">
            <v>銷貨收入-VO VA</v>
          </cell>
          <cell r="D279" t="str">
            <v>VO VA</v>
          </cell>
          <cell r="E279" t="str">
            <v>1144-063</v>
          </cell>
          <cell r="F279" t="str">
            <v>4104-063</v>
          </cell>
        </row>
        <row r="280">
          <cell r="B280" t="str">
            <v>4101-064</v>
          </cell>
          <cell r="C280" t="str">
            <v>銷貨收入-北宏</v>
          </cell>
          <cell r="D280" t="str">
            <v>北宏</v>
          </cell>
          <cell r="E280" t="str">
            <v>1144-064</v>
          </cell>
          <cell r="F280" t="str">
            <v>4104-064</v>
          </cell>
        </row>
        <row r="281">
          <cell r="B281" t="str">
            <v>4101-064-PU</v>
          </cell>
          <cell r="C281" t="str">
            <v>銷貨收入-北宏(PU)</v>
          </cell>
          <cell r="D281" t="str">
            <v>北宏(PU)</v>
          </cell>
          <cell r="E281" t="str">
            <v>1144-064-PU</v>
          </cell>
          <cell r="F281" t="str">
            <v>4104-064-PU</v>
          </cell>
        </row>
        <row r="282">
          <cell r="B282" t="str">
            <v>4101-065</v>
          </cell>
          <cell r="C282" t="str">
            <v>銷貨收入-冠君</v>
          </cell>
          <cell r="D282" t="str">
            <v>冠君</v>
          </cell>
          <cell r="E282" t="str">
            <v>1144-065</v>
          </cell>
          <cell r="F282" t="str">
            <v>4104-065</v>
          </cell>
        </row>
        <row r="283">
          <cell r="B283" t="str">
            <v>4101-066</v>
          </cell>
          <cell r="C283" t="str">
            <v>銷貨收入-興宏</v>
          </cell>
          <cell r="D283" t="str">
            <v>興宏</v>
          </cell>
          <cell r="E283" t="str">
            <v>1144-066</v>
          </cell>
          <cell r="F283" t="str">
            <v>4104-066</v>
          </cell>
        </row>
        <row r="284">
          <cell r="B284" t="str">
            <v>4101-067</v>
          </cell>
          <cell r="C284" t="str">
            <v>銷貨收入-康德盛</v>
          </cell>
          <cell r="D284" t="str">
            <v>康德盛(林盛2)</v>
          </cell>
          <cell r="E284" t="str">
            <v>1144-067</v>
          </cell>
          <cell r="F284" t="str">
            <v>4104-067</v>
          </cell>
        </row>
        <row r="285">
          <cell r="B285" t="str">
            <v>4101-068</v>
          </cell>
          <cell r="C285" t="str">
            <v>銷貨收入-金原通</v>
          </cell>
          <cell r="D285" t="str">
            <v>金原通</v>
          </cell>
          <cell r="E285" t="str">
            <v>1144-068</v>
          </cell>
          <cell r="F285" t="str">
            <v>4104-068</v>
          </cell>
        </row>
        <row r="286">
          <cell r="B286" t="str">
            <v>4101-068-PU</v>
          </cell>
          <cell r="C286" t="str">
            <v>銷貨收入-金原通(PU)</v>
          </cell>
          <cell r="D286" t="str">
            <v>金原通(PU)</v>
          </cell>
          <cell r="E286" t="str">
            <v>1144-068-PU</v>
          </cell>
          <cell r="F286" t="str">
            <v>4104-068-PU</v>
          </cell>
          <cell r="G286" t="str">
            <v>A</v>
          </cell>
        </row>
        <row r="287">
          <cell r="B287" t="str">
            <v>4101-069</v>
          </cell>
          <cell r="C287" t="str">
            <v>銷貨收入-永霖</v>
          </cell>
          <cell r="D287" t="str">
            <v>永霖</v>
          </cell>
          <cell r="E287" t="str">
            <v>1144-069</v>
          </cell>
          <cell r="F287" t="str">
            <v>4101-069</v>
          </cell>
        </row>
        <row r="288">
          <cell r="B288" t="str">
            <v>4101-070</v>
          </cell>
          <cell r="C288" t="str">
            <v>銷貨收入-華麗</v>
          </cell>
          <cell r="D288" t="str">
            <v>華麗</v>
          </cell>
          <cell r="E288" t="str">
            <v>1144-070</v>
          </cell>
          <cell r="F288" t="str">
            <v>4101-070</v>
          </cell>
        </row>
        <row r="289">
          <cell r="B289" t="str">
            <v>4101-071</v>
          </cell>
          <cell r="C289" t="str">
            <v>銷貨收入-天青保</v>
          </cell>
          <cell r="D289" t="str">
            <v>天青保</v>
          </cell>
          <cell r="E289" t="str">
            <v>1144-071</v>
          </cell>
          <cell r="F289" t="str">
            <v>4101-071</v>
          </cell>
        </row>
        <row r="290">
          <cell r="B290" t="str">
            <v>4101-072</v>
          </cell>
          <cell r="C290" t="str">
            <v>銷貨收入-明進</v>
          </cell>
          <cell r="D290" t="str">
            <v>明進</v>
          </cell>
          <cell r="E290" t="str">
            <v>1144-072</v>
          </cell>
          <cell r="F290" t="str">
            <v>4101-072</v>
          </cell>
        </row>
        <row r="291">
          <cell r="B291" t="str">
            <v>4101-073</v>
          </cell>
          <cell r="C291" t="str">
            <v>銷貨收入-立特</v>
          </cell>
          <cell r="D291" t="str">
            <v>立特</v>
          </cell>
          <cell r="E291" t="str">
            <v>1144-073</v>
          </cell>
          <cell r="F291" t="str">
            <v>4101-073</v>
          </cell>
        </row>
        <row r="292">
          <cell r="B292" t="str">
            <v>4101-074</v>
          </cell>
          <cell r="C292" t="str">
            <v>銷貨收入-振豐</v>
          </cell>
          <cell r="D292" t="str">
            <v>振豐</v>
          </cell>
          <cell r="E292" t="str">
            <v>1144-074</v>
          </cell>
          <cell r="F292" t="str">
            <v>4101-074</v>
          </cell>
        </row>
        <row r="293">
          <cell r="B293" t="str">
            <v>4101-075</v>
          </cell>
          <cell r="C293" t="str">
            <v>銷貨收入-鉅偉</v>
          </cell>
          <cell r="D293" t="str">
            <v>鉅偉</v>
          </cell>
          <cell r="E293" t="str">
            <v>1144-075</v>
          </cell>
          <cell r="F293" t="str">
            <v>4101-075</v>
          </cell>
        </row>
        <row r="294">
          <cell r="B294" t="str">
            <v>4101-076</v>
          </cell>
          <cell r="C294" t="str">
            <v>銷貨收入-誠業</v>
          </cell>
          <cell r="D294" t="str">
            <v>誠業</v>
          </cell>
          <cell r="E294" t="str">
            <v>1144-076</v>
          </cell>
          <cell r="F294" t="str">
            <v>4101-076</v>
          </cell>
        </row>
        <row r="295">
          <cell r="B295" t="str">
            <v>4101-077</v>
          </cell>
          <cell r="C295" t="str">
            <v>銷貨收入-興玄</v>
          </cell>
          <cell r="D295" t="str">
            <v>興玄</v>
          </cell>
          <cell r="E295" t="str">
            <v>1144-077</v>
          </cell>
          <cell r="F295" t="str">
            <v>4101-077</v>
          </cell>
        </row>
        <row r="296">
          <cell r="B296" t="str">
            <v>4101-078</v>
          </cell>
          <cell r="C296" t="str">
            <v>銷貨收入-森茂</v>
          </cell>
          <cell r="D296" t="str">
            <v>森茂</v>
          </cell>
          <cell r="E296" t="str">
            <v>1144-078</v>
          </cell>
          <cell r="F296" t="str">
            <v>4101-078</v>
          </cell>
        </row>
        <row r="297">
          <cell r="B297" t="str">
            <v>4101-079</v>
          </cell>
          <cell r="C297" t="str">
            <v>銷貨收入-大裕</v>
          </cell>
          <cell r="D297" t="str">
            <v>大裕</v>
          </cell>
          <cell r="E297" t="str">
            <v>1144-079</v>
          </cell>
          <cell r="F297" t="str">
            <v>4101-079</v>
          </cell>
        </row>
        <row r="298">
          <cell r="B298" t="str">
            <v>4101-080</v>
          </cell>
          <cell r="C298" t="str">
            <v>銷貨收入-景富發</v>
          </cell>
          <cell r="D298" t="str">
            <v>景富發</v>
          </cell>
          <cell r="E298" t="str">
            <v>1144-080</v>
          </cell>
          <cell r="F298" t="str">
            <v>4101-080</v>
          </cell>
        </row>
        <row r="299">
          <cell r="B299" t="str">
            <v>4101-080-PU</v>
          </cell>
          <cell r="C299" t="str">
            <v>銷貨收入-景富發(PU)</v>
          </cell>
          <cell r="D299" t="str">
            <v>景富發(PU)</v>
          </cell>
          <cell r="E299" t="str">
            <v>1144-080-PU</v>
          </cell>
          <cell r="F299" t="str">
            <v>4104-080-PU</v>
          </cell>
          <cell r="G299" t="str">
            <v>A</v>
          </cell>
        </row>
        <row r="300">
          <cell r="B300" t="str">
            <v>4101-081</v>
          </cell>
          <cell r="C300" t="str">
            <v>銷貨收入-APC</v>
          </cell>
          <cell r="D300" t="str">
            <v>APC</v>
          </cell>
          <cell r="E300" t="str">
            <v>1144-081</v>
          </cell>
          <cell r="F300" t="str">
            <v>4101-081</v>
          </cell>
        </row>
        <row r="301">
          <cell r="B301" t="str">
            <v>4101-082</v>
          </cell>
          <cell r="C301" t="str">
            <v>銷貨收入-黃日成</v>
          </cell>
          <cell r="D301" t="str">
            <v>黃日成</v>
          </cell>
          <cell r="E301" t="str">
            <v>1144-082</v>
          </cell>
          <cell r="F301" t="str">
            <v>4101-082</v>
          </cell>
        </row>
        <row r="302">
          <cell r="B302" t="str">
            <v>4101-083</v>
          </cell>
          <cell r="C302" t="str">
            <v>銷貨收入-TOC</v>
          </cell>
          <cell r="D302" t="str">
            <v>TOC</v>
          </cell>
          <cell r="E302" t="str">
            <v>1144-083</v>
          </cell>
          <cell r="F302" t="str">
            <v>4101-083</v>
          </cell>
        </row>
        <row r="303">
          <cell r="B303" t="str">
            <v>4101-901</v>
          </cell>
          <cell r="C303" t="str">
            <v>銷貨收入-VAN CHINH</v>
          </cell>
          <cell r="D303" t="str">
            <v>VAN CHINH</v>
          </cell>
          <cell r="E303" t="str">
            <v>1144-901</v>
          </cell>
          <cell r="F303" t="str">
            <v>4104-901</v>
          </cell>
        </row>
        <row r="304">
          <cell r="B304" t="str">
            <v>4101-902</v>
          </cell>
          <cell r="C304" t="str">
            <v>銷貨收入-全心發</v>
          </cell>
          <cell r="D304" t="str">
            <v>全心發</v>
          </cell>
          <cell r="E304" t="str">
            <v>1144-902</v>
          </cell>
          <cell r="F304" t="str">
            <v>4104-902</v>
          </cell>
        </row>
        <row r="305">
          <cell r="B305" t="str">
            <v>4101-903</v>
          </cell>
          <cell r="C305" t="str">
            <v>銷貨收入-金換</v>
          </cell>
          <cell r="D305" t="str">
            <v>金換</v>
          </cell>
          <cell r="E305" t="str">
            <v>1144-903</v>
          </cell>
          <cell r="F305" t="str">
            <v>4104-903</v>
          </cell>
        </row>
        <row r="306">
          <cell r="B306" t="str">
            <v>4101-904</v>
          </cell>
          <cell r="C306" t="str">
            <v>銷貨收入-義期</v>
          </cell>
          <cell r="D306" t="str">
            <v>義期</v>
          </cell>
          <cell r="E306" t="str">
            <v>1144-904</v>
          </cell>
          <cell r="F306" t="str">
            <v>4104-904</v>
          </cell>
        </row>
        <row r="307">
          <cell r="B307" t="str">
            <v>4101-905</v>
          </cell>
          <cell r="C307" t="str">
            <v>銷貨收入-成德</v>
          </cell>
          <cell r="D307" t="str">
            <v>成德</v>
          </cell>
          <cell r="E307" t="str">
            <v>1144-905</v>
          </cell>
          <cell r="F307" t="str">
            <v>4104-905</v>
          </cell>
        </row>
        <row r="308">
          <cell r="B308" t="str">
            <v>4101-906</v>
          </cell>
          <cell r="C308" t="str">
            <v>銷貨收入-下威</v>
          </cell>
          <cell r="D308" t="str">
            <v>下威</v>
          </cell>
          <cell r="E308" t="str">
            <v>1144-906</v>
          </cell>
          <cell r="F308" t="str">
            <v>4104-906</v>
          </cell>
        </row>
        <row r="309">
          <cell r="B309" t="str">
            <v>4101-907</v>
          </cell>
          <cell r="C309" t="str">
            <v>銷貨收入-GOMO</v>
          </cell>
          <cell r="D309" t="str">
            <v>GOMO</v>
          </cell>
          <cell r="E309" t="str">
            <v>1144-907</v>
          </cell>
          <cell r="F309" t="str">
            <v>4104-907</v>
          </cell>
        </row>
        <row r="310">
          <cell r="B310" t="str">
            <v>4101-908</v>
          </cell>
          <cell r="C310" t="str">
            <v>銷貨收入-范李</v>
          </cell>
          <cell r="D310" t="str">
            <v>范李</v>
          </cell>
          <cell r="E310" t="str">
            <v>1144-908</v>
          </cell>
          <cell r="F310" t="str">
            <v>4104-908</v>
          </cell>
        </row>
        <row r="311">
          <cell r="B311" t="str">
            <v>4101-909</v>
          </cell>
          <cell r="C311" t="str">
            <v>銷貨收入-德越</v>
          </cell>
          <cell r="D311" t="str">
            <v>德越</v>
          </cell>
          <cell r="E311" t="str">
            <v>1144-909</v>
          </cell>
          <cell r="F311" t="str">
            <v>4104-909</v>
          </cell>
        </row>
        <row r="312">
          <cell r="B312" t="str">
            <v>4101-910</v>
          </cell>
          <cell r="C312" t="str">
            <v>銷貨收入-PLC</v>
          </cell>
          <cell r="D312" t="str">
            <v>PLC</v>
          </cell>
          <cell r="E312" t="str">
            <v>1144-910</v>
          </cell>
          <cell r="F312" t="str">
            <v>4104-910</v>
          </cell>
        </row>
        <row r="313">
          <cell r="B313" t="str">
            <v>4101-911</v>
          </cell>
          <cell r="C313" t="str">
            <v>銷貨收入-GH</v>
          </cell>
          <cell r="D313" t="str">
            <v>GH</v>
          </cell>
          <cell r="E313" t="str">
            <v>1144-911</v>
          </cell>
          <cell r="F313" t="str">
            <v>4104-911</v>
          </cell>
        </row>
        <row r="314">
          <cell r="B314" t="str">
            <v>4101-912</v>
          </cell>
          <cell r="C314" t="str">
            <v>銷貨收入-DN</v>
          </cell>
          <cell r="D314" t="str">
            <v>DN</v>
          </cell>
          <cell r="E314" t="str">
            <v>1144-912</v>
          </cell>
          <cell r="F314" t="str">
            <v>4104-912</v>
          </cell>
        </row>
        <row r="315">
          <cell r="B315" t="str">
            <v>4101-913</v>
          </cell>
          <cell r="C315" t="str">
            <v>銷貨收入-海越南</v>
          </cell>
          <cell r="D315" t="str">
            <v>海越南</v>
          </cell>
          <cell r="E315" t="str">
            <v>1144-913</v>
          </cell>
          <cell r="F315" t="str">
            <v>4104-913</v>
          </cell>
        </row>
        <row r="316">
          <cell r="B316" t="str">
            <v>4101-914</v>
          </cell>
          <cell r="C316" t="str">
            <v>銷貨收入-ANPHA</v>
          </cell>
          <cell r="D316" t="str">
            <v>ANPHA</v>
          </cell>
          <cell r="E316" t="str">
            <v>1144-914</v>
          </cell>
          <cell r="F316" t="str">
            <v>4104-914</v>
          </cell>
        </row>
        <row r="317">
          <cell r="B317" t="str">
            <v>4101-915</v>
          </cell>
          <cell r="C317" t="str">
            <v>銷貨收入-MN</v>
          </cell>
          <cell r="D317" t="str">
            <v>明源</v>
          </cell>
          <cell r="E317" t="str">
            <v>1144-915</v>
          </cell>
          <cell r="F317" t="str">
            <v>4104-915</v>
          </cell>
        </row>
        <row r="318">
          <cell r="B318" t="str">
            <v>4101-916</v>
          </cell>
          <cell r="C318" t="str">
            <v>銷貨收入-BH</v>
          </cell>
          <cell r="D318" t="str">
            <v>BH</v>
          </cell>
          <cell r="E318" t="str">
            <v>1144-916</v>
          </cell>
          <cell r="F318" t="str">
            <v>4104-916</v>
          </cell>
        </row>
        <row r="319">
          <cell r="B319" t="str">
            <v>4101-917</v>
          </cell>
          <cell r="C319" t="str">
            <v>銷貨收入-QVT</v>
          </cell>
          <cell r="D319" t="str">
            <v>QVT</v>
          </cell>
          <cell r="E319" t="str">
            <v>1144-917</v>
          </cell>
          <cell r="F319" t="str">
            <v>4104-917</v>
          </cell>
        </row>
        <row r="320">
          <cell r="B320" t="str">
            <v>4101-918</v>
          </cell>
          <cell r="C320" t="str">
            <v>銷貨收入-圓橋</v>
          </cell>
          <cell r="D320" t="str">
            <v>圓橋</v>
          </cell>
          <cell r="E320" t="str">
            <v>1144-918</v>
          </cell>
          <cell r="F320" t="str">
            <v>4104-918</v>
          </cell>
        </row>
        <row r="321">
          <cell r="B321" t="str">
            <v>4101-918-PU</v>
          </cell>
          <cell r="C321" t="str">
            <v>銷貨收入-圓橋-PU</v>
          </cell>
          <cell r="D321" t="str">
            <v>圓橋-PU</v>
          </cell>
          <cell r="E321" t="str">
            <v>1144-918-PU</v>
          </cell>
          <cell r="F321" t="str">
            <v>4104-918-PU</v>
          </cell>
          <cell r="G321" t="str">
            <v>A</v>
          </cell>
        </row>
        <row r="322">
          <cell r="B322" t="str">
            <v>4101-919</v>
          </cell>
          <cell r="C322" t="str">
            <v>銷貨收入-阮發</v>
          </cell>
          <cell r="D322" t="str">
            <v>阮發</v>
          </cell>
          <cell r="E322" t="str">
            <v>1144-919</v>
          </cell>
          <cell r="F322" t="str">
            <v>4104-919</v>
          </cell>
        </row>
        <row r="323">
          <cell r="B323" t="str">
            <v>4101-920</v>
          </cell>
          <cell r="C323" t="str">
            <v>銷貨收入-明洋</v>
          </cell>
          <cell r="D323" t="str">
            <v>明洋</v>
          </cell>
          <cell r="E323" t="str">
            <v>1144-920</v>
          </cell>
          <cell r="F323" t="str">
            <v>4104-920</v>
          </cell>
        </row>
        <row r="324">
          <cell r="B324" t="str">
            <v>4101-921</v>
          </cell>
          <cell r="C324" t="str">
            <v xml:space="preserve">銷貨收入-南潮-NT </v>
          </cell>
          <cell r="D324" t="str">
            <v>南潮-NT</v>
          </cell>
          <cell r="E324" t="str">
            <v>1144-921</v>
          </cell>
          <cell r="F324" t="str">
            <v>4104-921</v>
          </cell>
        </row>
        <row r="325">
          <cell r="B325" t="str">
            <v>4101-922</v>
          </cell>
          <cell r="C325" t="str">
            <v>銷貨收入-</v>
          </cell>
          <cell r="E325" t="str">
            <v>1144-922</v>
          </cell>
          <cell r="F325" t="str">
            <v>4104-922</v>
          </cell>
        </row>
        <row r="326">
          <cell r="B326" t="str">
            <v>4101-923</v>
          </cell>
          <cell r="C326" t="str">
            <v>銷貨收入-</v>
          </cell>
          <cell r="E326" t="str">
            <v>1144-923</v>
          </cell>
          <cell r="F326" t="str">
            <v>4104-923</v>
          </cell>
        </row>
        <row r="327">
          <cell r="B327" t="str">
            <v>4101-1015</v>
          </cell>
          <cell r="C327" t="str">
            <v>銷貨收入-立特</v>
          </cell>
          <cell r="D327" t="str">
            <v>立特</v>
          </cell>
          <cell r="E327" t="str">
            <v>1144-1015</v>
          </cell>
          <cell r="F327" t="str">
            <v>4104-1015</v>
          </cell>
        </row>
        <row r="328">
          <cell r="B328" t="str">
            <v>4101-1016</v>
          </cell>
          <cell r="C328" t="str">
            <v>銷貨收入-新楊</v>
          </cell>
          <cell r="D328" t="str">
            <v>新楊</v>
          </cell>
          <cell r="E328" t="str">
            <v>1144-1016</v>
          </cell>
          <cell r="F328" t="str">
            <v>4104-1016</v>
          </cell>
        </row>
        <row r="329">
          <cell r="B329" t="str">
            <v>4101-1016-PU</v>
          </cell>
          <cell r="C329" t="str">
            <v>銷貨收入-新楊(PU)</v>
          </cell>
          <cell r="D329" t="str">
            <v>新楊(PU)</v>
          </cell>
          <cell r="E329" t="str">
            <v>1144-1016-PU</v>
          </cell>
          <cell r="F329" t="str">
            <v>4104-1016-PU</v>
          </cell>
          <cell r="G329" t="str">
            <v>A</v>
          </cell>
        </row>
        <row r="330">
          <cell r="B330" t="str">
            <v>4101-U001-PU</v>
          </cell>
          <cell r="C330" t="str">
            <v>銷貨收入-新源興(PU)</v>
          </cell>
          <cell r="D330" t="str">
            <v>新源興</v>
          </cell>
          <cell r="E330" t="str">
            <v>1144-U001-PU</v>
          </cell>
          <cell r="F330" t="str">
            <v>4104-U001-PU</v>
          </cell>
        </row>
        <row r="332">
          <cell r="B332">
            <v>4102</v>
          </cell>
          <cell r="C332" t="str">
            <v>銷貨退回-</v>
          </cell>
        </row>
        <row r="333">
          <cell r="B333" t="str">
            <v>4102-001</v>
          </cell>
          <cell r="C333" t="str">
            <v>銷貨退回-太平洋</v>
          </cell>
          <cell r="D333" t="str">
            <v>太平洋</v>
          </cell>
        </row>
        <row r="334">
          <cell r="B334" t="str">
            <v>4102-002</v>
          </cell>
          <cell r="C334" t="str">
            <v>銷貨退回-越鑫</v>
          </cell>
          <cell r="D334" t="str">
            <v>越鑫</v>
          </cell>
        </row>
        <row r="335">
          <cell r="B335" t="str">
            <v>4102-003</v>
          </cell>
          <cell r="C335" t="str">
            <v>銷貨退回-金鋒</v>
          </cell>
          <cell r="D335" t="str">
            <v>金鋒</v>
          </cell>
        </row>
        <row r="336">
          <cell r="B336" t="str">
            <v>4102-004</v>
          </cell>
          <cell r="C336" t="str">
            <v>銷貨退回-信亞</v>
          </cell>
          <cell r="D336" t="str">
            <v>信亞</v>
          </cell>
        </row>
        <row r="337">
          <cell r="B337" t="str">
            <v>4102-005</v>
          </cell>
          <cell r="C337" t="str">
            <v>銷貨退回-豐群</v>
          </cell>
          <cell r="D337" t="str">
            <v>豐群</v>
          </cell>
        </row>
        <row r="338">
          <cell r="B338" t="str">
            <v>4102-006</v>
          </cell>
          <cell r="C338" t="str">
            <v>銷貨退回-堡發</v>
          </cell>
          <cell r="D338" t="str">
            <v>堡發</v>
          </cell>
        </row>
        <row r="339">
          <cell r="B339" t="str">
            <v>4102-007</v>
          </cell>
          <cell r="C339" t="str">
            <v>銷貨退回-順泰</v>
          </cell>
          <cell r="D339" t="str">
            <v>順泰</v>
          </cell>
        </row>
        <row r="340">
          <cell r="B340" t="str">
            <v>4102-008</v>
          </cell>
          <cell r="C340" t="str">
            <v>銷貨退回-越發</v>
          </cell>
          <cell r="D340" t="str">
            <v>越發</v>
          </cell>
        </row>
        <row r="341">
          <cell r="B341" t="str">
            <v>4102-009</v>
          </cell>
          <cell r="C341" t="str">
            <v>銷貨退回-興盛家</v>
          </cell>
          <cell r="D341" t="str">
            <v>興盛家</v>
          </cell>
        </row>
        <row r="342">
          <cell r="B342" t="str">
            <v>4102-010</v>
          </cell>
          <cell r="C342" t="str">
            <v>銷貨退回-豐全</v>
          </cell>
          <cell r="D342" t="str">
            <v>豐全</v>
          </cell>
        </row>
        <row r="343">
          <cell r="B343" t="str">
            <v>4102-011</v>
          </cell>
          <cell r="C343" t="str">
            <v>銷貨退回-金輝</v>
          </cell>
          <cell r="D343" t="str">
            <v>金輝</v>
          </cell>
        </row>
        <row r="344">
          <cell r="B344" t="str">
            <v>4102-012</v>
          </cell>
          <cell r="C344" t="str">
            <v>銷貨退回-上順</v>
          </cell>
          <cell r="D344" t="str">
            <v>上順</v>
          </cell>
        </row>
        <row r="345">
          <cell r="B345" t="str">
            <v>4102-013</v>
          </cell>
          <cell r="C345" t="str">
            <v>銷貨退回-富鼎</v>
          </cell>
          <cell r="D345" t="str">
            <v>富鼎</v>
          </cell>
        </row>
        <row r="346">
          <cell r="B346" t="str">
            <v>4102-014</v>
          </cell>
          <cell r="C346" t="str">
            <v>銷貨退回-緯樹</v>
          </cell>
          <cell r="D346" t="str">
            <v>緯樹</v>
          </cell>
        </row>
        <row r="347">
          <cell r="B347" t="str">
            <v>4102-015</v>
          </cell>
          <cell r="C347" t="str">
            <v>銷貨退回-林源</v>
          </cell>
          <cell r="D347" t="str">
            <v>林源</v>
          </cell>
        </row>
        <row r="348">
          <cell r="B348" t="str">
            <v>4102-016</v>
          </cell>
          <cell r="C348" t="str">
            <v>銷貨退回-林盛</v>
          </cell>
          <cell r="D348" t="str">
            <v>林盛</v>
          </cell>
        </row>
        <row r="349">
          <cell r="B349" t="str">
            <v>4102-017</v>
          </cell>
          <cell r="C349" t="str">
            <v>銷貨退回-振傑</v>
          </cell>
          <cell r="D349" t="str">
            <v>振傑</v>
          </cell>
        </row>
        <row r="350">
          <cell r="B350" t="str">
            <v>4102-018</v>
          </cell>
          <cell r="C350" t="str">
            <v>銷貨退回-CHILANO</v>
          </cell>
          <cell r="D350" t="str">
            <v>CHILANO</v>
          </cell>
        </row>
        <row r="351">
          <cell r="B351" t="str">
            <v>4102-019</v>
          </cell>
          <cell r="C351" t="str">
            <v>銷貨退回-德善</v>
          </cell>
          <cell r="D351" t="str">
            <v>德善</v>
          </cell>
        </row>
        <row r="352">
          <cell r="B352" t="str">
            <v>4102-020</v>
          </cell>
          <cell r="C352" t="str">
            <v>銷貨退回-越宏</v>
          </cell>
          <cell r="D352" t="str">
            <v>越宏</v>
          </cell>
        </row>
        <row r="353">
          <cell r="B353" t="str">
            <v>4102-021</v>
          </cell>
          <cell r="C353" t="str">
            <v>銷貨退回-協楊</v>
          </cell>
          <cell r="D353" t="str">
            <v>協楊</v>
          </cell>
        </row>
        <row r="354">
          <cell r="B354" t="str">
            <v>4102-022</v>
          </cell>
          <cell r="C354" t="str">
            <v>銷貨退回-名益</v>
          </cell>
          <cell r="D354" t="str">
            <v>名益</v>
          </cell>
        </row>
        <row r="355">
          <cell r="B355" t="str">
            <v>4102-023</v>
          </cell>
          <cell r="C355" t="str">
            <v>銷貨退回-儂根</v>
          </cell>
          <cell r="D355" t="str">
            <v>儂根</v>
          </cell>
        </row>
        <row r="356">
          <cell r="B356" t="str">
            <v>4102-024</v>
          </cell>
          <cell r="C356" t="str">
            <v>銷貨退回-樺鑫</v>
          </cell>
          <cell r="D356" t="str">
            <v>樺鑫</v>
          </cell>
        </row>
        <row r="357">
          <cell r="B357" t="str">
            <v>4102-025</v>
          </cell>
          <cell r="C357" t="str">
            <v>銷貨退回-木川(新)</v>
          </cell>
          <cell r="D357" t="str">
            <v>木川(新)</v>
          </cell>
        </row>
        <row r="358">
          <cell r="B358" t="str">
            <v>4102-026</v>
          </cell>
          <cell r="C358" t="str">
            <v>銷貨退回-欣元記</v>
          </cell>
          <cell r="D358" t="str">
            <v>欣元記</v>
          </cell>
        </row>
        <row r="359">
          <cell r="B359" t="str">
            <v>4102-027</v>
          </cell>
          <cell r="C359" t="str">
            <v>銷貨退回-源永興隆</v>
          </cell>
          <cell r="D359" t="str">
            <v>永興隆</v>
          </cell>
        </row>
        <row r="360">
          <cell r="B360" t="str">
            <v>4102-028</v>
          </cell>
          <cell r="C360" t="str">
            <v>銷貨退回-馬榮</v>
          </cell>
          <cell r="D360" t="str">
            <v>馬榮</v>
          </cell>
        </row>
        <row r="361">
          <cell r="B361" t="str">
            <v>4102-029</v>
          </cell>
          <cell r="C361" t="str">
            <v>銷貨退回-TPP</v>
          </cell>
          <cell r="D361" t="str">
            <v>TPP</v>
          </cell>
        </row>
        <row r="362">
          <cell r="B362" t="str">
            <v>4102-030</v>
          </cell>
          <cell r="C362" t="str">
            <v>銷貨退回-隆好</v>
          </cell>
          <cell r="D362" t="str">
            <v>隆好</v>
          </cell>
        </row>
        <row r="363">
          <cell r="B363" t="str">
            <v>4102-031</v>
          </cell>
          <cell r="C363" t="str">
            <v>銷貨退回-高點</v>
          </cell>
          <cell r="D363" t="str">
            <v>高點</v>
          </cell>
        </row>
        <row r="364">
          <cell r="B364" t="str">
            <v>4102-032</v>
          </cell>
          <cell r="C364" t="str">
            <v>銷貨退回-泰合</v>
          </cell>
          <cell r="D364" t="str">
            <v>泰合</v>
          </cell>
        </row>
        <row r="365">
          <cell r="B365" t="str">
            <v>4102-033</v>
          </cell>
          <cell r="C365" t="str">
            <v>銷貨退回-木美</v>
          </cell>
          <cell r="D365" t="str">
            <v>木美</v>
          </cell>
        </row>
        <row r="366">
          <cell r="B366" t="str">
            <v>4102-034</v>
          </cell>
          <cell r="C366" t="str">
            <v>銷貨退回-明發2</v>
          </cell>
          <cell r="D366" t="str">
            <v>明發2</v>
          </cell>
        </row>
        <row r="367">
          <cell r="B367" t="str">
            <v>4102-035</v>
          </cell>
          <cell r="C367" t="str">
            <v>銷貨退回-宏森</v>
          </cell>
          <cell r="D367" t="str">
            <v>宏森</v>
          </cell>
        </row>
        <row r="368">
          <cell r="B368" t="str">
            <v>4102-036</v>
          </cell>
          <cell r="C368" t="str">
            <v>銷貨退回-大有</v>
          </cell>
          <cell r="D368" t="str">
            <v>大有</v>
          </cell>
        </row>
        <row r="369">
          <cell r="B369" t="str">
            <v>4102-037</v>
          </cell>
          <cell r="C369" t="str">
            <v>銷貨退回-鑫鴻運</v>
          </cell>
          <cell r="D369" t="str">
            <v>鑫鴻運</v>
          </cell>
        </row>
        <row r="370">
          <cell r="B370">
            <v>4104</v>
          </cell>
          <cell r="C370" t="str">
            <v>銷貨折讓</v>
          </cell>
        </row>
        <row r="371">
          <cell r="B371" t="str">
            <v>4104-001</v>
          </cell>
          <cell r="C371" t="str">
            <v>銷貨折讓-太平洋</v>
          </cell>
          <cell r="D371" t="str">
            <v>太平洋</v>
          </cell>
          <cell r="E371" t="str">
            <v>4104-001</v>
          </cell>
        </row>
        <row r="372">
          <cell r="B372" t="str">
            <v>4104-002</v>
          </cell>
          <cell r="C372" t="str">
            <v>銷貨折讓-越鑫</v>
          </cell>
          <cell r="D372" t="str">
            <v>越鑫</v>
          </cell>
          <cell r="E372" t="str">
            <v>4104-002</v>
          </cell>
        </row>
        <row r="373">
          <cell r="B373" t="str">
            <v>4104-003</v>
          </cell>
          <cell r="C373" t="str">
            <v>銷貨折讓-金鋒</v>
          </cell>
          <cell r="D373" t="str">
            <v>金鋒</v>
          </cell>
          <cell r="E373" t="str">
            <v>4104-003</v>
          </cell>
        </row>
        <row r="374">
          <cell r="B374" t="str">
            <v>4104-004</v>
          </cell>
          <cell r="C374" t="str">
            <v>銷貨折讓-信亞</v>
          </cell>
          <cell r="D374" t="str">
            <v>信亞</v>
          </cell>
          <cell r="E374" t="str">
            <v>4104-004</v>
          </cell>
        </row>
        <row r="375">
          <cell r="B375" t="str">
            <v>4104-005</v>
          </cell>
          <cell r="C375" t="str">
            <v>銷貨折讓-豐群</v>
          </cell>
          <cell r="D375" t="str">
            <v>豐群</v>
          </cell>
          <cell r="E375" t="str">
            <v>4104-005</v>
          </cell>
        </row>
        <row r="376">
          <cell r="B376" t="str">
            <v>4104-006</v>
          </cell>
          <cell r="C376" t="str">
            <v>銷貨折讓-堡發</v>
          </cell>
          <cell r="D376" t="str">
            <v>堡發</v>
          </cell>
          <cell r="E376" t="str">
            <v>4104-006</v>
          </cell>
        </row>
        <row r="377">
          <cell r="B377" t="str">
            <v>4104-007</v>
          </cell>
          <cell r="C377" t="str">
            <v>銷貨折讓-順泰</v>
          </cell>
          <cell r="D377" t="str">
            <v>順泰</v>
          </cell>
          <cell r="E377" t="str">
            <v>4104-007</v>
          </cell>
        </row>
        <row r="378">
          <cell r="B378" t="str">
            <v>4104-008</v>
          </cell>
          <cell r="C378" t="str">
            <v>銷貨折讓-越發</v>
          </cell>
          <cell r="D378" t="str">
            <v>越發</v>
          </cell>
          <cell r="E378" t="str">
            <v>4104-008</v>
          </cell>
        </row>
        <row r="379">
          <cell r="B379" t="str">
            <v>4104-009</v>
          </cell>
          <cell r="C379" t="str">
            <v>銷貨折讓-興盛家</v>
          </cell>
          <cell r="D379" t="str">
            <v>興盛家</v>
          </cell>
          <cell r="E379" t="str">
            <v>4104-009</v>
          </cell>
        </row>
        <row r="380">
          <cell r="B380" t="str">
            <v>4104-010</v>
          </cell>
          <cell r="C380" t="str">
            <v>銷貨折讓-豐全</v>
          </cell>
          <cell r="D380" t="str">
            <v>豐全</v>
          </cell>
          <cell r="E380" t="str">
            <v>4104-010</v>
          </cell>
        </row>
        <row r="381">
          <cell r="B381" t="str">
            <v>4104-011</v>
          </cell>
          <cell r="C381" t="str">
            <v>銷貨折讓-金輝</v>
          </cell>
          <cell r="D381" t="str">
            <v>金輝</v>
          </cell>
          <cell r="E381" t="str">
            <v>4104-011</v>
          </cell>
        </row>
        <row r="382">
          <cell r="B382" t="str">
            <v>4104-012</v>
          </cell>
          <cell r="C382" t="str">
            <v>銷貨折讓-上順</v>
          </cell>
          <cell r="D382" t="str">
            <v>上順</v>
          </cell>
          <cell r="E382" t="str">
            <v>4104-012</v>
          </cell>
        </row>
        <row r="383">
          <cell r="B383" t="str">
            <v>4104-013</v>
          </cell>
          <cell r="C383" t="str">
            <v>銷貨折讓-富鼎</v>
          </cell>
          <cell r="D383" t="str">
            <v>富鼎</v>
          </cell>
          <cell r="E383" t="str">
            <v>4104-013</v>
          </cell>
        </row>
        <row r="384">
          <cell r="B384" t="str">
            <v>4104-014</v>
          </cell>
          <cell r="C384" t="str">
            <v>銷貨折讓-緯樹</v>
          </cell>
          <cell r="D384" t="str">
            <v>緯樹</v>
          </cell>
          <cell r="E384" t="str">
            <v>4104-014</v>
          </cell>
        </row>
        <row r="385">
          <cell r="B385" t="str">
            <v>4104-015</v>
          </cell>
          <cell r="C385" t="str">
            <v>銷貨折讓-林源</v>
          </cell>
          <cell r="D385" t="str">
            <v>林源</v>
          </cell>
          <cell r="E385" t="str">
            <v>4104-015</v>
          </cell>
        </row>
        <row r="386">
          <cell r="B386" t="str">
            <v>4104-016</v>
          </cell>
          <cell r="C386" t="str">
            <v>銷貨折讓-林盛</v>
          </cell>
          <cell r="D386" t="str">
            <v>林盛</v>
          </cell>
          <cell r="E386" t="str">
            <v>4104-016</v>
          </cell>
        </row>
        <row r="387">
          <cell r="B387" t="str">
            <v>4104-017</v>
          </cell>
          <cell r="C387" t="str">
            <v>銷貨折讓-振傑</v>
          </cell>
          <cell r="D387" t="str">
            <v>振傑</v>
          </cell>
          <cell r="E387" t="str">
            <v>4104-017</v>
          </cell>
        </row>
        <row r="388">
          <cell r="B388" t="str">
            <v>4104-018</v>
          </cell>
          <cell r="C388" t="str">
            <v>銷貨折讓-CHILANO</v>
          </cell>
          <cell r="D388" t="str">
            <v>CHILANO</v>
          </cell>
          <cell r="E388" t="str">
            <v>4104-018</v>
          </cell>
        </row>
        <row r="389">
          <cell r="B389" t="str">
            <v>4104-019</v>
          </cell>
          <cell r="C389" t="str">
            <v>銷貨折讓-德善</v>
          </cell>
          <cell r="D389" t="str">
            <v>德善</v>
          </cell>
          <cell r="E389" t="str">
            <v>4104-019</v>
          </cell>
        </row>
        <row r="390">
          <cell r="B390" t="str">
            <v>4104-020</v>
          </cell>
          <cell r="C390" t="str">
            <v>銷貨折讓-越宏</v>
          </cell>
          <cell r="D390" t="str">
            <v>越宏</v>
          </cell>
          <cell r="E390" t="str">
            <v>4104-020</v>
          </cell>
        </row>
        <row r="391">
          <cell r="B391" t="str">
            <v>4104-021</v>
          </cell>
          <cell r="C391" t="str">
            <v>銷貨折讓-協楊</v>
          </cell>
          <cell r="D391" t="str">
            <v>協楊</v>
          </cell>
          <cell r="E391" t="str">
            <v>4104-021</v>
          </cell>
        </row>
        <row r="392">
          <cell r="B392" t="str">
            <v>4104-022</v>
          </cell>
          <cell r="C392" t="str">
            <v>銷貨折讓-名益</v>
          </cell>
          <cell r="D392" t="str">
            <v>名益</v>
          </cell>
          <cell r="E392" t="str">
            <v>4104-022</v>
          </cell>
        </row>
        <row r="393">
          <cell r="B393" t="str">
            <v>4104-023</v>
          </cell>
          <cell r="C393" t="str">
            <v>銷貨折讓-儂根</v>
          </cell>
          <cell r="D393" t="str">
            <v>儂根</v>
          </cell>
          <cell r="E393" t="str">
            <v>4104-023</v>
          </cell>
        </row>
        <row r="394">
          <cell r="B394" t="str">
            <v>4104-024</v>
          </cell>
          <cell r="C394" t="str">
            <v>銷貨折讓-樺鑫</v>
          </cell>
          <cell r="D394" t="str">
            <v>樺鑫</v>
          </cell>
          <cell r="E394" t="str">
            <v>4104-024</v>
          </cell>
        </row>
        <row r="395">
          <cell r="B395" t="str">
            <v>4104-025</v>
          </cell>
          <cell r="C395" t="str">
            <v>銷貨折讓-木川(新)</v>
          </cell>
          <cell r="D395" t="str">
            <v>木川(新)</v>
          </cell>
          <cell r="E395" t="str">
            <v>4104-025</v>
          </cell>
        </row>
        <row r="396">
          <cell r="B396" t="str">
            <v>4104-026</v>
          </cell>
          <cell r="C396" t="str">
            <v>銷貨折讓-欣元記</v>
          </cell>
          <cell r="D396" t="str">
            <v>欣元記</v>
          </cell>
          <cell r="E396" t="str">
            <v>4104-026</v>
          </cell>
        </row>
        <row r="397">
          <cell r="B397" t="str">
            <v>4104-027</v>
          </cell>
          <cell r="C397" t="str">
            <v>銷貨折讓-源永興隆</v>
          </cell>
          <cell r="D397" t="str">
            <v>永興隆</v>
          </cell>
          <cell r="E397" t="str">
            <v>4104-027</v>
          </cell>
        </row>
        <row r="398">
          <cell r="B398" t="str">
            <v>4104-028</v>
          </cell>
          <cell r="C398" t="str">
            <v>銷貨折讓-馬榮</v>
          </cell>
          <cell r="D398" t="str">
            <v>馬榮</v>
          </cell>
          <cell r="E398" t="str">
            <v>4104-028</v>
          </cell>
        </row>
        <row r="399">
          <cell r="B399" t="str">
            <v>4104-029</v>
          </cell>
          <cell r="C399" t="str">
            <v>銷貨折讓-TPP</v>
          </cell>
          <cell r="D399" t="str">
            <v>TPP</v>
          </cell>
          <cell r="E399" t="str">
            <v>4104-029</v>
          </cell>
        </row>
        <row r="400">
          <cell r="B400" t="str">
            <v>4104-030</v>
          </cell>
          <cell r="C400" t="str">
            <v>銷貨折讓-隆好</v>
          </cell>
          <cell r="D400" t="str">
            <v>隆好</v>
          </cell>
          <cell r="E400" t="str">
            <v>4104-030</v>
          </cell>
        </row>
        <row r="401">
          <cell r="B401" t="str">
            <v>4104-031</v>
          </cell>
          <cell r="C401" t="str">
            <v>銷貨折讓-高點</v>
          </cell>
          <cell r="D401" t="str">
            <v>高點</v>
          </cell>
          <cell r="E401" t="str">
            <v>4104-031</v>
          </cell>
        </row>
        <row r="402">
          <cell r="B402" t="str">
            <v>4104-032</v>
          </cell>
          <cell r="C402" t="str">
            <v>銷貨折讓-泰合</v>
          </cell>
          <cell r="D402" t="str">
            <v>泰合</v>
          </cell>
          <cell r="E402" t="str">
            <v>4104-032</v>
          </cell>
        </row>
        <row r="403">
          <cell r="B403" t="str">
            <v>4104-033</v>
          </cell>
          <cell r="C403" t="str">
            <v>銷貨折讓-木美</v>
          </cell>
          <cell r="D403" t="str">
            <v>木美</v>
          </cell>
          <cell r="E403" t="str">
            <v>4104-033</v>
          </cell>
        </row>
        <row r="404">
          <cell r="B404" t="str">
            <v>4104-034</v>
          </cell>
          <cell r="C404" t="str">
            <v>銷貨折讓-明發2</v>
          </cell>
          <cell r="D404" t="str">
            <v>明發2</v>
          </cell>
          <cell r="E404" t="str">
            <v>4104-034</v>
          </cell>
        </row>
        <row r="405">
          <cell r="B405" t="str">
            <v>4104-035</v>
          </cell>
          <cell r="C405" t="str">
            <v>銷貨折讓-宏森</v>
          </cell>
          <cell r="D405" t="str">
            <v>宏森</v>
          </cell>
          <cell r="E405" t="str">
            <v>4104-035</v>
          </cell>
        </row>
        <row r="406">
          <cell r="B406" t="str">
            <v>4104-036</v>
          </cell>
          <cell r="C406" t="str">
            <v>銷貨折讓-大有</v>
          </cell>
          <cell r="D406" t="str">
            <v>大有</v>
          </cell>
          <cell r="E406" t="str">
            <v>4104-036</v>
          </cell>
        </row>
        <row r="407">
          <cell r="B407" t="str">
            <v>4104-037</v>
          </cell>
          <cell r="C407" t="str">
            <v>銷貨折讓-鑫鴻運</v>
          </cell>
          <cell r="D407" t="str">
            <v>鑫鴻運</v>
          </cell>
          <cell r="E407" t="str">
            <v>4104-037</v>
          </cell>
        </row>
        <row r="408">
          <cell r="B408" t="str">
            <v>4104-038</v>
          </cell>
          <cell r="C408" t="str">
            <v>銷貨折讓-歐旻</v>
          </cell>
          <cell r="D408" t="str">
            <v>歐旻</v>
          </cell>
          <cell r="E408" t="str">
            <v>4104-038</v>
          </cell>
        </row>
        <row r="409">
          <cell r="B409" t="str">
            <v>4104-039</v>
          </cell>
          <cell r="C409" t="str">
            <v>銷貨折讓-PTG</v>
          </cell>
          <cell r="D409" t="str">
            <v>PTG</v>
          </cell>
          <cell r="E409" t="str">
            <v>4104-039</v>
          </cell>
        </row>
        <row r="410">
          <cell r="B410" t="str">
            <v>4104-040</v>
          </cell>
          <cell r="C410" t="str">
            <v>銷貨折讓-強盛</v>
          </cell>
          <cell r="D410" t="str">
            <v>強盛</v>
          </cell>
          <cell r="E410" t="str">
            <v>4104-040</v>
          </cell>
        </row>
        <row r="411">
          <cell r="B411" t="str">
            <v>4104-041</v>
          </cell>
          <cell r="C411" t="str">
            <v>銷貨折讓-龍源</v>
          </cell>
          <cell r="D411" t="str">
            <v>龍源</v>
          </cell>
          <cell r="E411" t="str">
            <v>4104-041</v>
          </cell>
        </row>
        <row r="412">
          <cell r="B412" t="str">
            <v>4104-042</v>
          </cell>
          <cell r="C412" t="str">
            <v>銷貨折讓-木川</v>
          </cell>
          <cell r="D412" t="str">
            <v>木川</v>
          </cell>
          <cell r="E412" t="str">
            <v>4104-042</v>
          </cell>
        </row>
        <row r="413">
          <cell r="B413" t="str">
            <v>4104-043</v>
          </cell>
          <cell r="C413" t="str">
            <v>銷貨折讓-茂旭</v>
          </cell>
          <cell r="D413" t="str">
            <v>茂旭</v>
          </cell>
          <cell r="E413" t="str">
            <v>4104-043</v>
          </cell>
        </row>
        <row r="414">
          <cell r="B414" t="str">
            <v>4104-044</v>
          </cell>
          <cell r="C414" t="str">
            <v>銷貨折讓-亞力山卓</v>
          </cell>
          <cell r="D414" t="str">
            <v>亞力山卓</v>
          </cell>
          <cell r="E414" t="str">
            <v>4104-044</v>
          </cell>
        </row>
        <row r="415">
          <cell r="B415" t="str">
            <v>4104-901</v>
          </cell>
          <cell r="C415" t="str">
            <v>銷貨折讓-VAN CHINH</v>
          </cell>
          <cell r="D415" t="str">
            <v>VNA CHINH</v>
          </cell>
          <cell r="E415" t="str">
            <v>4104-901</v>
          </cell>
        </row>
        <row r="416">
          <cell r="B416" t="str">
            <v>4104-902</v>
          </cell>
          <cell r="C416" t="str">
            <v>銷貨折讓-全心發</v>
          </cell>
          <cell r="D416" t="str">
            <v>全心發</v>
          </cell>
          <cell r="E416" t="str">
            <v>4104-902</v>
          </cell>
        </row>
        <row r="417">
          <cell r="B417" t="str">
            <v>4104-903</v>
          </cell>
          <cell r="C417" t="str">
            <v>銷貨折讓-金換</v>
          </cell>
          <cell r="D417" t="str">
            <v>金換</v>
          </cell>
          <cell r="E417" t="str">
            <v>4104-903</v>
          </cell>
        </row>
        <row r="418">
          <cell r="B418" t="str">
            <v>4104-904</v>
          </cell>
          <cell r="C418" t="str">
            <v>銷貨折讓-義期</v>
          </cell>
          <cell r="D418" t="str">
            <v>義期</v>
          </cell>
          <cell r="E418" t="str">
            <v>4104-904</v>
          </cell>
        </row>
        <row r="419">
          <cell r="B419" t="str">
            <v>4104-905</v>
          </cell>
          <cell r="E419" t="str">
            <v>4104-905</v>
          </cell>
        </row>
        <row r="420">
          <cell r="B420" t="str">
            <v>4104-906</v>
          </cell>
          <cell r="E420" t="str">
            <v>4104-906</v>
          </cell>
        </row>
        <row r="421">
          <cell r="B421" t="str">
            <v>4104-907</v>
          </cell>
          <cell r="E421" t="str">
            <v>4104-907</v>
          </cell>
        </row>
        <row r="422">
          <cell r="B422" t="str">
            <v>4104-908</v>
          </cell>
          <cell r="E422" t="str">
            <v>4104-908</v>
          </cell>
        </row>
        <row r="423">
          <cell r="B423" t="str">
            <v>4104-909</v>
          </cell>
          <cell r="E423" t="str">
            <v>4104-909</v>
          </cell>
        </row>
        <row r="424">
          <cell r="B424" t="str">
            <v>4104-910</v>
          </cell>
          <cell r="E424" t="str">
            <v>4104-910</v>
          </cell>
        </row>
        <row r="425">
          <cell r="B425" t="str">
            <v>4104-911</v>
          </cell>
          <cell r="E425" t="str">
            <v>4104-911</v>
          </cell>
        </row>
        <row r="426">
          <cell r="B426" t="str">
            <v>4104-912</v>
          </cell>
          <cell r="C426" t="str">
            <v>銷貨折讓</v>
          </cell>
          <cell r="D426" t="str">
            <v>德仁</v>
          </cell>
          <cell r="E426" t="str">
            <v>4104-912</v>
          </cell>
        </row>
        <row r="427">
          <cell r="B427" t="str">
            <v>4301-U001</v>
          </cell>
          <cell r="C427" t="str">
            <v>業外收入-新源興PU</v>
          </cell>
          <cell r="D427" t="str">
            <v>新源興</v>
          </cell>
          <cell r="E427" t="str">
            <v>1150-U001</v>
          </cell>
          <cell r="F427" t="str">
            <v>4302-U001</v>
          </cell>
        </row>
        <row r="428">
          <cell r="B428" t="str">
            <v>4301-U002</v>
          </cell>
          <cell r="C428" t="str">
            <v>業外收入-名益PU</v>
          </cell>
          <cell r="D428" t="str">
            <v>名益PU</v>
          </cell>
          <cell r="E428" t="str">
            <v>1150-U002</v>
          </cell>
          <cell r="F428" t="str">
            <v>4302-U002</v>
          </cell>
        </row>
        <row r="429">
          <cell r="B429" t="str">
            <v>4301-U003</v>
          </cell>
          <cell r="C429" t="str">
            <v>業外收入-森茂PU</v>
          </cell>
          <cell r="D429" t="str">
            <v>森茂PU</v>
          </cell>
          <cell r="E429" t="str">
            <v>1150-U003</v>
          </cell>
          <cell r="F429" t="str">
            <v>4302-U003</v>
          </cell>
        </row>
        <row r="430">
          <cell r="B430" t="str">
            <v>4301-U004</v>
          </cell>
          <cell r="C430" t="str">
            <v>業外收入-木川PU</v>
          </cell>
          <cell r="D430" t="str">
            <v>木川PU</v>
          </cell>
          <cell r="E430" t="str">
            <v>1150-U004</v>
          </cell>
          <cell r="F430" t="str">
            <v>4302-U004</v>
          </cell>
        </row>
        <row r="431">
          <cell r="B431" t="str">
            <v>4301-U008</v>
          </cell>
          <cell r="C431" t="str">
            <v>業外收入-景富發PU</v>
          </cell>
          <cell r="D431" t="str">
            <v>景富發PU</v>
          </cell>
          <cell r="E431" t="str">
            <v>1150-U008</v>
          </cell>
          <cell r="F431" t="str">
            <v>4302-U008</v>
          </cell>
        </row>
        <row r="432">
          <cell r="B432" t="str">
            <v>4301-U017</v>
          </cell>
          <cell r="C432" t="str">
            <v>業外收入-北宏PU</v>
          </cell>
          <cell r="D432" t="str">
            <v>北宏PU</v>
          </cell>
          <cell r="E432" t="str">
            <v>1150-U017</v>
          </cell>
          <cell r="F432" t="str">
            <v>4302-U017</v>
          </cell>
        </row>
        <row r="433">
          <cell r="B433" t="str">
            <v>4301-U035</v>
          </cell>
          <cell r="C433" t="str">
            <v>業外收入-林盛PU</v>
          </cell>
          <cell r="D433" t="str">
            <v>林盛PU</v>
          </cell>
          <cell r="E433" t="str">
            <v>1150-U035</v>
          </cell>
          <cell r="F433" t="str">
            <v>4302-U035</v>
          </cell>
        </row>
        <row r="434">
          <cell r="B434" t="str">
            <v>4301-U039</v>
          </cell>
          <cell r="C434" t="str">
            <v>業外收入-金原通PU</v>
          </cell>
          <cell r="D434" t="str">
            <v>金原通PU</v>
          </cell>
          <cell r="E434" t="str">
            <v>1150-U039</v>
          </cell>
          <cell r="F434" t="str">
            <v>4302-U039</v>
          </cell>
        </row>
        <row r="435">
          <cell r="B435" t="str">
            <v>4301-U918</v>
          </cell>
          <cell r="C435" t="str">
            <v>業外收入-圓橋PU</v>
          </cell>
          <cell r="D435" t="str">
            <v>圓橋PU</v>
          </cell>
          <cell r="E435" t="str">
            <v>1150-U918</v>
          </cell>
          <cell r="F435" t="str">
            <v>4302-U918</v>
          </cell>
        </row>
        <row r="437">
          <cell r="B437" t="str">
            <v>1150-U001</v>
          </cell>
          <cell r="C437" t="str">
            <v>應收業外-新源興PU</v>
          </cell>
          <cell r="D437" t="str">
            <v>新源興</v>
          </cell>
          <cell r="E437" t="str">
            <v>1150-U001</v>
          </cell>
          <cell r="F437" t="str">
            <v>4302-U001</v>
          </cell>
        </row>
        <row r="438">
          <cell r="B438" t="str">
            <v>1150-U002</v>
          </cell>
          <cell r="C438" t="str">
            <v>應收業外-名益PU</v>
          </cell>
          <cell r="D438" t="str">
            <v>名益PU</v>
          </cell>
          <cell r="E438" t="str">
            <v>1150-U002</v>
          </cell>
          <cell r="F438" t="str">
            <v>4302-U002</v>
          </cell>
        </row>
        <row r="439">
          <cell r="B439" t="str">
            <v>1150-U003</v>
          </cell>
          <cell r="C439" t="str">
            <v>應收業外-森茂PU</v>
          </cell>
          <cell r="D439" t="str">
            <v>森茂PU</v>
          </cell>
          <cell r="E439" t="str">
            <v>1150-U003</v>
          </cell>
          <cell r="F439" t="str">
            <v>4302-U003</v>
          </cell>
        </row>
        <row r="440">
          <cell r="B440" t="str">
            <v>1150-U004</v>
          </cell>
          <cell r="C440" t="str">
            <v>應收業外-木川PU</v>
          </cell>
          <cell r="D440" t="str">
            <v>木川PU</v>
          </cell>
          <cell r="E440" t="str">
            <v>1150-U004</v>
          </cell>
          <cell r="F440" t="str">
            <v>4302-U004</v>
          </cell>
        </row>
        <row r="441">
          <cell r="B441" t="str">
            <v>1150-U008</v>
          </cell>
          <cell r="C441" t="str">
            <v>應收業外-景富發PU</v>
          </cell>
          <cell r="D441" t="str">
            <v>景富發PU</v>
          </cell>
          <cell r="E441" t="str">
            <v>1150-U008</v>
          </cell>
          <cell r="F441" t="str">
            <v>4302-U008</v>
          </cell>
        </row>
        <row r="442">
          <cell r="B442" t="str">
            <v>1150-U017</v>
          </cell>
          <cell r="C442" t="str">
            <v>應收業外-北宏PU</v>
          </cell>
          <cell r="D442" t="str">
            <v>北宏PU</v>
          </cell>
          <cell r="E442" t="str">
            <v>1150-U017</v>
          </cell>
          <cell r="F442" t="str">
            <v>4302-U017</v>
          </cell>
        </row>
        <row r="443">
          <cell r="B443" t="str">
            <v>1150-U035</v>
          </cell>
          <cell r="C443" t="str">
            <v>應收業外-林盛PU</v>
          </cell>
          <cell r="D443" t="str">
            <v>林盛PU</v>
          </cell>
          <cell r="E443" t="str">
            <v>1150-U035</v>
          </cell>
          <cell r="F443" t="str">
            <v>4302-U035</v>
          </cell>
        </row>
        <row r="444">
          <cell r="B444" t="str">
            <v>1150-U039</v>
          </cell>
          <cell r="C444" t="str">
            <v>應收業外-金原通PU</v>
          </cell>
          <cell r="D444" t="str">
            <v>金原通PU</v>
          </cell>
          <cell r="E444" t="str">
            <v>1150-U039</v>
          </cell>
          <cell r="F444" t="str">
            <v>4302-U039</v>
          </cell>
        </row>
        <row r="445">
          <cell r="B445" t="str">
            <v>1150-U918</v>
          </cell>
          <cell r="C445" t="str">
            <v>應收業外-圓橋PU</v>
          </cell>
          <cell r="D445" t="str">
            <v>圓橋PU</v>
          </cell>
          <cell r="E445" t="str">
            <v>1150-U918</v>
          </cell>
          <cell r="F445" t="str">
            <v>4302-U918</v>
          </cell>
        </row>
        <row r="447">
          <cell r="B447" t="str">
            <v>4302-U001</v>
          </cell>
          <cell r="C447" t="str">
            <v>業務折讓-新源興PU</v>
          </cell>
          <cell r="D447" t="str">
            <v>新源興</v>
          </cell>
        </row>
        <row r="448">
          <cell r="B448" t="str">
            <v>4302-U002</v>
          </cell>
          <cell r="C448" t="str">
            <v>業務折讓-名益PU</v>
          </cell>
          <cell r="D448" t="str">
            <v>名益PU</v>
          </cell>
        </row>
        <row r="449">
          <cell r="B449" t="str">
            <v>4302-U003</v>
          </cell>
          <cell r="C449" t="str">
            <v>業務折讓-森茂PU</v>
          </cell>
          <cell r="D449" t="str">
            <v>森茂PU</v>
          </cell>
        </row>
        <row r="450">
          <cell r="B450" t="str">
            <v>4302-U004</v>
          </cell>
          <cell r="C450" t="str">
            <v>業務折讓-木川PU</v>
          </cell>
          <cell r="D450" t="str">
            <v>木川PU</v>
          </cell>
        </row>
        <row r="451">
          <cell r="B451" t="str">
            <v>4302-U008</v>
          </cell>
          <cell r="C451" t="str">
            <v>業務折讓-景富發PU</v>
          </cell>
          <cell r="D451" t="str">
            <v>景富發PU</v>
          </cell>
        </row>
        <row r="452">
          <cell r="B452" t="str">
            <v>4302-U017</v>
          </cell>
          <cell r="C452" t="str">
            <v>業務折讓-北宏PU</v>
          </cell>
          <cell r="D452" t="str">
            <v>北宏PU</v>
          </cell>
        </row>
        <row r="453">
          <cell r="B453" t="str">
            <v>4302-U035</v>
          </cell>
          <cell r="C453" t="str">
            <v>業務折讓-林盛PU</v>
          </cell>
          <cell r="D453" t="str">
            <v>林盛PU</v>
          </cell>
        </row>
        <row r="454">
          <cell r="B454" t="str">
            <v>4302-U039</v>
          </cell>
          <cell r="C454" t="str">
            <v>業務折讓-金原通PU</v>
          </cell>
          <cell r="D454" t="str">
            <v>金原通PU</v>
          </cell>
        </row>
        <row r="455">
          <cell r="B455" t="str">
            <v>4302-U918</v>
          </cell>
          <cell r="C455" t="str">
            <v>業務折讓-圓橋PU</v>
          </cell>
          <cell r="D455" t="str">
            <v>圓橋PU</v>
          </cell>
        </row>
        <row r="456">
          <cell r="B456">
            <v>4610</v>
          </cell>
          <cell r="C456" t="str">
            <v>其他營收-模具費</v>
          </cell>
        </row>
        <row r="457">
          <cell r="B457">
            <v>5301</v>
          </cell>
          <cell r="C457" t="str">
            <v>進貨</v>
          </cell>
        </row>
        <row r="458">
          <cell r="B458" t="str">
            <v>5301-001</v>
          </cell>
          <cell r="C458" t="str">
            <v>進貨-明德海峰</v>
          </cell>
          <cell r="D458" t="str">
            <v>明德海峰</v>
          </cell>
          <cell r="E458" t="str">
            <v>2143-001</v>
          </cell>
        </row>
        <row r="459">
          <cell r="B459" t="str">
            <v>5301-002</v>
          </cell>
          <cell r="C459" t="str">
            <v>進貨-興達</v>
          </cell>
          <cell r="D459" t="str">
            <v>興達</v>
          </cell>
          <cell r="E459" t="str">
            <v>2143-002</v>
          </cell>
        </row>
        <row r="460">
          <cell r="B460" t="str">
            <v>5301-003</v>
          </cell>
          <cell r="C460" t="str">
            <v>進貨-長興</v>
          </cell>
          <cell r="D460" t="str">
            <v>長興化工</v>
          </cell>
          <cell r="E460" t="str">
            <v>2143-003</v>
          </cell>
        </row>
        <row r="461">
          <cell r="B461" t="str">
            <v>5301-004</v>
          </cell>
          <cell r="C461" t="str">
            <v>進貨-海峰</v>
          </cell>
          <cell r="D461" t="str">
            <v>海峰</v>
          </cell>
          <cell r="E461" t="str">
            <v>2143-004</v>
          </cell>
        </row>
        <row r="462">
          <cell r="B462" t="str">
            <v>5301-005</v>
          </cell>
          <cell r="C462" t="str">
            <v>進貨-佳利</v>
          </cell>
          <cell r="D462" t="str">
            <v>佳利</v>
          </cell>
          <cell r="E462" t="str">
            <v>2143-005</v>
          </cell>
        </row>
        <row r="463">
          <cell r="B463" t="str">
            <v>5301-006</v>
          </cell>
          <cell r="C463" t="str">
            <v>進貨-富玉平</v>
          </cell>
          <cell r="D463" t="str">
            <v>富玉平</v>
          </cell>
          <cell r="E463" t="str">
            <v>2143-006</v>
          </cell>
        </row>
        <row r="464">
          <cell r="B464" t="str">
            <v>5301-007</v>
          </cell>
          <cell r="C464" t="str">
            <v>進貨-友誼</v>
          </cell>
          <cell r="D464" t="str">
            <v>友誼</v>
          </cell>
          <cell r="E464" t="str">
            <v>2143-007</v>
          </cell>
        </row>
        <row r="465">
          <cell r="B465" t="str">
            <v>5301-008</v>
          </cell>
          <cell r="C465" t="str">
            <v>進貨-</v>
          </cell>
        </row>
        <row r="466">
          <cell r="B466" t="str">
            <v>5301-009</v>
          </cell>
          <cell r="C466" t="str">
            <v>進貨-</v>
          </cell>
        </row>
        <row r="467">
          <cell r="B467" t="str">
            <v>5301-010</v>
          </cell>
          <cell r="C467" t="str">
            <v>進貨-</v>
          </cell>
        </row>
        <row r="468">
          <cell r="B468" t="str">
            <v>5301-011</v>
          </cell>
          <cell r="C468" t="str">
            <v>進貨-</v>
          </cell>
        </row>
        <row r="469">
          <cell r="B469" t="str">
            <v>5301-012</v>
          </cell>
          <cell r="C469" t="str">
            <v>進貨-</v>
          </cell>
        </row>
        <row r="470">
          <cell r="B470" t="str">
            <v>5301-013</v>
          </cell>
          <cell r="C470" t="str">
            <v>進貨-</v>
          </cell>
        </row>
        <row r="471">
          <cell r="B471" t="str">
            <v>5301-014</v>
          </cell>
          <cell r="C471" t="str">
            <v>進貨-</v>
          </cell>
        </row>
        <row r="472">
          <cell r="B472" t="str">
            <v>5301-015</v>
          </cell>
          <cell r="C472" t="str">
            <v>進貨-</v>
          </cell>
        </row>
        <row r="473">
          <cell r="B473" t="str">
            <v>5301-016</v>
          </cell>
          <cell r="C473" t="str">
            <v>進貨-</v>
          </cell>
        </row>
        <row r="474">
          <cell r="B474" t="str">
            <v>5301-017</v>
          </cell>
          <cell r="C474" t="str">
            <v>進貨-</v>
          </cell>
        </row>
        <row r="475">
          <cell r="B475" t="str">
            <v>5301-018</v>
          </cell>
          <cell r="C475" t="str">
            <v>進貨-</v>
          </cell>
        </row>
        <row r="476">
          <cell r="B476" t="str">
            <v>5301-019</v>
          </cell>
          <cell r="C476" t="str">
            <v>進貨-</v>
          </cell>
        </row>
        <row r="477">
          <cell r="B477" t="str">
            <v>5301-020</v>
          </cell>
          <cell r="C477" t="str">
            <v>進貨-</v>
          </cell>
        </row>
        <row r="478">
          <cell r="B478">
            <v>5303</v>
          </cell>
          <cell r="C478" t="str">
            <v>進貨退回</v>
          </cell>
        </row>
        <row r="479">
          <cell r="B479" t="str">
            <v>5303-001</v>
          </cell>
          <cell r="C479" t="str">
            <v>進貨退回-明德海峰</v>
          </cell>
          <cell r="D479" t="str">
            <v>明德海峰</v>
          </cell>
        </row>
        <row r="480">
          <cell r="B480" t="str">
            <v>5303-002</v>
          </cell>
          <cell r="C480" t="str">
            <v>進貨退回-興達</v>
          </cell>
          <cell r="D480" t="str">
            <v>興達</v>
          </cell>
        </row>
        <row r="481">
          <cell r="B481" t="str">
            <v>5303-003</v>
          </cell>
          <cell r="C481" t="str">
            <v>進貨退回-長興化工</v>
          </cell>
          <cell r="D481" t="str">
            <v>長興化工</v>
          </cell>
        </row>
        <row r="482">
          <cell r="B482" t="str">
            <v>5303-004</v>
          </cell>
          <cell r="C482" t="str">
            <v>進貨退回-海峰</v>
          </cell>
          <cell r="D482" t="str">
            <v>海峰</v>
          </cell>
        </row>
        <row r="483">
          <cell r="B483" t="str">
            <v>5303-005</v>
          </cell>
          <cell r="C483" t="str">
            <v>進貨退回-佳利</v>
          </cell>
          <cell r="D483" t="str">
            <v>佳利</v>
          </cell>
        </row>
        <row r="484">
          <cell r="B484" t="str">
            <v>5303-006</v>
          </cell>
          <cell r="C484" t="str">
            <v>進貨退回-富玉平</v>
          </cell>
          <cell r="D484" t="str">
            <v>富玉平</v>
          </cell>
        </row>
        <row r="485">
          <cell r="B485" t="str">
            <v>5303-007</v>
          </cell>
          <cell r="C485" t="str">
            <v>進貨退回-友誼</v>
          </cell>
          <cell r="D485" t="str">
            <v>友誼</v>
          </cell>
        </row>
        <row r="486">
          <cell r="B486" t="str">
            <v>5303-008</v>
          </cell>
          <cell r="C486" t="str">
            <v>進貨退回-</v>
          </cell>
        </row>
        <row r="487">
          <cell r="B487" t="str">
            <v>5303-009</v>
          </cell>
          <cell r="C487" t="str">
            <v>進貨退回-</v>
          </cell>
        </row>
        <row r="488">
          <cell r="B488" t="str">
            <v>5303-010</v>
          </cell>
          <cell r="C488" t="str">
            <v>進貨退回-</v>
          </cell>
        </row>
        <row r="489">
          <cell r="B489" t="str">
            <v>5303-011</v>
          </cell>
          <cell r="C489" t="str">
            <v>進貨退回-</v>
          </cell>
        </row>
        <row r="490">
          <cell r="B490" t="str">
            <v>5303-012</v>
          </cell>
          <cell r="C490" t="str">
            <v>進貨退回-</v>
          </cell>
        </row>
        <row r="491">
          <cell r="B491" t="str">
            <v>5303-013</v>
          </cell>
          <cell r="C491" t="str">
            <v>進貨退回-</v>
          </cell>
        </row>
        <row r="492">
          <cell r="B492" t="str">
            <v>5303-014</v>
          </cell>
          <cell r="C492" t="str">
            <v>進貨退回-</v>
          </cell>
        </row>
        <row r="493">
          <cell r="B493" t="str">
            <v>5303-015</v>
          </cell>
          <cell r="C493" t="str">
            <v>進貨退回-</v>
          </cell>
        </row>
        <row r="494">
          <cell r="B494" t="str">
            <v>5303-016</v>
          </cell>
          <cell r="C494" t="str">
            <v>進貨退回-</v>
          </cell>
        </row>
        <row r="495">
          <cell r="B495" t="str">
            <v>5303-017</v>
          </cell>
          <cell r="C495" t="str">
            <v>進貨退回-</v>
          </cell>
        </row>
        <row r="496">
          <cell r="B496" t="str">
            <v>5303-018</v>
          </cell>
          <cell r="C496" t="str">
            <v>進貨退回-</v>
          </cell>
        </row>
        <row r="497">
          <cell r="B497" t="str">
            <v>5303-019</v>
          </cell>
          <cell r="C497" t="str">
            <v>進貨退回-</v>
          </cell>
        </row>
        <row r="498">
          <cell r="B498">
            <v>5304</v>
          </cell>
        </row>
        <row r="499">
          <cell r="B499" t="str">
            <v>5304-001</v>
          </cell>
          <cell r="C499" t="str">
            <v>進貨折讓-明德海峰</v>
          </cell>
          <cell r="D499" t="str">
            <v>明德海峰</v>
          </cell>
        </row>
        <row r="500">
          <cell r="B500" t="str">
            <v>5304-002</v>
          </cell>
          <cell r="C500" t="str">
            <v>進貨折讓-興達</v>
          </cell>
          <cell r="D500" t="str">
            <v>興達</v>
          </cell>
        </row>
        <row r="501">
          <cell r="B501" t="str">
            <v>5304-003</v>
          </cell>
          <cell r="C501" t="str">
            <v>進貨折讓-長興化工</v>
          </cell>
          <cell r="D501" t="str">
            <v>長興化工</v>
          </cell>
        </row>
        <row r="502">
          <cell r="B502" t="str">
            <v>5304-004</v>
          </cell>
          <cell r="C502" t="str">
            <v>進貨折讓-海峰</v>
          </cell>
          <cell r="D502" t="str">
            <v>海峰</v>
          </cell>
        </row>
        <row r="503">
          <cell r="B503" t="str">
            <v>5304-005</v>
          </cell>
          <cell r="C503" t="str">
            <v>進貨折讓-佳利</v>
          </cell>
          <cell r="D503" t="str">
            <v>佳利</v>
          </cell>
        </row>
        <row r="504">
          <cell r="B504" t="str">
            <v>5304-006</v>
          </cell>
          <cell r="C504" t="str">
            <v>進貨折讓-富玉平</v>
          </cell>
          <cell r="D504" t="str">
            <v>富玉平</v>
          </cell>
        </row>
        <row r="505">
          <cell r="B505" t="str">
            <v>5304-007</v>
          </cell>
          <cell r="C505" t="str">
            <v>進貨折讓-友誼</v>
          </cell>
          <cell r="D505" t="str">
            <v>友誼</v>
          </cell>
        </row>
        <row r="506">
          <cell r="B506" t="str">
            <v>5304-008</v>
          </cell>
          <cell r="C506" t="str">
            <v>進貨折讓-新達</v>
          </cell>
        </row>
        <row r="507">
          <cell r="B507" t="str">
            <v>5304-009</v>
          </cell>
          <cell r="C507" t="str">
            <v>進貨折讓-</v>
          </cell>
        </row>
        <row r="508">
          <cell r="B508" t="str">
            <v>5304-010</v>
          </cell>
          <cell r="C508" t="str">
            <v>進貨折讓-</v>
          </cell>
        </row>
        <row r="509">
          <cell r="B509" t="str">
            <v>5304-011</v>
          </cell>
          <cell r="C509" t="str">
            <v>進貨折讓-</v>
          </cell>
        </row>
        <row r="510">
          <cell r="B510" t="str">
            <v>5304-012</v>
          </cell>
          <cell r="C510" t="str">
            <v>進貨折讓-</v>
          </cell>
        </row>
        <row r="511">
          <cell r="B511" t="str">
            <v>5304-013</v>
          </cell>
          <cell r="C511" t="str">
            <v>進貨折讓-</v>
          </cell>
        </row>
        <row r="512">
          <cell r="B512" t="str">
            <v>5304-014</v>
          </cell>
          <cell r="C512" t="str">
            <v>進貨折讓-</v>
          </cell>
        </row>
        <row r="513">
          <cell r="B513" t="str">
            <v>5304-015</v>
          </cell>
          <cell r="C513" t="str">
            <v>進貨折讓-</v>
          </cell>
        </row>
        <row r="514">
          <cell r="B514" t="str">
            <v>5304-016</v>
          </cell>
          <cell r="C514" t="str">
            <v>進貨折讓-</v>
          </cell>
        </row>
        <row r="515">
          <cell r="B515" t="str">
            <v>5304-017</v>
          </cell>
          <cell r="C515" t="str">
            <v>進貨折讓-</v>
          </cell>
        </row>
        <row r="516">
          <cell r="B516" t="str">
            <v>5304-018</v>
          </cell>
          <cell r="C516" t="str">
            <v>進貨折讓-</v>
          </cell>
        </row>
        <row r="517">
          <cell r="B517" t="str">
            <v>5304-019</v>
          </cell>
          <cell r="C517" t="str">
            <v>進貨折讓-</v>
          </cell>
        </row>
        <row r="518">
          <cell r="B518" t="str">
            <v>5304-020</v>
          </cell>
          <cell r="C518" t="str">
            <v>進貨折讓-</v>
          </cell>
        </row>
        <row r="519">
          <cell r="B519">
            <v>5401</v>
          </cell>
          <cell r="C519" t="str">
            <v>直接人工</v>
          </cell>
        </row>
        <row r="520">
          <cell r="B520">
            <v>5500</v>
          </cell>
          <cell r="C520" t="str">
            <v>營業成本</v>
          </cell>
        </row>
        <row r="521">
          <cell r="B521">
            <v>5501</v>
          </cell>
        </row>
        <row r="522">
          <cell r="B522">
            <v>5502</v>
          </cell>
          <cell r="C522" t="str">
            <v>租金費用</v>
          </cell>
        </row>
        <row r="523">
          <cell r="B523">
            <v>5503</v>
          </cell>
          <cell r="C523" t="str">
            <v>文具</v>
          </cell>
        </row>
        <row r="524">
          <cell r="B524">
            <v>5504</v>
          </cell>
          <cell r="C524" t="str">
            <v>旅費</v>
          </cell>
        </row>
        <row r="525">
          <cell r="B525">
            <v>5505</v>
          </cell>
          <cell r="C525" t="str">
            <v>運費</v>
          </cell>
        </row>
        <row r="526">
          <cell r="B526">
            <v>5506</v>
          </cell>
        </row>
        <row r="527">
          <cell r="B527">
            <v>5507</v>
          </cell>
          <cell r="C527" t="str">
            <v>修繕費</v>
          </cell>
        </row>
        <row r="528">
          <cell r="B528">
            <v>5508</v>
          </cell>
          <cell r="C528" t="str">
            <v>廣告費</v>
          </cell>
        </row>
        <row r="529">
          <cell r="B529">
            <v>5509</v>
          </cell>
          <cell r="C529" t="str">
            <v>水電費</v>
          </cell>
        </row>
        <row r="530">
          <cell r="B530">
            <v>5510</v>
          </cell>
          <cell r="C530" t="str">
            <v>保險費</v>
          </cell>
        </row>
        <row r="531">
          <cell r="B531">
            <v>5511</v>
          </cell>
          <cell r="C531" t="str">
            <v>交際費</v>
          </cell>
        </row>
        <row r="532">
          <cell r="B532">
            <v>5512</v>
          </cell>
          <cell r="C532" t="str">
            <v>捐贈</v>
          </cell>
        </row>
        <row r="533">
          <cell r="B533">
            <v>5513</v>
          </cell>
        </row>
        <row r="534">
          <cell r="B534">
            <v>5514</v>
          </cell>
        </row>
        <row r="535">
          <cell r="B535">
            <v>5515</v>
          </cell>
          <cell r="C535" t="str">
            <v>折讓及捐耗</v>
          </cell>
        </row>
        <row r="536">
          <cell r="B536">
            <v>5516</v>
          </cell>
        </row>
        <row r="537">
          <cell r="B537">
            <v>5517</v>
          </cell>
        </row>
        <row r="538">
          <cell r="B538">
            <v>5518</v>
          </cell>
          <cell r="C538" t="str">
            <v>伙食費</v>
          </cell>
        </row>
        <row r="539">
          <cell r="B539">
            <v>5519</v>
          </cell>
          <cell r="C539" t="str">
            <v>職工福利</v>
          </cell>
        </row>
        <row r="540">
          <cell r="B540">
            <v>5520</v>
          </cell>
          <cell r="C540" t="str">
            <v>雜項購置</v>
          </cell>
        </row>
        <row r="541">
          <cell r="B541">
            <v>5521</v>
          </cell>
        </row>
        <row r="542">
          <cell r="B542">
            <v>5522</v>
          </cell>
          <cell r="C542" t="str">
            <v>雜支</v>
          </cell>
        </row>
        <row r="543">
          <cell r="B543" t="str">
            <v>5522-001</v>
          </cell>
          <cell r="C543" t="str">
            <v>垃圾費-永福</v>
          </cell>
        </row>
        <row r="544">
          <cell r="B544">
            <v>5523</v>
          </cell>
          <cell r="C544" t="str">
            <v>勞務費</v>
          </cell>
        </row>
        <row r="545">
          <cell r="B545">
            <v>5524</v>
          </cell>
          <cell r="C545" t="str">
            <v>燃料費</v>
          </cell>
        </row>
        <row r="546">
          <cell r="B546">
            <v>5525</v>
          </cell>
          <cell r="C546" t="str">
            <v>交通費</v>
          </cell>
        </row>
        <row r="547">
          <cell r="B547">
            <v>5526</v>
          </cell>
          <cell r="C547" t="str">
            <v>工廠耗材</v>
          </cell>
        </row>
        <row r="548">
          <cell r="B548" t="str">
            <v>5526-001</v>
          </cell>
          <cell r="C548" t="str">
            <v>石膏-VINH HUNG</v>
          </cell>
          <cell r="E548" t="str">
            <v>2143-101</v>
          </cell>
        </row>
        <row r="549">
          <cell r="B549" t="str">
            <v>5526-002</v>
          </cell>
          <cell r="C549" t="str">
            <v>手套商-VIET HUNG DUC</v>
          </cell>
          <cell r="E549" t="str">
            <v>2143-102</v>
          </cell>
        </row>
        <row r="550">
          <cell r="B550" t="str">
            <v>5526-003</v>
          </cell>
          <cell r="C550" t="str">
            <v>纖維板-TIEN QUY</v>
          </cell>
          <cell r="E550" t="str">
            <v>2143-103</v>
          </cell>
        </row>
        <row r="551">
          <cell r="B551" t="str">
            <v>5526-004</v>
          </cell>
          <cell r="C551" t="str">
            <v>專盛</v>
          </cell>
          <cell r="E551" t="str">
            <v>2143-104</v>
          </cell>
        </row>
        <row r="552">
          <cell r="B552" t="str">
            <v>5526-005</v>
          </cell>
          <cell r="C552" t="str">
            <v>MDF-臆鼎</v>
          </cell>
          <cell r="E552" t="str">
            <v>2143-105</v>
          </cell>
        </row>
        <row r="553">
          <cell r="B553" t="str">
            <v>5526-006</v>
          </cell>
        </row>
        <row r="554">
          <cell r="B554" t="str">
            <v>5526-007</v>
          </cell>
        </row>
        <row r="555">
          <cell r="B555" t="str">
            <v>5526-008</v>
          </cell>
        </row>
        <row r="556">
          <cell r="B556" t="str">
            <v>5526-009</v>
          </cell>
        </row>
        <row r="557">
          <cell r="B557" t="str">
            <v>5526-010</v>
          </cell>
        </row>
        <row r="558">
          <cell r="B558" t="str">
            <v>5526-011</v>
          </cell>
        </row>
        <row r="559">
          <cell r="B559" t="str">
            <v>5526-012</v>
          </cell>
        </row>
        <row r="560">
          <cell r="B560" t="str">
            <v>5526-013</v>
          </cell>
        </row>
        <row r="561">
          <cell r="B561" t="str">
            <v>5526-014</v>
          </cell>
        </row>
        <row r="562">
          <cell r="B562" t="str">
            <v>5526-015</v>
          </cell>
        </row>
        <row r="563">
          <cell r="B563" t="str">
            <v>5526-016</v>
          </cell>
        </row>
        <row r="564">
          <cell r="B564" t="str">
            <v>5526-017</v>
          </cell>
        </row>
        <row r="565">
          <cell r="B565" t="str">
            <v>5526-018</v>
          </cell>
        </row>
        <row r="566">
          <cell r="B566">
            <v>5527</v>
          </cell>
          <cell r="C566" t="str">
            <v>租車費</v>
          </cell>
        </row>
        <row r="567">
          <cell r="B567">
            <v>5528</v>
          </cell>
          <cell r="C567" t="str">
            <v>印刷費</v>
          </cell>
        </row>
        <row r="568">
          <cell r="B568">
            <v>5549</v>
          </cell>
          <cell r="C568" t="str">
            <v>其他製造費用</v>
          </cell>
        </row>
        <row r="569">
          <cell r="B569">
            <v>5904</v>
          </cell>
          <cell r="C569" t="str">
            <v>其他製造費用-買模具</v>
          </cell>
        </row>
        <row r="570">
          <cell r="B570">
            <v>6200</v>
          </cell>
          <cell r="C570" t="str">
            <v>管理及稅務費用</v>
          </cell>
        </row>
        <row r="571">
          <cell r="B571">
            <v>6201</v>
          </cell>
          <cell r="C571" t="str">
            <v>薪資</v>
          </cell>
        </row>
        <row r="572">
          <cell r="B572" t="str">
            <v>6201-001</v>
          </cell>
          <cell r="C572" t="str">
            <v>薪資-秀</v>
          </cell>
        </row>
        <row r="573">
          <cell r="B573">
            <v>6202</v>
          </cell>
          <cell r="C573" t="str">
            <v>租金費用</v>
          </cell>
        </row>
        <row r="574">
          <cell r="B574" t="str">
            <v>6202-002</v>
          </cell>
          <cell r="C574" t="str">
            <v>廠租-黎成南</v>
          </cell>
        </row>
        <row r="575">
          <cell r="B575" t="str">
            <v>6202-003</v>
          </cell>
          <cell r="C575" t="str">
            <v>保全-大黃南</v>
          </cell>
        </row>
        <row r="576">
          <cell r="B576">
            <v>6203</v>
          </cell>
          <cell r="C576" t="str">
            <v>文具</v>
          </cell>
        </row>
        <row r="577">
          <cell r="B577">
            <v>6204</v>
          </cell>
          <cell r="C577" t="str">
            <v>旅費</v>
          </cell>
        </row>
        <row r="578">
          <cell r="B578" t="str">
            <v>6204-001</v>
          </cell>
          <cell r="C578" t="str">
            <v>旅費-秀</v>
          </cell>
        </row>
        <row r="579">
          <cell r="B579">
            <v>6205</v>
          </cell>
          <cell r="C579" t="str">
            <v>運費</v>
          </cell>
        </row>
        <row r="580">
          <cell r="B580">
            <v>6206</v>
          </cell>
          <cell r="C580" t="str">
            <v>電信費</v>
          </cell>
        </row>
        <row r="581">
          <cell r="B581">
            <v>6207</v>
          </cell>
          <cell r="C581" t="str">
            <v>修繕費</v>
          </cell>
        </row>
        <row r="582">
          <cell r="B582">
            <v>6208</v>
          </cell>
          <cell r="C582" t="str">
            <v>廣告費</v>
          </cell>
        </row>
        <row r="583">
          <cell r="B583">
            <v>6209</v>
          </cell>
          <cell r="C583" t="str">
            <v>水電費</v>
          </cell>
        </row>
        <row r="584">
          <cell r="B584">
            <v>6210</v>
          </cell>
          <cell r="C584" t="str">
            <v>保險費</v>
          </cell>
        </row>
        <row r="585">
          <cell r="B585">
            <v>6211</v>
          </cell>
          <cell r="C585" t="str">
            <v>交際費</v>
          </cell>
        </row>
        <row r="586">
          <cell r="B586">
            <v>6212</v>
          </cell>
          <cell r="C586" t="str">
            <v>捐贈</v>
          </cell>
        </row>
        <row r="587">
          <cell r="B587">
            <v>6213</v>
          </cell>
        </row>
        <row r="588">
          <cell r="B588">
            <v>6214</v>
          </cell>
        </row>
        <row r="589">
          <cell r="B589">
            <v>6215</v>
          </cell>
          <cell r="C589" t="str">
            <v>折讓及捐耗</v>
          </cell>
        </row>
        <row r="590">
          <cell r="B590">
            <v>6216</v>
          </cell>
        </row>
        <row r="591">
          <cell r="B591">
            <v>6217</v>
          </cell>
        </row>
        <row r="592">
          <cell r="B592">
            <v>6218</v>
          </cell>
          <cell r="C592" t="str">
            <v>伙食費</v>
          </cell>
        </row>
        <row r="593">
          <cell r="B593">
            <v>6219</v>
          </cell>
          <cell r="C593" t="str">
            <v>職工福利</v>
          </cell>
        </row>
        <row r="594">
          <cell r="B594">
            <v>6220</v>
          </cell>
          <cell r="C594" t="str">
            <v>雜項購置</v>
          </cell>
        </row>
        <row r="595">
          <cell r="B595">
            <v>6221</v>
          </cell>
        </row>
        <row r="596">
          <cell r="B596">
            <v>6222</v>
          </cell>
          <cell r="C596" t="str">
            <v>雜支</v>
          </cell>
        </row>
        <row r="597">
          <cell r="B597">
            <v>6223</v>
          </cell>
          <cell r="C597" t="str">
            <v>勞務費</v>
          </cell>
        </row>
        <row r="598">
          <cell r="B598">
            <v>6224</v>
          </cell>
          <cell r="C598" t="str">
            <v>燃料費</v>
          </cell>
        </row>
        <row r="599">
          <cell r="B599">
            <v>6225</v>
          </cell>
          <cell r="C599" t="str">
            <v>交通費</v>
          </cell>
        </row>
        <row r="600">
          <cell r="B600">
            <v>6226</v>
          </cell>
          <cell r="C600" t="str">
            <v>工廠耗材</v>
          </cell>
        </row>
        <row r="601">
          <cell r="B601">
            <v>6227</v>
          </cell>
          <cell r="C601" t="str">
            <v>租車費</v>
          </cell>
        </row>
        <row r="602">
          <cell r="B602">
            <v>6228</v>
          </cell>
          <cell r="C602" t="str">
            <v>印刷費</v>
          </cell>
        </row>
        <row r="603">
          <cell r="B603">
            <v>6249</v>
          </cell>
          <cell r="C603" t="str">
            <v>其他管理及總務費用</v>
          </cell>
        </row>
        <row r="604">
          <cell r="B604">
            <v>7100</v>
          </cell>
          <cell r="C604" t="str">
            <v>營業外收益</v>
          </cell>
        </row>
        <row r="605">
          <cell r="B605">
            <v>7101</v>
          </cell>
          <cell r="C605" t="str">
            <v>利息收益</v>
          </cell>
          <cell r="E605" t="str">
            <v>1144-7101</v>
          </cell>
        </row>
        <row r="606">
          <cell r="B606">
            <v>7101</v>
          </cell>
          <cell r="C606" t="str">
            <v>兌換收益</v>
          </cell>
        </row>
        <row r="607">
          <cell r="B607">
            <v>7108</v>
          </cell>
          <cell r="C607" t="str">
            <v>出售鐵膠桶收益</v>
          </cell>
        </row>
        <row r="608">
          <cell r="B608">
            <v>7121</v>
          </cell>
          <cell r="C608" t="str">
            <v>出售下腳料及癈料收益</v>
          </cell>
        </row>
        <row r="609">
          <cell r="B609">
            <v>7122</v>
          </cell>
          <cell r="C609" t="str">
            <v>出售原物料收益</v>
          </cell>
          <cell r="E609" t="str">
            <v>1144-7122</v>
          </cell>
        </row>
        <row r="610">
          <cell r="B610">
            <v>7123</v>
          </cell>
          <cell r="C610" t="str">
            <v>出售機器收益</v>
          </cell>
        </row>
        <row r="611">
          <cell r="B611">
            <v>7149</v>
          </cell>
          <cell r="C611" t="str">
            <v>其它營業外收入</v>
          </cell>
        </row>
        <row r="612">
          <cell r="B612">
            <v>8100</v>
          </cell>
          <cell r="C612" t="str">
            <v>營業外費用</v>
          </cell>
        </row>
        <row r="613">
          <cell r="B613" t="str">
            <v>8100-001</v>
          </cell>
          <cell r="C613" t="str">
            <v>營業外費用-緯</v>
          </cell>
        </row>
        <row r="614">
          <cell r="B614" t="str">
            <v>8100-002</v>
          </cell>
          <cell r="C614" t="str">
            <v>營業外費用-秀</v>
          </cell>
        </row>
        <row r="615">
          <cell r="B615">
            <v>8101</v>
          </cell>
          <cell r="C615" t="str">
            <v>利息損失</v>
          </cell>
        </row>
        <row r="616">
          <cell r="B616">
            <v>8102</v>
          </cell>
          <cell r="C616" t="str">
            <v>兌換損失</v>
          </cell>
        </row>
        <row r="617">
          <cell r="B617">
            <v>8349</v>
          </cell>
          <cell r="C617" t="str">
            <v>營業外費用及損失</v>
          </cell>
        </row>
        <row r="618">
          <cell r="B618">
            <v>9100</v>
          </cell>
          <cell r="C618" t="str">
            <v>所得稅額類</v>
          </cell>
        </row>
        <row r="619">
          <cell r="B619">
            <v>9101</v>
          </cell>
          <cell r="C619" t="str">
            <v>營業稅(10%)</v>
          </cell>
        </row>
        <row r="620">
          <cell r="B620">
            <v>9102</v>
          </cell>
          <cell r="C620" t="str">
            <v>營業稅(28%)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O41"/>
  <sheetViews>
    <sheetView tabSelected="1" topLeftCell="A10" zoomScale="90" zoomScaleNormal="90" workbookViewId="0">
      <selection activeCell="G10" sqref="F1:G1048576"/>
    </sheetView>
  </sheetViews>
  <sheetFormatPr defaultColWidth="9" defaultRowHeight="15"/>
  <cols>
    <col min="1" max="1" width="4.625" style="23" customWidth="1"/>
    <col min="2" max="2" width="36.875" style="23" customWidth="1"/>
    <col min="3" max="3" width="30" style="23" customWidth="1"/>
    <col min="4" max="4" width="5" style="24" customWidth="1"/>
    <col min="5" max="5" width="6.875" style="24" customWidth="1"/>
    <col min="6" max="6" width="18.75" style="28" customWidth="1"/>
    <col min="7" max="7" width="15.875" style="28" customWidth="1"/>
    <col min="8" max="9" width="12.125" style="23" bestFit="1" customWidth="1"/>
    <col min="10" max="10" width="9.75" style="23" bestFit="1" customWidth="1"/>
    <col min="11" max="11" width="9.875" style="23" bestFit="1" customWidth="1"/>
    <col min="12" max="12" width="7.875" style="23" customWidth="1"/>
    <col min="13" max="14" width="10.5" style="23" bestFit="1" customWidth="1"/>
    <col min="15" max="15" width="9.375" style="23" bestFit="1" customWidth="1"/>
    <col min="16" max="16384" width="9" style="23"/>
  </cols>
  <sheetData>
    <row r="1" spans="1:10" s="16" customFormat="1" ht="15.75" customHeight="1">
      <c r="A1" s="15" t="str">
        <f>CDPS!A1</f>
        <v>公司名/Tên CSKD: CÔNG TY TNHH NGẠN CHÂU</v>
      </c>
      <c r="D1" s="17"/>
      <c r="E1" s="17"/>
      <c r="F1" s="18"/>
      <c r="G1" s="18"/>
    </row>
    <row r="2" spans="1:10" s="16" customFormat="1" ht="15.75" customHeight="1">
      <c r="A2" s="16" t="str">
        <f>CDPS!A2</f>
        <v>地址/Địa Chỉ : 30KL, Tổ 1, Khu phố Khánh Long, Phường Tân Khánh, TP Hồ Chí Minh, Việt Nam</v>
      </c>
      <c r="E2" s="17"/>
      <c r="F2" s="18"/>
      <c r="G2" s="18"/>
    </row>
    <row r="3" spans="1:10" s="16" customFormat="1" ht="15.75" customHeight="1">
      <c r="A3" s="16" t="str">
        <f>CDPS!A3</f>
        <v>税号/Mã số thuế: 3702307012</v>
      </c>
      <c r="E3" s="17"/>
      <c r="F3" s="18"/>
      <c r="G3" s="18"/>
      <c r="I3" s="19"/>
      <c r="J3" s="19"/>
    </row>
    <row r="4" spans="1:10" s="16" customFormat="1" ht="8.25" customHeight="1">
      <c r="D4" s="17"/>
      <c r="E4" s="17"/>
      <c r="F4" s="18"/>
      <c r="G4" s="18"/>
      <c r="I4" s="19"/>
      <c r="J4" s="19"/>
    </row>
    <row r="5" spans="1:10" s="16" customFormat="1" ht="16.5" customHeight="1">
      <c r="A5" s="402" t="s">
        <v>790</v>
      </c>
      <c r="B5" s="402"/>
      <c r="C5" s="402"/>
      <c r="D5" s="402"/>
      <c r="E5" s="402"/>
      <c r="F5" s="402"/>
      <c r="G5" s="402"/>
    </row>
    <row r="6" spans="1:10" s="16" customFormat="1" ht="15.75" customHeight="1">
      <c r="A6" s="403" t="s">
        <v>16</v>
      </c>
      <c r="B6" s="403"/>
      <c r="C6" s="403"/>
      <c r="D6" s="403"/>
      <c r="E6" s="403"/>
      <c r="F6" s="403"/>
      <c r="G6" s="403"/>
    </row>
    <row r="7" spans="1:10" s="16" customFormat="1" ht="14.25" customHeight="1">
      <c r="A7" s="404" t="str">
        <f>CDKT!A6</f>
        <v>(Từ 01/01/2025 Đến 31/01/2025)</v>
      </c>
      <c r="B7" s="404"/>
      <c r="C7" s="404"/>
      <c r="D7" s="404"/>
      <c r="E7" s="404"/>
      <c r="F7" s="404"/>
      <c r="G7" s="404"/>
    </row>
    <row r="8" spans="1:10" s="16" customFormat="1" ht="13.5" customHeight="1">
      <c r="D8" s="17"/>
      <c r="E8" s="17"/>
      <c r="F8" s="406" t="s">
        <v>17</v>
      </c>
      <c r="G8" s="406"/>
    </row>
    <row r="9" spans="1:10" s="20" customFormat="1" ht="45.75" customHeight="1">
      <c r="A9" s="256" t="s">
        <v>14</v>
      </c>
      <c r="B9" s="257" t="s">
        <v>165</v>
      </c>
      <c r="C9" s="257" t="s">
        <v>166</v>
      </c>
      <c r="D9" s="256" t="s">
        <v>18</v>
      </c>
      <c r="E9" s="258" t="s">
        <v>213</v>
      </c>
      <c r="F9" s="259" t="s">
        <v>855</v>
      </c>
      <c r="G9" s="259" t="s">
        <v>710</v>
      </c>
    </row>
    <row r="10" spans="1:10" s="1" customFormat="1" ht="18.75" customHeight="1">
      <c r="A10" s="279">
        <v>-1</v>
      </c>
      <c r="B10" s="279">
        <v>-2</v>
      </c>
      <c r="C10" s="279">
        <v>-3</v>
      </c>
      <c r="D10" s="279">
        <v>-4</v>
      </c>
      <c r="E10" s="279">
        <v>-5</v>
      </c>
      <c r="F10" s="279">
        <v>-6</v>
      </c>
      <c r="G10" s="279">
        <v>-7</v>
      </c>
    </row>
    <row r="11" spans="1:10" s="5" customFormat="1" ht="28.5" customHeight="1">
      <c r="A11" s="2">
        <v>1</v>
      </c>
      <c r="B11" s="29" t="s">
        <v>755</v>
      </c>
      <c r="C11" s="29" t="s">
        <v>766</v>
      </c>
      <c r="D11" s="2" t="s">
        <v>141</v>
      </c>
      <c r="E11" s="2" t="s">
        <v>844</v>
      </c>
      <c r="F11" s="30">
        <v>5951365361</v>
      </c>
      <c r="G11" s="30">
        <v>8087186237</v>
      </c>
      <c r="H11" s="240"/>
      <c r="I11" s="240"/>
      <c r="J11" s="240"/>
    </row>
    <row r="12" spans="1:10" s="21" customFormat="1" ht="29.25" customHeight="1">
      <c r="A12" s="2">
        <v>2</v>
      </c>
      <c r="B12" s="29" t="s">
        <v>756</v>
      </c>
      <c r="C12" s="29" t="s">
        <v>767</v>
      </c>
      <c r="D12" s="2" t="s">
        <v>142</v>
      </c>
      <c r="E12" s="2"/>
      <c r="F12" s="30"/>
      <c r="G12" s="30"/>
      <c r="J12" s="240"/>
    </row>
    <row r="13" spans="1:10" s="21" customFormat="1" ht="34.5" customHeight="1">
      <c r="A13" s="2">
        <v>3</v>
      </c>
      <c r="B13" s="7" t="s">
        <v>757</v>
      </c>
      <c r="C13" s="7" t="s">
        <v>768</v>
      </c>
      <c r="D13" s="2">
        <v>10</v>
      </c>
      <c r="E13" s="2"/>
      <c r="F13" s="283">
        <v>5951365361</v>
      </c>
      <c r="G13" s="283">
        <v>8087186237</v>
      </c>
      <c r="J13" s="240"/>
    </row>
    <row r="14" spans="1:10" s="5" customFormat="1" ht="29.25" customHeight="1">
      <c r="A14" s="2">
        <v>4</v>
      </c>
      <c r="B14" s="29" t="s">
        <v>317</v>
      </c>
      <c r="C14" s="29" t="s">
        <v>769</v>
      </c>
      <c r="D14" s="2">
        <v>11</v>
      </c>
      <c r="E14" s="2" t="s">
        <v>721</v>
      </c>
      <c r="F14" s="30">
        <v>5913632751</v>
      </c>
      <c r="G14" s="30">
        <v>7712329356</v>
      </c>
      <c r="H14" s="240"/>
      <c r="I14" s="240"/>
      <c r="J14" s="240"/>
    </row>
    <row r="15" spans="1:10" s="5" customFormat="1" ht="31.5" customHeight="1">
      <c r="A15" s="2">
        <v>5</v>
      </c>
      <c r="B15" s="7" t="s">
        <v>758</v>
      </c>
      <c r="C15" s="7" t="s">
        <v>770</v>
      </c>
      <c r="D15" s="2">
        <v>20</v>
      </c>
      <c r="E15" s="2"/>
      <c r="F15" s="283">
        <v>37732610</v>
      </c>
      <c r="G15" s="283">
        <v>374856881</v>
      </c>
      <c r="J15" s="240"/>
    </row>
    <row r="16" spans="1:10" s="5" customFormat="1" ht="29.25" customHeight="1">
      <c r="A16" s="2">
        <v>6</v>
      </c>
      <c r="B16" s="29" t="s">
        <v>214</v>
      </c>
      <c r="C16" s="29" t="s">
        <v>771</v>
      </c>
      <c r="D16" s="2">
        <v>21</v>
      </c>
      <c r="E16" s="2" t="s">
        <v>845</v>
      </c>
      <c r="F16" s="69">
        <v>2779695</v>
      </c>
      <c r="G16" s="30">
        <v>3893447</v>
      </c>
      <c r="H16" s="240"/>
      <c r="I16" s="240"/>
      <c r="J16" s="240"/>
    </row>
    <row r="17" spans="1:15" s="5" customFormat="1" ht="29.25" customHeight="1">
      <c r="A17" s="2">
        <v>7</v>
      </c>
      <c r="B17" s="29" t="s">
        <v>318</v>
      </c>
      <c r="C17" s="29" t="s">
        <v>772</v>
      </c>
      <c r="D17" s="2">
        <v>22</v>
      </c>
      <c r="E17" s="2" t="s">
        <v>722</v>
      </c>
      <c r="F17" s="30">
        <v>31932647</v>
      </c>
      <c r="G17" s="30">
        <v>383058272</v>
      </c>
      <c r="H17" s="240"/>
      <c r="I17" s="240"/>
      <c r="J17" s="240"/>
    </row>
    <row r="18" spans="1:15" s="5" customFormat="1" ht="29.25" customHeight="1">
      <c r="A18" s="2"/>
      <c r="B18" s="29" t="s">
        <v>143</v>
      </c>
      <c r="C18" s="29" t="s">
        <v>773</v>
      </c>
      <c r="D18" s="2">
        <v>23</v>
      </c>
      <c r="E18" s="2"/>
      <c r="F18" s="30">
        <v>0</v>
      </c>
      <c r="G18" s="30">
        <v>161194679</v>
      </c>
      <c r="H18" s="242"/>
      <c r="J18" s="240"/>
    </row>
    <row r="19" spans="1:15" s="5" customFormat="1" ht="29.25" customHeight="1">
      <c r="A19" s="2">
        <v>8</v>
      </c>
      <c r="B19" s="29" t="s">
        <v>759</v>
      </c>
      <c r="C19" s="29" t="s">
        <v>774</v>
      </c>
      <c r="D19" s="2">
        <v>25</v>
      </c>
      <c r="E19" s="2" t="s">
        <v>723</v>
      </c>
      <c r="F19" s="30">
        <v>33711035</v>
      </c>
      <c r="G19" s="30">
        <v>48211218</v>
      </c>
      <c r="H19" s="240"/>
      <c r="I19" s="240"/>
      <c r="J19" s="240"/>
    </row>
    <row r="20" spans="1:15" s="5" customFormat="1" ht="29.25" customHeight="1">
      <c r="A20" s="2">
        <v>9</v>
      </c>
      <c r="B20" s="29" t="s">
        <v>760</v>
      </c>
      <c r="C20" s="29" t="s">
        <v>775</v>
      </c>
      <c r="D20" s="2">
        <v>26</v>
      </c>
      <c r="E20" s="2" t="s">
        <v>724</v>
      </c>
      <c r="F20" s="30">
        <v>1270791988.5999999</v>
      </c>
      <c r="G20" s="30">
        <v>1609567641</v>
      </c>
      <c r="H20" s="240"/>
      <c r="I20" s="240"/>
      <c r="J20" s="242"/>
      <c r="K20" s="242"/>
      <c r="L20" s="242"/>
    </row>
    <row r="21" spans="1:15" s="5" customFormat="1" ht="29.25" customHeight="1">
      <c r="A21" s="2">
        <v>10</v>
      </c>
      <c r="B21" s="7" t="s">
        <v>761</v>
      </c>
      <c r="C21" s="7" t="s">
        <v>776</v>
      </c>
      <c r="D21" s="2">
        <v>30</v>
      </c>
      <c r="E21" s="2"/>
      <c r="F21" s="283">
        <v>-1295923365.5999999</v>
      </c>
      <c r="G21" s="283">
        <v>-1662086803</v>
      </c>
      <c r="J21" s="240"/>
    </row>
    <row r="22" spans="1:15" s="5" customFormat="1" ht="29.25" customHeight="1">
      <c r="A22" s="2">
        <v>11</v>
      </c>
      <c r="B22" s="29" t="s">
        <v>10</v>
      </c>
      <c r="C22" s="29" t="s">
        <v>777</v>
      </c>
      <c r="D22" s="2">
        <v>31</v>
      </c>
      <c r="E22" s="2" t="s">
        <v>725</v>
      </c>
      <c r="F22" s="30">
        <v>1451751</v>
      </c>
      <c r="G22" s="30">
        <v>47604542</v>
      </c>
      <c r="H22" s="240"/>
      <c r="I22" s="240"/>
      <c r="J22" s="240"/>
    </row>
    <row r="23" spans="1:15" s="5" customFormat="1" ht="29.25" customHeight="1">
      <c r="A23" s="2">
        <v>12</v>
      </c>
      <c r="B23" s="29" t="s">
        <v>320</v>
      </c>
      <c r="C23" s="29" t="s">
        <v>778</v>
      </c>
      <c r="D23" s="2">
        <v>32</v>
      </c>
      <c r="E23" s="2" t="s">
        <v>726</v>
      </c>
      <c r="F23" s="30">
        <v>1605130403</v>
      </c>
      <c r="G23" s="30">
        <v>27676</v>
      </c>
      <c r="H23" s="240"/>
      <c r="I23" s="240"/>
      <c r="J23" s="240"/>
    </row>
    <row r="24" spans="1:15" s="5" customFormat="1" ht="29.25" customHeight="1">
      <c r="A24" s="2">
        <v>13</v>
      </c>
      <c r="B24" s="29" t="s">
        <v>762</v>
      </c>
      <c r="C24" s="29" t="s">
        <v>779</v>
      </c>
      <c r="D24" s="2">
        <v>40</v>
      </c>
      <c r="E24" s="2"/>
      <c r="F24" s="283">
        <v>-1603678652</v>
      </c>
      <c r="G24" s="283">
        <v>47576866</v>
      </c>
      <c r="H24" s="240"/>
      <c r="I24" s="240"/>
      <c r="J24" s="240"/>
    </row>
    <row r="25" spans="1:15" s="5" customFormat="1" ht="29.25" customHeight="1">
      <c r="A25" s="2">
        <v>14</v>
      </c>
      <c r="B25" s="7" t="s">
        <v>763</v>
      </c>
      <c r="C25" s="7" t="s">
        <v>780</v>
      </c>
      <c r="D25" s="2">
        <v>50</v>
      </c>
      <c r="E25" s="2"/>
      <c r="F25" s="30">
        <v>-2899602017.5999999</v>
      </c>
      <c r="G25" s="30">
        <v>-1614509937</v>
      </c>
      <c r="H25" s="240"/>
      <c r="I25" s="240"/>
      <c r="J25" s="240"/>
    </row>
    <row r="26" spans="1:15" s="5" customFormat="1" ht="29.25" customHeight="1">
      <c r="A26" s="2">
        <v>15</v>
      </c>
      <c r="B26" s="29" t="s">
        <v>764</v>
      </c>
      <c r="C26" s="29" t="s">
        <v>781</v>
      </c>
      <c r="D26" s="2">
        <v>51</v>
      </c>
      <c r="E26" s="2" t="s">
        <v>727</v>
      </c>
      <c r="F26" s="30"/>
      <c r="G26" s="30"/>
      <c r="H26" s="240"/>
      <c r="J26" s="240"/>
    </row>
    <row r="27" spans="1:15" s="5" customFormat="1" ht="29.25" customHeight="1">
      <c r="A27" s="2">
        <v>16</v>
      </c>
      <c r="B27" s="29" t="s">
        <v>144</v>
      </c>
      <c r="C27" s="29" t="s">
        <v>782</v>
      </c>
      <c r="D27" s="2">
        <v>52</v>
      </c>
      <c r="E27" s="2"/>
      <c r="F27" s="30"/>
      <c r="G27" s="30"/>
      <c r="J27" s="240"/>
      <c r="K27" s="31"/>
    </row>
    <row r="28" spans="1:15" s="5" customFormat="1" ht="29.25" customHeight="1">
      <c r="A28" s="2">
        <v>17</v>
      </c>
      <c r="B28" s="7" t="s">
        <v>765</v>
      </c>
      <c r="C28" s="7" t="s">
        <v>783</v>
      </c>
      <c r="D28" s="2">
        <v>60</v>
      </c>
      <c r="E28" s="2"/>
      <c r="F28" s="470">
        <v>-2899602017.5999999</v>
      </c>
      <c r="G28" s="470">
        <v>-1614509937</v>
      </c>
      <c r="H28" s="32"/>
      <c r="I28" s="242"/>
      <c r="J28" s="240"/>
      <c r="K28" s="4"/>
      <c r="L28" s="32"/>
    </row>
    <row r="29" spans="1:15" s="5" customFormat="1" ht="36.75" hidden="1" customHeight="1">
      <c r="A29" s="2">
        <v>18</v>
      </c>
      <c r="B29" s="29" t="s">
        <v>145</v>
      </c>
      <c r="C29" s="29"/>
      <c r="D29" s="2">
        <v>70</v>
      </c>
      <c r="E29" s="2"/>
      <c r="F29" s="30"/>
      <c r="G29" s="30"/>
      <c r="K29" s="32"/>
      <c r="M29" s="32"/>
      <c r="N29" s="32"/>
      <c r="O29" s="32"/>
    </row>
    <row r="30" spans="1:15" s="5" customFormat="1" ht="36.75" hidden="1" customHeight="1">
      <c r="A30" s="2">
        <v>19</v>
      </c>
      <c r="B30" s="33" t="s">
        <v>146</v>
      </c>
      <c r="C30" s="33"/>
      <c r="D30" s="30">
        <v>71</v>
      </c>
      <c r="E30" s="30"/>
      <c r="F30" s="30"/>
      <c r="G30" s="30"/>
      <c r="K30" s="4"/>
      <c r="L30" s="32"/>
      <c r="M30" s="32"/>
      <c r="N30" s="32"/>
    </row>
    <row r="31" spans="1:15" ht="15.75" customHeight="1">
      <c r="F31" s="25"/>
      <c r="G31" s="25"/>
      <c r="H31" s="241"/>
      <c r="I31" s="26"/>
      <c r="K31" s="26"/>
    </row>
    <row r="32" spans="1:15" s="1" customFormat="1" ht="18.75" customHeight="1">
      <c r="A32" s="405"/>
      <c r="B32" s="405"/>
      <c r="C32" s="22"/>
      <c r="D32" s="405" t="s">
        <v>852</v>
      </c>
      <c r="E32" s="405"/>
      <c r="F32" s="405"/>
      <c r="G32" s="405"/>
      <c r="K32" s="3"/>
    </row>
    <row r="33" spans="1:11" s="20" customFormat="1" ht="18.75" customHeight="1">
      <c r="A33" s="402" t="s">
        <v>15</v>
      </c>
      <c r="B33" s="402"/>
      <c r="C33" s="261"/>
      <c r="D33" s="261"/>
      <c r="E33" s="402" t="s">
        <v>730</v>
      </c>
      <c r="F33" s="402"/>
      <c r="G33" s="402"/>
      <c r="K33" s="266"/>
    </row>
    <row r="34" spans="1:11" s="1" customFormat="1" ht="18.75" customHeight="1">
      <c r="A34" s="22"/>
      <c r="B34" s="22"/>
      <c r="C34" s="22"/>
      <c r="D34" s="22"/>
      <c r="E34" s="22"/>
      <c r="F34" s="22"/>
      <c r="G34" s="22"/>
      <c r="K34" s="3"/>
    </row>
    <row r="35" spans="1:11">
      <c r="A35" s="27"/>
      <c r="B35" s="27"/>
      <c r="C35" s="27"/>
      <c r="F35" s="23"/>
      <c r="G35" s="23"/>
    </row>
    <row r="36" spans="1:11" ht="26.25" customHeight="1">
      <c r="A36" s="407"/>
      <c r="B36" s="407"/>
      <c r="C36" s="27"/>
      <c r="E36" s="54"/>
      <c r="F36" s="23"/>
      <c r="G36" s="23"/>
      <c r="K36" s="26"/>
    </row>
    <row r="37" spans="1:11" ht="15" customHeight="1">
      <c r="A37" s="408"/>
      <c r="B37" s="408"/>
      <c r="C37" s="24"/>
      <c r="E37" s="410" t="s">
        <v>731</v>
      </c>
      <c r="F37" s="410"/>
      <c r="G37" s="410"/>
      <c r="H37" s="280"/>
      <c r="I37" s="280"/>
      <c r="K37" s="26"/>
    </row>
    <row r="38" spans="1:11" s="1" customFormat="1" ht="15.75" customHeight="1">
      <c r="A38" s="405"/>
      <c r="B38" s="405"/>
      <c r="C38" s="22"/>
      <c r="D38" s="22"/>
      <c r="E38" s="409"/>
      <c r="F38" s="409"/>
      <c r="G38" s="409"/>
    </row>
    <row r="41" spans="1:11">
      <c r="A41" s="407"/>
      <c r="B41" s="407"/>
      <c r="C41" s="407"/>
      <c r="D41" s="407"/>
      <c r="E41" s="407"/>
    </row>
  </sheetData>
  <mergeCells count="14">
    <mergeCell ref="A38:B38"/>
    <mergeCell ref="A41:E41"/>
    <mergeCell ref="A33:B33"/>
    <mergeCell ref="A36:B36"/>
    <mergeCell ref="A37:B37"/>
    <mergeCell ref="E38:G38"/>
    <mergeCell ref="E33:G33"/>
    <mergeCell ref="E37:G37"/>
    <mergeCell ref="A5:G5"/>
    <mergeCell ref="A6:G6"/>
    <mergeCell ref="A7:G7"/>
    <mergeCell ref="A32:B32"/>
    <mergeCell ref="D32:G32"/>
    <mergeCell ref="F8:G8"/>
  </mergeCells>
  <printOptions horizontalCentered="1"/>
  <pageMargins left="0.59055118110236227" right="0.19685039370078741" top="0.19685039370078741" bottom="0.39370078740157483" header="0" footer="0.31496062992125984"/>
  <pageSetup paperSize="9" scale="89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V135"/>
  <sheetViews>
    <sheetView view="pageBreakPreview" zoomScale="90" zoomScaleNormal="90" zoomScaleSheetLayoutView="90" workbookViewId="0">
      <selection activeCell="D26" sqref="D26"/>
    </sheetView>
  </sheetViews>
  <sheetFormatPr defaultColWidth="9" defaultRowHeight="15"/>
  <cols>
    <col min="1" max="1" width="4.625" style="24" customWidth="1"/>
    <col min="2" max="2" width="48.125" style="8" customWidth="1"/>
    <col min="3" max="3" width="32.125" style="23" hidden="1" customWidth="1"/>
    <col min="4" max="4" width="6.5" style="24" customWidth="1"/>
    <col min="5" max="5" width="7.75" style="14" customWidth="1"/>
    <col min="6" max="6" width="15.375" style="56" bestFit="1" customWidth="1"/>
    <col min="7" max="7" width="16.375" style="56" customWidth="1"/>
    <col min="8" max="8" width="3.375" style="56" customWidth="1"/>
    <col min="9" max="9" width="13.5" style="23" bestFit="1" customWidth="1"/>
    <col min="10" max="10" width="11.625" style="23" bestFit="1" customWidth="1"/>
    <col min="11" max="16384" width="9" style="23"/>
  </cols>
  <sheetData>
    <row r="1" spans="1:10" s="16" customFormat="1" ht="15.75" customHeight="1">
      <c r="A1" s="15" t="str">
        <f>CDPS!A1</f>
        <v>公司名/Tên CSKD: CÔNG TY TNHH NGẠN CHÂU</v>
      </c>
      <c r="C1" s="17"/>
      <c r="D1" s="18"/>
      <c r="E1" s="18"/>
      <c r="F1" s="18"/>
    </row>
    <row r="2" spans="1:10" s="16" customFormat="1" ht="15.75" customHeight="1">
      <c r="A2" s="16" t="str">
        <f>CDPS!A2</f>
        <v>地址/Địa Chỉ : 30KL, Tổ 1, Khu phố Khánh Long, Phường Tân Khánh, TP Hồ Chí Minh, Việt Nam</v>
      </c>
      <c r="C2" s="17"/>
      <c r="D2" s="18"/>
      <c r="E2" s="18"/>
      <c r="F2" s="18"/>
    </row>
    <row r="3" spans="1:10" s="16" customFormat="1" ht="15.75" customHeight="1">
      <c r="A3" s="16" t="str">
        <f>CDPS!A3</f>
        <v>税号/Mã số thuế: 3702307012</v>
      </c>
      <c r="C3" s="17"/>
      <c r="D3" s="18"/>
      <c r="E3" s="18"/>
      <c r="F3" s="18"/>
      <c r="G3" s="19"/>
      <c r="H3" s="19"/>
    </row>
    <row r="4" spans="1:10" s="16" customFormat="1" ht="18.75">
      <c r="A4" s="415" t="s">
        <v>791</v>
      </c>
      <c r="B4" s="416"/>
      <c r="C4" s="416"/>
      <c r="D4" s="416"/>
      <c r="E4" s="417"/>
      <c r="F4" s="416"/>
      <c r="G4" s="416"/>
      <c r="H4" s="379"/>
    </row>
    <row r="5" spans="1:10" s="16" customFormat="1" ht="14.25">
      <c r="A5" s="415" t="s">
        <v>164</v>
      </c>
      <c r="B5" s="415"/>
      <c r="C5" s="415"/>
      <c r="D5" s="415"/>
      <c r="E5" s="418"/>
      <c r="F5" s="415"/>
      <c r="G5" s="415"/>
      <c r="H5" s="378"/>
    </row>
    <row r="6" spans="1:10" s="16" customFormat="1">
      <c r="A6" s="403" t="s">
        <v>853</v>
      </c>
      <c r="B6" s="419"/>
      <c r="C6" s="403"/>
      <c r="D6" s="403"/>
      <c r="E6" s="420"/>
      <c r="F6" s="403"/>
      <c r="G6" s="403"/>
      <c r="H6" s="380"/>
    </row>
    <row r="7" spans="1:10">
      <c r="F7" s="413" t="s">
        <v>17</v>
      </c>
      <c r="G7" s="413"/>
      <c r="H7" s="394"/>
    </row>
    <row r="8" spans="1:10" ht="37.5" customHeight="1">
      <c r="A8" s="256" t="s">
        <v>14</v>
      </c>
      <c r="B8" s="257" t="s">
        <v>165</v>
      </c>
      <c r="C8" s="257" t="s">
        <v>166</v>
      </c>
      <c r="D8" s="257" t="s">
        <v>167</v>
      </c>
      <c r="E8" s="257" t="s">
        <v>212</v>
      </c>
      <c r="F8" s="259" t="s">
        <v>855</v>
      </c>
      <c r="G8" s="259" t="s">
        <v>710</v>
      </c>
      <c r="H8" s="395"/>
    </row>
    <row r="9" spans="1:10" ht="19.5" customHeight="1">
      <c r="A9" s="279">
        <v>-1</v>
      </c>
      <c r="B9" s="279">
        <v>-2</v>
      </c>
      <c r="C9" s="279">
        <v>-3</v>
      </c>
      <c r="D9" s="279">
        <v>-4</v>
      </c>
      <c r="E9" s="279">
        <v>-5</v>
      </c>
      <c r="F9" s="279">
        <v>-6</v>
      </c>
      <c r="G9" s="279">
        <v>-7</v>
      </c>
      <c r="H9" s="396"/>
    </row>
    <row r="10" spans="1:10" s="1" customFormat="1" ht="23.25" customHeight="1">
      <c r="A10" s="384"/>
      <c r="B10" s="385" t="s">
        <v>19</v>
      </c>
      <c r="C10" s="386" t="s">
        <v>836</v>
      </c>
      <c r="D10" s="387"/>
      <c r="E10" s="387"/>
      <c r="F10" s="388"/>
      <c r="G10" s="388"/>
      <c r="H10" s="397"/>
    </row>
    <row r="11" spans="1:10" s="1" customFormat="1" ht="28.5">
      <c r="A11" s="268" t="s">
        <v>20</v>
      </c>
      <c r="B11" s="273" t="s">
        <v>21</v>
      </c>
      <c r="C11" s="277" t="s">
        <v>168</v>
      </c>
      <c r="D11" s="268">
        <v>100</v>
      </c>
      <c r="E11" s="35"/>
      <c r="F11" s="51">
        <v>3519687206</v>
      </c>
      <c r="G11" s="51">
        <v>6956519842</v>
      </c>
      <c r="H11" s="398" t="s">
        <v>148</v>
      </c>
    </row>
    <row r="12" spans="1:10" s="1" customFormat="1" ht="28.5">
      <c r="A12" s="268" t="s">
        <v>22</v>
      </c>
      <c r="B12" s="273" t="s">
        <v>23</v>
      </c>
      <c r="C12" s="277" t="s">
        <v>169</v>
      </c>
      <c r="D12" s="268">
        <v>110</v>
      </c>
      <c r="E12" s="269" t="s">
        <v>713</v>
      </c>
      <c r="F12" s="51">
        <v>1991633255</v>
      </c>
      <c r="G12" s="51">
        <v>2837155407</v>
      </c>
      <c r="H12" s="398" t="s">
        <v>148</v>
      </c>
    </row>
    <row r="13" spans="1:10" s="1" customFormat="1" ht="18" customHeight="1">
      <c r="A13" s="45">
        <v>1</v>
      </c>
      <c r="B13" s="46" t="s">
        <v>784</v>
      </c>
      <c r="C13" s="47" t="s">
        <v>170</v>
      </c>
      <c r="D13" s="45">
        <v>111</v>
      </c>
      <c r="E13" s="35"/>
      <c r="F13" s="48">
        <v>1991633255</v>
      </c>
      <c r="G13" s="48">
        <v>2837155407</v>
      </c>
      <c r="H13" s="281" t="s">
        <v>148</v>
      </c>
      <c r="I13" s="236"/>
      <c r="J13" s="237"/>
    </row>
    <row r="14" spans="1:10" s="1" customFormat="1" ht="18" customHeight="1">
      <c r="A14" s="45">
        <v>2</v>
      </c>
      <c r="B14" s="267" t="s">
        <v>785</v>
      </c>
      <c r="C14" s="47" t="s">
        <v>171</v>
      </c>
      <c r="D14" s="45">
        <v>112</v>
      </c>
      <c r="E14" s="35"/>
      <c r="F14" s="48"/>
      <c r="G14" s="48">
        <v>0</v>
      </c>
      <c r="H14" s="281"/>
      <c r="J14" s="237"/>
    </row>
    <row r="15" spans="1:10" s="6" customFormat="1" ht="22.5" customHeight="1">
      <c r="A15" s="269" t="s">
        <v>24</v>
      </c>
      <c r="B15" s="275" t="s">
        <v>25</v>
      </c>
      <c r="C15" s="276" t="s">
        <v>172</v>
      </c>
      <c r="D15" s="268">
        <v>120</v>
      </c>
      <c r="E15" s="269"/>
      <c r="F15" s="48">
        <v>0</v>
      </c>
      <c r="G15" s="48">
        <v>0</v>
      </c>
      <c r="H15" s="281"/>
      <c r="J15" s="237"/>
    </row>
    <row r="16" spans="1:10" s="6" customFormat="1" ht="23.25" customHeight="1">
      <c r="A16" s="35">
        <v>1</v>
      </c>
      <c r="B16" s="36" t="s">
        <v>26</v>
      </c>
      <c r="C16" s="37" t="s">
        <v>792</v>
      </c>
      <c r="D16" s="45">
        <v>121</v>
      </c>
      <c r="E16" s="35"/>
      <c r="F16" s="48"/>
      <c r="G16" s="48"/>
      <c r="H16" s="281"/>
      <c r="J16" s="237"/>
    </row>
    <row r="17" spans="1:10" s="6" customFormat="1" ht="24" customHeight="1">
      <c r="A17" s="35">
        <v>2</v>
      </c>
      <c r="B17" s="260" t="s">
        <v>786</v>
      </c>
      <c r="C17" s="37" t="s">
        <v>173</v>
      </c>
      <c r="D17" s="45">
        <v>122</v>
      </c>
      <c r="E17" s="35"/>
      <c r="F17" s="48"/>
      <c r="G17" s="48"/>
      <c r="H17" s="281"/>
      <c r="J17" s="237"/>
    </row>
    <row r="18" spans="1:10" s="6" customFormat="1" ht="24.75" customHeight="1">
      <c r="A18" s="35">
        <v>3</v>
      </c>
      <c r="B18" s="36" t="s">
        <v>27</v>
      </c>
      <c r="C18" s="37" t="s">
        <v>216</v>
      </c>
      <c r="D18" s="45">
        <v>123</v>
      </c>
      <c r="E18" s="35"/>
      <c r="F18" s="48"/>
      <c r="G18" s="48"/>
      <c r="H18" s="281"/>
      <c r="J18" s="237"/>
    </row>
    <row r="19" spans="1:10" s="1" customFormat="1" ht="28.5">
      <c r="A19" s="268" t="s">
        <v>28</v>
      </c>
      <c r="B19" s="273" t="s">
        <v>29</v>
      </c>
      <c r="C19" s="277" t="s">
        <v>174</v>
      </c>
      <c r="D19" s="268">
        <v>130</v>
      </c>
      <c r="E19" s="35"/>
      <c r="F19" s="51">
        <v>1443322235</v>
      </c>
      <c r="G19" s="51">
        <v>2073224734</v>
      </c>
      <c r="H19" s="398" t="s">
        <v>148</v>
      </c>
      <c r="J19" s="237"/>
    </row>
    <row r="20" spans="1:10" s="1" customFormat="1" ht="18.75" customHeight="1">
      <c r="A20" s="45">
        <v>1</v>
      </c>
      <c r="B20" s="46" t="s">
        <v>787</v>
      </c>
      <c r="C20" s="47" t="s">
        <v>793</v>
      </c>
      <c r="D20" s="45">
        <v>131</v>
      </c>
      <c r="E20" s="35" t="s">
        <v>714</v>
      </c>
      <c r="F20" s="48">
        <v>5209726965</v>
      </c>
      <c r="G20" s="48">
        <v>5839629464</v>
      </c>
      <c r="H20" s="281" t="s">
        <v>148</v>
      </c>
      <c r="I20" s="236"/>
      <c r="J20" s="237"/>
    </row>
    <row r="21" spans="1:10" s="1" customFormat="1" ht="18.75" customHeight="1">
      <c r="A21" s="45">
        <v>2</v>
      </c>
      <c r="B21" s="46" t="s">
        <v>788</v>
      </c>
      <c r="C21" s="47" t="s">
        <v>175</v>
      </c>
      <c r="D21" s="45">
        <v>132</v>
      </c>
      <c r="E21" s="35"/>
      <c r="F21" s="48"/>
      <c r="G21" s="48">
        <v>0</v>
      </c>
      <c r="H21" s="281" t="s">
        <v>148</v>
      </c>
      <c r="J21" s="237"/>
    </row>
    <row r="22" spans="1:10" s="6" customFormat="1" ht="20.25" customHeight="1">
      <c r="A22" s="45">
        <v>3</v>
      </c>
      <c r="B22" s="36" t="s">
        <v>789</v>
      </c>
      <c r="C22" s="37" t="s">
        <v>176</v>
      </c>
      <c r="D22" s="45">
        <v>133</v>
      </c>
      <c r="E22" s="35"/>
      <c r="F22" s="48"/>
      <c r="G22" s="48"/>
      <c r="H22" s="281"/>
      <c r="J22" s="237"/>
    </row>
    <row r="23" spans="1:10" s="6" customFormat="1" ht="20.25" customHeight="1">
      <c r="A23" s="45">
        <v>4</v>
      </c>
      <c r="B23" s="36" t="s">
        <v>30</v>
      </c>
      <c r="C23" s="37" t="s">
        <v>177</v>
      </c>
      <c r="D23" s="45">
        <v>134</v>
      </c>
      <c r="E23" s="35"/>
      <c r="F23" s="48"/>
      <c r="G23" s="48"/>
      <c r="H23" s="281"/>
      <c r="J23" s="237"/>
    </row>
    <row r="24" spans="1:10" s="6" customFormat="1" ht="20.25" customHeight="1">
      <c r="A24" s="45">
        <v>5</v>
      </c>
      <c r="B24" s="36" t="s">
        <v>31</v>
      </c>
      <c r="C24" s="37" t="s">
        <v>794</v>
      </c>
      <c r="D24" s="45">
        <v>135</v>
      </c>
      <c r="E24" s="35"/>
      <c r="F24" s="48"/>
      <c r="G24" s="48"/>
      <c r="H24" s="281"/>
      <c r="J24" s="237"/>
    </row>
    <row r="25" spans="1:10" s="1" customFormat="1" ht="20.25" customHeight="1">
      <c r="A25" s="45">
        <v>6</v>
      </c>
      <c r="B25" s="46" t="s">
        <v>32</v>
      </c>
      <c r="C25" s="47" t="s">
        <v>795</v>
      </c>
      <c r="D25" s="45">
        <v>136</v>
      </c>
      <c r="E25" s="35"/>
      <c r="F25" s="48">
        <v>0</v>
      </c>
      <c r="G25" s="48">
        <v>0</v>
      </c>
      <c r="H25" s="281"/>
      <c r="I25" s="236"/>
      <c r="J25" s="237"/>
    </row>
    <row r="26" spans="1:10" s="6" customFormat="1" ht="18.75" customHeight="1">
      <c r="A26" s="45">
        <v>7</v>
      </c>
      <c r="B26" s="36" t="s">
        <v>33</v>
      </c>
      <c r="C26" s="37" t="s">
        <v>796</v>
      </c>
      <c r="D26" s="45">
        <v>137</v>
      </c>
      <c r="E26" s="35" t="s">
        <v>846</v>
      </c>
      <c r="F26" s="48">
        <v>-3766404730</v>
      </c>
      <c r="G26" s="48">
        <v>-3766404730</v>
      </c>
      <c r="H26" s="281" t="s">
        <v>148</v>
      </c>
      <c r="I26" s="238"/>
      <c r="J26" s="237"/>
    </row>
    <row r="27" spans="1:10" s="6" customFormat="1" ht="20.25" customHeight="1">
      <c r="A27" s="45">
        <v>8</v>
      </c>
      <c r="B27" s="36" t="s">
        <v>34</v>
      </c>
      <c r="C27" s="37" t="s">
        <v>797</v>
      </c>
      <c r="D27" s="45">
        <v>139</v>
      </c>
      <c r="E27" s="35"/>
      <c r="F27" s="48"/>
      <c r="G27" s="48"/>
      <c r="H27" s="281"/>
      <c r="J27" s="237"/>
    </row>
    <row r="28" spans="1:10" s="1" customFormat="1" ht="20.25" customHeight="1">
      <c r="A28" s="268" t="s">
        <v>35</v>
      </c>
      <c r="B28" s="273" t="s">
        <v>36</v>
      </c>
      <c r="C28" s="277" t="s">
        <v>178</v>
      </c>
      <c r="D28" s="268">
        <v>140</v>
      </c>
      <c r="E28" s="35"/>
      <c r="F28" s="51">
        <v>0</v>
      </c>
      <c r="G28" s="51">
        <v>1863554838</v>
      </c>
      <c r="H28" s="398" t="s">
        <v>148</v>
      </c>
      <c r="J28" s="237"/>
    </row>
    <row r="29" spans="1:10" s="1" customFormat="1" ht="17.25" customHeight="1">
      <c r="A29" s="45" t="s">
        <v>12</v>
      </c>
      <c r="B29" s="46" t="s">
        <v>37</v>
      </c>
      <c r="C29" s="47" t="s">
        <v>179</v>
      </c>
      <c r="D29" s="45">
        <v>141</v>
      </c>
      <c r="E29" s="35" t="s">
        <v>715</v>
      </c>
      <c r="F29" s="48">
        <v>0</v>
      </c>
      <c r="G29" s="48">
        <v>1863554838</v>
      </c>
      <c r="H29" s="281" t="s">
        <v>148</v>
      </c>
      <c r="I29" s="236"/>
      <c r="J29" s="237"/>
    </row>
    <row r="30" spans="1:10" s="6" customFormat="1" ht="20.25" customHeight="1">
      <c r="A30" s="35" t="s">
        <v>13</v>
      </c>
      <c r="B30" s="36" t="s">
        <v>38</v>
      </c>
      <c r="C30" s="37" t="s">
        <v>180</v>
      </c>
      <c r="D30" s="45">
        <v>149</v>
      </c>
      <c r="E30" s="35"/>
      <c r="F30" s="48">
        <v>0</v>
      </c>
      <c r="G30" s="48">
        <v>0</v>
      </c>
      <c r="H30" s="281"/>
      <c r="I30" s="238"/>
      <c r="J30" s="237"/>
    </row>
    <row r="31" spans="1:10" s="1" customFormat="1" ht="28.5">
      <c r="A31" s="268" t="s">
        <v>39</v>
      </c>
      <c r="B31" s="273" t="s">
        <v>40</v>
      </c>
      <c r="C31" s="277" t="s">
        <v>181</v>
      </c>
      <c r="D31" s="268">
        <v>150</v>
      </c>
      <c r="E31" s="35"/>
      <c r="F31" s="51">
        <v>84731716</v>
      </c>
      <c r="G31" s="51">
        <v>182584863</v>
      </c>
      <c r="H31" s="398" t="s">
        <v>148</v>
      </c>
      <c r="J31" s="237"/>
    </row>
    <row r="32" spans="1:10" s="1" customFormat="1" ht="19.5" customHeight="1">
      <c r="A32" s="45">
        <v>1</v>
      </c>
      <c r="B32" s="46" t="s">
        <v>41</v>
      </c>
      <c r="C32" s="47" t="s">
        <v>798</v>
      </c>
      <c r="D32" s="45">
        <v>151</v>
      </c>
      <c r="E32" s="35" t="s">
        <v>847</v>
      </c>
      <c r="F32" s="48">
        <v>16727359</v>
      </c>
      <c r="G32" s="48">
        <v>114580506</v>
      </c>
      <c r="H32" s="281" t="s">
        <v>148</v>
      </c>
      <c r="I32" s="236"/>
      <c r="J32" s="237"/>
    </row>
    <row r="33" spans="1:10" s="1" customFormat="1" ht="21" customHeight="1">
      <c r="A33" s="45">
        <v>2</v>
      </c>
      <c r="B33" s="46" t="s">
        <v>42</v>
      </c>
      <c r="C33" s="47" t="s">
        <v>182</v>
      </c>
      <c r="D33" s="45">
        <v>152</v>
      </c>
      <c r="E33" s="35" t="s">
        <v>716</v>
      </c>
      <c r="F33" s="48">
        <v>0</v>
      </c>
      <c r="G33" s="48">
        <v>0</v>
      </c>
      <c r="H33" s="281"/>
      <c r="J33" s="237"/>
    </row>
    <row r="34" spans="1:10" s="1" customFormat="1" ht="19.5" customHeight="1">
      <c r="A34" s="45">
        <v>3</v>
      </c>
      <c r="B34" s="46" t="s">
        <v>43</v>
      </c>
      <c r="C34" s="47" t="s">
        <v>183</v>
      </c>
      <c r="D34" s="45">
        <v>153</v>
      </c>
      <c r="E34" s="35" t="s">
        <v>717</v>
      </c>
      <c r="F34" s="48">
        <v>68004357</v>
      </c>
      <c r="G34" s="48">
        <v>68004357</v>
      </c>
      <c r="H34" s="281" t="s">
        <v>148</v>
      </c>
      <c r="I34" s="236"/>
      <c r="J34" s="237"/>
    </row>
    <row r="35" spans="1:10" s="6" customFormat="1" ht="21" customHeight="1">
      <c r="A35" s="35">
        <v>4</v>
      </c>
      <c r="B35" s="36" t="s">
        <v>44</v>
      </c>
      <c r="C35" s="37" t="s">
        <v>799</v>
      </c>
      <c r="D35" s="45">
        <v>154</v>
      </c>
      <c r="E35" s="35"/>
      <c r="F35" s="48"/>
      <c r="G35" s="48"/>
      <c r="H35" s="281"/>
      <c r="J35" s="237"/>
    </row>
    <row r="36" spans="1:10" s="6" customFormat="1" ht="21" customHeight="1">
      <c r="A36" s="35">
        <v>5</v>
      </c>
      <c r="B36" s="36" t="s">
        <v>45</v>
      </c>
      <c r="C36" s="37" t="s">
        <v>800</v>
      </c>
      <c r="D36" s="45">
        <v>155</v>
      </c>
      <c r="E36" s="35"/>
      <c r="F36" s="48"/>
      <c r="G36" s="48"/>
      <c r="H36" s="281"/>
      <c r="J36" s="237"/>
    </row>
    <row r="37" spans="1:10" s="1" customFormat="1" ht="28.5">
      <c r="A37" s="268" t="s">
        <v>46</v>
      </c>
      <c r="B37" s="273" t="s">
        <v>47</v>
      </c>
      <c r="C37" s="47" t="s">
        <v>184</v>
      </c>
      <c r="D37" s="268">
        <v>200</v>
      </c>
      <c r="E37" s="35"/>
      <c r="F37" s="51">
        <v>1180725012</v>
      </c>
      <c r="G37" s="51">
        <v>1610698456</v>
      </c>
      <c r="H37" s="398" t="s">
        <v>148</v>
      </c>
      <c r="J37" s="237"/>
    </row>
    <row r="38" spans="1:10" s="6" customFormat="1" ht="25.5">
      <c r="A38" s="269" t="s">
        <v>22</v>
      </c>
      <c r="B38" s="278" t="s">
        <v>48</v>
      </c>
      <c r="C38" s="276" t="s">
        <v>185</v>
      </c>
      <c r="D38" s="268">
        <v>210</v>
      </c>
      <c r="E38" s="269"/>
      <c r="F38" s="51">
        <v>0</v>
      </c>
      <c r="G38" s="51">
        <v>0</v>
      </c>
      <c r="H38" s="398"/>
      <c r="J38" s="237"/>
    </row>
    <row r="39" spans="1:10" s="6" customFormat="1" ht="21.75" customHeight="1">
      <c r="A39" s="35">
        <v>1</v>
      </c>
      <c r="B39" s="36" t="s">
        <v>49</v>
      </c>
      <c r="C39" s="37" t="s">
        <v>186</v>
      </c>
      <c r="D39" s="45">
        <v>211</v>
      </c>
      <c r="E39" s="35"/>
      <c r="F39" s="48"/>
      <c r="G39" s="48"/>
      <c r="H39" s="281"/>
      <c r="J39" s="237"/>
    </row>
    <row r="40" spans="1:10" s="6" customFormat="1" ht="21.75" customHeight="1">
      <c r="A40" s="35">
        <v>2</v>
      </c>
      <c r="B40" s="36" t="s">
        <v>50</v>
      </c>
      <c r="C40" s="37" t="s">
        <v>801</v>
      </c>
      <c r="D40" s="45">
        <v>212</v>
      </c>
      <c r="E40" s="35"/>
      <c r="F40" s="48">
        <v>0</v>
      </c>
      <c r="G40" s="48"/>
      <c r="H40" s="281"/>
      <c r="J40" s="237"/>
    </row>
    <row r="41" spans="1:10" s="6" customFormat="1" ht="21.75" customHeight="1">
      <c r="A41" s="35">
        <v>3</v>
      </c>
      <c r="B41" s="36" t="s">
        <v>51</v>
      </c>
      <c r="C41" s="37" t="s">
        <v>802</v>
      </c>
      <c r="D41" s="45">
        <v>213</v>
      </c>
      <c r="E41" s="35"/>
      <c r="F41" s="48"/>
      <c r="G41" s="48"/>
      <c r="H41" s="281"/>
      <c r="J41" s="237"/>
    </row>
    <row r="42" spans="1:10" s="6" customFormat="1" ht="21.75" customHeight="1">
      <c r="A42" s="35">
        <v>4</v>
      </c>
      <c r="B42" s="36" t="s">
        <v>52</v>
      </c>
      <c r="C42" s="37" t="s">
        <v>803</v>
      </c>
      <c r="D42" s="45">
        <v>214</v>
      </c>
      <c r="E42" s="35"/>
      <c r="F42" s="48"/>
      <c r="G42" s="48"/>
      <c r="H42" s="281"/>
      <c r="J42" s="237"/>
    </row>
    <row r="43" spans="1:10" s="6" customFormat="1" ht="21.75" customHeight="1">
      <c r="A43" s="35">
        <v>5</v>
      </c>
      <c r="B43" s="36" t="s">
        <v>53</v>
      </c>
      <c r="C43" s="37" t="s">
        <v>804</v>
      </c>
      <c r="D43" s="45">
        <v>215</v>
      </c>
      <c r="E43" s="35"/>
      <c r="F43" s="48"/>
      <c r="G43" s="48"/>
      <c r="H43" s="281"/>
      <c r="J43" s="237"/>
    </row>
    <row r="44" spans="1:10" s="6" customFormat="1" ht="21.75" customHeight="1">
      <c r="A44" s="35">
        <v>6</v>
      </c>
      <c r="B44" s="36" t="s">
        <v>54</v>
      </c>
      <c r="C44" s="37" t="s">
        <v>805</v>
      </c>
      <c r="D44" s="45">
        <v>216</v>
      </c>
      <c r="E44" s="35"/>
      <c r="F44" s="48"/>
      <c r="G44" s="48"/>
      <c r="H44" s="281"/>
      <c r="J44" s="237"/>
    </row>
    <row r="45" spans="1:10" s="6" customFormat="1" ht="21.75" customHeight="1">
      <c r="A45" s="35">
        <v>7</v>
      </c>
      <c r="B45" s="36" t="s">
        <v>55</v>
      </c>
      <c r="C45" s="37" t="s">
        <v>806</v>
      </c>
      <c r="D45" s="45">
        <v>219</v>
      </c>
      <c r="E45" s="35"/>
      <c r="F45" s="48"/>
      <c r="G45" s="48"/>
      <c r="H45" s="281"/>
      <c r="J45" s="237"/>
    </row>
    <row r="46" spans="1:10" s="1" customFormat="1" ht="20.25" customHeight="1">
      <c r="A46" s="268" t="s">
        <v>24</v>
      </c>
      <c r="B46" s="273" t="s">
        <v>56</v>
      </c>
      <c r="C46" s="277" t="s">
        <v>187</v>
      </c>
      <c r="D46" s="268">
        <v>220</v>
      </c>
      <c r="E46" s="269"/>
      <c r="F46" s="51">
        <v>1174754689</v>
      </c>
      <c r="G46" s="51">
        <v>1604042485</v>
      </c>
      <c r="H46" s="398" t="s">
        <v>148</v>
      </c>
      <c r="J46" s="237"/>
    </row>
    <row r="47" spans="1:10" s="1" customFormat="1" ht="20.25" customHeight="1">
      <c r="A47" s="45">
        <v>1</v>
      </c>
      <c r="B47" s="46" t="s">
        <v>57</v>
      </c>
      <c r="C47" s="47" t="s">
        <v>188</v>
      </c>
      <c r="D47" s="45">
        <v>221</v>
      </c>
      <c r="E47" s="35" t="s">
        <v>848</v>
      </c>
      <c r="F47" s="48">
        <v>1174754689</v>
      </c>
      <c r="G47" s="48">
        <v>1604042485</v>
      </c>
      <c r="H47" s="281" t="s">
        <v>148</v>
      </c>
      <c r="I47" s="236"/>
      <c r="J47" s="237"/>
    </row>
    <row r="48" spans="1:10" s="1" customFormat="1" ht="20.25" customHeight="1">
      <c r="A48" s="45" t="s">
        <v>58</v>
      </c>
      <c r="B48" s="46" t="s">
        <v>59</v>
      </c>
      <c r="C48" s="47" t="s">
        <v>189</v>
      </c>
      <c r="D48" s="45">
        <v>222</v>
      </c>
      <c r="E48" s="35"/>
      <c r="F48" s="48">
        <v>3517239273</v>
      </c>
      <c r="G48" s="48">
        <v>3517239273</v>
      </c>
      <c r="H48" s="281" t="s">
        <v>148</v>
      </c>
      <c r="I48" s="236"/>
      <c r="J48" s="237"/>
    </row>
    <row r="49" spans="1:10" s="6" customFormat="1" ht="20.25" customHeight="1">
      <c r="A49" s="35" t="s">
        <v>58</v>
      </c>
      <c r="B49" s="36" t="s">
        <v>60</v>
      </c>
      <c r="C49" s="37" t="s">
        <v>190</v>
      </c>
      <c r="D49" s="45">
        <v>223</v>
      </c>
      <c r="E49" s="35"/>
      <c r="F49" s="48">
        <v>-2342484584</v>
      </c>
      <c r="G49" s="48">
        <v>-1913196788</v>
      </c>
      <c r="H49" s="281" t="s">
        <v>148</v>
      </c>
      <c r="I49" s="238"/>
      <c r="J49" s="237"/>
    </row>
    <row r="50" spans="1:10" s="6" customFormat="1" ht="21" customHeight="1">
      <c r="A50" s="35">
        <v>2</v>
      </c>
      <c r="B50" s="36" t="s">
        <v>61</v>
      </c>
      <c r="C50" s="37" t="s">
        <v>191</v>
      </c>
      <c r="D50" s="45">
        <v>224</v>
      </c>
      <c r="E50" s="35"/>
      <c r="F50" s="48">
        <v>0</v>
      </c>
      <c r="G50" s="48">
        <v>0</v>
      </c>
      <c r="H50" s="281"/>
      <c r="J50" s="237"/>
    </row>
    <row r="51" spans="1:10" s="6" customFormat="1" ht="21" customHeight="1">
      <c r="A51" s="35" t="s">
        <v>58</v>
      </c>
      <c r="B51" s="36" t="s">
        <v>59</v>
      </c>
      <c r="C51" s="37" t="s">
        <v>189</v>
      </c>
      <c r="D51" s="45">
        <v>225</v>
      </c>
      <c r="E51" s="35"/>
      <c r="F51" s="48"/>
      <c r="G51" s="48"/>
      <c r="H51" s="281"/>
      <c r="J51" s="237"/>
    </row>
    <row r="52" spans="1:10" s="6" customFormat="1" ht="21" customHeight="1">
      <c r="A52" s="35" t="s">
        <v>58</v>
      </c>
      <c r="B52" s="36" t="s">
        <v>60</v>
      </c>
      <c r="C52" s="37" t="s">
        <v>190</v>
      </c>
      <c r="D52" s="45">
        <v>226</v>
      </c>
      <c r="E52" s="35"/>
      <c r="F52" s="48"/>
      <c r="G52" s="48"/>
      <c r="H52" s="281"/>
      <c r="J52" s="237"/>
    </row>
    <row r="53" spans="1:10" s="6" customFormat="1" ht="21" customHeight="1">
      <c r="A53" s="35">
        <v>3</v>
      </c>
      <c r="B53" s="36" t="s">
        <v>62</v>
      </c>
      <c r="C53" s="37" t="s">
        <v>192</v>
      </c>
      <c r="D53" s="45">
        <v>227</v>
      </c>
      <c r="E53" s="35"/>
      <c r="F53" s="48">
        <v>0</v>
      </c>
      <c r="G53" s="48">
        <v>0</v>
      </c>
      <c r="H53" s="281"/>
      <c r="J53" s="237"/>
    </row>
    <row r="54" spans="1:10" s="6" customFormat="1" ht="21" customHeight="1">
      <c r="A54" s="35" t="s">
        <v>58</v>
      </c>
      <c r="B54" s="36" t="s">
        <v>59</v>
      </c>
      <c r="C54" s="37" t="s">
        <v>189</v>
      </c>
      <c r="D54" s="45">
        <v>228</v>
      </c>
      <c r="E54" s="35"/>
      <c r="F54" s="48"/>
      <c r="G54" s="48"/>
      <c r="H54" s="281"/>
      <c r="J54" s="237"/>
    </row>
    <row r="55" spans="1:10" s="6" customFormat="1" ht="21" customHeight="1">
      <c r="A55" s="35" t="s">
        <v>58</v>
      </c>
      <c r="B55" s="36" t="s">
        <v>60</v>
      </c>
      <c r="C55" s="37" t="s">
        <v>190</v>
      </c>
      <c r="D55" s="45">
        <v>229</v>
      </c>
      <c r="E55" s="35"/>
      <c r="F55" s="48"/>
      <c r="G55" s="48"/>
      <c r="H55" s="281"/>
      <c r="J55" s="237"/>
    </row>
    <row r="56" spans="1:10" s="6" customFormat="1" ht="21" customHeight="1">
      <c r="A56" s="269" t="s">
        <v>28</v>
      </c>
      <c r="B56" s="275" t="s">
        <v>64</v>
      </c>
      <c r="C56" s="276" t="s">
        <v>193</v>
      </c>
      <c r="D56" s="268">
        <v>230</v>
      </c>
      <c r="E56" s="269"/>
      <c r="F56" s="48"/>
      <c r="G56" s="48"/>
      <c r="H56" s="281"/>
      <c r="J56" s="237"/>
    </row>
    <row r="57" spans="1:10" s="6" customFormat="1" ht="19.5" customHeight="1">
      <c r="A57" s="35" t="s">
        <v>58</v>
      </c>
      <c r="B57" s="36" t="s">
        <v>59</v>
      </c>
      <c r="C57" s="37" t="s">
        <v>189</v>
      </c>
      <c r="D57" s="45">
        <v>231</v>
      </c>
      <c r="E57" s="35"/>
      <c r="F57" s="48"/>
      <c r="G57" s="48"/>
      <c r="H57" s="281"/>
      <c r="J57" s="237"/>
    </row>
    <row r="58" spans="1:10" s="6" customFormat="1" ht="19.5" customHeight="1">
      <c r="A58" s="35" t="s">
        <v>58</v>
      </c>
      <c r="B58" s="36" t="s">
        <v>60</v>
      </c>
      <c r="C58" s="37" t="s">
        <v>190</v>
      </c>
      <c r="D58" s="45">
        <v>232</v>
      </c>
      <c r="E58" s="35"/>
      <c r="F58" s="48"/>
      <c r="G58" s="48"/>
      <c r="H58" s="281"/>
      <c r="J58" s="237"/>
    </row>
    <row r="59" spans="1:10" s="1" customFormat="1" ht="24" customHeight="1">
      <c r="A59" s="268" t="s">
        <v>35</v>
      </c>
      <c r="B59" s="273" t="s">
        <v>65</v>
      </c>
      <c r="C59" s="277" t="s">
        <v>807</v>
      </c>
      <c r="D59" s="268">
        <v>240</v>
      </c>
      <c r="E59" s="269"/>
      <c r="F59" s="48">
        <v>0</v>
      </c>
      <c r="G59" s="48">
        <v>0</v>
      </c>
      <c r="H59" s="281"/>
      <c r="J59" s="237"/>
    </row>
    <row r="60" spans="1:10" s="6" customFormat="1" ht="19.5" customHeight="1">
      <c r="A60" s="35">
        <v>1</v>
      </c>
      <c r="B60" s="36" t="s">
        <v>66</v>
      </c>
      <c r="C60" s="37" t="s">
        <v>225</v>
      </c>
      <c r="D60" s="45">
        <v>241</v>
      </c>
      <c r="E60" s="35"/>
      <c r="F60" s="48"/>
      <c r="G60" s="48"/>
      <c r="H60" s="281"/>
      <c r="J60" s="237"/>
    </row>
    <row r="61" spans="1:10" s="1" customFormat="1" ht="19.5" customHeight="1">
      <c r="A61" s="45">
        <v>2</v>
      </c>
      <c r="B61" s="46" t="s">
        <v>67</v>
      </c>
      <c r="C61" s="47" t="s">
        <v>217</v>
      </c>
      <c r="D61" s="45">
        <v>242</v>
      </c>
      <c r="E61" s="35"/>
      <c r="F61" s="48"/>
      <c r="G61" s="48"/>
      <c r="H61" s="281"/>
      <c r="J61" s="237"/>
    </row>
    <row r="62" spans="1:10" s="6" customFormat="1" ht="26.25" customHeight="1">
      <c r="A62" s="269" t="s">
        <v>39</v>
      </c>
      <c r="B62" s="275" t="s">
        <v>68</v>
      </c>
      <c r="C62" s="276" t="s">
        <v>809</v>
      </c>
      <c r="D62" s="268">
        <v>250</v>
      </c>
      <c r="E62" s="269"/>
      <c r="F62" s="48">
        <v>0</v>
      </c>
      <c r="G62" s="48">
        <v>0</v>
      </c>
      <c r="H62" s="281"/>
      <c r="J62" s="237"/>
    </row>
    <row r="63" spans="1:10" s="6" customFormat="1" ht="21.75" customHeight="1">
      <c r="A63" s="35">
        <v>1</v>
      </c>
      <c r="B63" s="36" t="s">
        <v>69</v>
      </c>
      <c r="C63" s="37" t="s">
        <v>194</v>
      </c>
      <c r="D63" s="45">
        <v>251</v>
      </c>
      <c r="E63" s="35"/>
      <c r="F63" s="48"/>
      <c r="G63" s="48"/>
      <c r="H63" s="281"/>
      <c r="J63" s="237"/>
    </row>
    <row r="64" spans="1:10" s="6" customFormat="1" ht="21.75" customHeight="1">
      <c r="A64" s="35">
        <v>2</v>
      </c>
      <c r="B64" s="36" t="s">
        <v>70</v>
      </c>
      <c r="C64" s="37" t="s">
        <v>195</v>
      </c>
      <c r="D64" s="45">
        <v>252</v>
      </c>
      <c r="E64" s="35"/>
      <c r="F64" s="48"/>
      <c r="G64" s="48"/>
      <c r="H64" s="281"/>
      <c r="J64" s="237"/>
    </row>
    <row r="65" spans="1:22" s="6" customFormat="1" ht="21.75" customHeight="1">
      <c r="A65" s="35">
        <v>3</v>
      </c>
      <c r="B65" s="36" t="s">
        <v>71</v>
      </c>
      <c r="C65" s="37" t="s">
        <v>196</v>
      </c>
      <c r="D65" s="45">
        <v>253</v>
      </c>
      <c r="E65" s="35"/>
      <c r="F65" s="48"/>
      <c r="G65" s="48"/>
      <c r="H65" s="281"/>
      <c r="J65" s="237"/>
    </row>
    <row r="66" spans="1:22" s="6" customFormat="1" ht="21.75" customHeight="1">
      <c r="A66" s="35">
        <v>4</v>
      </c>
      <c r="B66" s="36" t="s">
        <v>72</v>
      </c>
      <c r="C66" s="37" t="s">
        <v>197</v>
      </c>
      <c r="D66" s="45">
        <v>254</v>
      </c>
      <c r="E66" s="35"/>
      <c r="F66" s="48"/>
      <c r="G66" s="48"/>
      <c r="H66" s="281"/>
      <c r="J66" s="237"/>
    </row>
    <row r="67" spans="1:22" s="6" customFormat="1" ht="21.75" customHeight="1">
      <c r="A67" s="35">
        <v>5</v>
      </c>
      <c r="B67" s="36" t="s">
        <v>73</v>
      </c>
      <c r="C67" s="37" t="s">
        <v>810</v>
      </c>
      <c r="D67" s="45">
        <v>255</v>
      </c>
      <c r="E67" s="35"/>
      <c r="F67" s="48"/>
      <c r="G67" s="48"/>
      <c r="H67" s="281"/>
      <c r="J67" s="237"/>
    </row>
    <row r="68" spans="1:22" s="49" customFormat="1" ht="20.25" customHeight="1">
      <c r="A68" s="268" t="s">
        <v>74</v>
      </c>
      <c r="B68" s="273" t="s">
        <v>75</v>
      </c>
      <c r="C68" s="277" t="s">
        <v>811</v>
      </c>
      <c r="D68" s="268">
        <v>260</v>
      </c>
      <c r="E68" s="35"/>
      <c r="F68" s="51">
        <v>5970323</v>
      </c>
      <c r="G68" s="51">
        <v>6655971</v>
      </c>
      <c r="H68" s="398" t="s">
        <v>148</v>
      </c>
      <c r="I68" s="1"/>
      <c r="J68" s="23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s="50" customFormat="1" ht="20.25" customHeight="1">
      <c r="A69" s="45" t="s">
        <v>12</v>
      </c>
      <c r="B69" s="46" t="s">
        <v>76</v>
      </c>
      <c r="C69" s="47" t="s">
        <v>808</v>
      </c>
      <c r="D69" s="45">
        <v>261</v>
      </c>
      <c r="E69" s="35" t="s">
        <v>849</v>
      </c>
      <c r="F69" s="48">
        <v>5970323</v>
      </c>
      <c r="G69" s="48">
        <v>6655971</v>
      </c>
      <c r="H69" s="281" t="s">
        <v>148</v>
      </c>
      <c r="I69" s="236"/>
      <c r="J69" s="23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s="6" customFormat="1" ht="19.5" customHeight="1">
      <c r="A70" s="35" t="s">
        <v>13</v>
      </c>
      <c r="B70" s="36" t="s">
        <v>77</v>
      </c>
      <c r="C70" s="37" t="s">
        <v>198</v>
      </c>
      <c r="D70" s="45">
        <v>262</v>
      </c>
      <c r="E70" s="35"/>
      <c r="F70" s="48"/>
      <c r="G70" s="48"/>
      <c r="H70" s="281"/>
      <c r="J70" s="237"/>
    </row>
    <row r="71" spans="1:22" s="6" customFormat="1" ht="19.5" customHeight="1">
      <c r="A71" s="35">
        <v>3</v>
      </c>
      <c r="B71" s="36" t="s">
        <v>78</v>
      </c>
      <c r="C71" s="37"/>
      <c r="D71" s="45">
        <v>263</v>
      </c>
      <c r="E71" s="35"/>
      <c r="F71" s="48"/>
      <c r="G71" s="48"/>
      <c r="H71" s="281"/>
      <c r="J71" s="237"/>
    </row>
    <row r="72" spans="1:22" s="6" customFormat="1" ht="19.5" customHeight="1">
      <c r="A72" s="40">
        <v>4</v>
      </c>
      <c r="B72" s="41" t="s">
        <v>80</v>
      </c>
      <c r="C72" s="42" t="s">
        <v>812</v>
      </c>
      <c r="D72" s="272">
        <v>268</v>
      </c>
      <c r="E72" s="40" t="s">
        <v>79</v>
      </c>
      <c r="F72" s="264"/>
      <c r="G72" s="264"/>
      <c r="H72" s="281"/>
      <c r="J72" s="237"/>
    </row>
    <row r="73" spans="1:22" s="52" customFormat="1" ht="21" customHeight="1">
      <c r="A73" s="424" t="s">
        <v>81</v>
      </c>
      <c r="B73" s="425"/>
      <c r="C73" s="244" t="s">
        <v>199</v>
      </c>
      <c r="D73" s="243">
        <v>270</v>
      </c>
      <c r="E73" s="245"/>
      <c r="F73" s="246">
        <v>4700412218</v>
      </c>
      <c r="G73" s="246">
        <v>8567218298</v>
      </c>
      <c r="H73" s="399" t="s">
        <v>148</v>
      </c>
      <c r="I73" s="239"/>
      <c r="J73" s="237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s="34" customFormat="1" ht="22.5" customHeight="1">
      <c r="A74" s="389"/>
      <c r="B74" s="390" t="s">
        <v>82</v>
      </c>
      <c r="C74" s="390" t="s">
        <v>837</v>
      </c>
      <c r="D74" s="391"/>
      <c r="E74" s="392"/>
      <c r="F74" s="393"/>
      <c r="G74" s="393"/>
      <c r="H74" s="400" t="s">
        <v>148</v>
      </c>
      <c r="I74" s="6"/>
      <c r="J74" s="237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s="1" customFormat="1" ht="22.5" customHeight="1">
      <c r="A75" s="270" t="s">
        <v>20</v>
      </c>
      <c r="B75" s="274" t="s">
        <v>83</v>
      </c>
      <c r="C75" s="282" t="s">
        <v>200</v>
      </c>
      <c r="D75" s="270">
        <v>300</v>
      </c>
      <c r="E75" s="44"/>
      <c r="F75" s="235">
        <v>11046388282</v>
      </c>
      <c r="G75" s="235">
        <v>12013592344</v>
      </c>
      <c r="H75" s="398" t="s">
        <v>148</v>
      </c>
      <c r="J75" s="237"/>
    </row>
    <row r="76" spans="1:22" s="1" customFormat="1" ht="28.5">
      <c r="A76" s="268" t="s">
        <v>22</v>
      </c>
      <c r="B76" s="273" t="s">
        <v>84</v>
      </c>
      <c r="C76" s="277" t="s">
        <v>201</v>
      </c>
      <c r="D76" s="268">
        <v>310</v>
      </c>
      <c r="E76" s="35"/>
      <c r="F76" s="51">
        <v>11046388282</v>
      </c>
      <c r="G76" s="51">
        <v>11494734545</v>
      </c>
      <c r="H76" s="398" t="s">
        <v>148</v>
      </c>
      <c r="J76" s="237"/>
    </row>
    <row r="77" spans="1:22" s="1" customFormat="1" ht="17.25" customHeight="1">
      <c r="A77" s="45">
        <v>1</v>
      </c>
      <c r="B77" s="46" t="s">
        <v>85</v>
      </c>
      <c r="C77" s="47" t="s">
        <v>218</v>
      </c>
      <c r="D77" s="45">
        <v>311</v>
      </c>
      <c r="E77" s="35" t="s">
        <v>716</v>
      </c>
      <c r="F77" s="48">
        <v>7780782410</v>
      </c>
      <c r="G77" s="48">
        <v>8096616642</v>
      </c>
      <c r="H77" s="281" t="s">
        <v>148</v>
      </c>
      <c r="I77" s="236"/>
      <c r="J77" s="237"/>
    </row>
    <row r="78" spans="1:22" s="6" customFormat="1" ht="19.5" customHeight="1">
      <c r="A78" s="35">
        <v>2</v>
      </c>
      <c r="B78" s="36" t="s">
        <v>86</v>
      </c>
      <c r="C78" s="37" t="s">
        <v>813</v>
      </c>
      <c r="D78" s="45">
        <v>312</v>
      </c>
      <c r="E78" s="35"/>
      <c r="F78" s="48">
        <v>0</v>
      </c>
      <c r="G78" s="48">
        <v>0</v>
      </c>
      <c r="H78" s="281"/>
      <c r="J78" s="237"/>
    </row>
    <row r="79" spans="1:22" s="1" customFormat="1" ht="17.25" customHeight="1">
      <c r="A79" s="45">
        <v>3</v>
      </c>
      <c r="B79" s="46" t="s">
        <v>87</v>
      </c>
      <c r="C79" s="47" t="s">
        <v>219</v>
      </c>
      <c r="D79" s="45">
        <v>313</v>
      </c>
      <c r="E79" s="35" t="s">
        <v>717</v>
      </c>
      <c r="F79" s="48">
        <v>23229829</v>
      </c>
      <c r="G79" s="48">
        <v>26345886</v>
      </c>
      <c r="H79" s="281" t="s">
        <v>148</v>
      </c>
      <c r="I79" s="236"/>
      <c r="J79" s="237"/>
    </row>
    <row r="80" spans="1:22" s="1" customFormat="1" ht="17.25" customHeight="1">
      <c r="A80" s="45">
        <v>4</v>
      </c>
      <c r="B80" s="46" t="s">
        <v>88</v>
      </c>
      <c r="C80" s="47" t="s">
        <v>220</v>
      </c>
      <c r="D80" s="45">
        <v>314</v>
      </c>
      <c r="E80" s="35" t="s">
        <v>718</v>
      </c>
      <c r="F80" s="48">
        <v>0</v>
      </c>
      <c r="G80" s="48">
        <v>190616509</v>
      </c>
      <c r="H80" s="281" t="s">
        <v>148</v>
      </c>
      <c r="I80" s="236"/>
      <c r="J80" s="237"/>
    </row>
    <row r="81" spans="1:10" s="6" customFormat="1" ht="19.5" customHeight="1">
      <c r="A81" s="35">
        <v>5</v>
      </c>
      <c r="B81" s="36" t="s">
        <v>89</v>
      </c>
      <c r="C81" s="37" t="s">
        <v>221</v>
      </c>
      <c r="D81" s="45">
        <v>315</v>
      </c>
      <c r="E81" s="35"/>
      <c r="F81" s="48"/>
      <c r="G81" s="48"/>
      <c r="H81" s="281"/>
      <c r="J81" s="237"/>
    </row>
    <row r="82" spans="1:10" s="6" customFormat="1" ht="19.5" customHeight="1">
      <c r="A82" s="35">
        <v>6</v>
      </c>
      <c r="B82" s="36" t="s">
        <v>90</v>
      </c>
      <c r="C82" s="37" t="s">
        <v>226</v>
      </c>
      <c r="D82" s="45">
        <v>316</v>
      </c>
      <c r="E82" s="35"/>
      <c r="F82" s="48"/>
      <c r="G82" s="48"/>
      <c r="H82" s="281"/>
      <c r="J82" s="237"/>
    </row>
    <row r="83" spans="1:10" s="6" customFormat="1" ht="19.5" customHeight="1">
      <c r="A83" s="35">
        <v>7</v>
      </c>
      <c r="B83" s="36" t="s">
        <v>91</v>
      </c>
      <c r="C83" s="37" t="s">
        <v>227</v>
      </c>
      <c r="D83" s="45">
        <v>317</v>
      </c>
      <c r="E83" s="35"/>
      <c r="F83" s="48"/>
      <c r="G83" s="48"/>
      <c r="H83" s="281"/>
      <c r="J83" s="237"/>
    </row>
    <row r="84" spans="1:10" s="6" customFormat="1" ht="19.5" customHeight="1">
      <c r="A84" s="35">
        <v>8</v>
      </c>
      <c r="B84" s="36" t="s">
        <v>92</v>
      </c>
      <c r="C84" s="37" t="s">
        <v>814</v>
      </c>
      <c r="D84" s="45">
        <v>318</v>
      </c>
      <c r="E84" s="35"/>
      <c r="F84" s="48"/>
      <c r="G84" s="48"/>
      <c r="H84" s="281"/>
      <c r="J84" s="237"/>
    </row>
    <row r="85" spans="1:10" s="1" customFormat="1" ht="17.25" customHeight="1">
      <c r="A85" s="45">
        <v>9</v>
      </c>
      <c r="B85" s="46" t="s">
        <v>93</v>
      </c>
      <c r="C85" s="47" t="s">
        <v>815</v>
      </c>
      <c r="D85" s="45">
        <v>319</v>
      </c>
      <c r="E85" s="35" t="s">
        <v>719</v>
      </c>
      <c r="F85" s="48">
        <v>2800000000</v>
      </c>
      <c r="G85" s="48">
        <v>2800000000</v>
      </c>
      <c r="H85" s="281" t="s">
        <v>148</v>
      </c>
      <c r="I85" s="236"/>
      <c r="J85" s="237"/>
    </row>
    <row r="86" spans="1:10" s="262" customFormat="1" ht="17.25" customHeight="1">
      <c r="A86" s="247">
        <v>10</v>
      </c>
      <c r="B86" s="248" t="s">
        <v>94</v>
      </c>
      <c r="C86" s="249" t="s">
        <v>222</v>
      </c>
      <c r="D86" s="271">
        <v>320</v>
      </c>
      <c r="E86" s="247" t="s">
        <v>850</v>
      </c>
      <c r="F86" s="265">
        <v>442376043</v>
      </c>
      <c r="G86" s="265">
        <v>381155508</v>
      </c>
      <c r="H86" s="401" t="s">
        <v>148</v>
      </c>
      <c r="J86" s="263"/>
    </row>
    <row r="87" spans="1:10" s="6" customFormat="1" ht="19.5" customHeight="1">
      <c r="A87" s="35">
        <v>11</v>
      </c>
      <c r="B87" s="36" t="s">
        <v>95</v>
      </c>
      <c r="C87" s="37" t="s">
        <v>228</v>
      </c>
      <c r="D87" s="45">
        <v>321</v>
      </c>
      <c r="E87" s="35" t="s">
        <v>79</v>
      </c>
      <c r="F87" s="48"/>
      <c r="G87" s="48"/>
      <c r="H87" s="281"/>
      <c r="J87" s="237"/>
    </row>
    <row r="88" spans="1:10" s="6" customFormat="1" ht="19.5" customHeight="1">
      <c r="A88" s="35">
        <v>12</v>
      </c>
      <c r="B88" s="36" t="s">
        <v>96</v>
      </c>
      <c r="C88" s="37" t="s">
        <v>229</v>
      </c>
      <c r="D88" s="45">
        <v>322</v>
      </c>
      <c r="E88" s="35" t="s">
        <v>79</v>
      </c>
      <c r="F88" s="48"/>
      <c r="G88" s="48"/>
      <c r="H88" s="281"/>
      <c r="J88" s="237"/>
    </row>
    <row r="89" spans="1:10" s="6" customFormat="1" ht="19.5" customHeight="1">
      <c r="A89" s="35">
        <v>13</v>
      </c>
      <c r="B89" s="36" t="s">
        <v>97</v>
      </c>
      <c r="C89" s="37" t="s">
        <v>230</v>
      </c>
      <c r="D89" s="45">
        <v>323</v>
      </c>
      <c r="E89" s="35" t="s">
        <v>79</v>
      </c>
      <c r="F89" s="48"/>
      <c r="G89" s="48"/>
      <c r="H89" s="281"/>
      <c r="J89" s="237"/>
    </row>
    <row r="90" spans="1:10" s="6" customFormat="1" ht="19.5" customHeight="1">
      <c r="A90" s="35">
        <v>14</v>
      </c>
      <c r="B90" s="36" t="s">
        <v>98</v>
      </c>
      <c r="C90" s="37" t="s">
        <v>231</v>
      </c>
      <c r="D90" s="45">
        <v>324</v>
      </c>
      <c r="E90" s="35" t="s">
        <v>79</v>
      </c>
      <c r="F90" s="48"/>
      <c r="G90" s="48"/>
      <c r="H90" s="281"/>
      <c r="J90" s="237"/>
    </row>
    <row r="91" spans="1:10" s="6" customFormat="1" ht="17.25" customHeight="1">
      <c r="A91" s="269" t="s">
        <v>24</v>
      </c>
      <c r="B91" s="275" t="s">
        <v>100</v>
      </c>
      <c r="C91" s="276" t="s">
        <v>202</v>
      </c>
      <c r="D91" s="268">
        <v>330</v>
      </c>
      <c r="E91" s="269"/>
      <c r="F91" s="51">
        <v>0</v>
      </c>
      <c r="G91" s="51">
        <v>518857799</v>
      </c>
      <c r="H91" s="398" t="s">
        <v>148</v>
      </c>
      <c r="J91" s="237"/>
    </row>
    <row r="92" spans="1:10" s="6" customFormat="1" ht="20.25" customHeight="1">
      <c r="A92" s="35">
        <v>1</v>
      </c>
      <c r="B92" s="36" t="s">
        <v>101</v>
      </c>
      <c r="C92" s="37" t="s">
        <v>203</v>
      </c>
      <c r="D92" s="45">
        <v>331</v>
      </c>
      <c r="E92" s="35" t="s">
        <v>79</v>
      </c>
      <c r="F92" s="48"/>
      <c r="G92" s="48"/>
      <c r="H92" s="281"/>
      <c r="J92" s="237"/>
    </row>
    <row r="93" spans="1:10" s="6" customFormat="1" ht="20.25" customHeight="1">
      <c r="A93" s="35">
        <v>2</v>
      </c>
      <c r="B93" s="36" t="s">
        <v>102</v>
      </c>
      <c r="C93" s="37" t="s">
        <v>816</v>
      </c>
      <c r="D93" s="45">
        <v>332</v>
      </c>
      <c r="E93" s="35" t="s">
        <v>79</v>
      </c>
      <c r="F93" s="48"/>
      <c r="G93" s="48"/>
      <c r="H93" s="281"/>
      <c r="J93" s="237"/>
    </row>
    <row r="94" spans="1:10" s="6" customFormat="1" ht="20.25" customHeight="1">
      <c r="A94" s="35">
        <v>3</v>
      </c>
      <c r="B94" s="36" t="s">
        <v>103</v>
      </c>
      <c r="C94" s="37" t="s">
        <v>817</v>
      </c>
      <c r="D94" s="45">
        <v>333</v>
      </c>
      <c r="E94" s="35" t="s">
        <v>79</v>
      </c>
      <c r="F94" s="48"/>
      <c r="G94" s="48"/>
      <c r="H94" s="281"/>
      <c r="J94" s="237"/>
    </row>
    <row r="95" spans="1:10" s="6" customFormat="1" ht="20.25" customHeight="1">
      <c r="A95" s="35">
        <v>4</v>
      </c>
      <c r="B95" s="36" t="s">
        <v>104</v>
      </c>
      <c r="C95" s="37" t="s">
        <v>818</v>
      </c>
      <c r="D95" s="45">
        <v>334</v>
      </c>
      <c r="E95" s="35" t="s">
        <v>79</v>
      </c>
      <c r="F95" s="48"/>
      <c r="G95" s="48"/>
      <c r="H95" s="281"/>
      <c r="J95" s="237"/>
    </row>
    <row r="96" spans="1:10" s="6" customFormat="1" ht="20.25" customHeight="1">
      <c r="A96" s="35">
        <v>5</v>
      </c>
      <c r="B96" s="36" t="s">
        <v>106</v>
      </c>
      <c r="C96" s="37" t="s">
        <v>819</v>
      </c>
      <c r="D96" s="45">
        <v>335</v>
      </c>
      <c r="E96" s="35"/>
      <c r="F96" s="48"/>
      <c r="G96" s="48"/>
      <c r="H96" s="281"/>
      <c r="J96" s="237"/>
    </row>
    <row r="97" spans="1:17" s="6" customFormat="1" ht="20.25" customHeight="1">
      <c r="A97" s="35">
        <v>6</v>
      </c>
      <c r="B97" s="36" t="s">
        <v>107</v>
      </c>
      <c r="C97" s="37" t="s">
        <v>820</v>
      </c>
      <c r="D97" s="45">
        <v>336</v>
      </c>
      <c r="E97" s="35" t="s">
        <v>79</v>
      </c>
      <c r="F97" s="48"/>
      <c r="G97" s="48"/>
      <c r="H97" s="281"/>
      <c r="J97" s="237"/>
    </row>
    <row r="98" spans="1:17" s="6" customFormat="1" ht="20.25" customHeight="1">
      <c r="A98" s="35">
        <v>7</v>
      </c>
      <c r="B98" s="36" t="s">
        <v>108</v>
      </c>
      <c r="C98" s="37" t="s">
        <v>821</v>
      </c>
      <c r="D98" s="45">
        <v>337</v>
      </c>
      <c r="E98" s="35" t="s">
        <v>79</v>
      </c>
      <c r="F98" s="48"/>
      <c r="G98" s="48"/>
      <c r="H98" s="281"/>
      <c r="J98" s="237"/>
    </row>
    <row r="99" spans="1:17" s="262" customFormat="1" ht="17.25" customHeight="1">
      <c r="A99" s="247">
        <v>8</v>
      </c>
      <c r="B99" s="248" t="s">
        <v>109</v>
      </c>
      <c r="C99" s="249" t="s">
        <v>822</v>
      </c>
      <c r="D99" s="271">
        <v>338</v>
      </c>
      <c r="E99" s="247" t="s">
        <v>851</v>
      </c>
      <c r="F99" s="265"/>
      <c r="G99" s="265">
        <v>518857799</v>
      </c>
      <c r="H99" s="401" t="s">
        <v>148</v>
      </c>
      <c r="J99" s="263"/>
    </row>
    <row r="100" spans="1:17" s="6" customFormat="1" ht="20.25" customHeight="1">
      <c r="A100" s="35">
        <v>9</v>
      </c>
      <c r="B100" s="36" t="s">
        <v>110</v>
      </c>
      <c r="C100" s="37" t="s">
        <v>823</v>
      </c>
      <c r="D100" s="45">
        <v>339</v>
      </c>
      <c r="E100" s="35" t="s">
        <v>79</v>
      </c>
      <c r="F100" s="48"/>
      <c r="G100" s="48"/>
      <c r="H100" s="281"/>
      <c r="J100" s="237"/>
    </row>
    <row r="101" spans="1:17" s="6" customFormat="1" ht="20.25" customHeight="1">
      <c r="A101" s="35">
        <v>10</v>
      </c>
      <c r="B101" s="36" t="s">
        <v>111</v>
      </c>
      <c r="C101" s="37" t="s">
        <v>232</v>
      </c>
      <c r="D101" s="45">
        <v>340</v>
      </c>
      <c r="E101" s="35" t="s">
        <v>79</v>
      </c>
      <c r="F101" s="48"/>
      <c r="G101" s="48"/>
      <c r="H101" s="281"/>
      <c r="J101" s="237"/>
    </row>
    <row r="102" spans="1:17" s="6" customFormat="1" ht="20.25" customHeight="1">
      <c r="A102" s="35">
        <v>11</v>
      </c>
      <c r="B102" s="36" t="s">
        <v>112</v>
      </c>
      <c r="C102" s="37" t="s">
        <v>233</v>
      </c>
      <c r="D102" s="45">
        <v>341</v>
      </c>
      <c r="E102" s="35"/>
      <c r="F102" s="48"/>
      <c r="G102" s="48"/>
      <c r="H102" s="281"/>
      <c r="J102" s="237"/>
    </row>
    <row r="103" spans="1:17" s="6" customFormat="1" ht="20.25" customHeight="1">
      <c r="A103" s="35">
        <v>12</v>
      </c>
      <c r="B103" s="36" t="s">
        <v>113</v>
      </c>
      <c r="C103" s="37" t="s">
        <v>234</v>
      </c>
      <c r="D103" s="45">
        <v>342</v>
      </c>
      <c r="E103" s="35" t="s">
        <v>79</v>
      </c>
      <c r="F103" s="48"/>
      <c r="G103" s="48"/>
      <c r="H103" s="281"/>
      <c r="J103" s="237"/>
    </row>
    <row r="104" spans="1:17" s="6" customFormat="1" ht="20.25" customHeight="1">
      <c r="A104" s="35">
        <v>13</v>
      </c>
      <c r="B104" s="36" t="s">
        <v>114</v>
      </c>
      <c r="C104" s="37" t="s">
        <v>235</v>
      </c>
      <c r="D104" s="45">
        <v>343</v>
      </c>
      <c r="E104" s="35" t="s">
        <v>79</v>
      </c>
      <c r="F104" s="48"/>
      <c r="G104" s="48"/>
      <c r="H104" s="281"/>
      <c r="J104" s="237"/>
    </row>
    <row r="105" spans="1:17" s="1" customFormat="1" ht="17.25" customHeight="1">
      <c r="A105" s="268" t="s">
        <v>46</v>
      </c>
      <c r="B105" s="273" t="s">
        <v>115</v>
      </c>
      <c r="C105" s="277" t="s">
        <v>204</v>
      </c>
      <c r="D105" s="45">
        <v>400</v>
      </c>
      <c r="E105" s="35"/>
      <c r="F105" s="51">
        <v>-6345976064</v>
      </c>
      <c r="G105" s="51">
        <v>-3446374046</v>
      </c>
      <c r="H105" s="398" t="s">
        <v>148</v>
      </c>
      <c r="J105" s="237"/>
    </row>
    <row r="106" spans="1:17" s="1" customFormat="1" ht="28.5">
      <c r="A106" s="268" t="s">
        <v>22</v>
      </c>
      <c r="B106" s="273" t="s">
        <v>116</v>
      </c>
      <c r="C106" s="277" t="s">
        <v>205</v>
      </c>
      <c r="D106" s="268">
        <v>410</v>
      </c>
      <c r="E106" s="269" t="s">
        <v>720</v>
      </c>
      <c r="F106" s="51">
        <v>-6345976064</v>
      </c>
      <c r="G106" s="51">
        <v>-3446374046</v>
      </c>
      <c r="H106" s="398" t="s">
        <v>148</v>
      </c>
      <c r="J106" s="237"/>
    </row>
    <row r="107" spans="1:17" s="1" customFormat="1" ht="18.75" customHeight="1">
      <c r="A107" s="45">
        <v>1</v>
      </c>
      <c r="B107" s="46" t="s">
        <v>117</v>
      </c>
      <c r="C107" s="47" t="s">
        <v>206</v>
      </c>
      <c r="D107" s="45">
        <v>411</v>
      </c>
      <c r="E107" s="35"/>
      <c r="F107" s="48">
        <v>6546800000</v>
      </c>
      <c r="G107" s="48">
        <v>6546800000</v>
      </c>
      <c r="H107" s="281" t="s">
        <v>148</v>
      </c>
      <c r="I107" s="236"/>
      <c r="J107" s="237"/>
    </row>
    <row r="108" spans="1:17" s="1" customFormat="1" ht="20.25" customHeight="1">
      <c r="A108" s="45"/>
      <c r="B108" s="46" t="s">
        <v>118</v>
      </c>
      <c r="C108" s="47" t="s">
        <v>834</v>
      </c>
      <c r="D108" s="45" t="s">
        <v>119</v>
      </c>
      <c r="E108" s="35"/>
      <c r="F108" s="48">
        <v>0</v>
      </c>
      <c r="G108" s="48">
        <v>0</v>
      </c>
      <c r="H108" s="281"/>
      <c r="J108" s="237"/>
    </row>
    <row r="109" spans="1:17" s="6" customFormat="1" ht="20.25" customHeight="1">
      <c r="A109" s="35"/>
      <c r="B109" s="36" t="s">
        <v>120</v>
      </c>
      <c r="C109" s="37" t="s">
        <v>835</v>
      </c>
      <c r="D109" s="45" t="s">
        <v>121</v>
      </c>
      <c r="E109" s="35"/>
      <c r="F109" s="48"/>
      <c r="G109" s="48"/>
      <c r="H109" s="281"/>
      <c r="I109" s="1"/>
      <c r="J109" s="237"/>
      <c r="K109" s="1"/>
      <c r="L109" s="1"/>
      <c r="M109" s="1"/>
      <c r="N109" s="1"/>
      <c r="O109" s="1"/>
      <c r="P109" s="1"/>
      <c r="Q109" s="1"/>
    </row>
    <row r="110" spans="1:17" s="38" customFormat="1" ht="20.25" customHeight="1">
      <c r="A110" s="35">
        <v>2</v>
      </c>
      <c r="B110" s="36" t="s">
        <v>122</v>
      </c>
      <c r="C110" s="37" t="s">
        <v>207</v>
      </c>
      <c r="D110" s="45">
        <v>412</v>
      </c>
      <c r="E110" s="35"/>
      <c r="F110" s="48"/>
      <c r="G110" s="48"/>
      <c r="H110" s="281"/>
      <c r="I110" s="1"/>
      <c r="J110" s="237"/>
      <c r="K110" s="1"/>
      <c r="L110" s="1"/>
      <c r="M110" s="1"/>
      <c r="N110" s="1"/>
      <c r="O110" s="1"/>
      <c r="P110" s="1"/>
      <c r="Q110" s="1"/>
    </row>
    <row r="111" spans="1:17" s="39" customFormat="1" ht="20.25" customHeight="1">
      <c r="A111" s="35">
        <v>3</v>
      </c>
      <c r="B111" s="36" t="s">
        <v>123</v>
      </c>
      <c r="C111" s="37" t="s">
        <v>824</v>
      </c>
      <c r="D111" s="45">
        <v>413</v>
      </c>
      <c r="E111" s="35"/>
      <c r="F111" s="48"/>
      <c r="G111" s="48"/>
      <c r="H111" s="281"/>
      <c r="I111" s="1"/>
      <c r="J111" s="237"/>
      <c r="K111" s="1"/>
      <c r="L111" s="1"/>
      <c r="M111" s="1"/>
      <c r="N111" s="1"/>
      <c r="O111" s="1"/>
      <c r="P111" s="1"/>
      <c r="Q111" s="1"/>
    </row>
    <row r="112" spans="1:17" s="6" customFormat="1" ht="20.25" customHeight="1">
      <c r="A112" s="35">
        <v>4</v>
      </c>
      <c r="B112" s="36" t="s">
        <v>124</v>
      </c>
      <c r="C112" s="37" t="s">
        <v>825</v>
      </c>
      <c r="D112" s="45">
        <v>414</v>
      </c>
      <c r="E112" s="35"/>
      <c r="F112" s="48"/>
      <c r="G112" s="48"/>
      <c r="H112" s="281"/>
      <c r="I112" s="1"/>
      <c r="J112" s="237"/>
      <c r="K112" s="1"/>
      <c r="L112" s="1"/>
      <c r="M112" s="1"/>
      <c r="N112" s="1"/>
      <c r="O112" s="1"/>
      <c r="P112" s="1"/>
      <c r="Q112" s="1"/>
    </row>
    <row r="113" spans="1:17" s="6" customFormat="1" ht="20.25" customHeight="1">
      <c r="A113" s="35">
        <v>5</v>
      </c>
      <c r="B113" s="36" t="s">
        <v>125</v>
      </c>
      <c r="C113" s="37" t="s">
        <v>826</v>
      </c>
      <c r="D113" s="45">
        <v>415</v>
      </c>
      <c r="E113" s="35"/>
      <c r="F113" s="48"/>
      <c r="G113" s="48"/>
      <c r="H113" s="281"/>
      <c r="I113" s="1"/>
      <c r="J113" s="237"/>
      <c r="K113" s="1"/>
      <c r="L113" s="1"/>
      <c r="M113" s="1"/>
      <c r="N113" s="1"/>
      <c r="O113" s="1"/>
      <c r="P113" s="1"/>
      <c r="Q113" s="1"/>
    </row>
    <row r="114" spans="1:17" s="6" customFormat="1" ht="20.25" customHeight="1">
      <c r="A114" s="35">
        <v>6</v>
      </c>
      <c r="B114" s="36" t="s">
        <v>126</v>
      </c>
      <c r="C114" s="37" t="s">
        <v>827</v>
      </c>
      <c r="D114" s="45">
        <v>416</v>
      </c>
      <c r="E114" s="35"/>
      <c r="F114" s="48"/>
      <c r="G114" s="48"/>
      <c r="H114" s="281"/>
      <c r="J114" s="237"/>
    </row>
    <row r="115" spans="1:17" s="6" customFormat="1" ht="20.25" customHeight="1">
      <c r="A115" s="35">
        <v>7</v>
      </c>
      <c r="B115" s="36" t="s">
        <v>127</v>
      </c>
      <c r="C115" s="37" t="s">
        <v>828</v>
      </c>
      <c r="D115" s="45">
        <v>417</v>
      </c>
      <c r="E115" s="35"/>
      <c r="F115" s="48"/>
      <c r="G115" s="48"/>
      <c r="H115" s="281"/>
      <c r="J115" s="237"/>
    </row>
    <row r="116" spans="1:17" s="6" customFormat="1" ht="20.25" customHeight="1">
      <c r="A116" s="35">
        <v>8</v>
      </c>
      <c r="B116" s="36" t="s">
        <v>128</v>
      </c>
      <c r="C116" s="37" t="s">
        <v>829</v>
      </c>
      <c r="D116" s="45">
        <v>418</v>
      </c>
      <c r="E116" s="35"/>
      <c r="F116" s="48"/>
      <c r="G116" s="48"/>
      <c r="H116" s="281"/>
      <c r="J116" s="237"/>
    </row>
    <row r="117" spans="1:17" s="6" customFormat="1" ht="20.25" customHeight="1">
      <c r="A117" s="35">
        <v>9</v>
      </c>
      <c r="B117" s="36" t="s">
        <v>129</v>
      </c>
      <c r="C117" s="37" t="s">
        <v>830</v>
      </c>
      <c r="D117" s="45">
        <v>419</v>
      </c>
      <c r="E117" s="35"/>
      <c r="F117" s="48"/>
      <c r="G117" s="48"/>
      <c r="H117" s="281"/>
      <c r="J117" s="237"/>
    </row>
    <row r="118" spans="1:17" s="6" customFormat="1" ht="20.25" customHeight="1">
      <c r="A118" s="35">
        <v>10</v>
      </c>
      <c r="B118" s="36" t="s">
        <v>130</v>
      </c>
      <c r="C118" s="37" t="s">
        <v>831</v>
      </c>
      <c r="D118" s="45">
        <v>420</v>
      </c>
      <c r="E118" s="35"/>
      <c r="F118" s="48"/>
      <c r="G118" s="48"/>
      <c r="H118" s="281"/>
      <c r="J118" s="237"/>
    </row>
    <row r="119" spans="1:17" s="1" customFormat="1" ht="18.75" customHeight="1">
      <c r="A119" s="268">
        <v>11</v>
      </c>
      <c r="B119" s="273" t="s">
        <v>131</v>
      </c>
      <c r="C119" s="277" t="s">
        <v>832</v>
      </c>
      <c r="D119" s="45">
        <v>421</v>
      </c>
      <c r="E119" s="35"/>
      <c r="F119" s="51">
        <v>-12892776064</v>
      </c>
      <c r="G119" s="51">
        <v>-9993174046</v>
      </c>
      <c r="H119" s="398" t="s">
        <v>148</v>
      </c>
      <c r="J119" s="237"/>
    </row>
    <row r="120" spans="1:17" s="1" customFormat="1" ht="18.75" customHeight="1">
      <c r="A120" s="45"/>
      <c r="B120" s="267" t="s">
        <v>132</v>
      </c>
      <c r="C120" s="47" t="s">
        <v>223</v>
      </c>
      <c r="D120" s="45" t="s">
        <v>133</v>
      </c>
      <c r="E120" s="35"/>
      <c r="F120" s="48">
        <v>-9993174046</v>
      </c>
      <c r="G120" s="48">
        <v>-8378664109</v>
      </c>
      <c r="H120" s="281" t="s">
        <v>148</v>
      </c>
      <c r="I120" s="236"/>
      <c r="J120" s="237"/>
    </row>
    <row r="121" spans="1:17" s="1" customFormat="1" ht="18.75" customHeight="1">
      <c r="A121" s="45"/>
      <c r="B121" s="46" t="s">
        <v>134</v>
      </c>
      <c r="C121" s="47" t="s">
        <v>224</v>
      </c>
      <c r="D121" s="45" t="s">
        <v>135</v>
      </c>
      <c r="E121" s="35"/>
      <c r="F121" s="48">
        <v>-2899602018</v>
      </c>
      <c r="G121" s="48">
        <v>-1614509937</v>
      </c>
      <c r="H121" s="281" t="s">
        <v>148</v>
      </c>
      <c r="I121" s="236"/>
      <c r="J121" s="237"/>
    </row>
    <row r="122" spans="1:17" s="6" customFormat="1" ht="21" customHeight="1">
      <c r="A122" s="35">
        <v>12</v>
      </c>
      <c r="B122" s="36" t="s">
        <v>136</v>
      </c>
      <c r="C122" s="37" t="s">
        <v>833</v>
      </c>
      <c r="D122" s="45">
        <v>422</v>
      </c>
      <c r="E122" s="35"/>
      <c r="F122" s="48"/>
      <c r="G122" s="48"/>
      <c r="H122" s="281"/>
      <c r="J122" s="237"/>
    </row>
    <row r="123" spans="1:17" s="6" customFormat="1" ht="21.75" customHeight="1">
      <c r="A123" s="269" t="s">
        <v>24</v>
      </c>
      <c r="B123" s="275" t="s">
        <v>137</v>
      </c>
      <c r="C123" s="276" t="s">
        <v>208</v>
      </c>
      <c r="D123" s="268">
        <v>430</v>
      </c>
      <c r="E123" s="35"/>
      <c r="F123" s="51">
        <v>0</v>
      </c>
      <c r="G123" s="51">
        <v>0</v>
      </c>
      <c r="H123" s="398"/>
      <c r="J123" s="237"/>
    </row>
    <row r="124" spans="1:17" s="6" customFormat="1" ht="21" customHeight="1">
      <c r="A124" s="35">
        <v>1</v>
      </c>
      <c r="B124" s="36" t="s">
        <v>138</v>
      </c>
      <c r="C124" s="37" t="s">
        <v>209</v>
      </c>
      <c r="D124" s="45">
        <v>431</v>
      </c>
      <c r="E124" s="35"/>
      <c r="F124" s="48"/>
      <c r="G124" s="48"/>
      <c r="H124" s="281"/>
      <c r="J124" s="237"/>
    </row>
    <row r="125" spans="1:17" s="6" customFormat="1" ht="21" customHeight="1">
      <c r="A125" s="35">
        <v>2</v>
      </c>
      <c r="B125" s="36" t="s">
        <v>139</v>
      </c>
      <c r="C125" s="37" t="s">
        <v>210</v>
      </c>
      <c r="D125" s="45">
        <v>432</v>
      </c>
      <c r="E125" s="35"/>
      <c r="F125" s="48"/>
      <c r="G125" s="48"/>
      <c r="H125" s="281"/>
      <c r="J125" s="237"/>
    </row>
    <row r="126" spans="1:17" s="20" customFormat="1" ht="24" customHeight="1">
      <c r="A126" s="426" t="s">
        <v>140</v>
      </c>
      <c r="B126" s="427"/>
      <c r="C126" s="251" t="s">
        <v>211</v>
      </c>
      <c r="D126" s="250">
        <v>440</v>
      </c>
      <c r="E126" s="252"/>
      <c r="F126" s="253">
        <v>4700412218</v>
      </c>
      <c r="G126" s="253">
        <v>8567218298</v>
      </c>
      <c r="H126" s="399" t="s">
        <v>148</v>
      </c>
      <c r="I126" s="239"/>
      <c r="J126" s="237"/>
    </row>
    <row r="127" spans="1:17" ht="24.75" customHeight="1">
      <c r="F127" s="281">
        <v>0</v>
      </c>
      <c r="G127" s="281">
        <v>0</v>
      </c>
      <c r="H127" s="281" t="s">
        <v>148</v>
      </c>
    </row>
    <row r="128" spans="1:17" ht="14.25" customHeight="1">
      <c r="F128" s="55"/>
      <c r="G128" s="55"/>
      <c r="H128" s="55"/>
    </row>
    <row r="129" spans="1:8">
      <c r="D129" s="408" t="s">
        <v>854</v>
      </c>
      <c r="E129" s="421"/>
      <c r="F129" s="408"/>
      <c r="G129" s="408"/>
      <c r="H129" s="381"/>
    </row>
    <row r="130" spans="1:8" s="20" customFormat="1" ht="27" customHeight="1">
      <c r="A130" s="402" t="s">
        <v>15</v>
      </c>
      <c r="B130" s="422"/>
      <c r="C130" s="17"/>
      <c r="D130" s="402" t="s">
        <v>730</v>
      </c>
      <c r="E130" s="423"/>
      <c r="F130" s="402"/>
      <c r="G130" s="402"/>
      <c r="H130" s="382"/>
    </row>
    <row r="131" spans="1:8">
      <c r="A131" s="23"/>
      <c r="B131" s="53"/>
      <c r="C131" s="27"/>
      <c r="D131" s="411"/>
      <c r="E131" s="412"/>
      <c r="F131" s="411"/>
      <c r="G131" s="411"/>
      <c r="H131" s="376"/>
    </row>
    <row r="132" spans="1:8">
      <c r="A132" s="23"/>
      <c r="B132" s="53"/>
      <c r="C132" s="27"/>
      <c r="D132" s="54"/>
      <c r="E132" s="43"/>
      <c r="F132" s="54"/>
      <c r="G132" s="54"/>
      <c r="H132" s="376"/>
    </row>
    <row r="133" spans="1:8">
      <c r="A133" s="23"/>
      <c r="B133" s="53"/>
      <c r="C133" s="27"/>
      <c r="D133" s="54"/>
      <c r="E133" s="43"/>
      <c r="F133" s="54"/>
      <c r="G133" s="54"/>
      <c r="H133" s="376"/>
    </row>
    <row r="135" spans="1:8" ht="15.75" customHeight="1">
      <c r="A135" s="405"/>
      <c r="B135" s="414"/>
      <c r="C135" s="24"/>
      <c r="D135" s="410" t="s">
        <v>731</v>
      </c>
      <c r="E135" s="410"/>
      <c r="F135" s="410"/>
      <c r="G135" s="410"/>
      <c r="H135" s="377"/>
    </row>
  </sheetData>
  <autoFilter ref="A9:H130"/>
  <mergeCells count="12">
    <mergeCell ref="D131:G131"/>
    <mergeCell ref="F7:G7"/>
    <mergeCell ref="A135:B135"/>
    <mergeCell ref="D135:G135"/>
    <mergeCell ref="A4:G4"/>
    <mergeCell ref="A5:G5"/>
    <mergeCell ref="A6:G6"/>
    <mergeCell ref="D129:G129"/>
    <mergeCell ref="A130:B130"/>
    <mergeCell ref="D130:G130"/>
    <mergeCell ref="A73:B73"/>
    <mergeCell ref="A126:B126"/>
  </mergeCells>
  <pageMargins left="0.62992125984251968" right="0.39370078740157483" top="0.27559055118110237" bottom="0.23622047244094491" header="0.70866141732283472" footer="0.19685039370078741"/>
  <pageSetup paperSize="9" scale="86" fitToHeight="0" orientation="portrait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GY688"/>
  <sheetViews>
    <sheetView topLeftCell="A136" zoomScale="69" zoomScaleNormal="69" zoomScaleSheetLayoutView="80" workbookViewId="0">
      <selection activeCell="B136" sqref="B1:B1048576"/>
    </sheetView>
  </sheetViews>
  <sheetFormatPr defaultColWidth="9" defaultRowHeight="15.75"/>
  <cols>
    <col min="1" max="1" width="13.625" style="314" bestFit="1" customWidth="1"/>
    <col min="2" max="2" width="23.625" style="13" hidden="1" customWidth="1"/>
    <col min="3" max="3" width="39.25" style="13" customWidth="1"/>
    <col min="4" max="4" width="16.125" style="372" bestFit="1" customWidth="1"/>
    <col min="5" max="5" width="12.375" style="320" customWidth="1"/>
    <col min="6" max="6" width="16.125" style="372" bestFit="1" customWidth="1"/>
    <col min="7" max="7" width="12.25" style="320" customWidth="1"/>
    <col min="8" max="8" width="16.125" style="373" bestFit="1" customWidth="1"/>
    <col min="9" max="9" width="12.375" style="322" customWidth="1"/>
    <col min="10" max="10" width="16.125" style="373" bestFit="1" customWidth="1"/>
    <col min="11" max="11" width="12.25" style="322" customWidth="1"/>
    <col min="12" max="12" width="16.5" style="374" customWidth="1"/>
    <col min="13" max="13" width="12.375" style="324" bestFit="1" customWidth="1"/>
    <col min="14" max="14" width="16.125" style="375" bestFit="1" customWidth="1"/>
    <col min="15" max="15" width="12.25" style="326" bestFit="1" customWidth="1"/>
    <col min="16" max="16384" width="9" style="9"/>
  </cols>
  <sheetData>
    <row r="1" spans="1:207" ht="22.5" customHeight="1">
      <c r="A1" s="428" t="s">
        <v>323</v>
      </c>
      <c r="B1" s="428"/>
      <c r="C1" s="428"/>
      <c r="D1" s="428"/>
      <c r="E1" s="428"/>
      <c r="F1" s="428"/>
      <c r="H1" s="321"/>
      <c r="J1" s="321"/>
      <c r="L1" s="323"/>
      <c r="N1" s="325"/>
    </row>
    <row r="2" spans="1:207" ht="22.5" customHeight="1">
      <c r="A2" s="429" t="s">
        <v>858</v>
      </c>
      <c r="B2" s="429"/>
      <c r="C2" s="429"/>
      <c r="D2" s="429"/>
      <c r="E2" s="429"/>
      <c r="F2" s="429"/>
      <c r="H2" s="321"/>
      <c r="J2" s="321"/>
      <c r="L2" s="323"/>
      <c r="N2" s="325"/>
    </row>
    <row r="3" spans="1:207" ht="22.5" customHeight="1">
      <c r="A3" s="429" t="s">
        <v>270</v>
      </c>
      <c r="B3" s="429"/>
      <c r="C3" s="429"/>
      <c r="D3" s="429"/>
      <c r="E3" s="429"/>
      <c r="F3" s="429"/>
      <c r="H3" s="321"/>
      <c r="J3" s="321"/>
      <c r="L3" s="323"/>
      <c r="N3" s="325"/>
    </row>
    <row r="4" spans="1:207" ht="28.5" customHeight="1">
      <c r="A4" s="440" t="s">
        <v>265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1"/>
      <c r="M4" s="440"/>
      <c r="N4" s="441"/>
      <c r="O4" s="440"/>
    </row>
    <row r="5" spans="1:207" ht="24" customHeight="1">
      <c r="A5" s="442" t="e">
        <f>#REF!</f>
        <v>#REF!</v>
      </c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3"/>
      <c r="M5" s="442"/>
      <c r="N5" s="443"/>
      <c r="O5" s="442"/>
    </row>
    <row r="6" spans="1:207">
      <c r="A6" s="72"/>
      <c r="B6" s="11"/>
      <c r="C6" s="11"/>
      <c r="D6" s="327"/>
      <c r="E6" s="328"/>
      <c r="F6" s="329"/>
      <c r="G6" s="330"/>
      <c r="H6" s="331"/>
      <c r="I6" s="331"/>
      <c r="J6" s="332"/>
      <c r="K6" s="331"/>
      <c r="L6" s="333"/>
      <c r="M6" s="334"/>
      <c r="N6" s="335"/>
      <c r="O6" s="336"/>
    </row>
    <row r="7" spans="1:207" s="10" customFormat="1" ht="27" customHeight="1">
      <c r="A7" s="436" t="s">
        <v>149</v>
      </c>
      <c r="B7" s="438" t="s">
        <v>838</v>
      </c>
      <c r="C7" s="439" t="s">
        <v>1</v>
      </c>
      <c r="D7" s="430" t="s">
        <v>236</v>
      </c>
      <c r="E7" s="431"/>
      <c r="F7" s="431"/>
      <c r="G7" s="432"/>
      <c r="H7" s="433" t="s">
        <v>701</v>
      </c>
      <c r="I7" s="434"/>
      <c r="J7" s="434"/>
      <c r="K7" s="435"/>
      <c r="L7" s="444" t="s">
        <v>237</v>
      </c>
      <c r="M7" s="445"/>
      <c r="N7" s="445"/>
      <c r="O7" s="446"/>
    </row>
    <row r="8" spans="1:207" s="10" customFormat="1" ht="30.75" customHeight="1">
      <c r="A8" s="437"/>
      <c r="B8" s="438"/>
      <c r="C8" s="439"/>
      <c r="D8" s="337" t="s">
        <v>268</v>
      </c>
      <c r="E8" s="338" t="s">
        <v>266</v>
      </c>
      <c r="F8" s="337" t="s">
        <v>269</v>
      </c>
      <c r="G8" s="338" t="s">
        <v>267</v>
      </c>
      <c r="H8" s="339" t="s">
        <v>268</v>
      </c>
      <c r="I8" s="340" t="s">
        <v>266</v>
      </c>
      <c r="J8" s="339" t="s">
        <v>269</v>
      </c>
      <c r="K8" s="340" t="s">
        <v>267</v>
      </c>
      <c r="L8" s="341" t="s">
        <v>268</v>
      </c>
      <c r="M8" s="342" t="s">
        <v>266</v>
      </c>
      <c r="N8" s="343" t="s">
        <v>269</v>
      </c>
      <c r="O8" s="344" t="s">
        <v>267</v>
      </c>
    </row>
    <row r="9" spans="1:207" s="297" customFormat="1" ht="29.25" customHeight="1">
      <c r="A9" s="291">
        <v>1111</v>
      </c>
      <c r="B9" s="232" t="s">
        <v>215</v>
      </c>
      <c r="C9" s="254" t="s">
        <v>297</v>
      </c>
      <c r="D9" s="295">
        <v>592112098</v>
      </c>
      <c r="E9" s="296">
        <v>0</v>
      </c>
      <c r="F9" s="295">
        <v>0</v>
      </c>
      <c r="G9" s="296">
        <v>0</v>
      </c>
      <c r="H9" s="286">
        <v>1950000000</v>
      </c>
      <c r="I9" s="294">
        <v>0</v>
      </c>
      <c r="J9" s="286">
        <v>2226593842</v>
      </c>
      <c r="K9" s="294">
        <v>0</v>
      </c>
      <c r="L9" s="348">
        <v>315518256</v>
      </c>
      <c r="M9" s="64">
        <v>0</v>
      </c>
      <c r="N9" s="346">
        <v>0</v>
      </c>
      <c r="O9" s="347">
        <v>0</v>
      </c>
    </row>
    <row r="10" spans="1:207" s="297" customFormat="1" ht="29.25" customHeight="1">
      <c r="A10" s="298">
        <v>112704</v>
      </c>
      <c r="B10" s="67" t="s">
        <v>271</v>
      </c>
      <c r="C10" s="292" t="s">
        <v>326</v>
      </c>
      <c r="D10" s="295">
        <v>165054122</v>
      </c>
      <c r="E10" s="296">
        <v>0</v>
      </c>
      <c r="F10" s="295">
        <v>0</v>
      </c>
      <c r="G10" s="296">
        <v>0</v>
      </c>
      <c r="H10" s="286">
        <v>259100</v>
      </c>
      <c r="I10" s="294">
        <v>0</v>
      </c>
      <c r="J10" s="286">
        <v>79001551</v>
      </c>
      <c r="K10" s="294">
        <v>0</v>
      </c>
      <c r="L10" s="348">
        <v>86311671</v>
      </c>
      <c r="M10" s="64">
        <v>0</v>
      </c>
      <c r="N10" s="346">
        <v>0</v>
      </c>
      <c r="O10" s="347">
        <v>0</v>
      </c>
    </row>
    <row r="11" spans="1:207" s="297" customFormat="1" ht="29.25" customHeight="1">
      <c r="A11" s="298">
        <v>112551</v>
      </c>
      <c r="B11" s="67" t="s">
        <v>150</v>
      </c>
      <c r="C11" s="292" t="s">
        <v>327</v>
      </c>
      <c r="D11" s="295">
        <v>1973206995</v>
      </c>
      <c r="E11" s="296">
        <v>0</v>
      </c>
      <c r="F11" s="295">
        <v>0</v>
      </c>
      <c r="G11" s="296">
        <v>0</v>
      </c>
      <c r="H11" s="286">
        <v>7657854800</v>
      </c>
      <c r="I11" s="294">
        <v>0</v>
      </c>
      <c r="J11" s="286">
        <v>8148040659</v>
      </c>
      <c r="K11" s="294">
        <v>0</v>
      </c>
      <c r="L11" s="348">
        <v>1483021136</v>
      </c>
      <c r="M11" s="64">
        <v>0</v>
      </c>
      <c r="N11" s="346">
        <v>0</v>
      </c>
      <c r="O11" s="347">
        <v>0</v>
      </c>
      <c r="GO11" s="299"/>
      <c r="GP11" s="299"/>
      <c r="GQ11" s="284"/>
      <c r="GR11" s="284"/>
      <c r="GS11" s="284"/>
      <c r="GT11" s="284"/>
      <c r="GU11" s="300"/>
      <c r="GV11" s="284"/>
      <c r="GW11" s="301"/>
      <c r="GX11" s="302"/>
      <c r="GY11" s="302"/>
    </row>
    <row r="12" spans="1:207" s="297" customFormat="1" ht="29.25" customHeight="1">
      <c r="A12" s="298">
        <v>112552</v>
      </c>
      <c r="B12" s="67" t="s">
        <v>321</v>
      </c>
      <c r="C12" s="292" t="s">
        <v>324</v>
      </c>
      <c r="D12" s="295">
        <v>106759928</v>
      </c>
      <c r="E12" s="296">
        <v>4219.7600000000093</v>
      </c>
      <c r="F12" s="295">
        <v>0</v>
      </c>
      <c r="G12" s="296">
        <v>0</v>
      </c>
      <c r="H12" s="286">
        <v>0</v>
      </c>
      <c r="I12" s="294">
        <v>0</v>
      </c>
      <c r="J12" s="286">
        <v>0</v>
      </c>
      <c r="K12" s="294">
        <v>0</v>
      </c>
      <c r="L12" s="348">
        <v>106759928</v>
      </c>
      <c r="M12" s="64">
        <v>4219.7600000000093</v>
      </c>
      <c r="N12" s="346">
        <v>0</v>
      </c>
      <c r="O12" s="347">
        <v>0</v>
      </c>
    </row>
    <row r="13" spans="1:207" s="297" customFormat="1" ht="29.25" customHeight="1">
      <c r="A13" s="298">
        <v>112553</v>
      </c>
      <c r="B13" s="67" t="s">
        <v>322</v>
      </c>
      <c r="C13" s="292" t="s">
        <v>325</v>
      </c>
      <c r="D13" s="295">
        <v>22264</v>
      </c>
      <c r="E13" s="296">
        <v>0.88000000000465661</v>
      </c>
      <c r="F13" s="295">
        <v>0</v>
      </c>
      <c r="G13" s="296">
        <v>0</v>
      </c>
      <c r="H13" s="286">
        <v>0</v>
      </c>
      <c r="I13" s="294">
        <v>0</v>
      </c>
      <c r="J13" s="286">
        <v>0</v>
      </c>
      <c r="K13" s="294">
        <v>0</v>
      </c>
      <c r="L13" s="348">
        <v>22264</v>
      </c>
      <c r="M13" s="64">
        <v>0.88000000000465661</v>
      </c>
      <c r="N13" s="346">
        <v>0</v>
      </c>
      <c r="O13" s="347">
        <v>0</v>
      </c>
    </row>
    <row r="14" spans="1:207" s="297" customFormat="1" ht="29.25" customHeight="1">
      <c r="A14" s="287" t="s">
        <v>859</v>
      </c>
      <c r="B14" s="232"/>
      <c r="C14" s="254" t="s">
        <v>860</v>
      </c>
      <c r="D14" s="295"/>
      <c r="E14" s="296"/>
      <c r="F14" s="295"/>
      <c r="G14" s="296"/>
      <c r="H14" s="286">
        <v>4064029</v>
      </c>
      <c r="I14" s="294">
        <v>0</v>
      </c>
      <c r="J14" s="286">
        <v>4064029</v>
      </c>
      <c r="K14" s="294">
        <v>0</v>
      </c>
      <c r="L14" s="345">
        <v>0</v>
      </c>
      <c r="M14" s="64">
        <v>0</v>
      </c>
      <c r="N14" s="346">
        <v>0</v>
      </c>
      <c r="O14" s="347">
        <v>0</v>
      </c>
    </row>
    <row r="15" spans="1:207" s="297" customFormat="1" ht="29.25" customHeight="1">
      <c r="A15" s="287" t="s">
        <v>328</v>
      </c>
      <c r="B15" s="232"/>
      <c r="C15" s="254" t="s">
        <v>338</v>
      </c>
      <c r="D15" s="295">
        <v>13771296</v>
      </c>
      <c r="E15" s="296">
        <v>0</v>
      </c>
      <c r="F15" s="295">
        <v>0</v>
      </c>
      <c r="G15" s="296">
        <v>0</v>
      </c>
      <c r="H15" s="286">
        <v>21054298</v>
      </c>
      <c r="I15" s="294">
        <v>0</v>
      </c>
      <c r="J15" s="286">
        <v>34825594</v>
      </c>
      <c r="K15" s="294">
        <v>0</v>
      </c>
      <c r="L15" s="345">
        <v>0</v>
      </c>
      <c r="M15" s="64">
        <v>0</v>
      </c>
      <c r="N15" s="346">
        <v>0</v>
      </c>
      <c r="O15" s="347">
        <v>0</v>
      </c>
    </row>
    <row r="16" spans="1:207" s="297" customFormat="1" ht="29.25" customHeight="1">
      <c r="A16" s="287" t="s">
        <v>861</v>
      </c>
      <c r="B16" s="232"/>
      <c r="C16" s="254" t="s">
        <v>862</v>
      </c>
      <c r="D16" s="295"/>
      <c r="E16" s="296"/>
      <c r="F16" s="295"/>
      <c r="G16" s="296"/>
      <c r="H16" s="286">
        <v>0</v>
      </c>
      <c r="I16" s="294">
        <v>0</v>
      </c>
      <c r="J16" s="286">
        <v>0</v>
      </c>
      <c r="K16" s="294">
        <v>0</v>
      </c>
      <c r="L16" s="345">
        <v>0</v>
      </c>
      <c r="M16" s="64">
        <v>0</v>
      </c>
      <c r="N16" s="346">
        <v>0</v>
      </c>
      <c r="O16" s="347">
        <v>0</v>
      </c>
    </row>
    <row r="17" spans="1:15" s="297" customFormat="1" ht="29.25" customHeight="1">
      <c r="A17" s="287" t="s">
        <v>329</v>
      </c>
      <c r="B17" s="232"/>
      <c r="C17" s="254" t="s">
        <v>339</v>
      </c>
      <c r="D17" s="295">
        <v>168245139</v>
      </c>
      <c r="E17" s="296">
        <v>0</v>
      </c>
      <c r="F17" s="295">
        <v>0</v>
      </c>
      <c r="G17" s="296">
        <v>0</v>
      </c>
      <c r="H17" s="286">
        <v>651138736</v>
      </c>
      <c r="I17" s="294">
        <v>0</v>
      </c>
      <c r="J17" s="286">
        <v>789534348</v>
      </c>
      <c r="K17" s="294">
        <v>0</v>
      </c>
      <c r="L17" s="348">
        <v>29849527</v>
      </c>
      <c r="M17" s="64">
        <v>0</v>
      </c>
      <c r="N17" s="346">
        <v>0</v>
      </c>
      <c r="O17" s="347">
        <v>0</v>
      </c>
    </row>
    <row r="18" spans="1:15" s="297" customFormat="1" ht="29.25" customHeight="1">
      <c r="A18" s="287" t="s">
        <v>863</v>
      </c>
      <c r="B18" s="232"/>
      <c r="C18" s="254" t="s">
        <v>864</v>
      </c>
      <c r="D18" s="295"/>
      <c r="E18" s="296"/>
      <c r="F18" s="295"/>
      <c r="G18" s="296"/>
      <c r="H18" s="286">
        <v>2063880</v>
      </c>
      <c r="I18" s="294">
        <v>0</v>
      </c>
      <c r="J18" s="286">
        <v>2063880</v>
      </c>
      <c r="K18" s="294">
        <v>0</v>
      </c>
      <c r="L18" s="345">
        <v>0</v>
      </c>
      <c r="M18" s="64">
        <v>0</v>
      </c>
      <c r="N18" s="346">
        <v>0</v>
      </c>
      <c r="O18" s="347">
        <v>0</v>
      </c>
    </row>
    <row r="19" spans="1:15" s="297" customFormat="1" ht="29.25" customHeight="1">
      <c r="A19" s="287" t="s">
        <v>272</v>
      </c>
      <c r="B19" s="232"/>
      <c r="C19" s="254" t="s">
        <v>340</v>
      </c>
      <c r="D19" s="295">
        <v>170003075</v>
      </c>
      <c r="E19" s="296">
        <v>0</v>
      </c>
      <c r="F19" s="295">
        <v>0</v>
      </c>
      <c r="G19" s="296">
        <v>0</v>
      </c>
      <c r="H19" s="286">
        <v>1385120071</v>
      </c>
      <c r="I19" s="294">
        <v>0</v>
      </c>
      <c r="J19" s="286">
        <v>1309186209</v>
      </c>
      <c r="K19" s="294">
        <v>0</v>
      </c>
      <c r="L19" s="348">
        <v>245936937</v>
      </c>
      <c r="M19" s="64">
        <v>0</v>
      </c>
      <c r="N19" s="346">
        <v>0</v>
      </c>
      <c r="O19" s="347">
        <v>0</v>
      </c>
    </row>
    <row r="20" spans="1:15" s="297" customFormat="1" ht="29.25" customHeight="1">
      <c r="A20" s="287" t="s">
        <v>330</v>
      </c>
      <c r="B20" s="232"/>
      <c r="C20" s="254" t="s">
        <v>341</v>
      </c>
      <c r="D20" s="295">
        <v>49429129</v>
      </c>
      <c r="E20" s="296">
        <v>0</v>
      </c>
      <c r="F20" s="295">
        <v>0</v>
      </c>
      <c r="G20" s="296">
        <v>0</v>
      </c>
      <c r="H20" s="286">
        <v>250697108</v>
      </c>
      <c r="I20" s="294">
        <v>0</v>
      </c>
      <c r="J20" s="286">
        <v>300126237</v>
      </c>
      <c r="K20" s="294">
        <v>0</v>
      </c>
      <c r="L20" s="345">
        <v>0</v>
      </c>
      <c r="M20" s="64">
        <v>0</v>
      </c>
      <c r="N20" s="346">
        <v>0</v>
      </c>
      <c r="O20" s="347">
        <v>0</v>
      </c>
    </row>
    <row r="21" spans="1:15" s="297" customFormat="1" ht="29.25" customHeight="1">
      <c r="A21" s="288" t="s">
        <v>273</v>
      </c>
      <c r="B21" s="68"/>
      <c r="C21" s="254" t="s">
        <v>342</v>
      </c>
      <c r="D21" s="295">
        <v>139968607</v>
      </c>
      <c r="E21" s="296">
        <v>0</v>
      </c>
      <c r="F21" s="295">
        <v>0</v>
      </c>
      <c r="G21" s="296">
        <v>0</v>
      </c>
      <c r="H21" s="286">
        <v>0</v>
      </c>
      <c r="I21" s="294">
        <v>0</v>
      </c>
      <c r="J21" s="286">
        <v>29976000</v>
      </c>
      <c r="K21" s="294">
        <v>0</v>
      </c>
      <c r="L21" s="348">
        <v>109992607</v>
      </c>
      <c r="M21" s="64">
        <v>0</v>
      </c>
      <c r="N21" s="346">
        <v>0</v>
      </c>
      <c r="O21" s="347">
        <v>0</v>
      </c>
    </row>
    <row r="22" spans="1:15" s="297" customFormat="1" ht="29.25" customHeight="1">
      <c r="A22" s="287" t="s">
        <v>274</v>
      </c>
      <c r="B22" s="68"/>
      <c r="C22" s="254" t="s">
        <v>343</v>
      </c>
      <c r="D22" s="295">
        <v>1531238</v>
      </c>
      <c r="E22" s="296">
        <v>0</v>
      </c>
      <c r="F22" s="295">
        <v>0</v>
      </c>
      <c r="G22" s="296">
        <v>0</v>
      </c>
      <c r="H22" s="286">
        <v>38102236</v>
      </c>
      <c r="I22" s="294">
        <v>0</v>
      </c>
      <c r="J22" s="286">
        <v>37738112</v>
      </c>
      <c r="K22" s="294">
        <v>0</v>
      </c>
      <c r="L22" s="348">
        <v>1895362</v>
      </c>
      <c r="M22" s="64">
        <v>0</v>
      </c>
      <c r="N22" s="346">
        <v>0</v>
      </c>
      <c r="O22" s="347">
        <v>0</v>
      </c>
    </row>
    <row r="23" spans="1:15" s="297" customFormat="1" ht="29.25" customHeight="1">
      <c r="A23" s="287" t="s">
        <v>275</v>
      </c>
      <c r="B23" s="68"/>
      <c r="C23" s="254" t="s">
        <v>839</v>
      </c>
      <c r="D23" s="295">
        <v>366983560</v>
      </c>
      <c r="E23" s="296">
        <v>0</v>
      </c>
      <c r="F23" s="295">
        <v>0</v>
      </c>
      <c r="G23" s="296">
        <v>0</v>
      </c>
      <c r="H23" s="286">
        <v>48184416</v>
      </c>
      <c r="I23" s="294">
        <v>0</v>
      </c>
      <c r="J23" s="286">
        <v>74477232</v>
      </c>
      <c r="K23" s="294">
        <v>0</v>
      </c>
      <c r="L23" s="348">
        <v>340690744</v>
      </c>
      <c r="M23" s="64">
        <v>0</v>
      </c>
      <c r="N23" s="346">
        <v>0</v>
      </c>
      <c r="O23" s="347">
        <v>0</v>
      </c>
    </row>
    <row r="24" spans="1:15" s="297" customFormat="1" ht="29.25" customHeight="1">
      <c r="A24" s="287" t="s">
        <v>276</v>
      </c>
      <c r="B24" s="68"/>
      <c r="C24" s="254" t="s">
        <v>344</v>
      </c>
      <c r="D24" s="295">
        <v>227718338</v>
      </c>
      <c r="E24" s="296">
        <v>0</v>
      </c>
      <c r="F24" s="295">
        <v>0</v>
      </c>
      <c r="G24" s="296">
        <v>0</v>
      </c>
      <c r="H24" s="286">
        <v>0</v>
      </c>
      <c r="I24" s="294">
        <v>0</v>
      </c>
      <c r="J24" s="286">
        <v>0</v>
      </c>
      <c r="K24" s="294">
        <v>0</v>
      </c>
      <c r="L24" s="348">
        <v>227718338</v>
      </c>
      <c r="M24" s="64">
        <v>0</v>
      </c>
      <c r="N24" s="346">
        <v>0</v>
      </c>
      <c r="O24" s="347">
        <v>0</v>
      </c>
    </row>
    <row r="25" spans="1:15" s="297" customFormat="1" ht="29.25" customHeight="1">
      <c r="A25" s="287" t="s">
        <v>865</v>
      </c>
      <c r="B25" s="68"/>
      <c r="C25" s="254" t="s">
        <v>866</v>
      </c>
      <c r="D25" s="295"/>
      <c r="E25" s="296"/>
      <c r="F25" s="295"/>
      <c r="G25" s="296"/>
      <c r="H25" s="286">
        <v>14271811</v>
      </c>
      <c r="I25" s="294">
        <v>0</v>
      </c>
      <c r="J25" s="286">
        <v>14271811</v>
      </c>
      <c r="K25" s="294">
        <v>0</v>
      </c>
      <c r="L25" s="345">
        <v>0</v>
      </c>
      <c r="M25" s="64">
        <v>0</v>
      </c>
      <c r="N25" s="346">
        <v>0</v>
      </c>
      <c r="O25" s="347">
        <v>0</v>
      </c>
    </row>
    <row r="26" spans="1:15" s="297" customFormat="1" ht="29.25" customHeight="1">
      <c r="A26" s="289" t="s">
        <v>331</v>
      </c>
      <c r="B26" s="68"/>
      <c r="C26" s="255" t="s">
        <v>345</v>
      </c>
      <c r="D26" s="295">
        <v>18006428</v>
      </c>
      <c r="E26" s="296">
        <v>0</v>
      </c>
      <c r="F26" s="295">
        <v>0</v>
      </c>
      <c r="G26" s="296">
        <v>0</v>
      </c>
      <c r="H26" s="286">
        <v>0</v>
      </c>
      <c r="I26" s="294">
        <v>0</v>
      </c>
      <c r="J26" s="286">
        <v>0</v>
      </c>
      <c r="K26" s="294">
        <v>0</v>
      </c>
      <c r="L26" s="348">
        <v>18006428</v>
      </c>
      <c r="M26" s="64">
        <v>0</v>
      </c>
      <c r="N26" s="346">
        <v>0</v>
      </c>
      <c r="O26" s="347">
        <v>0</v>
      </c>
    </row>
    <row r="27" spans="1:15" s="297" customFormat="1" ht="29.25" customHeight="1">
      <c r="A27" s="311" t="s">
        <v>867</v>
      </c>
      <c r="B27" s="233"/>
      <c r="C27" s="254" t="s">
        <v>868</v>
      </c>
      <c r="D27" s="295"/>
      <c r="E27" s="296"/>
      <c r="F27" s="295"/>
      <c r="G27" s="296"/>
      <c r="H27" s="286">
        <v>573810620</v>
      </c>
      <c r="I27" s="294">
        <v>0</v>
      </c>
      <c r="J27" s="286">
        <v>332061260</v>
      </c>
      <c r="K27" s="294">
        <v>0</v>
      </c>
      <c r="L27" s="348">
        <v>241749360</v>
      </c>
      <c r="M27" s="64">
        <v>0</v>
      </c>
      <c r="N27" s="346">
        <v>0</v>
      </c>
      <c r="O27" s="347">
        <v>0</v>
      </c>
    </row>
    <row r="28" spans="1:15" s="297" customFormat="1" ht="29.25" customHeight="1">
      <c r="A28" s="311" t="s">
        <v>332</v>
      </c>
      <c r="B28" s="233"/>
      <c r="C28" s="254" t="s">
        <v>346</v>
      </c>
      <c r="D28" s="295">
        <v>670729421</v>
      </c>
      <c r="E28" s="296">
        <v>0</v>
      </c>
      <c r="F28" s="295">
        <v>0</v>
      </c>
      <c r="G28" s="296">
        <v>0</v>
      </c>
      <c r="H28" s="286">
        <v>310974606</v>
      </c>
      <c r="I28" s="294">
        <v>0</v>
      </c>
      <c r="J28" s="286">
        <v>789481793</v>
      </c>
      <c r="K28" s="294">
        <v>0</v>
      </c>
      <c r="L28" s="348">
        <v>192222234</v>
      </c>
      <c r="M28" s="64">
        <v>0</v>
      </c>
      <c r="N28" s="346">
        <v>0</v>
      </c>
      <c r="O28" s="347">
        <v>0</v>
      </c>
    </row>
    <row r="29" spans="1:15" s="297" customFormat="1" ht="29.25" customHeight="1">
      <c r="A29" s="311" t="s">
        <v>333</v>
      </c>
      <c r="B29" s="233"/>
      <c r="C29" s="254" t="s">
        <v>347</v>
      </c>
      <c r="D29" s="295">
        <v>0</v>
      </c>
      <c r="E29" s="296">
        <v>0</v>
      </c>
      <c r="F29" s="295">
        <v>0</v>
      </c>
      <c r="G29" s="296">
        <v>0</v>
      </c>
      <c r="H29" s="286">
        <v>9293324</v>
      </c>
      <c r="I29" s="294">
        <v>0</v>
      </c>
      <c r="J29" s="286">
        <v>8201520</v>
      </c>
      <c r="K29" s="294">
        <v>0</v>
      </c>
      <c r="L29" s="348">
        <v>1091804</v>
      </c>
      <c r="M29" s="64">
        <v>0</v>
      </c>
      <c r="N29" s="346">
        <v>0</v>
      </c>
      <c r="O29" s="347">
        <v>0</v>
      </c>
    </row>
    <row r="30" spans="1:15" s="297" customFormat="1" ht="29.25" customHeight="1">
      <c r="A30" s="291" t="s">
        <v>869</v>
      </c>
      <c r="B30" s="68"/>
      <c r="C30" s="254" t="s">
        <v>870</v>
      </c>
      <c r="D30" s="295"/>
      <c r="E30" s="296"/>
      <c r="F30" s="295"/>
      <c r="G30" s="296"/>
      <c r="H30" s="286">
        <v>15631704</v>
      </c>
      <c r="I30" s="294">
        <v>0</v>
      </c>
      <c r="J30" s="286">
        <v>15631704</v>
      </c>
      <c r="K30" s="294">
        <v>0</v>
      </c>
      <c r="L30" s="345">
        <v>0</v>
      </c>
      <c r="M30" s="64">
        <v>0</v>
      </c>
      <c r="N30" s="346">
        <v>0</v>
      </c>
      <c r="O30" s="347">
        <v>0</v>
      </c>
    </row>
    <row r="31" spans="1:15" s="297" customFormat="1" ht="29.25" customHeight="1">
      <c r="A31" s="291" t="s">
        <v>277</v>
      </c>
      <c r="B31" s="290"/>
      <c r="C31" s="292" t="s">
        <v>348</v>
      </c>
      <c r="D31" s="295">
        <v>0</v>
      </c>
      <c r="E31" s="296">
        <v>0</v>
      </c>
      <c r="F31" s="295">
        <v>0</v>
      </c>
      <c r="G31" s="296">
        <v>0</v>
      </c>
      <c r="H31" s="286">
        <v>4606896</v>
      </c>
      <c r="I31" s="294">
        <v>0</v>
      </c>
      <c r="J31" s="286">
        <v>4606896</v>
      </c>
      <c r="K31" s="294">
        <v>0</v>
      </c>
      <c r="L31" s="345">
        <v>0</v>
      </c>
      <c r="M31" s="64">
        <v>0</v>
      </c>
      <c r="N31" s="346">
        <v>0</v>
      </c>
      <c r="O31" s="347">
        <v>0</v>
      </c>
    </row>
    <row r="32" spans="1:15" s="297" customFormat="1" ht="29.25" customHeight="1">
      <c r="A32" s="291" t="s">
        <v>334</v>
      </c>
      <c r="B32" s="290"/>
      <c r="C32" s="292" t="s">
        <v>349</v>
      </c>
      <c r="D32" s="295">
        <v>210935031</v>
      </c>
      <c r="E32" s="296">
        <v>0</v>
      </c>
      <c r="F32" s="295">
        <v>0</v>
      </c>
      <c r="G32" s="296">
        <v>0</v>
      </c>
      <c r="H32" s="286">
        <v>1604659328</v>
      </c>
      <c r="I32" s="294">
        <v>0</v>
      </c>
      <c r="J32" s="286">
        <v>1580510534</v>
      </c>
      <c r="K32" s="294">
        <v>0</v>
      </c>
      <c r="L32" s="348">
        <v>235083825</v>
      </c>
      <c r="M32" s="64">
        <v>0</v>
      </c>
      <c r="N32" s="346">
        <v>0</v>
      </c>
      <c r="O32" s="347">
        <v>0</v>
      </c>
    </row>
    <row r="33" spans="1:15" s="297" customFormat="1" ht="29.25" customHeight="1">
      <c r="A33" s="291" t="s">
        <v>278</v>
      </c>
      <c r="B33" s="68"/>
      <c r="C33" s="254" t="s">
        <v>350</v>
      </c>
      <c r="D33" s="295">
        <v>252504</v>
      </c>
      <c r="E33" s="296">
        <v>0</v>
      </c>
      <c r="F33" s="295">
        <v>0</v>
      </c>
      <c r="G33" s="296">
        <v>0</v>
      </c>
      <c r="H33" s="286">
        <v>2444818</v>
      </c>
      <c r="I33" s="294">
        <v>0</v>
      </c>
      <c r="J33" s="286">
        <v>2697322</v>
      </c>
      <c r="K33" s="294">
        <v>0</v>
      </c>
      <c r="L33" s="345">
        <v>0</v>
      </c>
      <c r="M33" s="64">
        <v>0</v>
      </c>
      <c r="N33" s="346">
        <v>0</v>
      </c>
      <c r="O33" s="347">
        <v>0</v>
      </c>
    </row>
    <row r="34" spans="1:15" s="297" customFormat="1" ht="29.25" customHeight="1">
      <c r="A34" s="291" t="s">
        <v>335</v>
      </c>
      <c r="B34" s="68"/>
      <c r="C34" s="254" t="s">
        <v>351</v>
      </c>
      <c r="D34" s="295">
        <v>4503168</v>
      </c>
      <c r="E34" s="296">
        <v>0</v>
      </c>
      <c r="F34" s="295">
        <v>0</v>
      </c>
      <c r="G34" s="296">
        <v>0</v>
      </c>
      <c r="H34" s="286">
        <v>21258720</v>
      </c>
      <c r="I34" s="294">
        <v>0</v>
      </c>
      <c r="J34" s="286">
        <v>20670984</v>
      </c>
      <c r="K34" s="294">
        <v>0</v>
      </c>
      <c r="L34" s="348">
        <v>5090904</v>
      </c>
      <c r="M34" s="64">
        <v>0</v>
      </c>
      <c r="N34" s="346">
        <v>0</v>
      </c>
      <c r="O34" s="347">
        <v>0</v>
      </c>
    </row>
    <row r="35" spans="1:15" s="297" customFormat="1" ht="29.25" customHeight="1">
      <c r="A35" s="291" t="s">
        <v>279</v>
      </c>
      <c r="B35" s="68"/>
      <c r="C35" s="254" t="s">
        <v>352</v>
      </c>
      <c r="D35" s="295">
        <v>6123600</v>
      </c>
      <c r="E35" s="296">
        <v>0</v>
      </c>
      <c r="F35" s="295">
        <v>0</v>
      </c>
      <c r="G35" s="296">
        <v>0</v>
      </c>
      <c r="H35" s="286">
        <v>18263092</v>
      </c>
      <c r="I35" s="294">
        <v>0</v>
      </c>
      <c r="J35" s="286">
        <v>24386692</v>
      </c>
      <c r="K35" s="294">
        <v>0</v>
      </c>
      <c r="L35" s="345">
        <v>0</v>
      </c>
      <c r="M35" s="64">
        <v>0</v>
      </c>
      <c r="N35" s="346">
        <v>0</v>
      </c>
      <c r="O35" s="347">
        <v>0</v>
      </c>
    </row>
    <row r="36" spans="1:15" s="297" customFormat="1" ht="29.25" customHeight="1">
      <c r="A36" s="291" t="s">
        <v>280</v>
      </c>
      <c r="B36" s="68"/>
      <c r="C36" s="254" t="s">
        <v>353</v>
      </c>
      <c r="D36" s="295">
        <v>821584069</v>
      </c>
      <c r="E36" s="296">
        <v>0</v>
      </c>
      <c r="F36" s="295">
        <v>0</v>
      </c>
      <c r="G36" s="296">
        <v>0</v>
      </c>
      <c r="H36" s="286">
        <v>0</v>
      </c>
      <c r="I36" s="294">
        <v>0</v>
      </c>
      <c r="J36" s="286">
        <v>0</v>
      </c>
      <c r="K36" s="294">
        <v>0</v>
      </c>
      <c r="L36" s="348">
        <v>821584069</v>
      </c>
      <c r="M36" s="64">
        <v>0</v>
      </c>
      <c r="N36" s="346">
        <v>0</v>
      </c>
      <c r="O36" s="347">
        <v>0</v>
      </c>
    </row>
    <row r="37" spans="1:15" s="297" customFormat="1" ht="29.25" customHeight="1">
      <c r="A37" s="287" t="s">
        <v>281</v>
      </c>
      <c r="B37" s="68"/>
      <c r="C37" s="254" t="s">
        <v>354</v>
      </c>
      <c r="D37" s="295">
        <v>1699946400</v>
      </c>
      <c r="E37" s="296">
        <v>0</v>
      </c>
      <c r="F37" s="295">
        <v>0</v>
      </c>
      <c r="G37" s="296">
        <v>0</v>
      </c>
      <c r="H37" s="286">
        <v>0</v>
      </c>
      <c r="I37" s="294">
        <v>0</v>
      </c>
      <c r="J37" s="286">
        <v>0</v>
      </c>
      <c r="K37" s="294">
        <v>0</v>
      </c>
      <c r="L37" s="348">
        <v>1699946400</v>
      </c>
      <c r="M37" s="64">
        <v>0</v>
      </c>
      <c r="N37" s="346">
        <v>0</v>
      </c>
      <c r="O37" s="347">
        <v>0</v>
      </c>
    </row>
    <row r="38" spans="1:15" s="297" customFormat="1" ht="29.25" customHeight="1">
      <c r="A38" s="287" t="s">
        <v>282</v>
      </c>
      <c r="B38" s="68"/>
      <c r="C38" s="254" t="s">
        <v>355</v>
      </c>
      <c r="D38" s="295">
        <v>387033948</v>
      </c>
      <c r="E38" s="296">
        <v>0</v>
      </c>
      <c r="F38" s="295">
        <v>0</v>
      </c>
      <c r="G38" s="296">
        <v>0</v>
      </c>
      <c r="H38" s="286">
        <v>0</v>
      </c>
      <c r="I38" s="294">
        <v>0</v>
      </c>
      <c r="J38" s="286">
        <v>0</v>
      </c>
      <c r="K38" s="294">
        <v>0</v>
      </c>
      <c r="L38" s="348">
        <v>387033948</v>
      </c>
      <c r="M38" s="64">
        <v>0</v>
      </c>
      <c r="N38" s="346">
        <v>0</v>
      </c>
      <c r="O38" s="347">
        <v>0</v>
      </c>
    </row>
    <row r="39" spans="1:15" s="297" customFormat="1" ht="29.25" customHeight="1">
      <c r="A39" s="287" t="s">
        <v>283</v>
      </c>
      <c r="B39" s="68"/>
      <c r="C39" s="254" t="s">
        <v>382</v>
      </c>
      <c r="D39" s="295">
        <v>57601406</v>
      </c>
      <c r="E39" s="296">
        <v>0</v>
      </c>
      <c r="F39" s="295">
        <v>0</v>
      </c>
      <c r="G39" s="296">
        <v>0</v>
      </c>
      <c r="H39" s="286">
        <v>0</v>
      </c>
      <c r="I39" s="294">
        <v>0</v>
      </c>
      <c r="J39" s="286">
        <v>0</v>
      </c>
      <c r="K39" s="294">
        <v>0</v>
      </c>
      <c r="L39" s="348">
        <v>57601406</v>
      </c>
      <c r="M39" s="64">
        <v>0</v>
      </c>
      <c r="N39" s="346">
        <v>0</v>
      </c>
      <c r="O39" s="347">
        <v>0</v>
      </c>
    </row>
    <row r="40" spans="1:15" s="297" customFormat="1" ht="29.25" customHeight="1">
      <c r="A40" s="287" t="s">
        <v>336</v>
      </c>
      <c r="B40" s="68"/>
      <c r="C40" s="254" t="s">
        <v>356</v>
      </c>
      <c r="D40" s="295">
        <v>39142810</v>
      </c>
      <c r="E40" s="296">
        <v>0</v>
      </c>
      <c r="F40" s="295">
        <v>0</v>
      </c>
      <c r="G40" s="296">
        <v>0</v>
      </c>
      <c r="H40" s="286">
        <v>755361294</v>
      </c>
      <c r="I40" s="294">
        <v>0</v>
      </c>
      <c r="J40" s="286">
        <v>794504104</v>
      </c>
      <c r="K40" s="294">
        <v>0</v>
      </c>
      <c r="L40" s="345">
        <v>0</v>
      </c>
      <c r="M40" s="64">
        <v>0</v>
      </c>
      <c r="N40" s="346">
        <v>0</v>
      </c>
      <c r="O40" s="347">
        <v>0</v>
      </c>
    </row>
    <row r="41" spans="1:15" s="297" customFormat="1" ht="29.25" customHeight="1">
      <c r="A41" s="287" t="s">
        <v>284</v>
      </c>
      <c r="B41" s="68"/>
      <c r="C41" s="254" t="s">
        <v>357</v>
      </c>
      <c r="D41" s="295">
        <v>471056275</v>
      </c>
      <c r="E41" s="296">
        <v>0</v>
      </c>
      <c r="F41" s="295">
        <v>0</v>
      </c>
      <c r="G41" s="296">
        <v>0</v>
      </c>
      <c r="H41" s="286">
        <v>0</v>
      </c>
      <c r="I41" s="294">
        <v>0</v>
      </c>
      <c r="J41" s="286">
        <v>200000000</v>
      </c>
      <c r="K41" s="294">
        <v>0</v>
      </c>
      <c r="L41" s="348">
        <v>271056275</v>
      </c>
      <c r="M41" s="64">
        <v>0</v>
      </c>
      <c r="N41" s="346">
        <v>0</v>
      </c>
      <c r="O41" s="347">
        <v>0</v>
      </c>
    </row>
    <row r="42" spans="1:15" s="297" customFormat="1" ht="29.25" customHeight="1">
      <c r="A42" s="287" t="s">
        <v>337</v>
      </c>
      <c r="B42" s="68"/>
      <c r="C42" s="254" t="s">
        <v>358</v>
      </c>
      <c r="D42" s="295">
        <v>54832480</v>
      </c>
      <c r="E42" s="296">
        <v>0</v>
      </c>
      <c r="F42" s="295">
        <v>0</v>
      </c>
      <c r="G42" s="296">
        <v>0</v>
      </c>
      <c r="H42" s="286">
        <v>0</v>
      </c>
      <c r="I42" s="294">
        <v>0</v>
      </c>
      <c r="J42" s="286">
        <v>0</v>
      </c>
      <c r="K42" s="294">
        <v>0</v>
      </c>
      <c r="L42" s="348">
        <v>54832480</v>
      </c>
      <c r="M42" s="64">
        <v>0</v>
      </c>
      <c r="N42" s="346">
        <v>0</v>
      </c>
      <c r="O42" s="347">
        <v>0</v>
      </c>
    </row>
    <row r="43" spans="1:15" s="297" customFormat="1" ht="29.25" customHeight="1">
      <c r="A43" s="287" t="s">
        <v>285</v>
      </c>
      <c r="B43" s="68"/>
      <c r="C43" s="254" t="s">
        <v>359</v>
      </c>
      <c r="D43" s="295">
        <v>0</v>
      </c>
      <c r="E43" s="296">
        <v>0</v>
      </c>
      <c r="F43" s="295">
        <v>0</v>
      </c>
      <c r="G43" s="296">
        <v>0</v>
      </c>
      <c r="H43" s="286">
        <v>67197384</v>
      </c>
      <c r="I43" s="294">
        <v>0</v>
      </c>
      <c r="J43" s="286">
        <v>67197384</v>
      </c>
      <c r="K43" s="294">
        <v>0</v>
      </c>
      <c r="L43" s="345">
        <v>0</v>
      </c>
      <c r="M43" s="64">
        <v>0</v>
      </c>
      <c r="N43" s="346">
        <v>0</v>
      </c>
      <c r="O43" s="347">
        <v>0</v>
      </c>
    </row>
    <row r="44" spans="1:15" s="297" customFormat="1" ht="29.25" customHeight="1">
      <c r="A44" s="287" t="s">
        <v>871</v>
      </c>
      <c r="B44" s="232"/>
      <c r="C44" s="254" t="s">
        <v>872</v>
      </c>
      <c r="D44" s="295"/>
      <c r="E44" s="296"/>
      <c r="F44" s="295"/>
      <c r="G44" s="296"/>
      <c r="H44" s="286">
        <v>58913568</v>
      </c>
      <c r="I44" s="294">
        <v>0</v>
      </c>
      <c r="J44" s="286">
        <v>58913568</v>
      </c>
      <c r="K44" s="294">
        <v>0</v>
      </c>
      <c r="L44" s="345">
        <v>0</v>
      </c>
      <c r="M44" s="64">
        <v>0</v>
      </c>
      <c r="N44" s="346">
        <v>0</v>
      </c>
      <c r="O44" s="347">
        <v>0</v>
      </c>
    </row>
    <row r="45" spans="1:15" s="297" customFormat="1" ht="29.25" customHeight="1">
      <c r="A45" s="287" t="s">
        <v>286</v>
      </c>
      <c r="B45" s="232"/>
      <c r="C45" s="254" t="s">
        <v>360</v>
      </c>
      <c r="D45" s="295">
        <v>8207136</v>
      </c>
      <c r="E45" s="296">
        <v>0</v>
      </c>
      <c r="F45" s="295">
        <v>0</v>
      </c>
      <c r="G45" s="296">
        <v>0</v>
      </c>
      <c r="H45" s="286">
        <v>10036677</v>
      </c>
      <c r="I45" s="294">
        <v>0</v>
      </c>
      <c r="J45" s="286">
        <v>18243813</v>
      </c>
      <c r="K45" s="294">
        <v>0</v>
      </c>
      <c r="L45" s="345">
        <v>0</v>
      </c>
      <c r="M45" s="64">
        <v>0</v>
      </c>
      <c r="N45" s="346">
        <v>0</v>
      </c>
      <c r="O45" s="347">
        <v>0</v>
      </c>
    </row>
    <row r="46" spans="1:15" s="297" customFormat="1" ht="29.25" customHeight="1">
      <c r="A46" s="312" t="s">
        <v>383</v>
      </c>
      <c r="B46" s="233"/>
      <c r="C46" s="254" t="s">
        <v>386</v>
      </c>
      <c r="D46" s="295">
        <v>61209250</v>
      </c>
      <c r="E46" s="296">
        <v>0</v>
      </c>
      <c r="F46" s="295">
        <v>0</v>
      </c>
      <c r="G46" s="296">
        <v>0</v>
      </c>
      <c r="H46" s="286">
        <v>0</v>
      </c>
      <c r="I46" s="294">
        <v>0</v>
      </c>
      <c r="J46" s="286">
        <v>0</v>
      </c>
      <c r="K46" s="294">
        <v>0</v>
      </c>
      <c r="L46" s="348">
        <v>61209250</v>
      </c>
      <c r="M46" s="64">
        <v>0</v>
      </c>
      <c r="N46" s="346">
        <v>0</v>
      </c>
      <c r="O46" s="347">
        <v>0</v>
      </c>
    </row>
    <row r="47" spans="1:15" s="297" customFormat="1" ht="29.25" customHeight="1">
      <c r="A47" s="312" t="s">
        <v>707</v>
      </c>
      <c r="B47" s="233"/>
      <c r="C47" s="254" t="s">
        <v>706</v>
      </c>
      <c r="D47" s="295">
        <v>2007720</v>
      </c>
      <c r="E47" s="296">
        <v>0</v>
      </c>
      <c r="F47" s="295">
        <v>0</v>
      </c>
      <c r="G47" s="296">
        <v>0</v>
      </c>
      <c r="H47" s="286">
        <v>2023164</v>
      </c>
      <c r="I47" s="294">
        <v>0</v>
      </c>
      <c r="J47" s="286">
        <v>4030884</v>
      </c>
      <c r="K47" s="294">
        <v>0</v>
      </c>
      <c r="L47" s="345">
        <v>0</v>
      </c>
      <c r="M47" s="64">
        <v>0</v>
      </c>
      <c r="N47" s="346">
        <v>0</v>
      </c>
      <c r="O47" s="347">
        <v>0</v>
      </c>
    </row>
    <row r="48" spans="1:15" s="297" customFormat="1" ht="29.25" customHeight="1">
      <c r="A48" s="291" t="s">
        <v>728</v>
      </c>
      <c r="B48" s="233"/>
      <c r="C48" s="254" t="s">
        <v>699</v>
      </c>
      <c r="D48" s="295">
        <v>177714000</v>
      </c>
      <c r="E48" s="296">
        <v>0</v>
      </c>
      <c r="F48" s="295">
        <v>0</v>
      </c>
      <c r="G48" s="296">
        <v>0</v>
      </c>
      <c r="H48" s="286">
        <v>0</v>
      </c>
      <c r="I48" s="294">
        <v>0</v>
      </c>
      <c r="J48" s="286">
        <v>0</v>
      </c>
      <c r="K48" s="294">
        <v>0</v>
      </c>
      <c r="L48" s="348">
        <v>177714000</v>
      </c>
      <c r="M48" s="64">
        <v>0</v>
      </c>
      <c r="N48" s="346">
        <v>0</v>
      </c>
      <c r="O48" s="347">
        <v>0</v>
      </c>
    </row>
    <row r="49" spans="1:15" s="297" customFormat="1" ht="29.25" customHeight="1">
      <c r="A49" s="291" t="s">
        <v>873</v>
      </c>
      <c r="B49" s="233"/>
      <c r="C49" s="254" t="s">
        <v>874</v>
      </c>
      <c r="D49" s="295"/>
      <c r="E49" s="296"/>
      <c r="F49" s="295"/>
      <c r="G49" s="296"/>
      <c r="H49" s="286">
        <v>27119059</v>
      </c>
      <c r="I49" s="294">
        <v>0</v>
      </c>
      <c r="J49" s="286">
        <v>27119059</v>
      </c>
      <c r="K49" s="294">
        <v>0</v>
      </c>
      <c r="L49" s="345">
        <v>0</v>
      </c>
      <c r="M49" s="64">
        <v>0</v>
      </c>
      <c r="N49" s="346">
        <v>0</v>
      </c>
      <c r="O49" s="347">
        <v>0</v>
      </c>
    </row>
    <row r="50" spans="1:15" s="297" customFormat="1" ht="29.25" customHeight="1">
      <c r="A50" s="291" t="s">
        <v>841</v>
      </c>
      <c r="B50" s="233"/>
      <c r="C50" s="254" t="s">
        <v>843</v>
      </c>
      <c r="D50" s="295">
        <v>11093436</v>
      </c>
      <c r="E50" s="296">
        <v>0</v>
      </c>
      <c r="F50" s="295">
        <v>0</v>
      </c>
      <c r="G50" s="296">
        <v>0</v>
      </c>
      <c r="H50" s="286">
        <v>41382036</v>
      </c>
      <c r="I50" s="294">
        <v>0</v>
      </c>
      <c r="J50" s="286">
        <v>49366800</v>
      </c>
      <c r="K50" s="294">
        <v>0</v>
      </c>
      <c r="L50" s="348">
        <v>3108672</v>
      </c>
      <c r="M50" s="64">
        <v>0</v>
      </c>
      <c r="N50" s="346">
        <v>0</v>
      </c>
      <c r="O50" s="347">
        <v>0</v>
      </c>
    </row>
    <row r="51" spans="1:15" s="297" customFormat="1" ht="29.25" customHeight="1">
      <c r="A51" s="291" t="s">
        <v>875</v>
      </c>
      <c r="B51" s="233"/>
      <c r="C51" s="254" t="s">
        <v>876</v>
      </c>
      <c r="D51" s="295"/>
      <c r="E51" s="296"/>
      <c r="F51" s="295"/>
      <c r="G51" s="296"/>
      <c r="H51" s="286">
        <v>29953800</v>
      </c>
      <c r="I51" s="294">
        <v>0</v>
      </c>
      <c r="J51" s="286">
        <v>29953800</v>
      </c>
      <c r="K51" s="294">
        <v>0</v>
      </c>
      <c r="L51" s="345">
        <v>0</v>
      </c>
      <c r="M51" s="64">
        <v>0</v>
      </c>
      <c r="N51" s="346">
        <v>0</v>
      </c>
      <c r="O51" s="347">
        <v>0</v>
      </c>
    </row>
    <row r="52" spans="1:15" s="297" customFormat="1" ht="29.25" customHeight="1">
      <c r="A52" s="291" t="s">
        <v>877</v>
      </c>
      <c r="B52" s="303"/>
      <c r="C52" s="254" t="s">
        <v>878</v>
      </c>
      <c r="D52" s="295"/>
      <c r="E52" s="296"/>
      <c r="F52" s="295"/>
      <c r="G52" s="296"/>
      <c r="H52" s="286">
        <v>71632339</v>
      </c>
      <c r="I52" s="294">
        <v>0</v>
      </c>
      <c r="J52" s="286">
        <v>71632339</v>
      </c>
      <c r="K52" s="294">
        <v>0</v>
      </c>
      <c r="L52" s="345">
        <v>0</v>
      </c>
      <c r="M52" s="64">
        <v>0</v>
      </c>
      <c r="N52" s="346">
        <v>0</v>
      </c>
      <c r="O52" s="347">
        <v>0</v>
      </c>
    </row>
    <row r="53" spans="1:15" s="297" customFormat="1" ht="29.25" customHeight="1">
      <c r="A53" s="291" t="s">
        <v>879</v>
      </c>
      <c r="B53" s="293"/>
      <c r="C53" s="292" t="s">
        <v>880</v>
      </c>
      <c r="D53" s="295"/>
      <c r="E53" s="296"/>
      <c r="F53" s="295"/>
      <c r="G53" s="296"/>
      <c r="H53" s="286">
        <v>184479228</v>
      </c>
      <c r="I53" s="294">
        <v>0</v>
      </c>
      <c r="J53" s="286">
        <v>184479228</v>
      </c>
      <c r="K53" s="294">
        <v>0</v>
      </c>
      <c r="L53" s="345">
        <v>0</v>
      </c>
      <c r="M53" s="64">
        <v>0</v>
      </c>
      <c r="N53" s="346">
        <v>0</v>
      </c>
      <c r="O53" s="347">
        <v>0</v>
      </c>
    </row>
    <row r="54" spans="1:15" s="297" customFormat="1" ht="29.25" customHeight="1">
      <c r="A54" s="291" t="s">
        <v>881</v>
      </c>
      <c r="B54" s="232"/>
      <c r="C54" s="254" t="s">
        <v>882</v>
      </c>
      <c r="D54" s="295"/>
      <c r="E54" s="296"/>
      <c r="F54" s="295"/>
      <c r="G54" s="296"/>
      <c r="H54" s="286">
        <v>80457516</v>
      </c>
      <c r="I54" s="294">
        <v>0</v>
      </c>
      <c r="J54" s="286">
        <v>80457516</v>
      </c>
      <c r="K54" s="294">
        <v>0</v>
      </c>
      <c r="L54" s="345">
        <v>0</v>
      </c>
      <c r="M54" s="64">
        <v>0</v>
      </c>
      <c r="N54" s="346">
        <v>0</v>
      </c>
      <c r="O54" s="347">
        <v>0</v>
      </c>
    </row>
    <row r="55" spans="1:15" s="297" customFormat="1" ht="29.25" customHeight="1">
      <c r="A55" s="311" t="s">
        <v>906</v>
      </c>
      <c r="B55" s="233"/>
      <c r="C55" s="254" t="s">
        <v>915</v>
      </c>
      <c r="D55" s="295"/>
      <c r="E55" s="296"/>
      <c r="F55" s="295"/>
      <c r="G55" s="296"/>
      <c r="H55" s="286">
        <v>81697556</v>
      </c>
      <c r="I55" s="294">
        <v>0</v>
      </c>
      <c r="J55" s="286">
        <v>81697556</v>
      </c>
      <c r="K55" s="294">
        <v>0</v>
      </c>
      <c r="L55" s="345">
        <v>0</v>
      </c>
      <c r="M55" s="64">
        <v>0</v>
      </c>
      <c r="N55" s="346">
        <v>0</v>
      </c>
      <c r="O55" s="347">
        <v>0</v>
      </c>
    </row>
    <row r="56" spans="1:15" s="297" customFormat="1" ht="29.25" customHeight="1">
      <c r="A56" s="311" t="s">
        <v>922</v>
      </c>
      <c r="B56" s="233"/>
      <c r="C56" s="254" t="s">
        <v>932</v>
      </c>
      <c r="D56" s="295"/>
      <c r="E56" s="295"/>
      <c r="F56" s="295"/>
      <c r="G56" s="295"/>
      <c r="H56" s="286">
        <v>15886800</v>
      </c>
      <c r="I56" s="294">
        <v>0</v>
      </c>
      <c r="J56" s="286">
        <v>15536880</v>
      </c>
      <c r="K56" s="294">
        <v>0</v>
      </c>
      <c r="L56" s="348">
        <v>349920</v>
      </c>
      <c r="M56" s="64">
        <v>0</v>
      </c>
      <c r="N56" s="346">
        <v>0</v>
      </c>
      <c r="O56" s="347">
        <v>0</v>
      </c>
    </row>
    <row r="57" spans="1:15" s="297" customFormat="1" ht="29.25" customHeight="1">
      <c r="A57" s="311" t="s">
        <v>920</v>
      </c>
      <c r="B57" s="233"/>
      <c r="C57" s="254" t="s">
        <v>933</v>
      </c>
      <c r="D57" s="295"/>
      <c r="E57" s="295"/>
      <c r="F57" s="295"/>
      <c r="G57" s="295"/>
      <c r="H57" s="286">
        <v>2052875</v>
      </c>
      <c r="I57" s="294">
        <v>0</v>
      </c>
      <c r="J57" s="286">
        <v>0</v>
      </c>
      <c r="K57" s="294">
        <v>0</v>
      </c>
      <c r="L57" s="348">
        <v>2052875</v>
      </c>
      <c r="M57" s="64">
        <v>0</v>
      </c>
      <c r="N57" s="346">
        <v>0</v>
      </c>
      <c r="O57" s="347">
        <v>0</v>
      </c>
    </row>
    <row r="58" spans="1:15" s="297" customFormat="1" ht="29.25" customHeight="1">
      <c r="A58" s="311" t="s">
        <v>921</v>
      </c>
      <c r="B58" s="233"/>
      <c r="C58" s="254" t="s">
        <v>934</v>
      </c>
      <c r="D58" s="295"/>
      <c r="E58" s="295"/>
      <c r="F58" s="295"/>
      <c r="G58" s="295"/>
      <c r="H58" s="286">
        <v>13899600</v>
      </c>
      <c r="I58" s="294">
        <v>0</v>
      </c>
      <c r="J58" s="286">
        <v>0</v>
      </c>
      <c r="K58" s="294">
        <v>0</v>
      </c>
      <c r="L58" s="348">
        <v>13899600</v>
      </c>
      <c r="M58" s="64">
        <v>0</v>
      </c>
      <c r="N58" s="346">
        <v>0</v>
      </c>
      <c r="O58" s="347">
        <v>0</v>
      </c>
    </row>
    <row r="59" spans="1:15" s="297" customFormat="1" ht="29.25" customHeight="1">
      <c r="A59" s="311" t="s">
        <v>926</v>
      </c>
      <c r="B59" s="233"/>
      <c r="C59" s="254" t="s">
        <v>931</v>
      </c>
      <c r="D59" s="295"/>
      <c r="E59" s="295"/>
      <c r="F59" s="295"/>
      <c r="G59" s="295"/>
      <c r="H59" s="286">
        <v>1210000</v>
      </c>
      <c r="I59" s="294">
        <v>0</v>
      </c>
      <c r="J59" s="286">
        <v>0</v>
      </c>
      <c r="K59" s="294">
        <v>0</v>
      </c>
      <c r="L59" s="348">
        <v>1210000</v>
      </c>
      <c r="M59" s="64">
        <v>0</v>
      </c>
      <c r="N59" s="346">
        <v>0</v>
      </c>
      <c r="O59" s="347">
        <v>0</v>
      </c>
    </row>
    <row r="60" spans="1:15" s="297" customFormat="1" ht="29.25" customHeight="1">
      <c r="A60" s="311" t="s">
        <v>927</v>
      </c>
      <c r="B60" s="233"/>
      <c r="C60" s="254" t="s">
        <v>935</v>
      </c>
      <c r="D60" s="295"/>
      <c r="E60" s="295"/>
      <c r="F60" s="295"/>
      <c r="G60" s="295"/>
      <c r="H60" s="286">
        <v>8800000</v>
      </c>
      <c r="I60" s="294">
        <v>0</v>
      </c>
      <c r="J60" s="286">
        <v>0</v>
      </c>
      <c r="K60" s="294">
        <v>0</v>
      </c>
      <c r="L60" s="348">
        <v>8800000</v>
      </c>
      <c r="M60" s="64">
        <v>0</v>
      </c>
      <c r="N60" s="346">
        <v>0</v>
      </c>
      <c r="O60" s="347">
        <v>0</v>
      </c>
    </row>
    <row r="61" spans="1:15" s="297" customFormat="1" ht="29.25" customHeight="1">
      <c r="A61" s="291">
        <v>1331</v>
      </c>
      <c r="B61" s="232" t="s">
        <v>733</v>
      </c>
      <c r="C61" s="254" t="s">
        <v>368</v>
      </c>
      <c r="D61" s="295">
        <v>0</v>
      </c>
      <c r="E61" s="296">
        <v>0</v>
      </c>
      <c r="F61" s="295">
        <v>0</v>
      </c>
      <c r="G61" s="296">
        <v>0</v>
      </c>
      <c r="H61" s="286">
        <v>406601825</v>
      </c>
      <c r="I61" s="294">
        <v>0</v>
      </c>
      <c r="J61" s="286">
        <v>406601825</v>
      </c>
      <c r="K61" s="294">
        <v>0</v>
      </c>
      <c r="L61" s="345">
        <v>0</v>
      </c>
      <c r="M61" s="64">
        <v>0</v>
      </c>
      <c r="N61" s="346">
        <v>0</v>
      </c>
      <c r="O61" s="347">
        <v>0</v>
      </c>
    </row>
    <row r="62" spans="1:15" s="297" customFormat="1" ht="29.25" customHeight="1">
      <c r="A62" s="313">
        <v>1521</v>
      </c>
      <c r="B62" s="306" t="s">
        <v>241</v>
      </c>
      <c r="C62" s="307" t="s">
        <v>708</v>
      </c>
      <c r="D62" s="308">
        <v>889041511</v>
      </c>
      <c r="E62" s="309">
        <v>0</v>
      </c>
      <c r="F62" s="308">
        <v>0</v>
      </c>
      <c r="G62" s="309">
        <v>0</v>
      </c>
      <c r="H62" s="285">
        <v>1338120000</v>
      </c>
      <c r="I62" s="310">
        <v>0</v>
      </c>
      <c r="J62" s="285">
        <v>2227161511</v>
      </c>
      <c r="K62" s="310">
        <v>0</v>
      </c>
      <c r="L62" s="348">
        <v>0</v>
      </c>
      <c r="M62" s="349">
        <v>0</v>
      </c>
      <c r="N62" s="350">
        <v>0</v>
      </c>
      <c r="O62" s="351">
        <v>0</v>
      </c>
    </row>
    <row r="63" spans="1:15" s="297" customFormat="1" ht="29.25" customHeight="1">
      <c r="A63" s="313">
        <v>1522</v>
      </c>
      <c r="B63" s="306" t="s">
        <v>241</v>
      </c>
      <c r="C63" s="307" t="s">
        <v>709</v>
      </c>
      <c r="D63" s="308">
        <v>37283451</v>
      </c>
      <c r="E63" s="309">
        <v>0</v>
      </c>
      <c r="F63" s="308">
        <v>0</v>
      </c>
      <c r="G63" s="309">
        <v>0</v>
      </c>
      <c r="H63" s="285">
        <v>205914316</v>
      </c>
      <c r="I63" s="310">
        <v>0</v>
      </c>
      <c r="J63" s="285">
        <v>243197767</v>
      </c>
      <c r="K63" s="310">
        <v>0</v>
      </c>
      <c r="L63" s="348">
        <v>0</v>
      </c>
      <c r="M63" s="349">
        <v>0</v>
      </c>
      <c r="N63" s="350">
        <v>0</v>
      </c>
      <c r="O63" s="351">
        <v>0</v>
      </c>
    </row>
    <row r="64" spans="1:15" s="297" customFormat="1" ht="29.25" customHeight="1">
      <c r="A64" s="313">
        <v>1541</v>
      </c>
      <c r="B64" s="306" t="s">
        <v>242</v>
      </c>
      <c r="C64" s="307" t="s">
        <v>369</v>
      </c>
      <c r="D64" s="308">
        <v>717137083</v>
      </c>
      <c r="E64" s="309">
        <v>0</v>
      </c>
      <c r="F64" s="308">
        <v>0</v>
      </c>
      <c r="G64" s="309">
        <v>0</v>
      </c>
      <c r="H64" s="285">
        <v>4407318717.5961533</v>
      </c>
      <c r="I64" s="310">
        <v>0</v>
      </c>
      <c r="J64" s="285">
        <v>5124455800.9961538</v>
      </c>
      <c r="K64" s="310">
        <v>0</v>
      </c>
      <c r="L64" s="348">
        <v>0</v>
      </c>
      <c r="M64" s="349">
        <v>0</v>
      </c>
      <c r="N64" s="350">
        <v>0</v>
      </c>
      <c r="O64" s="351">
        <v>0</v>
      </c>
    </row>
    <row r="65" spans="1:15" s="297" customFormat="1" ht="29.25" customHeight="1">
      <c r="A65" s="317">
        <v>1551</v>
      </c>
      <c r="B65" s="306" t="s">
        <v>734</v>
      </c>
      <c r="C65" s="307" t="s">
        <v>238</v>
      </c>
      <c r="D65" s="308">
        <v>220092793</v>
      </c>
      <c r="E65" s="309">
        <v>0</v>
      </c>
      <c r="F65" s="308">
        <v>0</v>
      </c>
      <c r="G65" s="309">
        <v>0</v>
      </c>
      <c r="H65" s="285">
        <v>4217699798.9961538</v>
      </c>
      <c r="I65" s="310">
        <v>0</v>
      </c>
      <c r="J65" s="285">
        <v>4437792592</v>
      </c>
      <c r="K65" s="310">
        <v>0</v>
      </c>
      <c r="L65" s="348">
        <v>0</v>
      </c>
      <c r="M65" s="349">
        <v>0</v>
      </c>
      <c r="N65" s="350">
        <v>0</v>
      </c>
      <c r="O65" s="351">
        <v>0</v>
      </c>
    </row>
    <row r="66" spans="1:15" s="297" customFormat="1" ht="29.25" customHeight="1">
      <c r="A66" s="317">
        <v>1561</v>
      </c>
      <c r="B66" s="318" t="s">
        <v>735</v>
      </c>
      <c r="C66" s="319" t="s">
        <v>298</v>
      </c>
      <c r="D66" s="308">
        <v>0</v>
      </c>
      <c r="E66" s="309">
        <v>0</v>
      </c>
      <c r="F66" s="308">
        <v>0</v>
      </c>
      <c r="G66" s="309">
        <v>0</v>
      </c>
      <c r="H66" s="285">
        <v>1475840159</v>
      </c>
      <c r="I66" s="310">
        <v>0</v>
      </c>
      <c r="J66" s="285">
        <v>1475840159</v>
      </c>
      <c r="K66" s="310">
        <v>0</v>
      </c>
      <c r="L66" s="348">
        <v>0</v>
      </c>
      <c r="M66" s="349">
        <v>0</v>
      </c>
      <c r="N66" s="350">
        <v>0</v>
      </c>
      <c r="O66" s="351">
        <v>0</v>
      </c>
    </row>
    <row r="67" spans="1:15" s="297" customFormat="1" ht="29.25" customHeight="1">
      <c r="A67" s="287">
        <v>2112</v>
      </c>
      <c r="B67" s="293" t="s">
        <v>736</v>
      </c>
      <c r="C67" s="292" t="s">
        <v>2</v>
      </c>
      <c r="D67" s="295">
        <v>654809273</v>
      </c>
      <c r="E67" s="296">
        <v>0</v>
      </c>
      <c r="F67" s="295">
        <v>0</v>
      </c>
      <c r="G67" s="296">
        <v>0</v>
      </c>
      <c r="H67" s="286">
        <v>0</v>
      </c>
      <c r="I67" s="294">
        <v>0</v>
      </c>
      <c r="J67" s="286">
        <v>0</v>
      </c>
      <c r="K67" s="294">
        <v>0</v>
      </c>
      <c r="L67" s="345">
        <v>654809273</v>
      </c>
      <c r="M67" s="64">
        <v>0</v>
      </c>
      <c r="N67" s="346">
        <v>0</v>
      </c>
      <c r="O67" s="347">
        <v>0</v>
      </c>
    </row>
    <row r="68" spans="1:15" s="297" customFormat="1" ht="29.25" customHeight="1">
      <c r="A68" s="287">
        <v>2113</v>
      </c>
      <c r="B68" s="293" t="s">
        <v>239</v>
      </c>
      <c r="C68" s="292" t="s">
        <v>151</v>
      </c>
      <c r="D68" s="295">
        <v>2862430000</v>
      </c>
      <c r="E68" s="296">
        <v>0</v>
      </c>
      <c r="F68" s="295">
        <v>0</v>
      </c>
      <c r="G68" s="296">
        <v>0</v>
      </c>
      <c r="H68" s="286">
        <v>0</v>
      </c>
      <c r="I68" s="294">
        <v>0</v>
      </c>
      <c r="J68" s="286">
        <v>0</v>
      </c>
      <c r="K68" s="294">
        <v>0</v>
      </c>
      <c r="L68" s="345">
        <v>2862430000</v>
      </c>
      <c r="M68" s="64">
        <v>0</v>
      </c>
      <c r="N68" s="346">
        <v>0</v>
      </c>
      <c r="O68" s="347">
        <v>0</v>
      </c>
    </row>
    <row r="69" spans="1:15" s="297" customFormat="1" ht="29.25" customHeight="1">
      <c r="A69" s="287">
        <v>2141</v>
      </c>
      <c r="B69" s="293" t="s">
        <v>240</v>
      </c>
      <c r="C69" s="292" t="s">
        <v>3</v>
      </c>
      <c r="D69" s="295">
        <v>0</v>
      </c>
      <c r="E69" s="296">
        <v>0</v>
      </c>
      <c r="F69" s="295">
        <v>1913196788</v>
      </c>
      <c r="G69" s="296">
        <v>0</v>
      </c>
      <c r="H69" s="286">
        <v>0</v>
      </c>
      <c r="I69" s="294">
        <v>0</v>
      </c>
      <c r="J69" s="286">
        <v>429287796</v>
      </c>
      <c r="K69" s="294">
        <v>0</v>
      </c>
      <c r="L69" s="345">
        <v>0</v>
      </c>
      <c r="M69" s="64">
        <v>0</v>
      </c>
      <c r="N69" s="346">
        <v>2342484584</v>
      </c>
      <c r="O69" s="347">
        <v>0</v>
      </c>
    </row>
    <row r="70" spans="1:15" s="297" customFormat="1" ht="29.25" customHeight="1">
      <c r="A70" s="287">
        <v>2293</v>
      </c>
      <c r="B70" s="293" t="s">
        <v>737</v>
      </c>
      <c r="C70" s="292" t="s">
        <v>299</v>
      </c>
      <c r="D70" s="295">
        <v>0</v>
      </c>
      <c r="E70" s="296">
        <v>0</v>
      </c>
      <c r="F70" s="295">
        <v>3766404730</v>
      </c>
      <c r="G70" s="296">
        <v>0</v>
      </c>
      <c r="H70" s="286">
        <v>0</v>
      </c>
      <c r="I70" s="294">
        <v>0</v>
      </c>
      <c r="J70" s="286">
        <v>0</v>
      </c>
      <c r="K70" s="294">
        <v>0</v>
      </c>
      <c r="L70" s="345">
        <v>0</v>
      </c>
      <c r="M70" s="64">
        <v>0</v>
      </c>
      <c r="N70" s="346">
        <v>3766404730</v>
      </c>
      <c r="O70" s="347">
        <v>0</v>
      </c>
    </row>
    <row r="71" spans="1:15" s="297" customFormat="1" ht="29.25" customHeight="1">
      <c r="A71" s="287">
        <v>2294</v>
      </c>
      <c r="B71" s="293" t="s">
        <v>738</v>
      </c>
      <c r="C71" s="292" t="s">
        <v>300</v>
      </c>
      <c r="D71" s="295">
        <v>0</v>
      </c>
      <c r="E71" s="296">
        <v>0</v>
      </c>
      <c r="F71" s="295">
        <v>0</v>
      </c>
      <c r="G71" s="296">
        <v>0</v>
      </c>
      <c r="H71" s="286">
        <v>0</v>
      </c>
      <c r="I71" s="294">
        <v>0</v>
      </c>
      <c r="J71" s="286">
        <v>0</v>
      </c>
      <c r="K71" s="294">
        <v>0</v>
      </c>
      <c r="L71" s="345">
        <v>0</v>
      </c>
      <c r="M71" s="64">
        <v>0</v>
      </c>
      <c r="N71" s="346">
        <v>0</v>
      </c>
      <c r="O71" s="347">
        <v>0</v>
      </c>
    </row>
    <row r="72" spans="1:15" s="297" customFormat="1" ht="29.25" customHeight="1">
      <c r="A72" s="291">
        <v>2421</v>
      </c>
      <c r="B72" s="232" t="s">
        <v>754</v>
      </c>
      <c r="C72" s="254" t="s">
        <v>729</v>
      </c>
      <c r="D72" s="295">
        <v>114580506</v>
      </c>
      <c r="E72" s="296">
        <v>0</v>
      </c>
      <c r="F72" s="295">
        <v>0</v>
      </c>
      <c r="G72" s="296">
        <v>0</v>
      </c>
      <c r="H72" s="286">
        <v>794961321</v>
      </c>
      <c r="I72" s="294">
        <v>0</v>
      </c>
      <c r="J72" s="286">
        <v>892814468</v>
      </c>
      <c r="K72" s="294">
        <v>0</v>
      </c>
      <c r="L72" s="345">
        <v>16727359</v>
      </c>
      <c r="M72" s="64">
        <v>0</v>
      </c>
      <c r="N72" s="346">
        <v>0</v>
      </c>
      <c r="O72" s="347">
        <v>0</v>
      </c>
    </row>
    <row r="73" spans="1:15" s="297" customFormat="1" ht="29.25" customHeight="1">
      <c r="A73" s="291">
        <v>2422</v>
      </c>
      <c r="B73" s="232" t="s">
        <v>753</v>
      </c>
      <c r="C73" s="254" t="s">
        <v>301</v>
      </c>
      <c r="D73" s="295">
        <v>6655971</v>
      </c>
      <c r="E73" s="296">
        <v>0</v>
      </c>
      <c r="F73" s="295">
        <v>0</v>
      </c>
      <c r="G73" s="296">
        <v>0</v>
      </c>
      <c r="H73" s="286">
        <v>3200000</v>
      </c>
      <c r="I73" s="294">
        <v>0</v>
      </c>
      <c r="J73" s="286">
        <v>3885648</v>
      </c>
      <c r="K73" s="294">
        <v>0</v>
      </c>
      <c r="L73" s="345">
        <v>5970323</v>
      </c>
      <c r="M73" s="64">
        <v>0</v>
      </c>
      <c r="N73" s="346">
        <v>0</v>
      </c>
      <c r="O73" s="347">
        <v>0</v>
      </c>
    </row>
    <row r="74" spans="1:15" s="297" customFormat="1" ht="29.25" customHeight="1">
      <c r="A74" s="291" t="s">
        <v>363</v>
      </c>
      <c r="B74" s="232"/>
      <c r="C74" s="254" t="s">
        <v>375</v>
      </c>
      <c r="D74" s="295">
        <v>0</v>
      </c>
      <c r="E74" s="296">
        <v>0</v>
      </c>
      <c r="F74" s="295">
        <v>5049518508</v>
      </c>
      <c r="G74" s="296">
        <v>197710.2</v>
      </c>
      <c r="H74" s="286">
        <v>0</v>
      </c>
      <c r="I74" s="294">
        <v>0</v>
      </c>
      <c r="J74" s="286">
        <v>0</v>
      </c>
      <c r="K74" s="294">
        <v>0</v>
      </c>
      <c r="L74" s="345">
        <v>0</v>
      </c>
      <c r="M74" s="64">
        <v>0</v>
      </c>
      <c r="N74" s="346">
        <v>5049518508</v>
      </c>
      <c r="O74" s="347">
        <v>197710.2</v>
      </c>
    </row>
    <row r="75" spans="1:15" s="297" customFormat="1" ht="29.25" customHeight="1">
      <c r="A75" s="291" t="s">
        <v>289</v>
      </c>
      <c r="B75" s="232"/>
      <c r="C75" s="254" t="s">
        <v>377</v>
      </c>
      <c r="D75" s="295">
        <v>0</v>
      </c>
      <c r="E75" s="296">
        <v>0</v>
      </c>
      <c r="F75" s="295">
        <v>629811292</v>
      </c>
      <c r="G75" s="296">
        <v>24659.8</v>
      </c>
      <c r="H75" s="286">
        <v>0</v>
      </c>
      <c r="I75" s="294">
        <v>0</v>
      </c>
      <c r="J75" s="286">
        <v>0</v>
      </c>
      <c r="K75" s="294">
        <v>0</v>
      </c>
      <c r="L75" s="345">
        <v>0</v>
      </c>
      <c r="M75" s="64">
        <v>0</v>
      </c>
      <c r="N75" s="346">
        <v>629811292</v>
      </c>
      <c r="O75" s="347">
        <v>24659.8</v>
      </c>
    </row>
    <row r="76" spans="1:15" s="297" customFormat="1" ht="29.25" customHeight="1">
      <c r="A76" s="291" t="s">
        <v>291</v>
      </c>
      <c r="B76" s="232"/>
      <c r="C76" s="254" t="s">
        <v>379</v>
      </c>
      <c r="D76" s="295">
        <v>0</v>
      </c>
      <c r="E76" s="296">
        <v>0</v>
      </c>
      <c r="F76" s="295">
        <v>853097296</v>
      </c>
      <c r="G76" s="296">
        <v>33402.399999999965</v>
      </c>
      <c r="H76" s="286">
        <v>0</v>
      </c>
      <c r="I76" s="294">
        <v>0</v>
      </c>
      <c r="J76" s="286">
        <v>0</v>
      </c>
      <c r="K76" s="294">
        <v>0</v>
      </c>
      <c r="L76" s="345">
        <v>0</v>
      </c>
      <c r="M76" s="64">
        <v>0</v>
      </c>
      <c r="N76" s="346">
        <v>853097296</v>
      </c>
      <c r="O76" s="347">
        <v>33402.399999999965</v>
      </c>
    </row>
    <row r="77" spans="1:15" s="297" customFormat="1" ht="29.25" customHeight="1">
      <c r="A77" s="288" t="s">
        <v>287</v>
      </c>
      <c r="B77" s="232"/>
      <c r="C77" s="254" t="s">
        <v>370</v>
      </c>
      <c r="D77" s="295">
        <v>0</v>
      </c>
      <c r="E77" s="296">
        <v>0</v>
      </c>
      <c r="F77" s="295">
        <v>3744630</v>
      </c>
      <c r="G77" s="296">
        <v>0</v>
      </c>
      <c r="H77" s="286">
        <v>42864175</v>
      </c>
      <c r="I77" s="294">
        <v>0</v>
      </c>
      <c r="J77" s="286">
        <v>44132585</v>
      </c>
      <c r="K77" s="294">
        <v>0</v>
      </c>
      <c r="L77" s="345">
        <v>0</v>
      </c>
      <c r="M77" s="64">
        <v>0</v>
      </c>
      <c r="N77" s="346">
        <v>5013040</v>
      </c>
      <c r="O77" s="347">
        <v>0</v>
      </c>
    </row>
    <row r="78" spans="1:15" s="297" customFormat="1" ht="29.25" customHeight="1">
      <c r="A78" s="288" t="s">
        <v>288</v>
      </c>
      <c r="B78" s="232"/>
      <c r="C78" s="254" t="s">
        <v>371</v>
      </c>
      <c r="D78" s="295">
        <v>0</v>
      </c>
      <c r="E78" s="296">
        <v>0</v>
      </c>
      <c r="F78" s="295">
        <v>75652500</v>
      </c>
      <c r="G78" s="296">
        <v>0</v>
      </c>
      <c r="H78" s="286">
        <v>151881748</v>
      </c>
      <c r="I78" s="294">
        <v>0</v>
      </c>
      <c r="J78" s="286">
        <v>76229248</v>
      </c>
      <c r="K78" s="294">
        <v>0</v>
      </c>
      <c r="L78" s="345">
        <v>0</v>
      </c>
      <c r="M78" s="64">
        <v>0</v>
      </c>
      <c r="N78" s="346">
        <v>0</v>
      </c>
      <c r="O78" s="347">
        <v>0</v>
      </c>
    </row>
    <row r="79" spans="1:15" s="297" customFormat="1" ht="29.25" customHeight="1">
      <c r="A79" s="291" t="s">
        <v>0</v>
      </c>
      <c r="B79" s="232"/>
      <c r="C79" s="254" t="s">
        <v>372</v>
      </c>
      <c r="D79" s="295">
        <v>0</v>
      </c>
      <c r="E79" s="296">
        <v>0</v>
      </c>
      <c r="F79" s="295">
        <v>0</v>
      </c>
      <c r="G79" s="296">
        <v>0</v>
      </c>
      <c r="H79" s="286">
        <v>22680000</v>
      </c>
      <c r="I79" s="294">
        <v>0</v>
      </c>
      <c r="J79" s="286">
        <v>22680000</v>
      </c>
      <c r="K79" s="294">
        <v>0</v>
      </c>
      <c r="L79" s="345">
        <v>0</v>
      </c>
      <c r="M79" s="64">
        <v>0</v>
      </c>
      <c r="N79" s="346">
        <v>0</v>
      </c>
      <c r="O79" s="347">
        <v>0</v>
      </c>
    </row>
    <row r="80" spans="1:15" s="297" customFormat="1" ht="29.25" customHeight="1">
      <c r="A80" s="291" t="s">
        <v>361</v>
      </c>
      <c r="B80" s="232"/>
      <c r="C80" s="254" t="s">
        <v>373</v>
      </c>
      <c r="D80" s="295">
        <v>0</v>
      </c>
      <c r="E80" s="296">
        <v>0</v>
      </c>
      <c r="F80" s="295">
        <v>18751824</v>
      </c>
      <c r="G80" s="296">
        <v>0</v>
      </c>
      <c r="H80" s="286">
        <v>229406688</v>
      </c>
      <c r="I80" s="294">
        <v>0</v>
      </c>
      <c r="J80" s="286">
        <v>210654864</v>
      </c>
      <c r="K80" s="294">
        <v>0</v>
      </c>
      <c r="L80" s="345">
        <v>0</v>
      </c>
      <c r="M80" s="64">
        <v>0</v>
      </c>
      <c r="N80" s="346">
        <v>0</v>
      </c>
      <c r="O80" s="347">
        <v>0</v>
      </c>
    </row>
    <row r="81" spans="1:15" s="297" customFormat="1" ht="29.25" customHeight="1">
      <c r="A81" s="291" t="s">
        <v>362</v>
      </c>
      <c r="B81" s="232"/>
      <c r="C81" s="254" t="s">
        <v>374</v>
      </c>
      <c r="D81" s="295">
        <v>0</v>
      </c>
      <c r="E81" s="296">
        <v>0</v>
      </c>
      <c r="F81" s="295">
        <v>29700000</v>
      </c>
      <c r="G81" s="296">
        <v>0</v>
      </c>
      <c r="H81" s="286">
        <v>310911491</v>
      </c>
      <c r="I81" s="294">
        <v>0</v>
      </c>
      <c r="J81" s="286">
        <v>286341491</v>
      </c>
      <c r="K81" s="294">
        <v>0</v>
      </c>
      <c r="L81" s="345">
        <v>0</v>
      </c>
      <c r="M81" s="64">
        <v>0</v>
      </c>
      <c r="N81" s="346">
        <v>5130000</v>
      </c>
      <c r="O81" s="347">
        <v>0</v>
      </c>
    </row>
    <row r="82" spans="1:15" s="297" customFormat="1" ht="29.25" customHeight="1">
      <c r="A82" s="291" t="s">
        <v>883</v>
      </c>
      <c r="B82" s="232"/>
      <c r="C82" s="254" t="s">
        <v>884</v>
      </c>
      <c r="D82" s="295"/>
      <c r="E82" s="296"/>
      <c r="F82" s="295"/>
      <c r="G82" s="296"/>
      <c r="H82" s="286">
        <v>0</v>
      </c>
      <c r="I82" s="294">
        <v>0</v>
      </c>
      <c r="J82" s="286">
        <v>3259000</v>
      </c>
      <c r="K82" s="294">
        <v>0</v>
      </c>
      <c r="L82" s="345">
        <v>0</v>
      </c>
      <c r="M82" s="64">
        <v>0</v>
      </c>
      <c r="N82" s="346">
        <v>3259000</v>
      </c>
      <c r="O82" s="347">
        <v>0</v>
      </c>
    </row>
    <row r="83" spans="1:15" s="297" customFormat="1" ht="29.25" customHeight="1">
      <c r="A83" s="291" t="s">
        <v>364</v>
      </c>
      <c r="B83" s="232"/>
      <c r="C83" s="254" t="s">
        <v>376</v>
      </c>
      <c r="D83" s="295">
        <v>0</v>
      </c>
      <c r="E83" s="296">
        <v>0</v>
      </c>
      <c r="F83" s="295">
        <v>8478000</v>
      </c>
      <c r="G83" s="296">
        <v>0</v>
      </c>
      <c r="H83" s="286">
        <v>24680160</v>
      </c>
      <c r="I83" s="294">
        <v>0</v>
      </c>
      <c r="J83" s="286">
        <v>16839360</v>
      </c>
      <c r="K83" s="294">
        <v>0</v>
      </c>
      <c r="L83" s="345">
        <v>0</v>
      </c>
      <c r="M83" s="64">
        <v>0</v>
      </c>
      <c r="N83" s="346">
        <v>637200</v>
      </c>
      <c r="O83" s="347">
        <v>0</v>
      </c>
    </row>
    <row r="84" spans="1:15" s="297" customFormat="1" ht="29.25" customHeight="1">
      <c r="A84" s="291" t="s">
        <v>290</v>
      </c>
      <c r="B84" s="232"/>
      <c r="C84" s="254" t="s">
        <v>355</v>
      </c>
      <c r="D84" s="295">
        <v>0</v>
      </c>
      <c r="E84" s="296">
        <v>0</v>
      </c>
      <c r="F84" s="295">
        <v>288053263</v>
      </c>
      <c r="G84" s="296">
        <v>0</v>
      </c>
      <c r="H84" s="286">
        <v>0</v>
      </c>
      <c r="I84" s="294">
        <v>0</v>
      </c>
      <c r="J84" s="286">
        <v>0</v>
      </c>
      <c r="K84" s="294">
        <v>0</v>
      </c>
      <c r="L84" s="345">
        <v>0</v>
      </c>
      <c r="M84" s="64">
        <v>0</v>
      </c>
      <c r="N84" s="346">
        <v>288053263</v>
      </c>
      <c r="O84" s="347">
        <v>0</v>
      </c>
    </row>
    <row r="85" spans="1:15" s="297" customFormat="1" ht="29.25" customHeight="1">
      <c r="A85" s="291" t="s">
        <v>365</v>
      </c>
      <c r="B85" s="232"/>
      <c r="C85" s="254" t="s">
        <v>378</v>
      </c>
      <c r="D85" s="295">
        <v>0</v>
      </c>
      <c r="E85" s="296">
        <v>0</v>
      </c>
      <c r="F85" s="295">
        <v>0</v>
      </c>
      <c r="G85" s="296">
        <v>0</v>
      </c>
      <c r="H85" s="286">
        <v>1046862299</v>
      </c>
      <c r="I85" s="294">
        <v>0</v>
      </c>
      <c r="J85" s="286">
        <v>1046862298.9999999</v>
      </c>
      <c r="K85" s="294">
        <v>0</v>
      </c>
      <c r="L85" s="345">
        <v>0</v>
      </c>
      <c r="M85" s="64">
        <v>0</v>
      </c>
      <c r="N85" s="346">
        <v>0</v>
      </c>
      <c r="O85" s="347">
        <v>0</v>
      </c>
    </row>
    <row r="86" spans="1:15" s="297" customFormat="1" ht="29.25" customHeight="1">
      <c r="A86" s="291" t="s">
        <v>366</v>
      </c>
      <c r="B86" s="232"/>
      <c r="C86" s="254" t="s">
        <v>367</v>
      </c>
      <c r="D86" s="295">
        <v>0</v>
      </c>
      <c r="E86" s="296">
        <v>0</v>
      </c>
      <c r="F86" s="295">
        <v>10800000</v>
      </c>
      <c r="G86" s="296">
        <v>0</v>
      </c>
      <c r="H86" s="286">
        <v>75600000</v>
      </c>
      <c r="I86" s="294">
        <v>0</v>
      </c>
      <c r="J86" s="286">
        <v>64800000</v>
      </c>
      <c r="K86" s="294">
        <v>0</v>
      </c>
      <c r="L86" s="345">
        <v>0</v>
      </c>
      <c r="M86" s="64">
        <v>0</v>
      </c>
      <c r="N86" s="346">
        <v>0</v>
      </c>
      <c r="O86" s="347">
        <v>0</v>
      </c>
    </row>
    <row r="87" spans="1:15" s="297" customFormat="1" ht="29.25" customHeight="1">
      <c r="A87" s="291" t="s">
        <v>885</v>
      </c>
      <c r="B87" s="232"/>
      <c r="C87" s="254" t="s">
        <v>886</v>
      </c>
      <c r="D87" s="295"/>
      <c r="E87" s="296"/>
      <c r="F87" s="295"/>
      <c r="G87" s="296"/>
      <c r="H87" s="286">
        <v>0</v>
      </c>
      <c r="I87" s="294">
        <v>0</v>
      </c>
      <c r="J87" s="286">
        <v>9478030</v>
      </c>
      <c r="K87" s="294">
        <v>0</v>
      </c>
      <c r="L87" s="345">
        <v>0</v>
      </c>
      <c r="M87" s="64">
        <v>0</v>
      </c>
      <c r="N87" s="346">
        <v>9478030</v>
      </c>
      <c r="O87" s="347">
        <v>0</v>
      </c>
    </row>
    <row r="88" spans="1:15" s="297" customFormat="1" ht="29.25" customHeight="1">
      <c r="A88" s="291" t="s">
        <v>381</v>
      </c>
      <c r="B88" s="232"/>
      <c r="C88" s="254" t="s">
        <v>387</v>
      </c>
      <c r="D88" s="295">
        <v>0</v>
      </c>
      <c r="E88" s="296">
        <v>0</v>
      </c>
      <c r="F88" s="295">
        <v>0</v>
      </c>
      <c r="G88" s="296">
        <v>0</v>
      </c>
      <c r="H88" s="286">
        <v>3350280</v>
      </c>
      <c r="I88" s="294">
        <v>0</v>
      </c>
      <c r="J88" s="286">
        <v>3350280</v>
      </c>
      <c r="K88" s="294">
        <v>0</v>
      </c>
      <c r="L88" s="345">
        <v>0</v>
      </c>
      <c r="M88" s="64">
        <v>0</v>
      </c>
      <c r="N88" s="346">
        <v>0</v>
      </c>
      <c r="O88" s="347">
        <v>0</v>
      </c>
    </row>
    <row r="89" spans="1:15" s="297" customFormat="1" ht="29.25" customHeight="1">
      <c r="A89" s="291" t="s">
        <v>698</v>
      </c>
      <c r="B89" s="232"/>
      <c r="C89" s="254" t="s">
        <v>700</v>
      </c>
      <c r="D89" s="295">
        <v>0</v>
      </c>
      <c r="E89" s="296">
        <v>0</v>
      </c>
      <c r="F89" s="295">
        <v>752868800</v>
      </c>
      <c r="G89" s="296">
        <v>0</v>
      </c>
      <c r="H89" s="286">
        <v>1748313300</v>
      </c>
      <c r="I89" s="294">
        <v>0</v>
      </c>
      <c r="J89" s="286">
        <v>1483863100</v>
      </c>
      <c r="K89" s="294">
        <v>0</v>
      </c>
      <c r="L89" s="345">
        <v>0</v>
      </c>
      <c r="M89" s="64">
        <v>0</v>
      </c>
      <c r="N89" s="346">
        <v>488418600</v>
      </c>
      <c r="O89" s="347">
        <v>0</v>
      </c>
    </row>
    <row r="90" spans="1:15" s="297" customFormat="1" ht="29.25" customHeight="1">
      <c r="A90" s="291" t="s">
        <v>711</v>
      </c>
      <c r="B90" s="232"/>
      <c r="C90" s="254" t="s">
        <v>712</v>
      </c>
      <c r="D90" s="295">
        <v>0</v>
      </c>
      <c r="E90" s="296">
        <v>0</v>
      </c>
      <c r="F90" s="295">
        <v>376140529</v>
      </c>
      <c r="G90" s="296">
        <v>0</v>
      </c>
      <c r="H90" s="286">
        <v>1568289146</v>
      </c>
      <c r="I90" s="294">
        <v>0</v>
      </c>
      <c r="J90" s="286">
        <v>1450801705</v>
      </c>
      <c r="K90" s="294">
        <v>0</v>
      </c>
      <c r="L90" s="345">
        <v>0</v>
      </c>
      <c r="M90" s="64">
        <v>0</v>
      </c>
      <c r="N90" s="346">
        <v>258653088</v>
      </c>
      <c r="O90" s="347">
        <v>0</v>
      </c>
    </row>
    <row r="91" spans="1:15" s="297" customFormat="1" ht="29.25" customHeight="1">
      <c r="A91" s="291" t="s">
        <v>856</v>
      </c>
      <c r="B91" s="232"/>
      <c r="C91" s="254" t="s">
        <v>857</v>
      </c>
      <c r="D91" s="295">
        <v>0</v>
      </c>
      <c r="E91" s="296">
        <v>0</v>
      </c>
      <c r="F91" s="295">
        <v>0</v>
      </c>
      <c r="G91" s="296">
        <v>0</v>
      </c>
      <c r="H91" s="286">
        <v>8316000</v>
      </c>
      <c r="I91" s="294">
        <v>0</v>
      </c>
      <c r="J91" s="286">
        <v>8316000</v>
      </c>
      <c r="K91" s="294">
        <v>0</v>
      </c>
      <c r="L91" s="345">
        <v>0</v>
      </c>
      <c r="M91" s="64">
        <v>0</v>
      </c>
      <c r="N91" s="346">
        <v>0</v>
      </c>
      <c r="O91" s="347">
        <v>0</v>
      </c>
    </row>
    <row r="92" spans="1:15" s="297" customFormat="1" ht="29.25" customHeight="1">
      <c r="A92" s="291" t="s">
        <v>840</v>
      </c>
      <c r="B92" s="232"/>
      <c r="C92" s="254" t="s">
        <v>842</v>
      </c>
      <c r="D92" s="295">
        <v>0</v>
      </c>
      <c r="E92" s="296">
        <v>0</v>
      </c>
      <c r="F92" s="295">
        <v>0</v>
      </c>
      <c r="G92" s="296">
        <v>0</v>
      </c>
      <c r="H92" s="286">
        <v>9900000</v>
      </c>
      <c r="I92" s="294">
        <v>0</v>
      </c>
      <c r="J92" s="286">
        <v>9900000</v>
      </c>
      <c r="K92" s="294">
        <v>0</v>
      </c>
      <c r="L92" s="345">
        <v>0</v>
      </c>
      <c r="M92" s="64">
        <v>0</v>
      </c>
      <c r="N92" s="346">
        <v>0</v>
      </c>
      <c r="O92" s="347">
        <v>0</v>
      </c>
    </row>
    <row r="93" spans="1:15" s="297" customFormat="1" ht="29.25" customHeight="1">
      <c r="A93" s="288" t="s">
        <v>888</v>
      </c>
      <c r="B93" s="232"/>
      <c r="C93" s="254" t="s">
        <v>889</v>
      </c>
      <c r="D93" s="295"/>
      <c r="E93" s="295"/>
      <c r="F93" s="295"/>
      <c r="G93" s="295"/>
      <c r="H93" s="286">
        <v>2817504</v>
      </c>
      <c r="I93" s="294">
        <v>0</v>
      </c>
      <c r="J93" s="286">
        <v>2817504</v>
      </c>
      <c r="K93" s="294">
        <v>0</v>
      </c>
      <c r="L93" s="345">
        <v>0</v>
      </c>
      <c r="M93" s="64">
        <v>0</v>
      </c>
      <c r="N93" s="346">
        <v>0</v>
      </c>
      <c r="O93" s="347">
        <v>0</v>
      </c>
    </row>
    <row r="94" spans="1:15" s="297" customFormat="1" ht="29.25" customHeight="1">
      <c r="A94" s="291" t="s">
        <v>887</v>
      </c>
      <c r="B94" s="232"/>
      <c r="C94" s="254" t="s">
        <v>842</v>
      </c>
      <c r="D94" s="295"/>
      <c r="E94" s="295"/>
      <c r="F94" s="295"/>
      <c r="G94" s="295"/>
      <c r="H94" s="286">
        <v>2970000</v>
      </c>
      <c r="I94" s="294">
        <v>0</v>
      </c>
      <c r="J94" s="286">
        <v>2970000</v>
      </c>
      <c r="K94" s="294">
        <v>0</v>
      </c>
      <c r="L94" s="345">
        <v>0</v>
      </c>
      <c r="M94" s="64">
        <v>0</v>
      </c>
      <c r="N94" s="346">
        <v>0</v>
      </c>
      <c r="O94" s="347">
        <v>0</v>
      </c>
    </row>
    <row r="95" spans="1:15" s="297" customFormat="1" ht="29.25" customHeight="1">
      <c r="A95" s="312" t="s">
        <v>890</v>
      </c>
      <c r="B95" s="233"/>
      <c r="C95" s="254" t="s">
        <v>895</v>
      </c>
      <c r="D95" s="295"/>
      <c r="E95" s="295"/>
      <c r="F95" s="295"/>
      <c r="G95" s="295"/>
      <c r="H95" s="286">
        <v>1750000</v>
      </c>
      <c r="I95" s="294">
        <v>0</v>
      </c>
      <c r="J95" s="286">
        <v>1750000</v>
      </c>
      <c r="K95" s="294">
        <v>0</v>
      </c>
      <c r="L95" s="345">
        <v>0</v>
      </c>
      <c r="M95" s="64">
        <v>0</v>
      </c>
      <c r="N95" s="346">
        <v>0</v>
      </c>
      <c r="O95" s="347">
        <v>0</v>
      </c>
    </row>
    <row r="96" spans="1:15" s="297" customFormat="1" ht="29.25" customHeight="1">
      <c r="A96" s="312" t="s">
        <v>891</v>
      </c>
      <c r="B96" s="233"/>
      <c r="C96" s="254" t="s">
        <v>896</v>
      </c>
      <c r="D96" s="295"/>
      <c r="E96" s="295"/>
      <c r="F96" s="295"/>
      <c r="G96" s="295"/>
      <c r="H96" s="286">
        <v>1350000</v>
      </c>
      <c r="I96" s="294">
        <v>0</v>
      </c>
      <c r="J96" s="286">
        <v>1350000</v>
      </c>
      <c r="K96" s="294">
        <v>0</v>
      </c>
      <c r="L96" s="345">
        <v>0</v>
      </c>
      <c r="M96" s="64">
        <v>0</v>
      </c>
      <c r="N96" s="346">
        <v>0</v>
      </c>
      <c r="O96" s="347">
        <v>0</v>
      </c>
    </row>
    <row r="97" spans="1:15" s="297" customFormat="1" ht="29.25" customHeight="1">
      <c r="A97" s="312" t="s">
        <v>892</v>
      </c>
      <c r="B97" s="233"/>
      <c r="C97" s="254" t="s">
        <v>897</v>
      </c>
      <c r="D97" s="295"/>
      <c r="E97" s="295"/>
      <c r="F97" s="295"/>
      <c r="G97" s="295"/>
      <c r="H97" s="286">
        <v>0</v>
      </c>
      <c r="I97" s="294">
        <v>0</v>
      </c>
      <c r="J97" s="286">
        <v>5484266</v>
      </c>
      <c r="K97" s="294">
        <v>0</v>
      </c>
      <c r="L97" s="345">
        <v>0</v>
      </c>
      <c r="M97" s="64">
        <v>0</v>
      </c>
      <c r="N97" s="346">
        <v>5484266</v>
      </c>
      <c r="O97" s="347">
        <v>0</v>
      </c>
    </row>
    <row r="98" spans="1:15" s="297" customFormat="1" ht="29.25" customHeight="1">
      <c r="A98" s="312" t="s">
        <v>893</v>
      </c>
      <c r="B98" s="233"/>
      <c r="C98" s="254" t="s">
        <v>898</v>
      </c>
      <c r="D98" s="295"/>
      <c r="E98" s="295"/>
      <c r="F98" s="295"/>
      <c r="G98" s="295"/>
      <c r="H98" s="286">
        <v>10590637</v>
      </c>
      <c r="I98" s="294">
        <v>0</v>
      </c>
      <c r="J98" s="286">
        <v>10590637</v>
      </c>
      <c r="K98" s="294">
        <v>0</v>
      </c>
      <c r="L98" s="345">
        <v>0</v>
      </c>
      <c r="M98" s="64">
        <v>0</v>
      </c>
      <c r="N98" s="346">
        <v>0</v>
      </c>
      <c r="O98" s="347">
        <v>0</v>
      </c>
    </row>
    <row r="99" spans="1:15" s="297" customFormat="1" ht="29.25" customHeight="1">
      <c r="A99" s="312" t="s">
        <v>900</v>
      </c>
      <c r="B99" s="233"/>
      <c r="C99" s="254" t="s">
        <v>916</v>
      </c>
      <c r="D99" s="295"/>
      <c r="E99" s="295"/>
      <c r="F99" s="295"/>
      <c r="G99" s="295"/>
      <c r="H99" s="286">
        <v>1155000</v>
      </c>
      <c r="I99" s="294">
        <v>0</v>
      </c>
      <c r="J99" s="286">
        <v>1155000</v>
      </c>
      <c r="K99" s="294">
        <v>0</v>
      </c>
      <c r="L99" s="345">
        <v>0</v>
      </c>
      <c r="M99" s="64">
        <v>0</v>
      </c>
      <c r="N99" s="346">
        <v>0</v>
      </c>
      <c r="O99" s="347">
        <v>0</v>
      </c>
    </row>
    <row r="100" spans="1:15" s="297" customFormat="1" ht="29.25" customHeight="1">
      <c r="A100" s="312" t="s">
        <v>901</v>
      </c>
      <c r="B100" s="233"/>
      <c r="C100" s="254" t="s">
        <v>937</v>
      </c>
      <c r="D100" s="295"/>
      <c r="E100" s="295"/>
      <c r="F100" s="295"/>
      <c r="G100" s="295"/>
      <c r="H100" s="286">
        <v>0</v>
      </c>
      <c r="I100" s="294">
        <v>0</v>
      </c>
      <c r="J100" s="286">
        <v>4590000</v>
      </c>
      <c r="K100" s="294">
        <v>0</v>
      </c>
      <c r="L100" s="345">
        <v>0</v>
      </c>
      <c r="M100" s="64">
        <v>0</v>
      </c>
      <c r="N100" s="346">
        <v>4590000</v>
      </c>
      <c r="O100" s="347">
        <v>0</v>
      </c>
    </row>
    <row r="101" spans="1:15" s="297" customFormat="1" ht="29.25" customHeight="1">
      <c r="A101" s="312" t="s">
        <v>902</v>
      </c>
      <c r="B101" s="233"/>
      <c r="C101" s="254" t="s">
        <v>936</v>
      </c>
      <c r="D101" s="295"/>
      <c r="E101" s="295"/>
      <c r="F101" s="295"/>
      <c r="G101" s="295"/>
      <c r="H101" s="286">
        <v>0</v>
      </c>
      <c r="I101" s="294">
        <v>0</v>
      </c>
      <c r="J101" s="286">
        <v>107683200</v>
      </c>
      <c r="K101" s="294">
        <v>0</v>
      </c>
      <c r="L101" s="345">
        <v>0</v>
      </c>
      <c r="M101" s="64">
        <v>0</v>
      </c>
      <c r="N101" s="346">
        <v>107683200</v>
      </c>
      <c r="O101" s="347">
        <v>0</v>
      </c>
    </row>
    <row r="102" spans="1:15" s="297" customFormat="1" ht="29.25" customHeight="1">
      <c r="A102" s="312" t="s">
        <v>903</v>
      </c>
      <c r="B102" s="233"/>
      <c r="C102" s="254" t="s">
        <v>917</v>
      </c>
      <c r="D102" s="295"/>
      <c r="E102" s="295"/>
      <c r="F102" s="295"/>
      <c r="G102" s="295"/>
      <c r="H102" s="286">
        <v>850500</v>
      </c>
      <c r="I102" s="294">
        <v>0</v>
      </c>
      <c r="J102" s="286">
        <v>850500</v>
      </c>
      <c r="K102" s="294">
        <v>0</v>
      </c>
      <c r="L102" s="345">
        <v>0</v>
      </c>
      <c r="M102" s="64">
        <v>0</v>
      </c>
      <c r="N102" s="346">
        <v>0</v>
      </c>
      <c r="O102" s="347">
        <v>0</v>
      </c>
    </row>
    <row r="103" spans="1:15" s="297" customFormat="1" ht="29.25" customHeight="1">
      <c r="A103" s="311" t="s">
        <v>894</v>
      </c>
      <c r="B103" s="233"/>
      <c r="C103" s="254" t="s">
        <v>899</v>
      </c>
      <c r="D103" s="295"/>
      <c r="E103" s="295"/>
      <c r="F103" s="295"/>
      <c r="G103" s="295"/>
      <c r="H103" s="286">
        <v>0</v>
      </c>
      <c r="I103" s="294">
        <v>0</v>
      </c>
      <c r="J103" s="286">
        <v>0</v>
      </c>
      <c r="K103" s="294">
        <v>0</v>
      </c>
      <c r="L103" s="345">
        <v>0</v>
      </c>
      <c r="M103" s="64">
        <v>0</v>
      </c>
      <c r="N103" s="346">
        <v>0</v>
      </c>
      <c r="O103" s="347">
        <v>0</v>
      </c>
    </row>
    <row r="104" spans="1:15" s="297" customFormat="1" ht="29.25" customHeight="1">
      <c r="A104" s="311" t="s">
        <v>905</v>
      </c>
      <c r="B104" s="233"/>
      <c r="C104" s="254" t="s">
        <v>910</v>
      </c>
      <c r="D104" s="295"/>
      <c r="E104" s="295"/>
      <c r="F104" s="295"/>
      <c r="G104" s="295"/>
      <c r="H104" s="286">
        <v>968300</v>
      </c>
      <c r="I104" s="294">
        <v>0</v>
      </c>
      <c r="J104" s="286">
        <v>968300</v>
      </c>
      <c r="K104" s="294">
        <v>0</v>
      </c>
      <c r="L104" s="345">
        <v>0</v>
      </c>
      <c r="M104" s="64">
        <v>0</v>
      </c>
      <c r="N104" s="346">
        <v>0</v>
      </c>
      <c r="O104" s="347">
        <v>0</v>
      </c>
    </row>
    <row r="105" spans="1:15" s="297" customFormat="1" ht="29.25" customHeight="1">
      <c r="A105" s="311" t="s">
        <v>904</v>
      </c>
      <c r="B105" s="233"/>
      <c r="C105" s="254" t="s">
        <v>911</v>
      </c>
      <c r="D105" s="295"/>
      <c r="E105" s="295"/>
      <c r="F105" s="295"/>
      <c r="G105" s="295"/>
      <c r="H105" s="286">
        <v>3984855</v>
      </c>
      <c r="I105" s="294">
        <v>0</v>
      </c>
      <c r="J105" s="286">
        <v>3984855</v>
      </c>
      <c r="K105" s="294">
        <v>0</v>
      </c>
      <c r="L105" s="345">
        <v>0</v>
      </c>
      <c r="M105" s="64">
        <v>0</v>
      </c>
      <c r="N105" s="346">
        <v>0</v>
      </c>
      <c r="O105" s="347">
        <v>0</v>
      </c>
    </row>
    <row r="106" spans="1:15" s="297" customFormat="1" ht="29.25" customHeight="1">
      <c r="A106" s="311" t="s">
        <v>907</v>
      </c>
      <c r="B106" s="233"/>
      <c r="C106" s="254" t="s">
        <v>912</v>
      </c>
      <c r="D106" s="295"/>
      <c r="E106" s="296"/>
      <c r="F106" s="295"/>
      <c r="G106" s="295"/>
      <c r="H106" s="286">
        <v>864000</v>
      </c>
      <c r="I106" s="294">
        <v>0</v>
      </c>
      <c r="J106" s="286">
        <v>864000</v>
      </c>
      <c r="K106" s="294">
        <v>0</v>
      </c>
      <c r="L106" s="345">
        <v>0</v>
      </c>
      <c r="M106" s="64">
        <v>0</v>
      </c>
      <c r="N106" s="346">
        <v>0</v>
      </c>
      <c r="O106" s="347">
        <v>0</v>
      </c>
    </row>
    <row r="107" spans="1:15" s="297" customFormat="1" ht="29.25" customHeight="1">
      <c r="A107" s="311" t="s">
        <v>908</v>
      </c>
      <c r="B107" s="233"/>
      <c r="C107" s="254" t="s">
        <v>913</v>
      </c>
      <c r="D107" s="295"/>
      <c r="E107" s="296"/>
      <c r="F107" s="295"/>
      <c r="G107" s="295"/>
      <c r="H107" s="286">
        <v>7900000</v>
      </c>
      <c r="I107" s="294">
        <v>0</v>
      </c>
      <c r="J107" s="286">
        <v>7900000</v>
      </c>
      <c r="K107" s="294">
        <v>0</v>
      </c>
      <c r="L107" s="345">
        <v>0</v>
      </c>
      <c r="M107" s="64">
        <v>0</v>
      </c>
      <c r="N107" s="346">
        <v>0</v>
      </c>
      <c r="O107" s="347">
        <v>0</v>
      </c>
    </row>
    <row r="108" spans="1:15" s="297" customFormat="1" ht="29.25" customHeight="1">
      <c r="A108" s="311" t="s">
        <v>909</v>
      </c>
      <c r="B108" s="233"/>
      <c r="C108" s="254" t="s">
        <v>914</v>
      </c>
      <c r="D108" s="295"/>
      <c r="E108" s="296"/>
      <c r="F108" s="295"/>
      <c r="G108" s="295"/>
      <c r="H108" s="286">
        <v>13478400</v>
      </c>
      <c r="I108" s="294">
        <v>0</v>
      </c>
      <c r="J108" s="286">
        <v>13478400</v>
      </c>
      <c r="K108" s="294">
        <v>0</v>
      </c>
      <c r="L108" s="345">
        <v>0</v>
      </c>
      <c r="M108" s="64">
        <v>0</v>
      </c>
      <c r="N108" s="346">
        <v>0</v>
      </c>
      <c r="O108" s="347">
        <v>0</v>
      </c>
    </row>
    <row r="109" spans="1:15" s="297" customFormat="1" ht="29.25" customHeight="1">
      <c r="A109" s="311" t="s">
        <v>919</v>
      </c>
      <c r="B109" s="233"/>
      <c r="C109" s="254" t="s">
        <v>928</v>
      </c>
      <c r="D109" s="295"/>
      <c r="E109" s="296"/>
      <c r="F109" s="295"/>
      <c r="G109" s="295"/>
      <c r="H109" s="286">
        <v>74321280</v>
      </c>
      <c r="I109" s="294">
        <v>0</v>
      </c>
      <c r="J109" s="286">
        <v>74321280</v>
      </c>
      <c r="K109" s="294">
        <v>0</v>
      </c>
      <c r="L109" s="345">
        <v>0</v>
      </c>
      <c r="M109" s="64">
        <v>0</v>
      </c>
      <c r="N109" s="346">
        <v>0</v>
      </c>
      <c r="O109" s="347">
        <v>0</v>
      </c>
    </row>
    <row r="110" spans="1:15" s="297" customFormat="1" ht="29.25" customHeight="1">
      <c r="A110" s="311" t="s">
        <v>918</v>
      </c>
      <c r="B110" s="233"/>
      <c r="C110" s="254" t="s">
        <v>929</v>
      </c>
      <c r="D110" s="295"/>
      <c r="E110" s="296"/>
      <c r="F110" s="295"/>
      <c r="G110" s="295"/>
      <c r="H110" s="286">
        <v>6015900</v>
      </c>
      <c r="I110" s="294">
        <v>0</v>
      </c>
      <c r="J110" s="286">
        <v>6015900</v>
      </c>
      <c r="K110" s="294">
        <v>0</v>
      </c>
      <c r="L110" s="345">
        <v>0</v>
      </c>
      <c r="M110" s="64">
        <v>0</v>
      </c>
      <c r="N110" s="346">
        <v>0</v>
      </c>
      <c r="O110" s="347">
        <v>0</v>
      </c>
    </row>
    <row r="111" spans="1:15" s="297" customFormat="1" ht="29.25" customHeight="1">
      <c r="A111" s="311" t="s">
        <v>923</v>
      </c>
      <c r="B111" s="233"/>
      <c r="C111" s="254" t="s">
        <v>915</v>
      </c>
      <c r="D111" s="295"/>
      <c r="E111" s="296"/>
      <c r="F111" s="295"/>
      <c r="G111" s="295"/>
      <c r="H111" s="286">
        <v>0</v>
      </c>
      <c r="I111" s="294">
        <v>0</v>
      </c>
      <c r="J111" s="286">
        <v>58219754</v>
      </c>
      <c r="K111" s="294">
        <v>0</v>
      </c>
      <c r="L111" s="345">
        <v>0</v>
      </c>
      <c r="M111" s="64">
        <v>0</v>
      </c>
      <c r="N111" s="346">
        <v>58219754</v>
      </c>
      <c r="O111" s="347">
        <v>0</v>
      </c>
    </row>
    <row r="112" spans="1:15" s="297" customFormat="1" ht="29.25" customHeight="1">
      <c r="A112" s="311" t="s">
        <v>924</v>
      </c>
      <c r="B112" s="233"/>
      <c r="C112" s="254" t="s">
        <v>930</v>
      </c>
      <c r="D112" s="295"/>
      <c r="E112" s="296"/>
      <c r="F112" s="295"/>
      <c r="G112" s="295"/>
      <c r="H112" s="286">
        <v>0</v>
      </c>
      <c r="I112" s="294">
        <v>0</v>
      </c>
      <c r="J112" s="286">
        <v>3120240</v>
      </c>
      <c r="K112" s="294">
        <v>0</v>
      </c>
      <c r="L112" s="345">
        <v>0</v>
      </c>
      <c r="M112" s="64">
        <v>0</v>
      </c>
      <c r="N112" s="346">
        <v>3120240</v>
      </c>
      <c r="O112" s="347">
        <v>0</v>
      </c>
    </row>
    <row r="113" spans="1:15" s="297" customFormat="1" ht="29.25" customHeight="1">
      <c r="A113" s="311" t="s">
        <v>925</v>
      </c>
      <c r="B113" s="233"/>
      <c r="C113" s="254" t="s">
        <v>931</v>
      </c>
      <c r="D113" s="295"/>
      <c r="E113" s="296"/>
      <c r="F113" s="295"/>
      <c r="G113" s="295"/>
      <c r="H113" s="286">
        <v>0</v>
      </c>
      <c r="I113" s="294">
        <v>0</v>
      </c>
      <c r="J113" s="286">
        <v>10615633</v>
      </c>
      <c r="K113" s="294">
        <v>0</v>
      </c>
      <c r="L113" s="345">
        <v>0</v>
      </c>
      <c r="M113" s="64">
        <v>0</v>
      </c>
      <c r="N113" s="346">
        <v>10615633</v>
      </c>
      <c r="O113" s="347">
        <v>0</v>
      </c>
    </row>
    <row r="114" spans="1:15" s="297" customFormat="1" ht="29.25" customHeight="1">
      <c r="A114" s="291">
        <v>33311</v>
      </c>
      <c r="B114" s="232" t="s">
        <v>243</v>
      </c>
      <c r="C114" s="254" t="s">
        <v>302</v>
      </c>
      <c r="D114" s="295">
        <v>0</v>
      </c>
      <c r="E114" s="296">
        <v>0</v>
      </c>
      <c r="F114" s="295">
        <v>26029153</v>
      </c>
      <c r="G114" s="296">
        <v>0</v>
      </c>
      <c r="H114" s="286">
        <v>479413359</v>
      </c>
      <c r="I114" s="294">
        <v>0</v>
      </c>
      <c r="J114" s="286">
        <v>476377228</v>
      </c>
      <c r="K114" s="294">
        <v>0</v>
      </c>
      <c r="L114" s="345">
        <v>0</v>
      </c>
      <c r="M114" s="64">
        <v>0</v>
      </c>
      <c r="N114" s="346">
        <v>22993022</v>
      </c>
      <c r="O114" s="347">
        <v>0</v>
      </c>
    </row>
    <row r="115" spans="1:15" s="297" customFormat="1" ht="29.25" customHeight="1">
      <c r="A115" s="291">
        <v>33312</v>
      </c>
      <c r="B115" s="232" t="s">
        <v>244</v>
      </c>
      <c r="C115" s="254" t="s">
        <v>4</v>
      </c>
      <c r="D115" s="295">
        <v>0</v>
      </c>
      <c r="E115" s="296">
        <v>0</v>
      </c>
      <c r="F115" s="295">
        <v>0</v>
      </c>
      <c r="G115" s="296">
        <v>0</v>
      </c>
      <c r="H115" s="286">
        <v>0</v>
      </c>
      <c r="I115" s="294">
        <v>0</v>
      </c>
      <c r="J115" s="286">
        <v>0</v>
      </c>
      <c r="K115" s="294">
        <v>0</v>
      </c>
      <c r="L115" s="345">
        <v>0</v>
      </c>
      <c r="M115" s="64">
        <v>0</v>
      </c>
      <c r="N115" s="346">
        <v>0</v>
      </c>
      <c r="O115" s="347">
        <v>0</v>
      </c>
    </row>
    <row r="116" spans="1:15" s="297" customFormat="1" ht="29.25" customHeight="1">
      <c r="A116" s="291">
        <v>3333</v>
      </c>
      <c r="B116" s="232" t="s">
        <v>245</v>
      </c>
      <c r="C116" s="254" t="s">
        <v>303</v>
      </c>
      <c r="D116" s="295">
        <v>0</v>
      </c>
      <c r="E116" s="296">
        <v>0</v>
      </c>
      <c r="F116" s="295">
        <v>0</v>
      </c>
      <c r="G116" s="296">
        <v>0</v>
      </c>
      <c r="H116" s="286">
        <v>0</v>
      </c>
      <c r="I116" s="294">
        <v>0</v>
      </c>
      <c r="J116" s="286">
        <v>0</v>
      </c>
      <c r="K116" s="294">
        <v>0</v>
      </c>
      <c r="L116" s="345">
        <v>0</v>
      </c>
      <c r="M116" s="64">
        <v>0</v>
      </c>
      <c r="N116" s="346">
        <v>0</v>
      </c>
      <c r="O116" s="347">
        <v>0</v>
      </c>
    </row>
    <row r="117" spans="1:15" s="297" customFormat="1" ht="29.25" customHeight="1">
      <c r="A117" s="291">
        <v>3334</v>
      </c>
      <c r="B117" s="232" t="s">
        <v>246</v>
      </c>
      <c r="C117" s="254" t="s">
        <v>152</v>
      </c>
      <c r="D117" s="295">
        <v>68004357</v>
      </c>
      <c r="E117" s="296">
        <v>0</v>
      </c>
      <c r="F117" s="295">
        <v>0</v>
      </c>
      <c r="G117" s="296">
        <v>0</v>
      </c>
      <c r="H117" s="286">
        <v>0</v>
      </c>
      <c r="I117" s="294">
        <v>0</v>
      </c>
      <c r="J117" s="286">
        <v>0</v>
      </c>
      <c r="K117" s="294">
        <v>0</v>
      </c>
      <c r="L117" s="345">
        <v>68004357</v>
      </c>
      <c r="M117" s="64">
        <v>0</v>
      </c>
      <c r="N117" s="346">
        <v>0</v>
      </c>
      <c r="O117" s="347">
        <v>0</v>
      </c>
    </row>
    <row r="118" spans="1:15" s="297" customFormat="1" ht="29.25" customHeight="1">
      <c r="A118" s="291">
        <v>3335</v>
      </c>
      <c r="B118" s="232" t="s">
        <v>247</v>
      </c>
      <c r="C118" s="254" t="s">
        <v>153</v>
      </c>
      <c r="D118" s="295">
        <v>0</v>
      </c>
      <c r="E118" s="296">
        <v>0</v>
      </c>
      <c r="F118" s="295">
        <v>316733</v>
      </c>
      <c r="G118" s="296">
        <v>0</v>
      </c>
      <c r="H118" s="286">
        <v>4058017</v>
      </c>
      <c r="I118" s="294">
        <v>0</v>
      </c>
      <c r="J118" s="286">
        <v>3978091</v>
      </c>
      <c r="K118" s="294">
        <v>0</v>
      </c>
      <c r="L118" s="345">
        <v>0</v>
      </c>
      <c r="M118" s="64">
        <v>0</v>
      </c>
      <c r="N118" s="346">
        <v>236807</v>
      </c>
      <c r="O118" s="347">
        <v>0</v>
      </c>
    </row>
    <row r="119" spans="1:15" s="297" customFormat="1" ht="29.25" customHeight="1">
      <c r="A119" s="291">
        <v>3339</v>
      </c>
      <c r="B119" s="232" t="s">
        <v>739</v>
      </c>
      <c r="C119" s="254" t="s">
        <v>154</v>
      </c>
      <c r="D119" s="295">
        <v>0</v>
      </c>
      <c r="E119" s="296">
        <v>0</v>
      </c>
      <c r="F119" s="295">
        <v>0</v>
      </c>
      <c r="G119" s="296">
        <v>0</v>
      </c>
      <c r="H119" s="286">
        <v>2000000</v>
      </c>
      <c r="I119" s="294">
        <v>0</v>
      </c>
      <c r="J119" s="286">
        <v>2000000</v>
      </c>
      <c r="K119" s="294">
        <v>0</v>
      </c>
      <c r="L119" s="345">
        <v>0</v>
      </c>
      <c r="M119" s="64">
        <v>0</v>
      </c>
      <c r="N119" s="346">
        <v>0</v>
      </c>
      <c r="O119" s="347">
        <v>0</v>
      </c>
    </row>
    <row r="120" spans="1:15" s="297" customFormat="1" ht="29.25" customHeight="1">
      <c r="A120" s="291">
        <v>3341</v>
      </c>
      <c r="B120" s="232" t="s">
        <v>740</v>
      </c>
      <c r="C120" s="254" t="s">
        <v>304</v>
      </c>
      <c r="D120" s="295">
        <v>0</v>
      </c>
      <c r="E120" s="296">
        <v>0</v>
      </c>
      <c r="F120" s="295">
        <v>190616509</v>
      </c>
      <c r="G120" s="296">
        <v>0</v>
      </c>
      <c r="H120" s="286">
        <v>1713271960</v>
      </c>
      <c r="I120" s="294">
        <v>0</v>
      </c>
      <c r="J120" s="286">
        <v>1522655451</v>
      </c>
      <c r="K120" s="294">
        <v>0</v>
      </c>
      <c r="L120" s="383">
        <v>0</v>
      </c>
      <c r="M120" s="64">
        <v>0</v>
      </c>
      <c r="N120" s="346">
        <v>0</v>
      </c>
      <c r="O120" s="347">
        <v>0</v>
      </c>
    </row>
    <row r="121" spans="1:15" s="297" customFormat="1" ht="29.25" customHeight="1">
      <c r="A121" s="291">
        <v>3382</v>
      </c>
      <c r="B121" s="232" t="s">
        <v>248</v>
      </c>
      <c r="C121" s="254" t="s">
        <v>5</v>
      </c>
      <c r="D121" s="295">
        <v>0</v>
      </c>
      <c r="E121" s="296">
        <v>0</v>
      </c>
      <c r="F121" s="295">
        <v>0</v>
      </c>
      <c r="G121" s="296">
        <v>0</v>
      </c>
      <c r="H121" s="286">
        <v>3650000</v>
      </c>
      <c r="I121" s="294">
        <v>0</v>
      </c>
      <c r="J121" s="286">
        <v>3650000</v>
      </c>
      <c r="K121" s="294">
        <v>0</v>
      </c>
      <c r="L121" s="345">
        <v>0</v>
      </c>
      <c r="M121" s="64">
        <v>0</v>
      </c>
      <c r="N121" s="346">
        <v>0</v>
      </c>
      <c r="O121" s="347">
        <v>0</v>
      </c>
    </row>
    <row r="122" spans="1:15" s="297" customFormat="1" ht="29.25" customHeight="1">
      <c r="A122" s="291">
        <v>3383</v>
      </c>
      <c r="B122" s="232" t="s">
        <v>741</v>
      </c>
      <c r="C122" s="254" t="s">
        <v>155</v>
      </c>
      <c r="D122" s="295">
        <v>0</v>
      </c>
      <c r="E122" s="296">
        <v>0</v>
      </c>
      <c r="F122" s="295">
        <v>0</v>
      </c>
      <c r="G122" s="296">
        <v>0</v>
      </c>
      <c r="H122" s="286">
        <v>266633712</v>
      </c>
      <c r="I122" s="294">
        <v>0</v>
      </c>
      <c r="J122" s="286">
        <v>266633712</v>
      </c>
      <c r="K122" s="294">
        <v>0</v>
      </c>
      <c r="L122" s="345">
        <v>0</v>
      </c>
      <c r="M122" s="64">
        <v>0</v>
      </c>
      <c r="N122" s="346">
        <v>0</v>
      </c>
      <c r="O122" s="347">
        <v>0</v>
      </c>
    </row>
    <row r="123" spans="1:15" s="297" customFormat="1" ht="29.25" customHeight="1">
      <c r="A123" s="291">
        <v>3384</v>
      </c>
      <c r="B123" s="232" t="s">
        <v>742</v>
      </c>
      <c r="C123" s="254" t="s">
        <v>156</v>
      </c>
      <c r="D123" s="295">
        <v>0</v>
      </c>
      <c r="E123" s="296">
        <v>0</v>
      </c>
      <c r="F123" s="295">
        <v>0</v>
      </c>
      <c r="G123" s="296">
        <v>0</v>
      </c>
      <c r="H123" s="286">
        <v>51805368</v>
      </c>
      <c r="I123" s="294">
        <v>0</v>
      </c>
      <c r="J123" s="286">
        <v>51805368</v>
      </c>
      <c r="K123" s="294">
        <v>0</v>
      </c>
      <c r="L123" s="345">
        <v>0</v>
      </c>
      <c r="M123" s="64">
        <v>0</v>
      </c>
      <c r="N123" s="346">
        <v>0</v>
      </c>
      <c r="O123" s="347">
        <v>0</v>
      </c>
    </row>
    <row r="124" spans="1:15" s="297" customFormat="1" ht="29.25" customHeight="1">
      <c r="A124" s="291">
        <v>3386</v>
      </c>
      <c r="B124" s="232" t="s">
        <v>743</v>
      </c>
      <c r="C124" s="254" t="s">
        <v>157</v>
      </c>
      <c r="D124" s="295">
        <v>0</v>
      </c>
      <c r="E124" s="296">
        <v>0</v>
      </c>
      <c r="F124" s="295">
        <v>0</v>
      </c>
      <c r="G124" s="296">
        <v>0</v>
      </c>
      <c r="H124" s="286">
        <v>20912448</v>
      </c>
      <c r="I124" s="294">
        <v>0</v>
      </c>
      <c r="J124" s="286">
        <v>20912448</v>
      </c>
      <c r="K124" s="294">
        <v>0</v>
      </c>
      <c r="L124" s="345">
        <v>0</v>
      </c>
      <c r="M124" s="64">
        <v>0</v>
      </c>
      <c r="N124" s="346">
        <v>0</v>
      </c>
      <c r="O124" s="347">
        <v>0</v>
      </c>
    </row>
    <row r="125" spans="1:15" s="297" customFormat="1" ht="29.25" customHeight="1">
      <c r="A125" s="291">
        <v>33881</v>
      </c>
      <c r="B125" s="232" t="s">
        <v>249</v>
      </c>
      <c r="C125" s="254" t="s">
        <v>158</v>
      </c>
      <c r="D125" s="295">
        <v>0</v>
      </c>
      <c r="E125" s="296">
        <v>0</v>
      </c>
      <c r="F125" s="295">
        <v>0</v>
      </c>
      <c r="G125" s="296">
        <v>0</v>
      </c>
      <c r="H125" s="286">
        <v>0</v>
      </c>
      <c r="I125" s="294">
        <v>0</v>
      </c>
      <c r="J125" s="286">
        <v>0</v>
      </c>
      <c r="K125" s="294">
        <v>0</v>
      </c>
      <c r="L125" s="345">
        <v>0</v>
      </c>
      <c r="M125" s="64">
        <v>0</v>
      </c>
      <c r="N125" s="346">
        <v>0</v>
      </c>
      <c r="O125" s="347">
        <v>0</v>
      </c>
    </row>
    <row r="126" spans="1:15" s="297" customFormat="1" ht="29.25" customHeight="1">
      <c r="A126" s="291" t="s">
        <v>292</v>
      </c>
      <c r="B126" s="232" t="s">
        <v>249</v>
      </c>
      <c r="C126" s="254" t="s">
        <v>305</v>
      </c>
      <c r="D126" s="295">
        <v>0</v>
      </c>
      <c r="E126" s="296">
        <v>0</v>
      </c>
      <c r="F126" s="295">
        <v>2800000000</v>
      </c>
      <c r="G126" s="296">
        <v>0</v>
      </c>
      <c r="H126" s="286">
        <v>0</v>
      </c>
      <c r="I126" s="294">
        <v>0</v>
      </c>
      <c r="J126" s="286">
        <v>0</v>
      </c>
      <c r="K126" s="294">
        <v>0</v>
      </c>
      <c r="L126" s="345">
        <v>0</v>
      </c>
      <c r="M126" s="64">
        <v>0</v>
      </c>
      <c r="N126" s="346">
        <v>2800000000</v>
      </c>
      <c r="O126" s="347">
        <v>0</v>
      </c>
    </row>
    <row r="127" spans="1:15" s="297" customFormat="1" ht="29.25" customHeight="1">
      <c r="A127" s="291" t="s">
        <v>159</v>
      </c>
      <c r="B127" s="232" t="s">
        <v>249</v>
      </c>
      <c r="C127" s="254" t="s">
        <v>306</v>
      </c>
      <c r="D127" s="295">
        <v>0</v>
      </c>
      <c r="E127" s="296">
        <v>0</v>
      </c>
      <c r="F127" s="295">
        <v>0</v>
      </c>
      <c r="G127" s="296">
        <v>0</v>
      </c>
      <c r="H127" s="286">
        <v>0</v>
      </c>
      <c r="I127" s="294">
        <v>0</v>
      </c>
      <c r="J127" s="286">
        <v>0</v>
      </c>
      <c r="K127" s="294">
        <v>0</v>
      </c>
      <c r="L127" s="345">
        <v>0</v>
      </c>
      <c r="M127" s="64">
        <v>0</v>
      </c>
      <c r="N127" s="346">
        <v>0</v>
      </c>
      <c r="O127" s="347">
        <v>0</v>
      </c>
    </row>
    <row r="128" spans="1:15" s="297" customFormat="1" ht="29.25" customHeight="1">
      <c r="A128" s="291" t="s">
        <v>702</v>
      </c>
      <c r="B128" s="232" t="s">
        <v>744</v>
      </c>
      <c r="C128" s="254" t="s">
        <v>704</v>
      </c>
      <c r="D128" s="295">
        <v>0</v>
      </c>
      <c r="E128" s="296">
        <v>0</v>
      </c>
      <c r="F128" s="295">
        <v>576229520</v>
      </c>
      <c r="G128" s="296">
        <v>0</v>
      </c>
      <c r="H128" s="286">
        <v>241466614</v>
      </c>
      <c r="I128" s="294">
        <v>0</v>
      </c>
      <c r="J128" s="286">
        <v>0</v>
      </c>
      <c r="K128" s="294">
        <v>0</v>
      </c>
      <c r="L128" s="345">
        <v>0</v>
      </c>
      <c r="M128" s="64">
        <v>0</v>
      </c>
      <c r="N128" s="346">
        <v>334762906</v>
      </c>
      <c r="O128" s="347">
        <v>0</v>
      </c>
    </row>
    <row r="129" spans="1:15" s="297" customFormat="1" ht="29.25" customHeight="1">
      <c r="A129" s="291" t="s">
        <v>703</v>
      </c>
      <c r="B129" s="232" t="s">
        <v>744</v>
      </c>
      <c r="C129" s="254" t="s">
        <v>705</v>
      </c>
      <c r="D129" s="295">
        <v>0</v>
      </c>
      <c r="E129" s="296">
        <v>0</v>
      </c>
      <c r="F129" s="295">
        <v>323783787</v>
      </c>
      <c r="G129" s="296">
        <v>0</v>
      </c>
      <c r="H129" s="286">
        <v>216170650</v>
      </c>
      <c r="I129" s="294">
        <v>0</v>
      </c>
      <c r="J129" s="286">
        <v>0</v>
      </c>
      <c r="K129" s="294">
        <v>0</v>
      </c>
      <c r="L129" s="345">
        <v>0</v>
      </c>
      <c r="M129" s="64">
        <v>0</v>
      </c>
      <c r="N129" s="346">
        <v>107613137</v>
      </c>
      <c r="O129" s="347">
        <v>0</v>
      </c>
    </row>
    <row r="130" spans="1:15" s="297" customFormat="1" ht="29.25" customHeight="1">
      <c r="A130" s="291" t="s">
        <v>293</v>
      </c>
      <c r="B130" s="232" t="s">
        <v>250</v>
      </c>
      <c r="C130" s="254" t="s">
        <v>307</v>
      </c>
      <c r="D130" s="295">
        <v>0</v>
      </c>
      <c r="E130" s="296">
        <v>0</v>
      </c>
      <c r="F130" s="295">
        <v>0</v>
      </c>
      <c r="G130" s="296">
        <v>0</v>
      </c>
      <c r="H130" s="286">
        <v>0</v>
      </c>
      <c r="I130" s="294">
        <v>0</v>
      </c>
      <c r="J130" s="286">
        <v>0</v>
      </c>
      <c r="K130" s="294">
        <v>0</v>
      </c>
      <c r="L130" s="345">
        <v>0</v>
      </c>
      <c r="M130" s="64">
        <v>0</v>
      </c>
      <c r="N130" s="346">
        <v>0</v>
      </c>
      <c r="O130" s="347">
        <v>0</v>
      </c>
    </row>
    <row r="131" spans="1:15" s="297" customFormat="1" ht="29.25" customHeight="1">
      <c r="A131" s="291" t="s">
        <v>294</v>
      </c>
      <c r="B131" s="232" t="s">
        <v>250</v>
      </c>
      <c r="C131" s="254" t="s">
        <v>308</v>
      </c>
      <c r="D131" s="295">
        <v>0</v>
      </c>
      <c r="E131" s="296">
        <v>0</v>
      </c>
      <c r="F131" s="295">
        <v>0</v>
      </c>
      <c r="G131" s="296">
        <v>0</v>
      </c>
      <c r="H131" s="286">
        <v>0</v>
      </c>
      <c r="I131" s="294">
        <v>0</v>
      </c>
      <c r="J131" s="286">
        <v>0</v>
      </c>
      <c r="K131" s="294">
        <v>0</v>
      </c>
      <c r="L131" s="345">
        <v>0</v>
      </c>
      <c r="M131" s="64">
        <v>0</v>
      </c>
      <c r="N131" s="346">
        <v>0</v>
      </c>
      <c r="O131" s="347">
        <v>0</v>
      </c>
    </row>
    <row r="132" spans="1:15" s="297" customFormat="1" ht="29.25" customHeight="1">
      <c r="A132" s="291" t="s">
        <v>295</v>
      </c>
      <c r="B132" s="232" t="s">
        <v>250</v>
      </c>
      <c r="C132" s="254" t="s">
        <v>309</v>
      </c>
      <c r="D132" s="295">
        <v>0</v>
      </c>
      <c r="E132" s="296">
        <v>0</v>
      </c>
      <c r="F132" s="295">
        <v>3269750000</v>
      </c>
      <c r="G132" s="296">
        <v>150000</v>
      </c>
      <c r="H132" s="286">
        <v>0</v>
      </c>
      <c r="I132" s="294">
        <v>0</v>
      </c>
      <c r="J132" s="286">
        <v>3650000</v>
      </c>
      <c r="K132" s="294">
        <v>0</v>
      </c>
      <c r="L132" s="345">
        <v>0</v>
      </c>
      <c r="M132" s="64">
        <v>0</v>
      </c>
      <c r="N132" s="346">
        <v>3273400000</v>
      </c>
      <c r="O132" s="347">
        <v>150000</v>
      </c>
    </row>
    <row r="133" spans="1:15" s="297" customFormat="1" ht="29.25" customHeight="1">
      <c r="A133" s="291" t="s">
        <v>296</v>
      </c>
      <c r="B133" s="232" t="s">
        <v>250</v>
      </c>
      <c r="C133" s="254" t="s">
        <v>310</v>
      </c>
      <c r="D133" s="295">
        <v>0</v>
      </c>
      <c r="E133" s="296">
        <v>0</v>
      </c>
      <c r="F133" s="295">
        <v>3277050000</v>
      </c>
      <c r="G133" s="296">
        <v>150000</v>
      </c>
      <c r="H133" s="286">
        <v>3650000</v>
      </c>
      <c r="I133" s="294">
        <v>0</v>
      </c>
      <c r="J133" s="286">
        <v>0</v>
      </c>
      <c r="K133" s="294">
        <v>0</v>
      </c>
      <c r="L133" s="345">
        <v>0</v>
      </c>
      <c r="M133" s="64">
        <v>0</v>
      </c>
      <c r="N133" s="346">
        <v>3273400000</v>
      </c>
      <c r="O133" s="347">
        <v>150000</v>
      </c>
    </row>
    <row r="134" spans="1:15" s="297" customFormat="1" ht="29.25" customHeight="1">
      <c r="A134" s="291">
        <v>4131</v>
      </c>
      <c r="B134" s="232" t="s">
        <v>745</v>
      </c>
      <c r="C134" s="254" t="s">
        <v>380</v>
      </c>
      <c r="D134" s="295">
        <v>0</v>
      </c>
      <c r="E134" s="296">
        <v>0</v>
      </c>
      <c r="F134" s="295">
        <v>0</v>
      </c>
      <c r="G134" s="296">
        <v>0</v>
      </c>
      <c r="H134" s="286">
        <v>0</v>
      </c>
      <c r="I134" s="294">
        <v>0</v>
      </c>
      <c r="J134" s="286">
        <v>0</v>
      </c>
      <c r="K134" s="294">
        <v>0</v>
      </c>
      <c r="L134" s="345">
        <v>0</v>
      </c>
      <c r="M134" s="64">
        <v>0</v>
      </c>
      <c r="N134" s="346">
        <v>0</v>
      </c>
      <c r="O134" s="347">
        <v>0</v>
      </c>
    </row>
    <row r="135" spans="1:15" s="297" customFormat="1" ht="29.25" customHeight="1">
      <c r="A135" s="291">
        <v>4211</v>
      </c>
      <c r="B135" s="232" t="s">
        <v>746</v>
      </c>
      <c r="C135" s="254" t="s">
        <v>311</v>
      </c>
      <c r="D135" s="295">
        <v>8378664109</v>
      </c>
      <c r="E135" s="296">
        <v>0</v>
      </c>
      <c r="F135" s="295">
        <v>0</v>
      </c>
      <c r="G135" s="296">
        <v>0</v>
      </c>
      <c r="H135" s="286">
        <v>1614509937</v>
      </c>
      <c r="I135" s="294">
        <v>0</v>
      </c>
      <c r="J135" s="286">
        <v>0</v>
      </c>
      <c r="K135" s="294">
        <v>0</v>
      </c>
      <c r="L135" s="345">
        <v>9993174046</v>
      </c>
      <c r="M135" s="64">
        <v>0</v>
      </c>
      <c r="N135" s="346">
        <v>0</v>
      </c>
      <c r="O135" s="347">
        <v>0</v>
      </c>
    </row>
    <row r="136" spans="1:15" s="297" customFormat="1" ht="29.25" customHeight="1">
      <c r="A136" s="291">
        <v>4212</v>
      </c>
      <c r="B136" s="232" t="s">
        <v>747</v>
      </c>
      <c r="C136" s="254" t="s">
        <v>312</v>
      </c>
      <c r="D136" s="295">
        <v>1614509937</v>
      </c>
      <c r="E136" s="296">
        <v>0</v>
      </c>
      <c r="F136" s="295">
        <v>0</v>
      </c>
      <c r="G136" s="296">
        <v>0</v>
      </c>
      <c r="H136" s="286">
        <v>2899602018</v>
      </c>
      <c r="I136" s="294">
        <v>0</v>
      </c>
      <c r="J136" s="286">
        <v>1614509937</v>
      </c>
      <c r="K136" s="294">
        <v>0</v>
      </c>
      <c r="L136" s="345">
        <v>2899602018</v>
      </c>
      <c r="M136" s="64">
        <v>0</v>
      </c>
      <c r="N136" s="346">
        <v>0</v>
      </c>
      <c r="O136" s="347">
        <v>0</v>
      </c>
    </row>
    <row r="137" spans="1:15" s="297" customFormat="1" ht="29.25" customHeight="1">
      <c r="A137" s="291">
        <v>5112</v>
      </c>
      <c r="B137" s="232" t="s">
        <v>251</v>
      </c>
      <c r="C137" s="254" t="s">
        <v>313</v>
      </c>
      <c r="D137" s="295">
        <v>0</v>
      </c>
      <c r="E137" s="296">
        <v>0</v>
      </c>
      <c r="F137" s="295">
        <v>0</v>
      </c>
      <c r="G137" s="296">
        <v>0</v>
      </c>
      <c r="H137" s="286">
        <v>5951365361</v>
      </c>
      <c r="I137" s="294">
        <v>0</v>
      </c>
      <c r="J137" s="286">
        <v>5951365361</v>
      </c>
      <c r="K137" s="294">
        <v>0</v>
      </c>
      <c r="L137" s="345">
        <v>0</v>
      </c>
      <c r="M137" s="64">
        <v>0</v>
      </c>
      <c r="N137" s="346">
        <v>0</v>
      </c>
      <c r="O137" s="347">
        <v>0</v>
      </c>
    </row>
    <row r="138" spans="1:15" s="297" customFormat="1" ht="29.25" customHeight="1">
      <c r="A138" s="291">
        <v>5151</v>
      </c>
      <c r="B138" s="232" t="s">
        <v>253</v>
      </c>
      <c r="C138" s="254" t="s">
        <v>214</v>
      </c>
      <c r="D138" s="295">
        <v>0</v>
      </c>
      <c r="E138" s="296">
        <v>0</v>
      </c>
      <c r="F138" s="295">
        <v>0</v>
      </c>
      <c r="G138" s="296">
        <v>0</v>
      </c>
      <c r="H138" s="286">
        <v>2779695</v>
      </c>
      <c r="I138" s="294">
        <v>0</v>
      </c>
      <c r="J138" s="286">
        <v>2779695</v>
      </c>
      <c r="K138" s="294">
        <v>0</v>
      </c>
      <c r="L138" s="345">
        <v>0</v>
      </c>
      <c r="M138" s="64">
        <v>0</v>
      </c>
      <c r="N138" s="346">
        <v>0</v>
      </c>
      <c r="O138" s="347">
        <v>0</v>
      </c>
    </row>
    <row r="139" spans="1:15" s="297" customFormat="1" ht="29.25" customHeight="1">
      <c r="A139" s="291">
        <v>6211</v>
      </c>
      <c r="B139" s="232" t="s">
        <v>254</v>
      </c>
      <c r="C139" s="254" t="s">
        <v>314</v>
      </c>
      <c r="D139" s="295">
        <v>0</v>
      </c>
      <c r="E139" s="296">
        <v>0</v>
      </c>
      <c r="F139" s="295">
        <v>0</v>
      </c>
      <c r="G139" s="296">
        <v>0</v>
      </c>
      <c r="H139" s="286">
        <v>1528787110</v>
      </c>
      <c r="I139" s="294">
        <v>0</v>
      </c>
      <c r="J139" s="286">
        <v>1528787110</v>
      </c>
      <c r="K139" s="294">
        <v>0</v>
      </c>
      <c r="L139" s="345">
        <v>0</v>
      </c>
      <c r="M139" s="64">
        <v>0</v>
      </c>
      <c r="N139" s="346">
        <v>0</v>
      </c>
      <c r="O139" s="347">
        <v>0</v>
      </c>
    </row>
    <row r="140" spans="1:15" s="297" customFormat="1" ht="29.25" customHeight="1">
      <c r="A140" s="291">
        <v>6221</v>
      </c>
      <c r="B140" s="232" t="s">
        <v>255</v>
      </c>
      <c r="C140" s="254" t="s">
        <v>6</v>
      </c>
      <c r="D140" s="295">
        <v>0</v>
      </c>
      <c r="E140" s="296">
        <v>0</v>
      </c>
      <c r="F140" s="295">
        <v>0</v>
      </c>
      <c r="G140" s="296">
        <v>0</v>
      </c>
      <c r="H140" s="286">
        <v>1136486365</v>
      </c>
      <c r="I140" s="294">
        <v>0</v>
      </c>
      <c r="J140" s="286">
        <v>1136486364.5961537</v>
      </c>
      <c r="K140" s="294">
        <v>0</v>
      </c>
      <c r="L140" s="345">
        <v>0</v>
      </c>
      <c r="M140" s="64">
        <v>0</v>
      </c>
      <c r="N140" s="346">
        <v>0</v>
      </c>
      <c r="O140" s="347">
        <v>0</v>
      </c>
    </row>
    <row r="141" spans="1:15" s="297" customFormat="1" ht="29.25" customHeight="1">
      <c r="A141" s="291">
        <v>6272</v>
      </c>
      <c r="B141" s="232" t="s">
        <v>241</v>
      </c>
      <c r="C141" s="254" t="s">
        <v>315</v>
      </c>
      <c r="D141" s="295">
        <v>0</v>
      </c>
      <c r="E141" s="296">
        <v>0</v>
      </c>
      <c r="F141" s="295">
        <v>0</v>
      </c>
      <c r="G141" s="296">
        <v>0</v>
      </c>
      <c r="H141" s="286">
        <v>243197767</v>
      </c>
      <c r="I141" s="294">
        <v>0</v>
      </c>
      <c r="J141" s="286">
        <v>243197767</v>
      </c>
      <c r="K141" s="294">
        <v>0</v>
      </c>
      <c r="L141" s="345">
        <v>0</v>
      </c>
      <c r="M141" s="64">
        <v>0</v>
      </c>
      <c r="N141" s="346">
        <v>0</v>
      </c>
      <c r="O141" s="347">
        <v>0</v>
      </c>
    </row>
    <row r="142" spans="1:15" s="297" customFormat="1" ht="29.25" customHeight="1">
      <c r="A142" s="291">
        <v>6273</v>
      </c>
      <c r="B142" s="232" t="s">
        <v>256</v>
      </c>
      <c r="C142" s="254" t="s">
        <v>7</v>
      </c>
      <c r="D142" s="295">
        <v>0</v>
      </c>
      <c r="E142" s="296">
        <v>0</v>
      </c>
      <c r="F142" s="295">
        <v>0</v>
      </c>
      <c r="G142" s="296">
        <v>0</v>
      </c>
      <c r="H142" s="286">
        <v>265131010</v>
      </c>
      <c r="I142" s="294">
        <v>0</v>
      </c>
      <c r="J142" s="286">
        <v>265131010</v>
      </c>
      <c r="K142" s="294">
        <v>0</v>
      </c>
      <c r="L142" s="345">
        <v>0</v>
      </c>
      <c r="M142" s="64">
        <v>0</v>
      </c>
      <c r="N142" s="346">
        <v>0</v>
      </c>
      <c r="O142" s="347">
        <v>0</v>
      </c>
    </row>
    <row r="143" spans="1:15" s="297" customFormat="1" ht="29.25" customHeight="1">
      <c r="A143" s="291">
        <v>6274</v>
      </c>
      <c r="B143" s="232" t="s">
        <v>257</v>
      </c>
      <c r="C143" s="254" t="s">
        <v>316</v>
      </c>
      <c r="D143" s="295">
        <v>0</v>
      </c>
      <c r="E143" s="296">
        <v>0</v>
      </c>
      <c r="F143" s="295">
        <v>0</v>
      </c>
      <c r="G143" s="296">
        <v>0</v>
      </c>
      <c r="H143" s="286">
        <v>67978488</v>
      </c>
      <c r="I143" s="294">
        <v>0</v>
      </c>
      <c r="J143" s="286">
        <v>67978488</v>
      </c>
      <c r="K143" s="294">
        <v>0</v>
      </c>
      <c r="L143" s="345">
        <v>0</v>
      </c>
      <c r="M143" s="64">
        <v>0</v>
      </c>
      <c r="N143" s="346">
        <v>0</v>
      </c>
      <c r="O143" s="347">
        <v>0</v>
      </c>
    </row>
    <row r="144" spans="1:15" s="297" customFormat="1" ht="29.25" customHeight="1">
      <c r="A144" s="291">
        <v>6277</v>
      </c>
      <c r="B144" s="232" t="s">
        <v>258</v>
      </c>
      <c r="C144" s="254" t="s">
        <v>8</v>
      </c>
      <c r="D144" s="295">
        <v>0</v>
      </c>
      <c r="E144" s="296">
        <v>0</v>
      </c>
      <c r="F144" s="295">
        <v>0</v>
      </c>
      <c r="G144" s="296">
        <v>0</v>
      </c>
      <c r="H144" s="286">
        <v>1165737978.4000001</v>
      </c>
      <c r="I144" s="294">
        <v>0</v>
      </c>
      <c r="J144" s="286">
        <v>1165737978</v>
      </c>
      <c r="K144" s="294">
        <v>0</v>
      </c>
      <c r="L144" s="345">
        <v>0</v>
      </c>
      <c r="M144" s="64">
        <v>0</v>
      </c>
      <c r="N144" s="346">
        <v>0</v>
      </c>
      <c r="O144" s="347">
        <v>0</v>
      </c>
    </row>
    <row r="145" spans="1:15" s="297" customFormat="1" ht="29.25" customHeight="1">
      <c r="A145" s="291">
        <v>6278</v>
      </c>
      <c r="B145" s="232" t="s">
        <v>260</v>
      </c>
      <c r="C145" s="254" t="s">
        <v>9</v>
      </c>
      <c r="D145" s="295">
        <v>0</v>
      </c>
      <c r="E145" s="296">
        <v>0</v>
      </c>
      <c r="F145" s="295">
        <v>0</v>
      </c>
      <c r="G145" s="296">
        <v>0</v>
      </c>
      <c r="H145" s="286">
        <v>0</v>
      </c>
      <c r="I145" s="294">
        <v>0</v>
      </c>
      <c r="J145" s="286">
        <v>0</v>
      </c>
      <c r="K145" s="294">
        <v>0</v>
      </c>
      <c r="L145" s="345">
        <v>0</v>
      </c>
      <c r="M145" s="64">
        <v>0</v>
      </c>
      <c r="N145" s="346">
        <v>0</v>
      </c>
      <c r="O145" s="347">
        <v>0</v>
      </c>
    </row>
    <row r="146" spans="1:15" s="297" customFormat="1" ht="29.25" customHeight="1">
      <c r="A146" s="291">
        <v>631</v>
      </c>
      <c r="B146" s="232" t="s">
        <v>748</v>
      </c>
      <c r="C146" s="254" t="s">
        <v>147</v>
      </c>
      <c r="D146" s="295">
        <v>0</v>
      </c>
      <c r="E146" s="296">
        <v>0</v>
      </c>
      <c r="F146" s="295">
        <v>0</v>
      </c>
      <c r="G146" s="296">
        <v>0</v>
      </c>
      <c r="H146" s="286">
        <v>0</v>
      </c>
      <c r="I146" s="294">
        <v>0</v>
      </c>
      <c r="J146" s="286">
        <v>0</v>
      </c>
      <c r="K146" s="294">
        <v>0</v>
      </c>
      <c r="L146" s="345">
        <v>0</v>
      </c>
      <c r="M146" s="64">
        <v>0</v>
      </c>
      <c r="N146" s="346">
        <v>0</v>
      </c>
      <c r="O146" s="347">
        <v>0</v>
      </c>
    </row>
    <row r="147" spans="1:15" s="297" customFormat="1" ht="29.25" customHeight="1">
      <c r="A147" s="291">
        <v>632</v>
      </c>
      <c r="B147" s="232" t="s">
        <v>749</v>
      </c>
      <c r="C147" s="254" t="s">
        <v>317</v>
      </c>
      <c r="D147" s="295">
        <v>0</v>
      </c>
      <c r="E147" s="296">
        <v>0</v>
      </c>
      <c r="F147" s="295">
        <v>0</v>
      </c>
      <c r="G147" s="296">
        <v>0</v>
      </c>
      <c r="H147" s="286">
        <v>5913632751</v>
      </c>
      <c r="I147" s="294">
        <v>0</v>
      </c>
      <c r="J147" s="286">
        <v>5913632751</v>
      </c>
      <c r="K147" s="294">
        <v>0</v>
      </c>
      <c r="L147" s="345">
        <v>0</v>
      </c>
      <c r="M147" s="64">
        <v>0</v>
      </c>
      <c r="N147" s="346">
        <v>0</v>
      </c>
      <c r="O147" s="347">
        <v>0</v>
      </c>
    </row>
    <row r="148" spans="1:15" s="297" customFormat="1" ht="29.25" customHeight="1">
      <c r="A148" s="291">
        <v>6351</v>
      </c>
      <c r="B148" s="232" t="s">
        <v>259</v>
      </c>
      <c r="C148" s="254" t="s">
        <v>318</v>
      </c>
      <c r="D148" s="295">
        <v>0</v>
      </c>
      <c r="E148" s="296">
        <v>0</v>
      </c>
      <c r="F148" s="295">
        <v>0</v>
      </c>
      <c r="G148" s="296">
        <v>0</v>
      </c>
      <c r="H148" s="286">
        <v>31932647</v>
      </c>
      <c r="I148" s="294">
        <v>0</v>
      </c>
      <c r="J148" s="286">
        <v>31932647</v>
      </c>
      <c r="K148" s="294">
        <v>0</v>
      </c>
      <c r="L148" s="345">
        <v>0</v>
      </c>
      <c r="M148" s="64">
        <v>0</v>
      </c>
      <c r="N148" s="346">
        <v>0</v>
      </c>
      <c r="O148" s="347">
        <v>0</v>
      </c>
    </row>
    <row r="149" spans="1:15" s="297" customFormat="1" ht="29.25" customHeight="1">
      <c r="A149" s="291">
        <v>6417</v>
      </c>
      <c r="B149" s="232" t="s">
        <v>258</v>
      </c>
      <c r="C149" s="254" t="s">
        <v>8</v>
      </c>
      <c r="D149" s="295">
        <v>0</v>
      </c>
      <c r="E149" s="296">
        <v>0</v>
      </c>
      <c r="F149" s="295">
        <v>0</v>
      </c>
      <c r="G149" s="296">
        <v>0</v>
      </c>
      <c r="H149" s="286">
        <v>33711035</v>
      </c>
      <c r="I149" s="294">
        <v>0</v>
      </c>
      <c r="J149" s="286">
        <v>33711035</v>
      </c>
      <c r="K149" s="294">
        <v>0</v>
      </c>
      <c r="L149" s="345">
        <v>0</v>
      </c>
      <c r="M149" s="64">
        <v>0</v>
      </c>
      <c r="N149" s="346">
        <v>0</v>
      </c>
      <c r="O149" s="347">
        <v>0</v>
      </c>
    </row>
    <row r="150" spans="1:15" s="297" customFormat="1" ht="29.25" customHeight="1">
      <c r="A150" s="291">
        <v>6421</v>
      </c>
      <c r="B150" s="232" t="s">
        <v>261</v>
      </c>
      <c r="C150" s="254" t="s">
        <v>160</v>
      </c>
      <c r="D150" s="295">
        <v>0</v>
      </c>
      <c r="E150" s="296">
        <v>0</v>
      </c>
      <c r="F150" s="295">
        <v>0</v>
      </c>
      <c r="G150" s="296">
        <v>0</v>
      </c>
      <c r="H150" s="286">
        <v>615013790</v>
      </c>
      <c r="I150" s="294">
        <v>0</v>
      </c>
      <c r="J150" s="286">
        <v>615013790</v>
      </c>
      <c r="K150" s="294">
        <v>0</v>
      </c>
      <c r="L150" s="345">
        <v>0</v>
      </c>
      <c r="M150" s="64">
        <v>0</v>
      </c>
      <c r="N150" s="346">
        <v>0</v>
      </c>
      <c r="O150" s="347">
        <v>0</v>
      </c>
    </row>
    <row r="151" spans="1:15" s="297" customFormat="1" ht="29.25" customHeight="1">
      <c r="A151" s="291">
        <v>6423</v>
      </c>
      <c r="B151" s="232" t="s">
        <v>262</v>
      </c>
      <c r="C151" s="254" t="s">
        <v>161</v>
      </c>
      <c r="D151" s="295">
        <v>0</v>
      </c>
      <c r="E151" s="296">
        <v>0</v>
      </c>
      <c r="F151" s="295">
        <v>0</v>
      </c>
      <c r="G151" s="296">
        <v>0</v>
      </c>
      <c r="H151" s="286">
        <v>1587500</v>
      </c>
      <c r="I151" s="294">
        <v>0</v>
      </c>
      <c r="J151" s="286">
        <v>1587500</v>
      </c>
      <c r="K151" s="294">
        <v>0</v>
      </c>
      <c r="L151" s="345">
        <v>0</v>
      </c>
      <c r="M151" s="64">
        <v>0</v>
      </c>
      <c r="N151" s="346">
        <v>0</v>
      </c>
      <c r="O151" s="347">
        <v>0</v>
      </c>
    </row>
    <row r="152" spans="1:15" s="297" customFormat="1" ht="29.25" customHeight="1">
      <c r="A152" s="291">
        <v>6424</v>
      </c>
      <c r="B152" s="232" t="s">
        <v>257</v>
      </c>
      <c r="C152" s="254" t="s">
        <v>316</v>
      </c>
      <c r="D152" s="295">
        <v>0</v>
      </c>
      <c r="E152" s="296">
        <v>0</v>
      </c>
      <c r="F152" s="295">
        <v>0</v>
      </c>
      <c r="G152" s="296">
        <v>0</v>
      </c>
      <c r="H152" s="286">
        <v>361309308</v>
      </c>
      <c r="I152" s="294">
        <v>0</v>
      </c>
      <c r="J152" s="286">
        <v>361309308</v>
      </c>
      <c r="K152" s="294">
        <v>0</v>
      </c>
      <c r="L152" s="345">
        <v>0</v>
      </c>
      <c r="M152" s="64">
        <v>0</v>
      </c>
      <c r="N152" s="346">
        <v>0</v>
      </c>
      <c r="O152" s="347">
        <v>0</v>
      </c>
    </row>
    <row r="153" spans="1:15" s="297" customFormat="1" ht="29.25" customHeight="1">
      <c r="A153" s="291">
        <v>6425</v>
      </c>
      <c r="B153" s="232" t="s">
        <v>263</v>
      </c>
      <c r="C153" s="254" t="s">
        <v>162</v>
      </c>
      <c r="D153" s="295">
        <v>0</v>
      </c>
      <c r="E153" s="296">
        <v>0</v>
      </c>
      <c r="F153" s="295">
        <v>0</v>
      </c>
      <c r="G153" s="296">
        <v>0</v>
      </c>
      <c r="H153" s="286">
        <v>2000000</v>
      </c>
      <c r="I153" s="294">
        <v>0</v>
      </c>
      <c r="J153" s="286">
        <v>2000000</v>
      </c>
      <c r="K153" s="294">
        <v>0</v>
      </c>
      <c r="L153" s="345">
        <v>0</v>
      </c>
      <c r="M153" s="64">
        <v>0</v>
      </c>
      <c r="N153" s="346">
        <v>0</v>
      </c>
      <c r="O153" s="347">
        <v>0</v>
      </c>
    </row>
    <row r="154" spans="1:15" s="297" customFormat="1" ht="29.25" customHeight="1">
      <c r="A154" s="291">
        <v>6426</v>
      </c>
      <c r="B154" s="232" t="s">
        <v>750</v>
      </c>
      <c r="C154" s="254" t="s">
        <v>697</v>
      </c>
      <c r="D154" s="295">
        <v>0</v>
      </c>
      <c r="E154" s="296">
        <v>0</v>
      </c>
      <c r="F154" s="295">
        <v>0</v>
      </c>
      <c r="G154" s="296">
        <v>0</v>
      </c>
      <c r="H154" s="286">
        <v>0</v>
      </c>
      <c r="I154" s="294">
        <v>0</v>
      </c>
      <c r="J154" s="286">
        <v>0</v>
      </c>
      <c r="K154" s="294">
        <v>0</v>
      </c>
      <c r="L154" s="345">
        <v>0</v>
      </c>
      <c r="M154" s="64">
        <v>0</v>
      </c>
      <c r="N154" s="346">
        <v>0</v>
      </c>
      <c r="O154" s="347">
        <v>0</v>
      </c>
    </row>
    <row r="155" spans="1:15" s="297" customFormat="1" ht="29.25" customHeight="1">
      <c r="A155" s="291">
        <v>6427</v>
      </c>
      <c r="B155" s="232" t="s">
        <v>264</v>
      </c>
      <c r="C155" s="254" t="s">
        <v>8</v>
      </c>
      <c r="D155" s="295">
        <v>0</v>
      </c>
      <c r="E155" s="296">
        <v>0</v>
      </c>
      <c r="F155" s="295">
        <v>0</v>
      </c>
      <c r="G155" s="296">
        <v>0</v>
      </c>
      <c r="H155" s="286">
        <v>273370034.60000002</v>
      </c>
      <c r="I155" s="294">
        <v>0</v>
      </c>
      <c r="J155" s="286">
        <v>273370034.60000002</v>
      </c>
      <c r="K155" s="294">
        <v>0</v>
      </c>
      <c r="L155" s="345">
        <v>0</v>
      </c>
      <c r="M155" s="64">
        <v>0</v>
      </c>
      <c r="N155" s="346">
        <v>0</v>
      </c>
      <c r="O155" s="347">
        <v>0</v>
      </c>
    </row>
    <row r="156" spans="1:15" s="297" customFormat="1" ht="29.25" customHeight="1">
      <c r="A156" s="291">
        <v>6428</v>
      </c>
      <c r="B156" s="232" t="s">
        <v>260</v>
      </c>
      <c r="C156" s="254" t="s">
        <v>9</v>
      </c>
      <c r="D156" s="295">
        <v>0</v>
      </c>
      <c r="E156" s="296">
        <v>0</v>
      </c>
      <c r="F156" s="295">
        <v>0</v>
      </c>
      <c r="G156" s="296">
        <v>0</v>
      </c>
      <c r="H156" s="286">
        <v>3110476</v>
      </c>
      <c r="I156" s="294">
        <v>0</v>
      </c>
      <c r="J156" s="286">
        <v>3110476</v>
      </c>
      <c r="K156" s="294">
        <v>0</v>
      </c>
      <c r="L156" s="345">
        <v>0</v>
      </c>
      <c r="M156" s="64">
        <v>0</v>
      </c>
      <c r="N156" s="346">
        <v>0</v>
      </c>
      <c r="O156" s="347">
        <v>0</v>
      </c>
    </row>
    <row r="157" spans="1:15" s="297" customFormat="1" ht="29.25" customHeight="1">
      <c r="A157" s="291">
        <v>6429</v>
      </c>
      <c r="B157" s="232" t="s">
        <v>752</v>
      </c>
      <c r="C157" s="254" t="s">
        <v>319</v>
      </c>
      <c r="D157" s="295">
        <v>0</v>
      </c>
      <c r="E157" s="296">
        <v>0</v>
      </c>
      <c r="F157" s="295">
        <v>0</v>
      </c>
      <c r="G157" s="296">
        <v>0</v>
      </c>
      <c r="H157" s="286">
        <v>14400880</v>
      </c>
      <c r="I157" s="294">
        <v>0</v>
      </c>
      <c r="J157" s="286">
        <v>14400880</v>
      </c>
      <c r="K157" s="294">
        <v>0</v>
      </c>
      <c r="L157" s="345">
        <v>0</v>
      </c>
      <c r="M157" s="64">
        <v>0</v>
      </c>
      <c r="N157" s="346">
        <v>0</v>
      </c>
      <c r="O157" s="347">
        <v>0</v>
      </c>
    </row>
    <row r="158" spans="1:15" s="297" customFormat="1" ht="29.25" customHeight="1">
      <c r="A158" s="291">
        <v>711</v>
      </c>
      <c r="B158" s="232" t="s">
        <v>252</v>
      </c>
      <c r="C158" s="254" t="s">
        <v>10</v>
      </c>
      <c r="D158" s="295">
        <v>0</v>
      </c>
      <c r="E158" s="296">
        <v>0</v>
      </c>
      <c r="F158" s="295">
        <v>0</v>
      </c>
      <c r="G158" s="296">
        <v>0</v>
      </c>
      <c r="H158" s="286">
        <v>1451751</v>
      </c>
      <c r="I158" s="294">
        <v>0</v>
      </c>
      <c r="J158" s="286">
        <v>1451751</v>
      </c>
      <c r="K158" s="294">
        <v>0</v>
      </c>
      <c r="L158" s="345">
        <v>0</v>
      </c>
      <c r="M158" s="64">
        <v>0</v>
      </c>
      <c r="N158" s="346">
        <v>0</v>
      </c>
      <c r="O158" s="347">
        <v>0</v>
      </c>
    </row>
    <row r="159" spans="1:15" s="297" customFormat="1" ht="29.25" customHeight="1">
      <c r="A159" s="291">
        <v>811</v>
      </c>
      <c r="B159" s="232" t="s">
        <v>260</v>
      </c>
      <c r="C159" s="254" t="s">
        <v>320</v>
      </c>
      <c r="D159" s="295">
        <v>0</v>
      </c>
      <c r="E159" s="296">
        <v>0</v>
      </c>
      <c r="F159" s="295">
        <v>0</v>
      </c>
      <c r="G159" s="296">
        <v>0</v>
      </c>
      <c r="H159" s="286">
        <v>1605130403</v>
      </c>
      <c r="I159" s="294">
        <v>0</v>
      </c>
      <c r="J159" s="286">
        <v>1605130403</v>
      </c>
      <c r="K159" s="294">
        <v>0</v>
      </c>
      <c r="L159" s="345">
        <v>0</v>
      </c>
      <c r="M159" s="64">
        <v>0</v>
      </c>
      <c r="N159" s="346">
        <v>0</v>
      </c>
      <c r="O159" s="347">
        <v>0</v>
      </c>
    </row>
    <row r="160" spans="1:15" s="297" customFormat="1" ht="29.25" customHeight="1">
      <c r="A160" s="291">
        <v>911</v>
      </c>
      <c r="B160" s="232" t="s">
        <v>751</v>
      </c>
      <c r="C160" s="254" t="s">
        <v>163</v>
      </c>
      <c r="D160" s="295">
        <v>0</v>
      </c>
      <c r="E160" s="296">
        <v>0</v>
      </c>
      <c r="F160" s="295">
        <v>0</v>
      </c>
      <c r="G160" s="296">
        <v>0</v>
      </c>
      <c r="H160" s="286">
        <v>8855198824.6000004</v>
      </c>
      <c r="I160" s="294">
        <v>0</v>
      </c>
      <c r="J160" s="286">
        <v>8855198825</v>
      </c>
      <c r="K160" s="294">
        <v>0</v>
      </c>
      <c r="L160" s="345">
        <v>0</v>
      </c>
      <c r="M160" s="64">
        <v>0</v>
      </c>
      <c r="N160" s="346">
        <v>0</v>
      </c>
      <c r="O160" s="347">
        <v>0</v>
      </c>
    </row>
    <row r="161" spans="1:15" s="10" customFormat="1" ht="33" customHeight="1">
      <c r="A161" s="447" t="s">
        <v>11</v>
      </c>
      <c r="B161" s="448"/>
      <c r="C161" s="449"/>
      <c r="D161" s="352">
        <v>24239993862</v>
      </c>
      <c r="E161" s="353">
        <v>4220.640000000014</v>
      </c>
      <c r="F161" s="352">
        <v>24239993862</v>
      </c>
      <c r="G161" s="353">
        <v>555772.39999999991</v>
      </c>
      <c r="H161" s="354">
        <v>69848041547.192307</v>
      </c>
      <c r="I161" s="355">
        <v>0</v>
      </c>
      <c r="J161" s="354">
        <v>69848041547.192307</v>
      </c>
      <c r="K161" s="355">
        <v>0</v>
      </c>
      <c r="L161" s="354">
        <v>23702077596</v>
      </c>
      <c r="M161" s="356">
        <v>4220.640000000014</v>
      </c>
      <c r="N161" s="357">
        <v>23702077596</v>
      </c>
      <c r="O161" s="355">
        <v>555772.39999999991</v>
      </c>
    </row>
    <row r="162" spans="1:15" s="10" customFormat="1">
      <c r="A162" s="314"/>
      <c r="B162" s="12"/>
      <c r="C162" s="12"/>
      <c r="D162" s="358"/>
      <c r="E162" s="359"/>
      <c r="F162" s="358"/>
      <c r="G162" s="359"/>
      <c r="H162" s="70">
        <v>69848041547.192322</v>
      </c>
      <c r="I162" s="71"/>
      <c r="J162" s="70"/>
      <c r="K162" s="71"/>
      <c r="L162" s="70"/>
      <c r="M162" s="360"/>
      <c r="N162" s="361">
        <v>0</v>
      </c>
      <c r="O162" s="71"/>
    </row>
    <row r="163" spans="1:15" s="10" customFormat="1" ht="27.75" customHeight="1">
      <c r="A163" s="314"/>
      <c r="B163" s="12"/>
      <c r="C163" s="12"/>
      <c r="D163" s="358"/>
      <c r="E163" s="359"/>
      <c r="F163" s="358"/>
      <c r="G163" s="359"/>
      <c r="H163" s="70">
        <v>0</v>
      </c>
      <c r="I163" s="71"/>
      <c r="J163" s="70"/>
      <c r="K163" s="71"/>
      <c r="L163" s="453" t="s">
        <v>852</v>
      </c>
      <c r="M163" s="453"/>
      <c r="N163" s="453"/>
      <c r="O163" s="453"/>
    </row>
    <row r="164" spans="1:15" s="61" customFormat="1" ht="31.5" customHeight="1">
      <c r="A164" s="451" t="s">
        <v>15</v>
      </c>
      <c r="B164" s="451"/>
      <c r="C164" s="451"/>
      <c r="D164" s="304"/>
      <c r="E164" s="305"/>
      <c r="F164" s="452"/>
      <c r="G164" s="452"/>
      <c r="H164" s="70"/>
      <c r="I164" s="71"/>
      <c r="J164" s="70"/>
      <c r="K164" s="71"/>
      <c r="L164" s="454" t="s">
        <v>730</v>
      </c>
      <c r="M164" s="454"/>
      <c r="N164" s="454"/>
      <c r="O164" s="454"/>
    </row>
    <row r="165" spans="1:15" s="63" customFormat="1">
      <c r="A165" s="315"/>
      <c r="B165" s="62"/>
      <c r="C165" s="62"/>
      <c r="D165" s="304"/>
      <c r="E165" s="305"/>
      <c r="F165" s="362"/>
      <c r="G165" s="363"/>
      <c r="H165" s="70"/>
      <c r="I165" s="71"/>
      <c r="J165" s="70"/>
      <c r="K165" s="71"/>
      <c r="L165" s="364"/>
      <c r="M165" s="364"/>
      <c r="N165" s="364"/>
      <c r="O165" s="364"/>
    </row>
    <row r="166" spans="1:15" s="63" customFormat="1">
      <c r="A166" s="315"/>
      <c r="B166" s="62"/>
      <c r="C166" s="62"/>
      <c r="D166" s="304"/>
      <c r="E166" s="305"/>
      <c r="F166" s="362"/>
      <c r="G166" s="363"/>
      <c r="H166" s="70"/>
      <c r="I166" s="71"/>
      <c r="J166" s="70"/>
      <c r="K166" s="71"/>
      <c r="L166" s="364"/>
      <c r="M166" s="364"/>
      <c r="N166" s="364"/>
      <c r="O166" s="364"/>
    </row>
    <row r="167" spans="1:15" s="63" customFormat="1">
      <c r="A167" s="315"/>
      <c r="B167" s="62"/>
      <c r="C167" s="62"/>
      <c r="D167" s="304"/>
      <c r="E167" s="305"/>
      <c r="F167" s="362"/>
      <c r="G167" s="363"/>
      <c r="H167" s="70"/>
      <c r="I167" s="71"/>
      <c r="J167" s="70"/>
      <c r="K167" s="71"/>
      <c r="L167" s="364"/>
      <c r="M167" s="65"/>
      <c r="N167" s="304"/>
      <c r="O167" s="365"/>
    </row>
    <row r="168" spans="1:15" s="63" customFormat="1" ht="42" customHeight="1">
      <c r="A168" s="315"/>
      <c r="B168" s="62"/>
      <c r="C168" s="62"/>
      <c r="D168" s="304"/>
      <c r="E168" s="305"/>
      <c r="F168" s="362"/>
      <c r="G168" s="363"/>
      <c r="H168" s="70"/>
      <c r="I168" s="71"/>
      <c r="J168" s="70"/>
      <c r="K168" s="71"/>
      <c r="L168" s="364"/>
      <c r="M168" s="450" t="s">
        <v>732</v>
      </c>
      <c r="N168" s="450"/>
      <c r="O168" s="365"/>
    </row>
    <row r="169" spans="1:15" s="10" customFormat="1" ht="24.75" customHeight="1">
      <c r="A169" s="314"/>
      <c r="B169" s="12"/>
      <c r="C169" s="12"/>
      <c r="D169" s="358"/>
      <c r="E169" s="359"/>
      <c r="F169" s="358"/>
      <c r="G169" s="359"/>
      <c r="H169" s="70"/>
      <c r="I169" s="71"/>
      <c r="J169" s="70"/>
      <c r="K169" s="71"/>
      <c r="L169" s="366"/>
      <c r="M169" s="360"/>
      <c r="N169" s="367"/>
      <c r="O169" s="71"/>
    </row>
    <row r="170" spans="1:15" s="10" customFormat="1" ht="42" customHeight="1">
      <c r="A170" s="314"/>
      <c r="B170" s="12"/>
      <c r="C170" s="12"/>
      <c r="D170" s="358"/>
      <c r="E170" s="359"/>
      <c r="F170" s="358"/>
      <c r="G170" s="359"/>
      <c r="H170" s="70"/>
      <c r="I170" s="71"/>
      <c r="J170" s="70"/>
      <c r="K170" s="71"/>
      <c r="L170" s="366"/>
      <c r="M170" s="360"/>
      <c r="N170" s="367"/>
      <c r="O170" s="71"/>
    </row>
    <row r="171" spans="1:15" s="10" customFormat="1" ht="42" customHeight="1">
      <c r="A171" s="314"/>
      <c r="B171" s="12"/>
      <c r="C171" s="12"/>
      <c r="D171" s="358"/>
      <c r="E171" s="359"/>
      <c r="F171" s="358"/>
      <c r="G171" s="359"/>
      <c r="H171" s="70"/>
      <c r="I171" s="71"/>
      <c r="J171" s="70"/>
      <c r="K171" s="71"/>
      <c r="L171" s="366"/>
      <c r="M171" s="360"/>
      <c r="N171" s="367"/>
      <c r="O171" s="71"/>
    </row>
    <row r="172" spans="1:15" s="10" customFormat="1" ht="42" customHeight="1">
      <c r="A172" s="314"/>
      <c r="B172" s="12"/>
      <c r="C172" s="12"/>
      <c r="D172" s="358"/>
      <c r="E172" s="359"/>
      <c r="F172" s="358"/>
      <c r="G172" s="359"/>
      <c r="H172" s="70"/>
      <c r="I172" s="71"/>
      <c r="J172" s="70"/>
      <c r="K172" s="71"/>
      <c r="L172" s="366"/>
      <c r="M172" s="360"/>
      <c r="N172" s="367"/>
      <c r="O172" s="71"/>
    </row>
    <row r="173" spans="1:15" s="10" customFormat="1" ht="42" customHeight="1">
      <c r="A173" s="314"/>
      <c r="B173" s="12"/>
      <c r="C173" s="12"/>
      <c r="D173" s="358"/>
      <c r="E173" s="359"/>
      <c r="F173" s="358"/>
      <c r="G173" s="359"/>
      <c r="H173" s="70"/>
      <c r="I173" s="71"/>
      <c r="J173" s="70"/>
      <c r="K173" s="71"/>
      <c r="L173" s="366"/>
      <c r="M173" s="360"/>
      <c r="N173" s="367"/>
      <c r="O173" s="71"/>
    </row>
    <row r="174" spans="1:15" s="10" customFormat="1" ht="42" customHeight="1">
      <c r="A174" s="314"/>
      <c r="B174" s="12"/>
      <c r="C174" s="12"/>
      <c r="D174" s="358"/>
      <c r="E174" s="359"/>
      <c r="F174" s="358"/>
      <c r="G174" s="359"/>
      <c r="H174" s="70"/>
      <c r="I174" s="71"/>
      <c r="J174" s="70"/>
      <c r="K174" s="71"/>
      <c r="L174" s="366"/>
      <c r="M174" s="360"/>
      <c r="N174" s="367"/>
      <c r="O174" s="71"/>
    </row>
    <row r="175" spans="1:15" s="10" customFormat="1" ht="42" customHeight="1">
      <c r="A175" s="314"/>
      <c r="B175" s="12"/>
      <c r="C175" s="12"/>
      <c r="D175" s="358"/>
      <c r="E175" s="359"/>
      <c r="F175" s="358"/>
      <c r="G175" s="359"/>
      <c r="H175" s="70"/>
      <c r="I175" s="71"/>
      <c r="J175" s="70"/>
      <c r="K175" s="71"/>
      <c r="L175" s="366"/>
      <c r="M175" s="360"/>
      <c r="N175" s="367"/>
      <c r="O175" s="71"/>
    </row>
    <row r="176" spans="1:15" s="10" customFormat="1" ht="42" customHeight="1">
      <c r="A176" s="314"/>
      <c r="B176" s="12"/>
      <c r="C176" s="12"/>
      <c r="D176" s="358"/>
      <c r="E176" s="359"/>
      <c r="F176" s="358"/>
      <c r="G176" s="359"/>
      <c r="H176" s="70"/>
      <c r="I176" s="71"/>
      <c r="J176" s="70"/>
      <c r="K176" s="71"/>
      <c r="L176" s="366"/>
      <c r="M176" s="360"/>
      <c r="N176" s="367"/>
      <c r="O176" s="71"/>
    </row>
    <row r="177" spans="1:15" s="10" customFormat="1" ht="42" customHeight="1">
      <c r="A177" s="314"/>
      <c r="B177" s="12"/>
      <c r="C177" s="12"/>
      <c r="D177" s="358"/>
      <c r="E177" s="359"/>
      <c r="F177" s="358"/>
      <c r="G177" s="359"/>
      <c r="H177" s="70"/>
      <c r="I177" s="71"/>
      <c r="J177" s="70"/>
      <c r="K177" s="71"/>
      <c r="L177" s="366"/>
      <c r="M177" s="360"/>
      <c r="N177" s="367"/>
      <c r="O177" s="71"/>
    </row>
    <row r="178" spans="1:15" s="10" customFormat="1" ht="42" customHeight="1">
      <c r="A178" s="314"/>
      <c r="B178" s="12"/>
      <c r="C178" s="12"/>
      <c r="D178" s="358"/>
      <c r="E178" s="359"/>
      <c r="F178" s="358"/>
      <c r="G178" s="359"/>
      <c r="H178" s="70"/>
      <c r="I178" s="71"/>
      <c r="J178" s="70"/>
      <c r="K178" s="71"/>
      <c r="L178" s="366"/>
      <c r="M178" s="360"/>
      <c r="N178" s="367"/>
      <c r="O178" s="71"/>
    </row>
    <row r="179" spans="1:15" s="10" customFormat="1" ht="42" customHeight="1">
      <c r="A179" s="314"/>
      <c r="B179" s="12"/>
      <c r="C179" s="12"/>
      <c r="D179" s="358"/>
      <c r="E179" s="359"/>
      <c r="F179" s="358"/>
      <c r="G179" s="359"/>
      <c r="H179" s="70"/>
      <c r="I179" s="71"/>
      <c r="J179" s="70"/>
      <c r="K179" s="71"/>
      <c r="L179" s="366"/>
      <c r="M179" s="360"/>
      <c r="N179" s="367"/>
      <c r="O179" s="71"/>
    </row>
    <row r="180" spans="1:15" s="10" customFormat="1" ht="42" customHeight="1">
      <c r="A180" s="314"/>
      <c r="B180" s="12"/>
      <c r="C180" s="12"/>
      <c r="D180" s="358"/>
      <c r="E180" s="359"/>
      <c r="F180" s="358"/>
      <c r="G180" s="359"/>
      <c r="H180" s="70"/>
      <c r="I180" s="71"/>
      <c r="J180" s="70"/>
      <c r="K180" s="71"/>
      <c r="L180" s="366"/>
      <c r="M180" s="360"/>
      <c r="N180" s="367"/>
      <c r="O180" s="71"/>
    </row>
    <row r="181" spans="1:15" s="10" customFormat="1" ht="42" customHeight="1">
      <c r="A181" s="314"/>
      <c r="B181" s="12"/>
      <c r="C181" s="12"/>
      <c r="D181" s="358"/>
      <c r="E181" s="359"/>
      <c r="F181" s="358"/>
      <c r="G181" s="359"/>
      <c r="H181" s="70"/>
      <c r="I181" s="71"/>
      <c r="J181" s="70"/>
      <c r="K181" s="71"/>
      <c r="L181" s="366"/>
      <c r="M181" s="360"/>
      <c r="N181" s="367"/>
      <c r="O181" s="71"/>
    </row>
    <row r="182" spans="1:15" s="10" customFormat="1" ht="42" customHeight="1">
      <c r="A182" s="314"/>
      <c r="B182" s="12"/>
      <c r="C182" s="12"/>
      <c r="D182" s="358"/>
      <c r="E182" s="359"/>
      <c r="F182" s="358"/>
      <c r="G182" s="359"/>
      <c r="H182" s="70"/>
      <c r="I182" s="71"/>
      <c r="J182" s="70"/>
      <c r="K182" s="71"/>
      <c r="L182" s="366"/>
      <c r="M182" s="360"/>
      <c r="N182" s="367"/>
      <c r="O182" s="71"/>
    </row>
    <row r="183" spans="1:15" s="10" customFormat="1" ht="42" customHeight="1">
      <c r="A183" s="314"/>
      <c r="B183" s="12"/>
      <c r="C183" s="12"/>
      <c r="D183" s="358"/>
      <c r="E183" s="359"/>
      <c r="F183" s="358"/>
      <c r="G183" s="359"/>
      <c r="H183" s="70"/>
      <c r="I183" s="71"/>
      <c r="J183" s="70"/>
      <c r="K183" s="71"/>
      <c r="L183" s="366"/>
      <c r="M183" s="360"/>
      <c r="N183" s="367"/>
      <c r="O183" s="71"/>
    </row>
    <row r="184" spans="1:15" s="10" customFormat="1" ht="42" customHeight="1">
      <c r="A184" s="314"/>
      <c r="B184" s="12"/>
      <c r="C184" s="12"/>
      <c r="D184" s="358"/>
      <c r="E184" s="359"/>
      <c r="F184" s="358"/>
      <c r="G184" s="359"/>
      <c r="H184" s="70"/>
      <c r="I184" s="71"/>
      <c r="J184" s="70"/>
      <c r="K184" s="71"/>
      <c r="L184" s="366"/>
      <c r="M184" s="360"/>
      <c r="N184" s="367"/>
      <c r="O184" s="71"/>
    </row>
    <row r="185" spans="1:15" s="10" customFormat="1" ht="42" customHeight="1">
      <c r="A185" s="314"/>
      <c r="B185" s="12"/>
      <c r="C185" s="12"/>
      <c r="D185" s="358"/>
      <c r="E185" s="359"/>
      <c r="F185" s="358"/>
      <c r="G185" s="359"/>
      <c r="H185" s="70"/>
      <c r="I185" s="71"/>
      <c r="J185" s="70"/>
      <c r="K185" s="71"/>
      <c r="L185" s="366"/>
      <c r="M185" s="360"/>
      <c r="N185" s="367"/>
      <c r="O185" s="71"/>
    </row>
    <row r="186" spans="1:15" s="10" customFormat="1" ht="42" customHeight="1">
      <c r="A186" s="314"/>
      <c r="B186" s="12"/>
      <c r="C186" s="12"/>
      <c r="D186" s="358"/>
      <c r="E186" s="359"/>
      <c r="F186" s="358"/>
      <c r="G186" s="359"/>
      <c r="H186" s="70"/>
      <c r="I186" s="71"/>
      <c r="J186" s="70"/>
      <c r="K186" s="71"/>
      <c r="L186" s="366"/>
      <c r="M186" s="360"/>
      <c r="N186" s="367"/>
      <c r="O186" s="71"/>
    </row>
    <row r="187" spans="1:15" s="10" customFormat="1" ht="42" customHeight="1">
      <c r="A187" s="314"/>
      <c r="B187" s="12"/>
      <c r="C187" s="12"/>
      <c r="D187" s="358"/>
      <c r="E187" s="359"/>
      <c r="F187" s="358"/>
      <c r="G187" s="359"/>
      <c r="H187" s="70"/>
      <c r="I187" s="71"/>
      <c r="J187" s="70"/>
      <c r="K187" s="71"/>
      <c r="L187" s="366"/>
      <c r="M187" s="360"/>
      <c r="N187" s="367"/>
      <c r="O187" s="71"/>
    </row>
    <row r="188" spans="1:15" s="10" customFormat="1" ht="42" customHeight="1">
      <c r="A188" s="314"/>
      <c r="B188" s="12"/>
      <c r="C188" s="12"/>
      <c r="D188" s="358"/>
      <c r="E188" s="359"/>
      <c r="F188" s="358"/>
      <c r="G188" s="359"/>
      <c r="H188" s="70"/>
      <c r="I188" s="71"/>
      <c r="J188" s="70"/>
      <c r="K188" s="71"/>
      <c r="L188" s="366"/>
      <c r="M188" s="360"/>
      <c r="N188" s="367"/>
      <c r="O188" s="71"/>
    </row>
    <row r="189" spans="1:15" s="10" customFormat="1" ht="42" customHeight="1">
      <c r="A189" s="314"/>
      <c r="B189" s="12"/>
      <c r="C189" s="12"/>
      <c r="D189" s="358"/>
      <c r="E189" s="359"/>
      <c r="F189" s="358"/>
      <c r="G189" s="359"/>
      <c r="H189" s="70"/>
      <c r="I189" s="71"/>
      <c r="J189" s="70"/>
      <c r="K189" s="71"/>
      <c r="L189" s="366"/>
      <c r="M189" s="360"/>
      <c r="N189" s="367"/>
      <c r="O189" s="71"/>
    </row>
    <row r="190" spans="1:15" ht="42" customHeight="1">
      <c r="D190" s="368"/>
      <c r="E190" s="369"/>
      <c r="F190" s="368"/>
      <c r="G190" s="369"/>
      <c r="H190" s="370"/>
      <c r="I190" s="371"/>
      <c r="J190" s="370"/>
      <c r="K190" s="371"/>
      <c r="L190" s="366"/>
      <c r="M190" s="360"/>
      <c r="N190" s="367"/>
      <c r="O190" s="71"/>
    </row>
    <row r="191" spans="1:15" ht="42" customHeight="1">
      <c r="D191" s="368"/>
      <c r="E191" s="369"/>
      <c r="F191" s="368"/>
      <c r="G191" s="369"/>
      <c r="H191" s="370"/>
      <c r="I191" s="371"/>
      <c r="J191" s="370"/>
      <c r="K191" s="371"/>
      <c r="L191" s="366"/>
      <c r="M191" s="360"/>
      <c r="N191" s="367"/>
      <c r="O191" s="71"/>
    </row>
    <row r="192" spans="1:15" ht="42" customHeight="1">
      <c r="D192" s="368"/>
      <c r="E192" s="369"/>
      <c r="F192" s="368"/>
      <c r="G192" s="369"/>
      <c r="H192" s="370"/>
      <c r="I192" s="371"/>
      <c r="J192" s="370"/>
      <c r="K192" s="371"/>
      <c r="L192" s="366"/>
      <c r="M192" s="360"/>
      <c r="N192" s="367"/>
      <c r="O192" s="71"/>
    </row>
    <row r="193" spans="1:15" ht="42" customHeight="1">
      <c r="D193" s="368"/>
      <c r="E193" s="369"/>
      <c r="F193" s="368"/>
      <c r="G193" s="369"/>
      <c r="H193" s="370"/>
      <c r="I193" s="371"/>
      <c r="J193" s="370"/>
      <c r="K193" s="371"/>
      <c r="L193" s="366"/>
      <c r="M193" s="360"/>
      <c r="N193" s="367"/>
      <c r="O193" s="71"/>
    </row>
    <row r="194" spans="1:15" ht="42" customHeight="1">
      <c r="A194" s="316"/>
      <c r="B194" s="9"/>
      <c r="C194" s="9"/>
      <c r="D194" s="368"/>
      <c r="E194" s="369"/>
      <c r="F194" s="368"/>
      <c r="G194" s="369"/>
      <c r="H194" s="370"/>
      <c r="I194" s="371"/>
      <c r="J194" s="370"/>
      <c r="K194" s="371"/>
      <c r="L194" s="366"/>
      <c r="M194" s="360"/>
      <c r="N194" s="367"/>
      <c r="O194" s="71"/>
    </row>
    <row r="195" spans="1:15" ht="42" customHeight="1">
      <c r="A195" s="316"/>
      <c r="B195" s="9"/>
      <c r="C195" s="9"/>
      <c r="D195" s="368"/>
      <c r="E195" s="369"/>
      <c r="F195" s="368"/>
      <c r="G195" s="369"/>
      <c r="H195" s="370"/>
      <c r="I195" s="371"/>
      <c r="J195" s="370"/>
      <c r="K195" s="371"/>
      <c r="L195" s="366"/>
      <c r="M195" s="360"/>
      <c r="N195" s="367"/>
      <c r="O195" s="71"/>
    </row>
    <row r="196" spans="1:15" ht="42" customHeight="1">
      <c r="A196" s="316"/>
      <c r="B196" s="9"/>
      <c r="C196" s="9"/>
      <c r="D196" s="368"/>
      <c r="E196" s="369"/>
      <c r="F196" s="368"/>
      <c r="G196" s="369"/>
      <c r="H196" s="370"/>
      <c r="I196" s="371"/>
      <c r="J196" s="370"/>
      <c r="K196" s="371"/>
      <c r="L196" s="366"/>
      <c r="M196" s="360"/>
      <c r="N196" s="367"/>
      <c r="O196" s="71"/>
    </row>
    <row r="197" spans="1:15" ht="42" customHeight="1">
      <c r="A197" s="316"/>
      <c r="B197" s="9"/>
      <c r="C197" s="9"/>
      <c r="D197" s="368"/>
      <c r="E197" s="369"/>
      <c r="F197" s="368"/>
      <c r="G197" s="369"/>
      <c r="H197" s="370"/>
      <c r="I197" s="371"/>
      <c r="J197" s="370"/>
      <c r="K197" s="371"/>
      <c r="L197" s="366"/>
      <c r="M197" s="360"/>
      <c r="N197" s="367"/>
      <c r="O197" s="71"/>
    </row>
    <row r="198" spans="1:15" ht="42" customHeight="1">
      <c r="A198" s="316"/>
      <c r="B198" s="9"/>
      <c r="C198" s="9"/>
      <c r="D198" s="368"/>
      <c r="E198" s="369"/>
      <c r="F198" s="368"/>
      <c r="G198" s="369"/>
      <c r="H198" s="370"/>
      <c r="I198" s="371"/>
      <c r="J198" s="370"/>
      <c r="K198" s="371"/>
      <c r="L198" s="366"/>
      <c r="M198" s="360"/>
      <c r="N198" s="367"/>
      <c r="O198" s="71"/>
    </row>
    <row r="199" spans="1:15" ht="42" customHeight="1">
      <c r="A199" s="316"/>
      <c r="B199" s="9"/>
      <c r="C199" s="9"/>
      <c r="D199" s="368"/>
      <c r="E199" s="369"/>
      <c r="F199" s="368"/>
      <c r="G199" s="369"/>
      <c r="H199" s="370"/>
      <c r="I199" s="371"/>
      <c r="J199" s="370"/>
      <c r="K199" s="371"/>
      <c r="L199" s="366"/>
      <c r="M199" s="360"/>
      <c r="N199" s="367"/>
      <c r="O199" s="71"/>
    </row>
    <row r="200" spans="1:15" ht="42" customHeight="1">
      <c r="A200" s="316"/>
      <c r="B200" s="9"/>
      <c r="C200" s="9"/>
      <c r="D200" s="368"/>
      <c r="E200" s="369"/>
      <c r="F200" s="368"/>
      <c r="G200" s="369"/>
      <c r="H200" s="370"/>
      <c r="I200" s="371"/>
      <c r="J200" s="370"/>
      <c r="K200" s="371"/>
      <c r="L200" s="366"/>
      <c r="M200" s="360"/>
      <c r="N200" s="367"/>
      <c r="O200" s="71"/>
    </row>
    <row r="201" spans="1:15" ht="42" customHeight="1">
      <c r="A201" s="316"/>
      <c r="B201" s="9"/>
      <c r="C201" s="9"/>
      <c r="D201" s="368"/>
      <c r="E201" s="369"/>
      <c r="F201" s="368"/>
      <c r="G201" s="369"/>
      <c r="H201" s="370"/>
      <c r="I201" s="371"/>
      <c r="J201" s="370"/>
      <c r="K201" s="371"/>
      <c r="L201" s="366"/>
      <c r="M201" s="360"/>
      <c r="N201" s="367"/>
      <c r="O201" s="71"/>
    </row>
    <row r="202" spans="1:15" ht="42" customHeight="1">
      <c r="A202" s="316"/>
      <c r="B202" s="9"/>
      <c r="C202" s="9"/>
      <c r="D202" s="368"/>
      <c r="E202" s="369"/>
      <c r="F202" s="368"/>
      <c r="G202" s="369"/>
      <c r="H202" s="370"/>
      <c r="I202" s="371"/>
      <c r="J202" s="370"/>
      <c r="K202" s="371"/>
      <c r="L202" s="366"/>
      <c r="M202" s="360"/>
      <c r="N202" s="367"/>
      <c r="O202" s="71"/>
    </row>
    <row r="203" spans="1:15" ht="42" customHeight="1">
      <c r="A203" s="316"/>
      <c r="B203" s="9"/>
      <c r="C203" s="9"/>
      <c r="D203" s="368"/>
      <c r="E203" s="369"/>
      <c r="F203" s="368"/>
      <c r="G203" s="369"/>
      <c r="H203" s="370"/>
      <c r="I203" s="371"/>
      <c r="J203" s="370"/>
      <c r="K203" s="371"/>
      <c r="L203" s="366"/>
      <c r="M203" s="360"/>
      <c r="N203" s="367"/>
      <c r="O203" s="71"/>
    </row>
    <row r="204" spans="1:15" ht="42" customHeight="1">
      <c r="A204" s="316"/>
      <c r="B204" s="9"/>
      <c r="C204" s="9"/>
      <c r="D204" s="368"/>
      <c r="E204" s="369"/>
      <c r="F204" s="368"/>
      <c r="G204" s="369"/>
      <c r="H204" s="370"/>
      <c r="I204" s="371"/>
      <c r="J204" s="370"/>
      <c r="K204" s="371"/>
      <c r="L204" s="366"/>
      <c r="M204" s="360"/>
      <c r="N204" s="367"/>
      <c r="O204" s="71"/>
    </row>
    <row r="205" spans="1:15" ht="42" customHeight="1">
      <c r="A205" s="316"/>
      <c r="B205" s="9"/>
      <c r="C205" s="9"/>
      <c r="D205" s="368"/>
      <c r="E205" s="369"/>
      <c r="F205" s="368"/>
      <c r="G205" s="369"/>
      <c r="H205" s="370"/>
      <c r="I205" s="371"/>
      <c r="J205" s="370"/>
      <c r="K205" s="371"/>
      <c r="L205" s="366"/>
      <c r="M205" s="360"/>
      <c r="N205" s="367"/>
      <c r="O205" s="71"/>
    </row>
    <row r="206" spans="1:15" ht="42" customHeight="1">
      <c r="A206" s="316"/>
      <c r="B206" s="9"/>
      <c r="C206" s="9"/>
      <c r="D206" s="368"/>
      <c r="E206" s="369"/>
      <c r="F206" s="368"/>
      <c r="G206" s="369"/>
      <c r="H206" s="370"/>
      <c r="I206" s="371"/>
      <c r="J206" s="370"/>
      <c r="K206" s="371"/>
      <c r="L206" s="366"/>
      <c r="M206" s="360"/>
      <c r="N206" s="367"/>
      <c r="O206" s="71"/>
    </row>
    <row r="207" spans="1:15" ht="42" customHeight="1">
      <c r="A207" s="316"/>
      <c r="B207" s="9"/>
      <c r="C207" s="9"/>
      <c r="D207" s="368"/>
      <c r="E207" s="369"/>
      <c r="F207" s="368"/>
      <c r="G207" s="369"/>
      <c r="H207" s="370"/>
      <c r="I207" s="371"/>
      <c r="J207" s="370"/>
      <c r="K207" s="371"/>
      <c r="L207" s="366"/>
      <c r="M207" s="360"/>
      <c r="N207" s="367"/>
      <c r="O207" s="71"/>
    </row>
    <row r="208" spans="1:15" ht="42" customHeight="1">
      <c r="A208" s="316"/>
      <c r="B208" s="9"/>
      <c r="C208" s="9"/>
      <c r="D208" s="368"/>
      <c r="E208" s="369"/>
      <c r="F208" s="368"/>
      <c r="G208" s="369"/>
      <c r="H208" s="370"/>
      <c r="I208" s="371"/>
      <c r="J208" s="370"/>
      <c r="K208" s="371"/>
      <c r="L208" s="366"/>
      <c r="M208" s="360"/>
      <c r="N208" s="367"/>
      <c r="O208" s="71"/>
    </row>
    <row r="209" spans="1:15" ht="42" customHeight="1">
      <c r="A209" s="316"/>
      <c r="B209" s="9"/>
      <c r="C209" s="9"/>
      <c r="D209" s="368"/>
      <c r="E209" s="369"/>
      <c r="F209" s="368"/>
      <c r="G209" s="369"/>
      <c r="H209" s="370"/>
      <c r="I209" s="371"/>
      <c r="J209" s="370"/>
      <c r="K209" s="371"/>
      <c r="L209" s="366"/>
      <c r="M209" s="360"/>
      <c r="N209" s="367"/>
      <c r="O209" s="71"/>
    </row>
    <row r="210" spans="1:15" ht="42" customHeight="1">
      <c r="A210" s="316"/>
      <c r="B210" s="9"/>
      <c r="C210" s="9"/>
      <c r="D210" s="368"/>
      <c r="E210" s="369"/>
      <c r="F210" s="368"/>
      <c r="G210" s="369"/>
      <c r="H210" s="370"/>
      <c r="I210" s="371"/>
      <c r="J210" s="370"/>
      <c r="K210" s="371"/>
      <c r="L210" s="366"/>
      <c r="M210" s="360"/>
      <c r="N210" s="367"/>
      <c r="O210" s="71"/>
    </row>
    <row r="211" spans="1:15" ht="42" customHeight="1">
      <c r="A211" s="316"/>
      <c r="B211" s="9"/>
      <c r="C211" s="9"/>
      <c r="D211" s="368"/>
      <c r="E211" s="369"/>
      <c r="F211" s="368"/>
      <c r="G211" s="369"/>
      <c r="H211" s="370"/>
      <c r="I211" s="371"/>
      <c r="J211" s="370"/>
      <c r="K211" s="371"/>
      <c r="L211" s="366"/>
      <c r="M211" s="360"/>
      <c r="N211" s="367"/>
      <c r="O211" s="71"/>
    </row>
    <row r="212" spans="1:15" ht="42" customHeight="1">
      <c r="A212" s="316"/>
      <c r="B212" s="9"/>
      <c r="C212" s="9"/>
      <c r="D212" s="368"/>
      <c r="E212" s="369"/>
      <c r="F212" s="368"/>
      <c r="G212" s="369"/>
      <c r="H212" s="370"/>
      <c r="I212" s="371"/>
      <c r="J212" s="370"/>
      <c r="K212" s="371"/>
      <c r="L212" s="366"/>
      <c r="M212" s="360"/>
      <c r="N212" s="367"/>
      <c r="O212" s="71"/>
    </row>
    <row r="213" spans="1:15" ht="42" customHeight="1">
      <c r="A213" s="316"/>
      <c r="B213" s="9"/>
      <c r="C213" s="9"/>
      <c r="D213" s="368"/>
      <c r="E213" s="369"/>
      <c r="F213" s="368"/>
      <c r="G213" s="369"/>
      <c r="H213" s="370"/>
      <c r="I213" s="371"/>
      <c r="J213" s="370"/>
      <c r="K213" s="371"/>
      <c r="L213" s="366"/>
      <c r="M213" s="360"/>
      <c r="N213" s="367"/>
      <c r="O213" s="71"/>
    </row>
    <row r="214" spans="1:15" ht="42" customHeight="1">
      <c r="A214" s="316"/>
      <c r="B214" s="9"/>
      <c r="C214" s="9"/>
      <c r="D214" s="368"/>
      <c r="E214" s="369"/>
      <c r="F214" s="368"/>
      <c r="G214" s="369"/>
      <c r="H214" s="370"/>
      <c r="I214" s="371"/>
      <c r="J214" s="370"/>
      <c r="K214" s="371"/>
      <c r="L214" s="366"/>
      <c r="M214" s="360"/>
      <c r="N214" s="367"/>
      <c r="O214" s="71"/>
    </row>
    <row r="215" spans="1:15" ht="42" customHeight="1">
      <c r="A215" s="316"/>
      <c r="B215" s="9"/>
      <c r="C215" s="9"/>
      <c r="D215" s="368"/>
      <c r="E215" s="369"/>
      <c r="F215" s="368"/>
      <c r="G215" s="369"/>
      <c r="H215" s="370"/>
      <c r="I215" s="371"/>
      <c r="J215" s="370"/>
      <c r="K215" s="371"/>
      <c r="L215" s="366"/>
      <c r="M215" s="360"/>
      <c r="N215" s="367"/>
      <c r="O215" s="71"/>
    </row>
    <row r="216" spans="1:15" ht="42" customHeight="1">
      <c r="A216" s="316"/>
      <c r="B216" s="9"/>
      <c r="C216" s="9"/>
      <c r="D216" s="368"/>
      <c r="E216" s="369"/>
      <c r="F216" s="368"/>
      <c r="G216" s="369"/>
      <c r="H216" s="370"/>
      <c r="I216" s="371"/>
      <c r="J216" s="370"/>
      <c r="K216" s="371"/>
      <c r="L216" s="366"/>
      <c r="M216" s="360"/>
      <c r="N216" s="367"/>
      <c r="O216" s="71"/>
    </row>
    <row r="217" spans="1:15" ht="42" customHeight="1">
      <c r="A217" s="316"/>
      <c r="B217" s="9"/>
      <c r="C217" s="9"/>
      <c r="D217" s="368"/>
      <c r="E217" s="369"/>
      <c r="F217" s="368"/>
      <c r="G217" s="369"/>
      <c r="H217" s="370"/>
      <c r="I217" s="371"/>
      <c r="J217" s="370"/>
      <c r="K217" s="371"/>
      <c r="L217" s="366"/>
      <c r="M217" s="360"/>
      <c r="N217" s="367"/>
      <c r="O217" s="71"/>
    </row>
    <row r="218" spans="1:15" ht="42" customHeight="1">
      <c r="A218" s="316"/>
      <c r="B218" s="9"/>
      <c r="C218" s="9"/>
      <c r="D218" s="368"/>
      <c r="E218" s="369"/>
      <c r="F218" s="368"/>
      <c r="G218" s="369"/>
      <c r="H218" s="370"/>
      <c r="I218" s="371"/>
      <c r="J218" s="370"/>
      <c r="K218" s="371"/>
      <c r="L218" s="366"/>
      <c r="M218" s="360"/>
      <c r="N218" s="367"/>
      <c r="O218" s="71"/>
    </row>
    <row r="219" spans="1:15" ht="42" customHeight="1">
      <c r="A219" s="316"/>
      <c r="B219" s="9"/>
      <c r="C219" s="9"/>
      <c r="D219" s="368"/>
      <c r="E219" s="369"/>
      <c r="F219" s="368"/>
      <c r="G219" s="369"/>
      <c r="H219" s="370"/>
      <c r="I219" s="371"/>
      <c r="J219" s="370"/>
      <c r="K219" s="371"/>
      <c r="L219" s="366"/>
      <c r="M219" s="360"/>
      <c r="N219" s="367"/>
      <c r="O219" s="71"/>
    </row>
    <row r="220" spans="1:15" ht="42" customHeight="1">
      <c r="A220" s="316"/>
      <c r="B220" s="9"/>
      <c r="C220" s="9"/>
      <c r="D220" s="368"/>
      <c r="E220" s="369"/>
      <c r="F220" s="368"/>
      <c r="G220" s="369"/>
      <c r="H220" s="370"/>
      <c r="I220" s="371"/>
      <c r="J220" s="370"/>
      <c r="K220" s="371"/>
      <c r="L220" s="366"/>
      <c r="M220" s="360"/>
      <c r="N220" s="367"/>
      <c r="O220" s="71"/>
    </row>
    <row r="221" spans="1:15" ht="42" customHeight="1">
      <c r="A221" s="316"/>
      <c r="B221" s="9"/>
      <c r="C221" s="9"/>
      <c r="D221" s="368"/>
      <c r="E221" s="369"/>
      <c r="F221" s="368"/>
      <c r="G221" s="369"/>
      <c r="H221" s="370"/>
      <c r="I221" s="371"/>
      <c r="J221" s="370"/>
      <c r="K221" s="371"/>
      <c r="L221" s="366"/>
      <c r="M221" s="360"/>
      <c r="N221" s="367"/>
      <c r="O221" s="71"/>
    </row>
    <row r="222" spans="1:15" ht="42" customHeight="1">
      <c r="A222" s="316"/>
      <c r="B222" s="9"/>
      <c r="C222" s="9"/>
      <c r="D222" s="368"/>
      <c r="E222" s="369"/>
      <c r="F222" s="368"/>
      <c r="G222" s="369"/>
      <c r="H222" s="370"/>
      <c r="I222" s="371"/>
      <c r="J222" s="370"/>
      <c r="K222" s="371"/>
      <c r="L222" s="366"/>
      <c r="M222" s="360"/>
      <c r="N222" s="367"/>
      <c r="O222" s="71"/>
    </row>
    <row r="223" spans="1:15" ht="42" customHeight="1">
      <c r="A223" s="316"/>
      <c r="B223" s="9"/>
      <c r="C223" s="9"/>
      <c r="D223" s="368"/>
      <c r="E223" s="369"/>
      <c r="F223" s="368"/>
      <c r="G223" s="369"/>
      <c r="H223" s="370"/>
      <c r="I223" s="371"/>
      <c r="J223" s="370"/>
      <c r="K223" s="371"/>
      <c r="L223" s="366"/>
      <c r="M223" s="360"/>
      <c r="N223" s="367"/>
      <c r="O223" s="71"/>
    </row>
    <row r="224" spans="1:15" ht="42" customHeight="1">
      <c r="A224" s="316"/>
      <c r="B224" s="9"/>
      <c r="C224" s="9"/>
      <c r="D224" s="368"/>
      <c r="E224" s="369"/>
      <c r="F224" s="368"/>
      <c r="G224" s="369"/>
      <c r="H224" s="370"/>
      <c r="I224" s="371"/>
      <c r="J224" s="370"/>
      <c r="K224" s="371"/>
      <c r="L224" s="366"/>
      <c r="M224" s="360"/>
      <c r="N224" s="367"/>
      <c r="O224" s="71"/>
    </row>
    <row r="225" spans="1:15" ht="42" customHeight="1">
      <c r="A225" s="316"/>
      <c r="B225" s="9"/>
      <c r="C225" s="9"/>
      <c r="D225" s="368"/>
      <c r="E225" s="369"/>
      <c r="F225" s="368"/>
      <c r="G225" s="369"/>
      <c r="H225" s="370"/>
      <c r="I225" s="371"/>
      <c r="J225" s="370"/>
      <c r="K225" s="371"/>
      <c r="L225" s="366"/>
      <c r="M225" s="360"/>
      <c r="N225" s="367"/>
      <c r="O225" s="71"/>
    </row>
    <row r="226" spans="1:15" ht="42" customHeight="1">
      <c r="A226" s="316"/>
      <c r="B226" s="9"/>
      <c r="C226" s="9"/>
      <c r="D226" s="368"/>
      <c r="E226" s="369"/>
      <c r="F226" s="368"/>
      <c r="G226" s="369"/>
      <c r="H226" s="370"/>
      <c r="I226" s="371"/>
      <c r="J226" s="370"/>
      <c r="K226" s="371"/>
      <c r="L226" s="366"/>
      <c r="M226" s="360"/>
      <c r="N226" s="367"/>
      <c r="O226" s="71"/>
    </row>
    <row r="227" spans="1:15" ht="42" customHeight="1">
      <c r="A227" s="316"/>
      <c r="B227" s="9"/>
      <c r="C227" s="9"/>
      <c r="D227" s="368"/>
      <c r="E227" s="369"/>
      <c r="F227" s="368"/>
      <c r="G227" s="369"/>
      <c r="H227" s="370"/>
      <c r="I227" s="371"/>
      <c r="J227" s="370"/>
      <c r="K227" s="371"/>
      <c r="L227" s="366"/>
      <c r="M227" s="360"/>
      <c r="N227" s="367"/>
      <c r="O227" s="71"/>
    </row>
    <row r="228" spans="1:15" ht="42" customHeight="1">
      <c r="A228" s="316"/>
      <c r="B228" s="9"/>
      <c r="C228" s="9"/>
      <c r="D228" s="368"/>
      <c r="E228" s="369"/>
      <c r="F228" s="368"/>
      <c r="G228" s="369"/>
      <c r="H228" s="370"/>
      <c r="I228" s="371"/>
      <c r="J228" s="370"/>
      <c r="K228" s="371"/>
      <c r="L228" s="366"/>
      <c r="M228" s="360"/>
      <c r="N228" s="367"/>
      <c r="O228" s="71"/>
    </row>
    <row r="229" spans="1:15" ht="42" customHeight="1">
      <c r="A229" s="316"/>
      <c r="B229" s="9"/>
      <c r="C229" s="9"/>
      <c r="D229" s="368"/>
      <c r="E229" s="369"/>
      <c r="F229" s="368"/>
      <c r="G229" s="369"/>
      <c r="H229" s="370"/>
      <c r="I229" s="371"/>
      <c r="J229" s="370"/>
      <c r="K229" s="371"/>
      <c r="L229" s="366"/>
      <c r="M229" s="360"/>
      <c r="N229" s="367"/>
      <c r="O229" s="71"/>
    </row>
    <row r="230" spans="1:15" ht="42" customHeight="1">
      <c r="A230" s="316"/>
      <c r="B230" s="9"/>
      <c r="C230" s="9"/>
      <c r="D230" s="368"/>
      <c r="E230" s="369"/>
      <c r="F230" s="368"/>
      <c r="G230" s="369"/>
      <c r="H230" s="370"/>
      <c r="I230" s="371"/>
      <c r="J230" s="370"/>
      <c r="K230" s="371"/>
      <c r="L230" s="366"/>
      <c r="M230" s="360"/>
      <c r="N230" s="367"/>
      <c r="O230" s="71"/>
    </row>
    <row r="231" spans="1:15" ht="42" customHeight="1">
      <c r="A231" s="316"/>
      <c r="B231" s="9"/>
      <c r="C231" s="9"/>
      <c r="D231" s="368"/>
      <c r="E231" s="369"/>
      <c r="F231" s="368"/>
      <c r="G231" s="369"/>
      <c r="H231" s="370"/>
      <c r="I231" s="371"/>
      <c r="J231" s="370"/>
      <c r="K231" s="371"/>
      <c r="L231" s="366"/>
      <c r="M231" s="360"/>
      <c r="N231" s="367"/>
      <c r="O231" s="71"/>
    </row>
    <row r="232" spans="1:15" ht="42" customHeight="1">
      <c r="A232" s="316"/>
      <c r="B232" s="9"/>
      <c r="C232" s="9"/>
      <c r="D232" s="368"/>
      <c r="E232" s="369"/>
      <c r="F232" s="368"/>
      <c r="G232" s="369"/>
      <c r="H232" s="370"/>
      <c r="I232" s="371"/>
      <c r="J232" s="370"/>
      <c r="K232" s="371"/>
      <c r="L232" s="366"/>
      <c r="M232" s="360"/>
      <c r="N232" s="367"/>
      <c r="O232" s="71"/>
    </row>
    <row r="233" spans="1:15" ht="42" customHeight="1">
      <c r="A233" s="316"/>
      <c r="B233" s="9"/>
      <c r="C233" s="9"/>
      <c r="D233" s="368"/>
      <c r="E233" s="369"/>
      <c r="F233" s="368"/>
      <c r="G233" s="369"/>
      <c r="H233" s="370"/>
      <c r="I233" s="371"/>
      <c r="J233" s="370"/>
      <c r="K233" s="371"/>
      <c r="L233" s="366"/>
      <c r="M233" s="360"/>
      <c r="N233" s="367"/>
      <c r="O233" s="71"/>
    </row>
    <row r="234" spans="1:15" ht="42" customHeight="1">
      <c r="A234" s="316"/>
      <c r="B234" s="9"/>
      <c r="C234" s="9"/>
      <c r="D234" s="368"/>
      <c r="E234" s="369"/>
      <c r="F234" s="368"/>
      <c r="G234" s="369"/>
      <c r="H234" s="370"/>
      <c r="I234" s="371"/>
      <c r="J234" s="370"/>
      <c r="K234" s="371"/>
      <c r="L234" s="366"/>
      <c r="M234" s="360"/>
      <c r="N234" s="367"/>
      <c r="O234" s="71"/>
    </row>
    <row r="235" spans="1:15" ht="42" customHeight="1">
      <c r="A235" s="316"/>
      <c r="B235" s="9"/>
      <c r="C235" s="9"/>
      <c r="D235" s="368"/>
      <c r="E235" s="369"/>
      <c r="F235" s="368"/>
      <c r="G235" s="369"/>
      <c r="H235" s="370"/>
      <c r="I235" s="371"/>
      <c r="J235" s="370"/>
      <c r="K235" s="371"/>
      <c r="L235" s="366"/>
      <c r="M235" s="360"/>
      <c r="N235" s="367"/>
      <c r="O235" s="71"/>
    </row>
    <row r="236" spans="1:15" ht="42" customHeight="1">
      <c r="A236" s="316"/>
      <c r="B236" s="9"/>
      <c r="C236" s="9"/>
      <c r="D236" s="368"/>
      <c r="E236" s="369"/>
      <c r="F236" s="368"/>
      <c r="G236" s="369"/>
      <c r="H236" s="370"/>
      <c r="I236" s="371"/>
      <c r="J236" s="370"/>
      <c r="K236" s="371"/>
      <c r="L236" s="366"/>
      <c r="M236" s="360"/>
      <c r="N236" s="367"/>
      <c r="O236" s="71"/>
    </row>
    <row r="237" spans="1:15" ht="42" customHeight="1">
      <c r="A237" s="316"/>
      <c r="B237" s="9"/>
      <c r="C237" s="9"/>
      <c r="D237" s="368"/>
      <c r="E237" s="369"/>
      <c r="F237" s="368"/>
      <c r="G237" s="369"/>
      <c r="H237" s="370"/>
      <c r="I237" s="371"/>
      <c r="J237" s="370"/>
      <c r="K237" s="371"/>
      <c r="L237" s="366"/>
      <c r="M237" s="360"/>
      <c r="N237" s="367"/>
      <c r="O237" s="71"/>
    </row>
    <row r="238" spans="1:15" ht="42" customHeight="1">
      <c r="A238" s="316"/>
      <c r="B238" s="9"/>
      <c r="C238" s="9"/>
      <c r="D238" s="368"/>
      <c r="E238" s="369"/>
      <c r="F238" s="368"/>
      <c r="G238" s="369"/>
      <c r="H238" s="370"/>
      <c r="I238" s="371"/>
      <c r="J238" s="370"/>
      <c r="K238" s="371"/>
      <c r="L238" s="366"/>
      <c r="M238" s="360"/>
      <c r="N238" s="367"/>
      <c r="O238" s="71"/>
    </row>
    <row r="239" spans="1:15" ht="42" customHeight="1">
      <c r="A239" s="316"/>
      <c r="B239" s="9"/>
      <c r="C239" s="9"/>
      <c r="D239" s="368"/>
      <c r="E239" s="369"/>
      <c r="F239" s="368"/>
      <c r="G239" s="369"/>
      <c r="H239" s="370"/>
      <c r="I239" s="371"/>
      <c r="J239" s="370"/>
      <c r="K239" s="371"/>
      <c r="L239" s="366"/>
      <c r="M239" s="360"/>
      <c r="N239" s="367"/>
      <c r="O239" s="71"/>
    </row>
    <row r="240" spans="1:15" ht="42" customHeight="1">
      <c r="A240" s="316"/>
      <c r="B240" s="9"/>
      <c r="C240" s="9"/>
      <c r="D240" s="368"/>
      <c r="E240" s="369"/>
      <c r="F240" s="368"/>
      <c r="G240" s="369"/>
      <c r="H240" s="370"/>
      <c r="I240" s="371"/>
      <c r="J240" s="370"/>
      <c r="K240" s="371"/>
      <c r="L240" s="366"/>
      <c r="M240" s="360"/>
      <c r="N240" s="367"/>
      <c r="O240" s="71"/>
    </row>
    <row r="241" spans="1:15" ht="42" customHeight="1">
      <c r="A241" s="316"/>
      <c r="B241" s="9"/>
      <c r="C241" s="9"/>
      <c r="D241" s="368"/>
      <c r="E241" s="369"/>
      <c r="F241" s="368"/>
      <c r="G241" s="369"/>
      <c r="H241" s="370"/>
      <c r="I241" s="371"/>
      <c r="J241" s="370"/>
      <c r="K241" s="371"/>
      <c r="L241" s="366"/>
      <c r="M241" s="360"/>
      <c r="N241" s="367"/>
      <c r="O241" s="71"/>
    </row>
    <row r="242" spans="1:15" ht="42" customHeight="1">
      <c r="A242" s="316"/>
      <c r="B242" s="9"/>
      <c r="C242" s="9"/>
      <c r="D242" s="368"/>
      <c r="E242" s="369"/>
      <c r="F242" s="368"/>
      <c r="G242" s="369"/>
      <c r="H242" s="370"/>
      <c r="I242" s="371"/>
      <c r="J242" s="370"/>
      <c r="K242" s="371"/>
      <c r="L242" s="366"/>
      <c r="M242" s="360"/>
      <c r="N242" s="367"/>
      <c r="O242" s="71"/>
    </row>
    <row r="243" spans="1:15" ht="42" customHeight="1">
      <c r="A243" s="316"/>
      <c r="B243" s="9"/>
      <c r="C243" s="9"/>
      <c r="D243" s="368"/>
      <c r="E243" s="369"/>
      <c r="F243" s="368"/>
      <c r="G243" s="369"/>
      <c r="H243" s="370"/>
      <c r="I243" s="371"/>
      <c r="J243" s="370"/>
      <c r="K243" s="371"/>
      <c r="L243" s="366"/>
      <c r="M243" s="360"/>
      <c r="N243" s="367"/>
      <c r="O243" s="71"/>
    </row>
    <row r="244" spans="1:15" ht="42" customHeight="1">
      <c r="A244" s="316"/>
      <c r="B244" s="9"/>
      <c r="C244" s="9"/>
      <c r="D244" s="368"/>
      <c r="E244" s="369"/>
      <c r="F244" s="368"/>
      <c r="G244" s="369"/>
      <c r="H244" s="370"/>
      <c r="I244" s="371"/>
      <c r="J244" s="370"/>
      <c r="K244" s="371"/>
      <c r="L244" s="366"/>
      <c r="M244" s="360"/>
      <c r="N244" s="367"/>
      <c r="O244" s="71"/>
    </row>
    <row r="245" spans="1:15" ht="42" customHeight="1">
      <c r="A245" s="316"/>
      <c r="B245" s="9"/>
      <c r="C245" s="9"/>
      <c r="D245" s="368"/>
      <c r="E245" s="369"/>
      <c r="F245" s="368"/>
      <c r="G245" s="369"/>
      <c r="H245" s="370"/>
      <c r="I245" s="371"/>
      <c r="J245" s="370"/>
      <c r="K245" s="371"/>
      <c r="L245" s="366"/>
      <c r="M245" s="360"/>
      <c r="N245" s="367"/>
      <c r="O245" s="71"/>
    </row>
    <row r="246" spans="1:15" ht="42" customHeight="1">
      <c r="A246" s="316"/>
      <c r="B246" s="9"/>
      <c r="C246" s="9"/>
      <c r="D246" s="368"/>
      <c r="E246" s="369"/>
      <c r="F246" s="368"/>
      <c r="G246" s="369"/>
      <c r="H246" s="370"/>
      <c r="I246" s="371"/>
      <c r="J246" s="370"/>
      <c r="K246" s="371"/>
      <c r="L246" s="366"/>
      <c r="M246" s="360"/>
      <c r="N246" s="367"/>
      <c r="O246" s="71"/>
    </row>
    <row r="247" spans="1:15" ht="42" customHeight="1">
      <c r="A247" s="316"/>
      <c r="B247" s="9"/>
      <c r="C247" s="9"/>
      <c r="D247" s="368"/>
      <c r="E247" s="369"/>
      <c r="F247" s="368"/>
      <c r="G247" s="369"/>
      <c r="H247" s="370"/>
      <c r="I247" s="371"/>
      <c r="J247" s="370"/>
      <c r="K247" s="371"/>
      <c r="L247" s="366"/>
      <c r="M247" s="360"/>
      <c r="N247" s="367"/>
      <c r="O247" s="71"/>
    </row>
    <row r="248" spans="1:15" ht="42" customHeight="1">
      <c r="A248" s="316"/>
      <c r="B248" s="9"/>
      <c r="C248" s="9"/>
      <c r="D248" s="368"/>
      <c r="E248" s="369"/>
      <c r="F248" s="368"/>
      <c r="G248" s="369"/>
      <c r="H248" s="370"/>
      <c r="I248" s="371"/>
      <c r="J248" s="370"/>
      <c r="K248" s="371"/>
      <c r="L248" s="366"/>
      <c r="M248" s="360"/>
      <c r="N248" s="367"/>
      <c r="O248" s="71"/>
    </row>
    <row r="249" spans="1:15" ht="42" customHeight="1">
      <c r="A249" s="316"/>
      <c r="B249" s="9"/>
      <c r="C249" s="9"/>
      <c r="D249" s="368"/>
      <c r="E249" s="369"/>
      <c r="F249" s="368"/>
      <c r="G249" s="369"/>
      <c r="H249" s="370"/>
      <c r="I249" s="371"/>
      <c r="J249" s="370"/>
      <c r="K249" s="371"/>
      <c r="L249" s="366"/>
      <c r="M249" s="360"/>
      <c r="N249" s="367"/>
      <c r="O249" s="71"/>
    </row>
    <row r="250" spans="1:15" ht="42" customHeight="1">
      <c r="A250" s="316"/>
      <c r="B250" s="9"/>
      <c r="C250" s="9"/>
      <c r="D250" s="368"/>
      <c r="E250" s="369"/>
      <c r="F250" s="368"/>
      <c r="G250" s="369"/>
      <c r="H250" s="370"/>
      <c r="I250" s="371"/>
      <c r="J250" s="370"/>
      <c r="K250" s="371"/>
      <c r="L250" s="366"/>
      <c r="M250" s="360"/>
      <c r="N250" s="367"/>
      <c r="O250" s="71"/>
    </row>
    <row r="251" spans="1:15" ht="42" customHeight="1">
      <c r="A251" s="316"/>
      <c r="B251" s="9"/>
      <c r="C251" s="9"/>
      <c r="D251" s="368"/>
      <c r="E251" s="369"/>
      <c r="F251" s="368"/>
      <c r="G251" s="369"/>
      <c r="H251" s="370"/>
      <c r="I251" s="371"/>
      <c r="J251" s="370"/>
      <c r="K251" s="371"/>
      <c r="L251" s="366"/>
      <c r="M251" s="360"/>
      <c r="N251" s="367"/>
      <c r="O251" s="71"/>
    </row>
    <row r="252" spans="1:15" ht="42" customHeight="1">
      <c r="A252" s="316"/>
      <c r="B252" s="9"/>
      <c r="C252" s="9"/>
      <c r="D252" s="368"/>
      <c r="E252" s="369"/>
      <c r="F252" s="368"/>
      <c r="G252" s="369"/>
      <c r="H252" s="370"/>
      <c r="I252" s="371"/>
      <c r="J252" s="370"/>
      <c r="K252" s="371"/>
      <c r="L252" s="366"/>
      <c r="M252" s="360"/>
      <c r="N252" s="367"/>
      <c r="O252" s="71"/>
    </row>
    <row r="253" spans="1:15" ht="42" customHeight="1">
      <c r="A253" s="316"/>
      <c r="B253" s="9"/>
      <c r="C253" s="9"/>
      <c r="D253" s="368"/>
      <c r="E253" s="369"/>
      <c r="F253" s="368"/>
      <c r="G253" s="369"/>
      <c r="H253" s="370"/>
      <c r="I253" s="371"/>
      <c r="J253" s="370"/>
      <c r="K253" s="371"/>
      <c r="L253" s="366"/>
      <c r="M253" s="360"/>
      <c r="N253" s="367"/>
      <c r="O253" s="71"/>
    </row>
    <row r="254" spans="1:15" ht="42" customHeight="1">
      <c r="A254" s="316"/>
      <c r="B254" s="9"/>
      <c r="C254" s="9"/>
      <c r="D254" s="368"/>
      <c r="E254" s="369"/>
      <c r="F254" s="368"/>
      <c r="G254" s="369"/>
      <c r="H254" s="370"/>
      <c r="I254" s="371"/>
      <c r="J254" s="370"/>
      <c r="K254" s="371"/>
      <c r="L254" s="366"/>
      <c r="M254" s="360"/>
      <c r="N254" s="367"/>
      <c r="O254" s="71"/>
    </row>
    <row r="255" spans="1:15" ht="42" customHeight="1">
      <c r="A255" s="316"/>
      <c r="B255" s="9"/>
      <c r="C255" s="9"/>
      <c r="D255" s="368"/>
      <c r="E255" s="369"/>
      <c r="F255" s="368"/>
      <c r="G255" s="369"/>
      <c r="H255" s="370"/>
      <c r="I255" s="371"/>
      <c r="J255" s="370"/>
      <c r="K255" s="371"/>
      <c r="L255" s="366"/>
      <c r="M255" s="360"/>
      <c r="N255" s="367"/>
      <c r="O255" s="71"/>
    </row>
    <row r="256" spans="1:15" ht="42" customHeight="1">
      <c r="A256" s="316"/>
      <c r="B256" s="9"/>
      <c r="C256" s="9"/>
      <c r="D256" s="368"/>
      <c r="E256" s="369"/>
      <c r="F256" s="368"/>
      <c r="G256" s="369"/>
      <c r="H256" s="370"/>
      <c r="I256" s="371"/>
      <c r="J256" s="370"/>
      <c r="K256" s="371"/>
      <c r="L256" s="366"/>
      <c r="M256" s="360"/>
      <c r="N256" s="367"/>
      <c r="O256" s="71"/>
    </row>
    <row r="257" spans="1:15" ht="42" customHeight="1">
      <c r="A257" s="316"/>
      <c r="B257" s="9"/>
      <c r="C257" s="9"/>
      <c r="D257" s="368"/>
      <c r="E257" s="369"/>
      <c r="F257" s="368"/>
      <c r="G257" s="369"/>
      <c r="H257" s="370"/>
      <c r="I257" s="371"/>
      <c r="J257" s="370"/>
      <c r="K257" s="371"/>
      <c r="L257" s="366"/>
      <c r="M257" s="360"/>
      <c r="N257" s="367"/>
      <c r="O257" s="71"/>
    </row>
    <row r="258" spans="1:15" ht="42" customHeight="1">
      <c r="A258" s="316"/>
      <c r="B258" s="9"/>
      <c r="C258" s="9"/>
      <c r="D258" s="368"/>
      <c r="E258" s="369"/>
      <c r="F258" s="368"/>
      <c r="G258" s="369"/>
      <c r="H258" s="370"/>
      <c r="I258" s="371"/>
      <c r="J258" s="370"/>
      <c r="K258" s="371"/>
      <c r="L258" s="366"/>
      <c r="M258" s="360"/>
      <c r="N258" s="367"/>
      <c r="O258" s="71"/>
    </row>
    <row r="259" spans="1:15" ht="42" customHeight="1">
      <c r="A259" s="316"/>
      <c r="B259" s="9"/>
      <c r="C259" s="9"/>
      <c r="D259" s="368"/>
      <c r="E259" s="369"/>
      <c r="F259" s="368"/>
      <c r="G259" s="369"/>
      <c r="H259" s="370"/>
      <c r="I259" s="371"/>
      <c r="J259" s="370"/>
      <c r="K259" s="371"/>
      <c r="L259" s="366"/>
      <c r="M259" s="360"/>
      <c r="N259" s="367"/>
      <c r="O259" s="71"/>
    </row>
    <row r="260" spans="1:15" ht="42" customHeight="1">
      <c r="A260" s="316"/>
      <c r="B260" s="9"/>
      <c r="C260" s="9"/>
      <c r="D260" s="368"/>
      <c r="E260" s="369"/>
      <c r="F260" s="368"/>
      <c r="G260" s="369"/>
      <c r="H260" s="370"/>
      <c r="I260" s="371"/>
      <c r="J260" s="370"/>
      <c r="K260" s="371"/>
      <c r="L260" s="366"/>
      <c r="M260" s="360"/>
      <c r="N260" s="367"/>
      <c r="O260" s="71"/>
    </row>
    <row r="261" spans="1:15" ht="42" customHeight="1">
      <c r="A261" s="316"/>
      <c r="B261" s="9"/>
      <c r="C261" s="9"/>
      <c r="D261" s="368"/>
      <c r="E261" s="369"/>
      <c r="F261" s="368"/>
      <c r="G261" s="369"/>
      <c r="H261" s="370"/>
      <c r="I261" s="371"/>
      <c r="J261" s="370"/>
      <c r="K261" s="371"/>
      <c r="L261" s="366"/>
      <c r="M261" s="360"/>
      <c r="N261" s="367"/>
      <c r="O261" s="71"/>
    </row>
    <row r="262" spans="1:15" ht="42" customHeight="1">
      <c r="A262" s="316"/>
      <c r="B262" s="9"/>
      <c r="C262" s="9"/>
      <c r="D262" s="368"/>
      <c r="E262" s="369"/>
      <c r="F262" s="368"/>
      <c r="G262" s="369"/>
      <c r="H262" s="370"/>
      <c r="I262" s="371"/>
      <c r="J262" s="370"/>
      <c r="K262" s="371"/>
      <c r="L262" s="366"/>
      <c r="M262" s="360"/>
      <c r="N262" s="367"/>
      <c r="O262" s="71"/>
    </row>
    <row r="263" spans="1:15" ht="42" customHeight="1">
      <c r="A263" s="316"/>
      <c r="B263" s="9"/>
      <c r="C263" s="9"/>
      <c r="D263" s="368"/>
      <c r="E263" s="369"/>
      <c r="F263" s="368"/>
      <c r="G263" s="369"/>
      <c r="H263" s="370"/>
      <c r="I263" s="371"/>
      <c r="J263" s="370"/>
      <c r="K263" s="371"/>
      <c r="L263" s="366"/>
      <c r="M263" s="360"/>
      <c r="N263" s="367"/>
      <c r="O263" s="71"/>
    </row>
    <row r="264" spans="1:15" ht="42" customHeight="1">
      <c r="A264" s="316"/>
      <c r="B264" s="9"/>
      <c r="C264" s="9"/>
      <c r="D264" s="368"/>
      <c r="E264" s="369"/>
      <c r="F264" s="368"/>
      <c r="G264" s="369"/>
      <c r="H264" s="370"/>
      <c r="I264" s="371"/>
      <c r="J264" s="370"/>
      <c r="K264" s="371"/>
      <c r="L264" s="366"/>
      <c r="M264" s="360"/>
      <c r="N264" s="367"/>
      <c r="O264" s="71"/>
    </row>
    <row r="265" spans="1:15" ht="42" customHeight="1">
      <c r="A265" s="316"/>
      <c r="B265" s="9"/>
      <c r="C265" s="9"/>
      <c r="D265" s="368"/>
      <c r="E265" s="369"/>
      <c r="F265" s="368"/>
      <c r="G265" s="369"/>
      <c r="H265" s="370"/>
      <c r="I265" s="371"/>
      <c r="J265" s="370"/>
      <c r="K265" s="371"/>
      <c r="L265" s="366"/>
      <c r="M265" s="360"/>
      <c r="N265" s="367"/>
      <c r="O265" s="71"/>
    </row>
    <row r="266" spans="1:15" ht="42" customHeight="1">
      <c r="A266" s="316"/>
      <c r="B266" s="9"/>
      <c r="C266" s="9"/>
      <c r="D266" s="368"/>
      <c r="E266" s="369"/>
      <c r="F266" s="368"/>
      <c r="G266" s="369"/>
      <c r="H266" s="370"/>
      <c r="I266" s="371"/>
      <c r="J266" s="370"/>
      <c r="K266" s="371"/>
      <c r="L266" s="366"/>
      <c r="M266" s="360"/>
      <c r="N266" s="367"/>
      <c r="O266" s="71"/>
    </row>
    <row r="267" spans="1:15" ht="42" customHeight="1">
      <c r="A267" s="316"/>
      <c r="B267" s="9"/>
      <c r="C267" s="9"/>
      <c r="D267" s="368"/>
      <c r="E267" s="369"/>
      <c r="F267" s="368"/>
      <c r="G267" s="369"/>
      <c r="H267" s="370"/>
      <c r="I267" s="371"/>
      <c r="J267" s="370"/>
      <c r="K267" s="371"/>
      <c r="L267" s="366"/>
      <c r="M267" s="360"/>
      <c r="N267" s="367"/>
      <c r="O267" s="71"/>
    </row>
    <row r="268" spans="1:15" ht="42" customHeight="1">
      <c r="A268" s="316"/>
      <c r="B268" s="9"/>
      <c r="C268" s="9"/>
      <c r="D268" s="368"/>
      <c r="E268" s="369"/>
      <c r="F268" s="368"/>
      <c r="G268" s="369"/>
      <c r="H268" s="370"/>
      <c r="I268" s="371"/>
      <c r="J268" s="370"/>
      <c r="K268" s="371"/>
      <c r="L268" s="366"/>
      <c r="M268" s="360"/>
      <c r="N268" s="367"/>
      <c r="O268" s="71"/>
    </row>
    <row r="269" spans="1:15" ht="42" customHeight="1">
      <c r="A269" s="316"/>
      <c r="B269" s="9"/>
      <c r="C269" s="9"/>
      <c r="D269" s="368"/>
      <c r="E269" s="369"/>
      <c r="F269" s="368"/>
      <c r="G269" s="369"/>
      <c r="H269" s="370"/>
      <c r="I269" s="371"/>
      <c r="J269" s="370"/>
      <c r="K269" s="371"/>
      <c r="L269" s="366"/>
      <c r="M269" s="360"/>
      <c r="N269" s="367"/>
      <c r="O269" s="71"/>
    </row>
    <row r="270" spans="1:15" ht="42" customHeight="1">
      <c r="A270" s="316"/>
      <c r="B270" s="9"/>
      <c r="C270" s="9"/>
      <c r="D270" s="368"/>
      <c r="E270" s="369"/>
      <c r="F270" s="368"/>
      <c r="G270" s="369"/>
      <c r="H270" s="370"/>
      <c r="I270" s="371"/>
      <c r="J270" s="370"/>
      <c r="K270" s="371"/>
      <c r="L270" s="366"/>
      <c r="M270" s="360"/>
      <c r="N270" s="367"/>
      <c r="O270" s="71"/>
    </row>
    <row r="271" spans="1:15" ht="42" customHeight="1">
      <c r="A271" s="316"/>
      <c r="B271" s="9"/>
      <c r="C271" s="9"/>
      <c r="D271" s="368"/>
      <c r="E271" s="369"/>
      <c r="F271" s="368"/>
      <c r="G271" s="369"/>
      <c r="H271" s="370"/>
      <c r="I271" s="371"/>
      <c r="J271" s="370"/>
      <c r="K271" s="371"/>
      <c r="L271" s="366"/>
      <c r="M271" s="360"/>
      <c r="N271" s="367"/>
      <c r="O271" s="71"/>
    </row>
    <row r="272" spans="1:15" ht="42" customHeight="1">
      <c r="A272" s="316"/>
      <c r="B272" s="9"/>
      <c r="C272" s="9"/>
      <c r="D272" s="368"/>
      <c r="E272" s="369"/>
      <c r="F272" s="368"/>
      <c r="G272" s="369"/>
      <c r="H272" s="370"/>
      <c r="I272" s="371"/>
      <c r="J272" s="370"/>
      <c r="K272" s="371"/>
      <c r="L272" s="366"/>
      <c r="M272" s="360"/>
      <c r="N272" s="367"/>
      <c r="O272" s="71"/>
    </row>
    <row r="273" spans="1:15" ht="42" customHeight="1">
      <c r="A273" s="316"/>
      <c r="B273" s="9"/>
      <c r="C273" s="9"/>
      <c r="D273" s="368"/>
      <c r="E273" s="369"/>
      <c r="F273" s="368"/>
      <c r="G273" s="369"/>
      <c r="H273" s="370"/>
      <c r="I273" s="371"/>
      <c r="J273" s="370"/>
      <c r="K273" s="371"/>
      <c r="L273" s="366"/>
      <c r="M273" s="360"/>
      <c r="N273" s="367"/>
      <c r="O273" s="71"/>
    </row>
    <row r="274" spans="1:15" ht="42" customHeight="1">
      <c r="A274" s="316"/>
      <c r="B274" s="9"/>
      <c r="C274" s="9"/>
      <c r="D274" s="368"/>
      <c r="E274" s="369"/>
      <c r="F274" s="368"/>
      <c r="G274" s="369"/>
      <c r="H274" s="370"/>
      <c r="I274" s="371"/>
      <c r="J274" s="370"/>
      <c r="K274" s="371"/>
      <c r="L274" s="366"/>
      <c r="M274" s="360"/>
      <c r="N274" s="367"/>
      <c r="O274" s="71"/>
    </row>
    <row r="275" spans="1:15" ht="42" customHeight="1">
      <c r="A275" s="316"/>
      <c r="B275" s="9"/>
      <c r="C275" s="9"/>
      <c r="D275" s="368"/>
      <c r="E275" s="369"/>
      <c r="F275" s="368"/>
      <c r="G275" s="369"/>
      <c r="H275" s="370"/>
      <c r="I275" s="371"/>
      <c r="J275" s="370"/>
      <c r="K275" s="371"/>
      <c r="L275" s="366"/>
      <c r="M275" s="360"/>
      <c r="N275" s="367"/>
      <c r="O275" s="71"/>
    </row>
    <row r="276" spans="1:15" ht="42" customHeight="1">
      <c r="A276" s="316"/>
      <c r="B276" s="9"/>
      <c r="C276" s="9"/>
      <c r="D276" s="368"/>
      <c r="E276" s="369"/>
      <c r="F276" s="368"/>
      <c r="G276" s="369"/>
      <c r="H276" s="370"/>
      <c r="I276" s="371"/>
      <c r="J276" s="370"/>
      <c r="K276" s="371"/>
      <c r="L276" s="366"/>
      <c r="M276" s="360"/>
      <c r="N276" s="367"/>
      <c r="O276" s="71"/>
    </row>
    <row r="277" spans="1:15" ht="42" customHeight="1">
      <c r="A277" s="316"/>
      <c r="B277" s="9"/>
      <c r="C277" s="9"/>
      <c r="D277" s="368"/>
      <c r="E277" s="369"/>
      <c r="F277" s="368"/>
      <c r="G277" s="369"/>
      <c r="H277" s="370"/>
      <c r="I277" s="371"/>
      <c r="J277" s="370"/>
      <c r="K277" s="371"/>
      <c r="L277" s="366"/>
      <c r="M277" s="360"/>
      <c r="N277" s="367"/>
      <c r="O277" s="71"/>
    </row>
    <row r="278" spans="1:15" ht="42" customHeight="1">
      <c r="A278" s="316"/>
      <c r="B278" s="9"/>
      <c r="C278" s="9"/>
      <c r="D278" s="368"/>
      <c r="E278" s="369"/>
      <c r="F278" s="368"/>
      <c r="G278" s="369"/>
      <c r="H278" s="370"/>
      <c r="I278" s="371"/>
      <c r="J278" s="370"/>
      <c r="K278" s="371"/>
      <c r="L278" s="366"/>
      <c r="M278" s="360"/>
      <c r="N278" s="367"/>
      <c r="O278" s="71"/>
    </row>
    <row r="279" spans="1:15" ht="42" customHeight="1">
      <c r="A279" s="316"/>
      <c r="B279" s="9"/>
      <c r="C279" s="9"/>
      <c r="D279" s="368"/>
      <c r="E279" s="369"/>
      <c r="F279" s="368"/>
      <c r="G279" s="369"/>
      <c r="H279" s="370"/>
      <c r="I279" s="371"/>
      <c r="J279" s="370"/>
      <c r="K279" s="371"/>
      <c r="L279" s="366"/>
      <c r="M279" s="360"/>
      <c r="N279" s="367"/>
      <c r="O279" s="71"/>
    </row>
    <row r="280" spans="1:15" ht="42" customHeight="1">
      <c r="A280" s="316"/>
      <c r="B280" s="9"/>
      <c r="C280" s="9"/>
      <c r="D280" s="368"/>
      <c r="E280" s="369"/>
      <c r="F280" s="368"/>
      <c r="G280" s="369"/>
      <c r="H280" s="370"/>
      <c r="I280" s="371"/>
      <c r="J280" s="370"/>
      <c r="K280" s="371"/>
      <c r="L280" s="366"/>
      <c r="M280" s="360"/>
      <c r="N280" s="367"/>
      <c r="O280" s="71"/>
    </row>
    <row r="281" spans="1:15" ht="42" customHeight="1">
      <c r="A281" s="316"/>
      <c r="B281" s="9"/>
      <c r="C281" s="9"/>
      <c r="D281" s="368"/>
      <c r="E281" s="369"/>
      <c r="F281" s="368"/>
      <c r="G281" s="369"/>
      <c r="H281" s="370"/>
      <c r="I281" s="371"/>
      <c r="J281" s="370"/>
      <c r="K281" s="371"/>
      <c r="L281" s="366"/>
      <c r="M281" s="360"/>
      <c r="N281" s="367"/>
      <c r="O281" s="71"/>
    </row>
    <row r="282" spans="1:15" ht="42" customHeight="1">
      <c r="A282" s="316"/>
      <c r="B282" s="9"/>
      <c r="C282" s="9"/>
      <c r="D282" s="368"/>
      <c r="E282" s="369"/>
      <c r="F282" s="368"/>
      <c r="G282" s="369"/>
      <c r="H282" s="370"/>
      <c r="I282" s="371"/>
      <c r="J282" s="370"/>
      <c r="K282" s="371"/>
      <c r="L282" s="366"/>
      <c r="M282" s="360"/>
      <c r="N282" s="367"/>
      <c r="O282" s="71"/>
    </row>
    <row r="283" spans="1:15" ht="42" customHeight="1">
      <c r="A283" s="316"/>
      <c r="B283" s="9"/>
      <c r="C283" s="9"/>
      <c r="D283" s="368"/>
      <c r="E283" s="369"/>
      <c r="F283" s="368"/>
      <c r="G283" s="369"/>
      <c r="H283" s="370"/>
      <c r="I283" s="371"/>
      <c r="J283" s="370"/>
      <c r="K283" s="371"/>
      <c r="L283" s="366"/>
      <c r="M283" s="360"/>
      <c r="N283" s="367"/>
      <c r="O283" s="71"/>
    </row>
    <row r="284" spans="1:15" ht="42" customHeight="1">
      <c r="A284" s="316"/>
      <c r="B284" s="9"/>
      <c r="C284" s="9"/>
      <c r="D284" s="368"/>
      <c r="E284" s="369"/>
      <c r="F284" s="368"/>
      <c r="G284" s="369"/>
      <c r="H284" s="370"/>
      <c r="I284" s="371"/>
      <c r="J284" s="370"/>
      <c r="K284" s="371"/>
      <c r="L284" s="366"/>
      <c r="M284" s="360"/>
      <c r="N284" s="367"/>
      <c r="O284" s="71"/>
    </row>
    <row r="285" spans="1:15" ht="42" customHeight="1">
      <c r="A285" s="316"/>
      <c r="B285" s="9"/>
      <c r="C285" s="9"/>
      <c r="D285" s="368"/>
      <c r="E285" s="369"/>
      <c r="F285" s="368"/>
      <c r="G285" s="369"/>
      <c r="H285" s="370"/>
      <c r="I285" s="371"/>
      <c r="J285" s="370"/>
      <c r="K285" s="371"/>
      <c r="L285" s="366"/>
      <c r="M285" s="360"/>
      <c r="N285" s="367"/>
      <c r="O285" s="71"/>
    </row>
    <row r="286" spans="1:15" ht="42" customHeight="1">
      <c r="A286" s="316"/>
      <c r="B286" s="9"/>
      <c r="C286" s="9"/>
      <c r="D286" s="368"/>
      <c r="E286" s="369"/>
      <c r="F286" s="368"/>
      <c r="G286" s="369"/>
      <c r="H286" s="370"/>
      <c r="I286" s="371"/>
      <c r="J286" s="370"/>
      <c r="K286" s="371"/>
      <c r="L286" s="366"/>
      <c r="M286" s="360"/>
      <c r="N286" s="367"/>
      <c r="O286" s="71"/>
    </row>
    <row r="287" spans="1:15" ht="42" customHeight="1">
      <c r="A287" s="316"/>
      <c r="B287" s="9"/>
      <c r="C287" s="9"/>
      <c r="D287" s="368"/>
      <c r="E287" s="369"/>
      <c r="F287" s="368"/>
      <c r="G287" s="369"/>
      <c r="H287" s="370"/>
      <c r="I287" s="371"/>
      <c r="J287" s="370"/>
      <c r="K287" s="371"/>
      <c r="L287" s="366"/>
      <c r="M287" s="360"/>
      <c r="N287" s="367"/>
      <c r="O287" s="71"/>
    </row>
    <row r="288" spans="1:15" ht="42" customHeight="1">
      <c r="A288" s="316"/>
      <c r="B288" s="9"/>
      <c r="C288" s="9"/>
      <c r="D288" s="368"/>
      <c r="E288" s="369"/>
      <c r="F288" s="368"/>
      <c r="G288" s="369"/>
      <c r="H288" s="370"/>
      <c r="I288" s="371"/>
      <c r="J288" s="370"/>
      <c r="K288" s="371"/>
      <c r="L288" s="366"/>
      <c r="M288" s="360"/>
      <c r="N288" s="367"/>
      <c r="O288" s="71"/>
    </row>
    <row r="289" spans="1:15" ht="42" customHeight="1">
      <c r="A289" s="316"/>
      <c r="B289" s="9"/>
      <c r="C289" s="9"/>
      <c r="D289" s="368"/>
      <c r="E289" s="369"/>
      <c r="F289" s="368"/>
      <c r="G289" s="369"/>
      <c r="H289" s="370"/>
      <c r="I289" s="371"/>
      <c r="J289" s="370"/>
      <c r="K289" s="371"/>
      <c r="L289" s="366"/>
      <c r="M289" s="360"/>
      <c r="N289" s="367"/>
      <c r="O289" s="71"/>
    </row>
    <row r="290" spans="1:15" ht="42" customHeight="1">
      <c r="A290" s="316"/>
      <c r="B290" s="9"/>
      <c r="C290" s="9"/>
      <c r="D290" s="368"/>
      <c r="E290" s="369"/>
      <c r="F290" s="368"/>
      <c r="G290" s="369"/>
      <c r="H290" s="370"/>
      <c r="I290" s="371"/>
      <c r="J290" s="370"/>
      <c r="K290" s="371"/>
      <c r="L290" s="366"/>
      <c r="M290" s="360"/>
      <c r="N290" s="367"/>
      <c r="O290" s="71"/>
    </row>
    <row r="291" spans="1:15" ht="42" customHeight="1">
      <c r="A291" s="316"/>
      <c r="B291" s="9"/>
      <c r="C291" s="9"/>
      <c r="D291" s="368"/>
      <c r="E291" s="369"/>
      <c r="F291" s="368"/>
      <c r="G291" s="369"/>
      <c r="H291" s="370"/>
      <c r="I291" s="371"/>
      <c r="J291" s="370"/>
      <c r="K291" s="371"/>
      <c r="L291" s="366"/>
      <c r="M291" s="360"/>
      <c r="N291" s="367"/>
      <c r="O291" s="71"/>
    </row>
    <row r="292" spans="1:15" ht="42" customHeight="1">
      <c r="A292" s="316"/>
      <c r="B292" s="9"/>
      <c r="C292" s="9"/>
      <c r="D292" s="368"/>
      <c r="E292" s="369"/>
      <c r="F292" s="368"/>
      <c r="G292" s="369"/>
      <c r="H292" s="370"/>
      <c r="I292" s="371"/>
      <c r="J292" s="370"/>
      <c r="K292" s="371"/>
      <c r="L292" s="366"/>
      <c r="M292" s="360"/>
      <c r="N292" s="367"/>
      <c r="O292" s="71"/>
    </row>
    <row r="293" spans="1:15" ht="42" customHeight="1">
      <c r="A293" s="316"/>
      <c r="B293" s="9"/>
      <c r="C293" s="9"/>
      <c r="D293" s="368"/>
      <c r="E293" s="369"/>
      <c r="F293" s="368"/>
      <c r="G293" s="369"/>
      <c r="H293" s="370"/>
      <c r="I293" s="371"/>
      <c r="J293" s="370"/>
      <c r="K293" s="371"/>
      <c r="L293" s="366"/>
      <c r="M293" s="360"/>
      <c r="N293" s="367"/>
      <c r="O293" s="71"/>
    </row>
    <row r="294" spans="1:15" ht="42" customHeight="1">
      <c r="A294" s="316"/>
      <c r="B294" s="9"/>
      <c r="C294" s="9"/>
      <c r="D294" s="368"/>
      <c r="E294" s="369"/>
      <c r="F294" s="368"/>
      <c r="G294" s="369"/>
      <c r="H294" s="370"/>
      <c r="I294" s="371"/>
      <c r="J294" s="370"/>
      <c r="K294" s="371"/>
      <c r="L294" s="366"/>
      <c r="M294" s="360"/>
      <c r="N294" s="367"/>
      <c r="O294" s="71"/>
    </row>
    <row r="295" spans="1:15" ht="42" customHeight="1">
      <c r="A295" s="316"/>
      <c r="B295" s="9"/>
      <c r="C295" s="9"/>
      <c r="D295" s="368"/>
      <c r="E295" s="369"/>
      <c r="F295" s="368"/>
      <c r="G295" s="369"/>
      <c r="H295" s="370"/>
      <c r="I295" s="371"/>
      <c r="J295" s="370"/>
      <c r="K295" s="371"/>
      <c r="L295" s="366"/>
      <c r="M295" s="360"/>
      <c r="N295" s="367"/>
      <c r="O295" s="71"/>
    </row>
    <row r="296" spans="1:15" ht="42" customHeight="1">
      <c r="A296" s="316"/>
      <c r="B296" s="9"/>
      <c r="C296" s="9"/>
      <c r="D296" s="368"/>
      <c r="E296" s="369"/>
      <c r="F296" s="368"/>
      <c r="G296" s="369"/>
      <c r="H296" s="370"/>
      <c r="I296" s="371"/>
      <c r="J296" s="370"/>
      <c r="K296" s="371"/>
      <c r="L296" s="366"/>
      <c r="M296" s="360"/>
      <c r="N296" s="367"/>
      <c r="O296" s="71"/>
    </row>
    <row r="297" spans="1:15" ht="42" customHeight="1">
      <c r="A297" s="316"/>
      <c r="B297" s="9"/>
      <c r="C297" s="9"/>
      <c r="D297" s="368"/>
      <c r="E297" s="369"/>
      <c r="F297" s="368"/>
      <c r="G297" s="369"/>
      <c r="H297" s="370"/>
      <c r="I297" s="371"/>
      <c r="J297" s="370"/>
      <c r="K297" s="371"/>
      <c r="L297" s="366"/>
      <c r="M297" s="360"/>
      <c r="N297" s="367"/>
      <c r="O297" s="71"/>
    </row>
    <row r="298" spans="1:15" ht="42" customHeight="1">
      <c r="A298" s="316"/>
      <c r="B298" s="9"/>
      <c r="C298" s="9"/>
      <c r="D298" s="368"/>
      <c r="E298" s="369"/>
      <c r="F298" s="368"/>
      <c r="G298" s="369"/>
      <c r="H298" s="370"/>
      <c r="I298" s="371"/>
      <c r="J298" s="370"/>
      <c r="K298" s="371"/>
      <c r="L298" s="366"/>
      <c r="M298" s="360"/>
      <c r="N298" s="367"/>
      <c r="O298" s="71"/>
    </row>
    <row r="299" spans="1:15" ht="42" customHeight="1">
      <c r="A299" s="316"/>
      <c r="B299" s="9"/>
      <c r="C299" s="9"/>
      <c r="D299" s="368"/>
      <c r="E299" s="369"/>
      <c r="F299" s="368"/>
      <c r="G299" s="369"/>
      <c r="H299" s="370"/>
      <c r="I299" s="371"/>
      <c r="J299" s="370"/>
      <c r="K299" s="371"/>
      <c r="L299" s="366"/>
      <c r="M299" s="360"/>
      <c r="N299" s="367"/>
      <c r="O299" s="71"/>
    </row>
    <row r="300" spans="1:15" ht="42" customHeight="1">
      <c r="A300" s="316"/>
      <c r="B300" s="9"/>
      <c r="C300" s="9"/>
      <c r="D300" s="368"/>
      <c r="E300" s="369"/>
      <c r="F300" s="368"/>
      <c r="G300" s="369"/>
      <c r="H300" s="370"/>
      <c r="I300" s="371"/>
      <c r="J300" s="370"/>
      <c r="K300" s="371"/>
      <c r="L300" s="366"/>
      <c r="M300" s="360"/>
      <c r="N300" s="367"/>
      <c r="O300" s="71"/>
    </row>
    <row r="301" spans="1:15" ht="42" customHeight="1">
      <c r="A301" s="316"/>
      <c r="B301" s="9"/>
      <c r="C301" s="9"/>
      <c r="D301" s="368"/>
      <c r="E301" s="369"/>
      <c r="F301" s="368"/>
      <c r="G301" s="369"/>
      <c r="H301" s="370"/>
      <c r="I301" s="371"/>
      <c r="J301" s="370"/>
      <c r="K301" s="371"/>
      <c r="L301" s="366"/>
      <c r="M301" s="360"/>
      <c r="N301" s="367"/>
      <c r="O301" s="71"/>
    </row>
    <row r="302" spans="1:15" ht="42" customHeight="1">
      <c r="A302" s="316"/>
      <c r="B302" s="9"/>
      <c r="C302" s="9"/>
      <c r="D302" s="368"/>
      <c r="E302" s="369"/>
      <c r="F302" s="368"/>
      <c r="G302" s="369"/>
      <c r="H302" s="370"/>
      <c r="I302" s="371"/>
      <c r="J302" s="370"/>
      <c r="K302" s="371"/>
      <c r="L302" s="366"/>
      <c r="M302" s="360"/>
      <c r="N302" s="367"/>
      <c r="O302" s="71"/>
    </row>
    <row r="303" spans="1:15" ht="42" customHeight="1">
      <c r="A303" s="316"/>
      <c r="B303" s="9"/>
      <c r="C303" s="9"/>
      <c r="D303" s="368"/>
      <c r="E303" s="369"/>
      <c r="F303" s="368"/>
      <c r="G303" s="369"/>
      <c r="H303" s="370"/>
      <c r="I303" s="371"/>
      <c r="J303" s="370"/>
      <c r="K303" s="371"/>
      <c r="L303" s="366"/>
      <c r="M303" s="360"/>
      <c r="N303" s="367"/>
      <c r="O303" s="71"/>
    </row>
    <row r="304" spans="1:15" ht="42" customHeight="1">
      <c r="A304" s="316"/>
      <c r="B304" s="9"/>
      <c r="C304" s="9"/>
      <c r="D304" s="368"/>
      <c r="E304" s="369"/>
      <c r="F304" s="368"/>
      <c r="G304" s="369"/>
      <c r="H304" s="370"/>
      <c r="I304" s="371"/>
      <c r="J304" s="370"/>
      <c r="K304" s="371"/>
      <c r="L304" s="366"/>
      <c r="M304" s="360"/>
      <c r="N304" s="367"/>
      <c r="O304" s="71"/>
    </row>
    <row r="305" spans="1:15" ht="42" customHeight="1">
      <c r="A305" s="316"/>
      <c r="B305" s="9"/>
      <c r="C305" s="9"/>
      <c r="D305" s="368"/>
      <c r="E305" s="369"/>
      <c r="F305" s="368"/>
      <c r="G305" s="369"/>
      <c r="H305" s="370"/>
      <c r="I305" s="371"/>
      <c r="J305" s="370"/>
      <c r="K305" s="371"/>
      <c r="L305" s="366"/>
      <c r="M305" s="360"/>
      <c r="N305" s="367"/>
      <c r="O305" s="71"/>
    </row>
    <row r="306" spans="1:15" ht="42" customHeight="1">
      <c r="A306" s="316"/>
      <c r="B306" s="9"/>
      <c r="C306" s="9"/>
      <c r="D306" s="368"/>
      <c r="E306" s="369"/>
      <c r="F306" s="368"/>
      <c r="G306" s="369"/>
      <c r="H306" s="370"/>
      <c r="I306" s="371"/>
      <c r="J306" s="370"/>
      <c r="K306" s="371"/>
      <c r="L306" s="366"/>
      <c r="M306" s="360"/>
      <c r="N306" s="367"/>
      <c r="O306" s="71"/>
    </row>
    <row r="307" spans="1:15" ht="42" customHeight="1">
      <c r="A307" s="316"/>
      <c r="B307" s="9"/>
      <c r="C307" s="9"/>
      <c r="D307" s="368"/>
      <c r="E307" s="369"/>
      <c r="F307" s="368"/>
      <c r="G307" s="369"/>
      <c r="H307" s="370"/>
      <c r="I307" s="371"/>
      <c r="J307" s="370"/>
      <c r="K307" s="371"/>
      <c r="L307" s="366"/>
      <c r="M307" s="360"/>
      <c r="N307" s="367"/>
      <c r="O307" s="71"/>
    </row>
    <row r="308" spans="1:15" ht="42" customHeight="1">
      <c r="A308" s="316"/>
      <c r="B308" s="9"/>
      <c r="C308" s="9"/>
      <c r="D308" s="368"/>
      <c r="E308" s="369"/>
      <c r="F308" s="368"/>
      <c r="G308" s="369"/>
      <c r="H308" s="370"/>
      <c r="I308" s="371"/>
      <c r="J308" s="370"/>
      <c r="K308" s="371"/>
      <c r="L308" s="366"/>
      <c r="M308" s="360"/>
      <c r="N308" s="367"/>
      <c r="O308" s="71"/>
    </row>
    <row r="309" spans="1:15" ht="42" customHeight="1">
      <c r="A309" s="316"/>
      <c r="B309" s="9"/>
      <c r="C309" s="9"/>
      <c r="D309" s="368"/>
      <c r="E309" s="369"/>
      <c r="F309" s="368"/>
      <c r="G309" s="369"/>
      <c r="H309" s="370"/>
      <c r="I309" s="371"/>
      <c r="J309" s="370"/>
      <c r="K309" s="371"/>
      <c r="L309" s="366"/>
      <c r="M309" s="360"/>
      <c r="N309" s="367"/>
      <c r="O309" s="71"/>
    </row>
    <row r="310" spans="1:15" ht="42" customHeight="1">
      <c r="A310" s="316"/>
      <c r="B310" s="9"/>
      <c r="C310" s="9"/>
      <c r="D310" s="368"/>
      <c r="E310" s="369"/>
      <c r="F310" s="368"/>
      <c r="G310" s="369"/>
      <c r="H310" s="370"/>
      <c r="I310" s="371"/>
      <c r="J310" s="370"/>
      <c r="K310" s="371"/>
      <c r="L310" s="366"/>
      <c r="M310" s="360"/>
      <c r="N310" s="367"/>
      <c r="O310" s="71"/>
    </row>
    <row r="311" spans="1:15" ht="42" customHeight="1">
      <c r="A311" s="316"/>
      <c r="B311" s="9"/>
      <c r="C311" s="9"/>
      <c r="D311" s="368"/>
      <c r="E311" s="369"/>
      <c r="F311" s="368"/>
      <c r="G311" s="369"/>
      <c r="H311" s="370"/>
      <c r="I311" s="371"/>
      <c r="J311" s="370"/>
      <c r="K311" s="371"/>
      <c r="L311" s="366"/>
      <c r="M311" s="360"/>
      <c r="N311" s="367"/>
      <c r="O311" s="71"/>
    </row>
    <row r="312" spans="1:15" ht="42" customHeight="1">
      <c r="A312" s="316"/>
      <c r="B312" s="9"/>
      <c r="C312" s="9"/>
      <c r="D312" s="368"/>
      <c r="E312" s="369"/>
      <c r="F312" s="368"/>
      <c r="G312" s="369"/>
      <c r="H312" s="370"/>
      <c r="I312" s="371"/>
      <c r="J312" s="370"/>
      <c r="K312" s="371"/>
      <c r="L312" s="366"/>
      <c r="M312" s="360"/>
      <c r="N312" s="367"/>
      <c r="O312" s="71"/>
    </row>
    <row r="313" spans="1:15" ht="42" customHeight="1">
      <c r="A313" s="316"/>
      <c r="B313" s="9"/>
      <c r="C313" s="9"/>
      <c r="D313" s="368"/>
      <c r="E313" s="369"/>
      <c r="F313" s="368"/>
      <c r="G313" s="369"/>
      <c r="H313" s="370"/>
      <c r="I313" s="371"/>
      <c r="J313" s="370"/>
      <c r="K313" s="371"/>
      <c r="L313" s="366"/>
      <c r="M313" s="360"/>
      <c r="N313" s="367"/>
      <c r="O313" s="71"/>
    </row>
    <row r="314" spans="1:15" ht="42" customHeight="1">
      <c r="A314" s="316"/>
      <c r="B314" s="9"/>
      <c r="C314" s="9"/>
      <c r="D314" s="368"/>
      <c r="E314" s="369"/>
      <c r="F314" s="368"/>
      <c r="G314" s="369"/>
      <c r="H314" s="370"/>
      <c r="I314" s="371"/>
      <c r="J314" s="370"/>
      <c r="K314" s="371"/>
      <c r="L314" s="366"/>
      <c r="M314" s="360"/>
      <c r="N314" s="367"/>
      <c r="O314" s="71"/>
    </row>
    <row r="315" spans="1:15" ht="42" customHeight="1">
      <c r="A315" s="316"/>
      <c r="B315" s="9"/>
      <c r="C315" s="9"/>
      <c r="D315" s="368"/>
      <c r="E315" s="369"/>
      <c r="F315" s="368"/>
      <c r="G315" s="369"/>
      <c r="H315" s="370"/>
      <c r="I315" s="371"/>
      <c r="J315" s="370"/>
      <c r="K315" s="371"/>
      <c r="L315" s="366"/>
      <c r="M315" s="360"/>
      <c r="N315" s="367"/>
      <c r="O315" s="71"/>
    </row>
    <row r="316" spans="1:15" ht="42" customHeight="1">
      <c r="A316" s="316"/>
      <c r="B316" s="9"/>
      <c r="C316" s="9"/>
      <c r="D316" s="368"/>
      <c r="E316" s="369"/>
      <c r="F316" s="368"/>
      <c r="G316" s="369"/>
      <c r="H316" s="370"/>
      <c r="I316" s="371"/>
      <c r="J316" s="370"/>
      <c r="K316" s="371"/>
      <c r="L316" s="366"/>
      <c r="M316" s="360"/>
      <c r="N316" s="367"/>
      <c r="O316" s="71"/>
    </row>
    <row r="317" spans="1:15" ht="42" customHeight="1">
      <c r="A317" s="316"/>
      <c r="B317" s="9"/>
      <c r="C317" s="9"/>
      <c r="D317" s="368"/>
      <c r="E317" s="369"/>
      <c r="F317" s="368"/>
      <c r="G317" s="369"/>
      <c r="H317" s="370"/>
      <c r="I317" s="371"/>
      <c r="J317" s="370"/>
      <c r="K317" s="371"/>
      <c r="L317" s="366"/>
      <c r="M317" s="360"/>
      <c r="N317" s="367"/>
      <c r="O317" s="71"/>
    </row>
    <row r="318" spans="1:15" ht="42" customHeight="1">
      <c r="A318" s="316"/>
      <c r="B318" s="9"/>
      <c r="C318" s="9"/>
      <c r="D318" s="368"/>
      <c r="E318" s="369"/>
      <c r="F318" s="368"/>
      <c r="G318" s="369"/>
      <c r="H318" s="370"/>
      <c r="I318" s="371"/>
      <c r="J318" s="370"/>
      <c r="K318" s="371"/>
      <c r="L318" s="366"/>
      <c r="M318" s="360"/>
      <c r="N318" s="367"/>
      <c r="O318" s="71"/>
    </row>
    <row r="319" spans="1:15" ht="42" customHeight="1">
      <c r="A319" s="316"/>
      <c r="B319" s="9"/>
      <c r="C319" s="9"/>
      <c r="D319" s="368"/>
      <c r="E319" s="369"/>
      <c r="F319" s="368"/>
      <c r="G319" s="369"/>
      <c r="H319" s="370"/>
      <c r="I319" s="371"/>
      <c r="J319" s="370"/>
      <c r="K319" s="371"/>
      <c r="L319" s="366"/>
      <c r="M319" s="360"/>
      <c r="N319" s="367"/>
      <c r="O319" s="71"/>
    </row>
    <row r="320" spans="1:15" ht="42" customHeight="1">
      <c r="A320" s="316"/>
      <c r="B320" s="9"/>
      <c r="C320" s="9"/>
      <c r="D320" s="368"/>
      <c r="E320" s="369"/>
      <c r="F320" s="368"/>
      <c r="G320" s="369"/>
      <c r="H320" s="370"/>
      <c r="I320" s="371"/>
      <c r="J320" s="370"/>
      <c r="K320" s="371"/>
      <c r="L320" s="366"/>
      <c r="M320" s="360"/>
      <c r="N320" s="367"/>
      <c r="O320" s="71"/>
    </row>
    <row r="321" spans="1:15" ht="42" customHeight="1">
      <c r="A321" s="316"/>
      <c r="B321" s="9"/>
      <c r="C321" s="9"/>
      <c r="D321" s="368"/>
      <c r="E321" s="369"/>
      <c r="F321" s="368"/>
      <c r="G321" s="369"/>
      <c r="H321" s="370"/>
      <c r="I321" s="371"/>
      <c r="J321" s="370"/>
      <c r="K321" s="371"/>
      <c r="L321" s="366"/>
      <c r="M321" s="360"/>
      <c r="N321" s="367"/>
      <c r="O321" s="71"/>
    </row>
    <row r="322" spans="1:15" ht="42" customHeight="1">
      <c r="A322" s="316"/>
      <c r="B322" s="9"/>
      <c r="C322" s="9"/>
      <c r="D322" s="368"/>
      <c r="E322" s="369"/>
      <c r="F322" s="368"/>
      <c r="G322" s="369"/>
      <c r="H322" s="370"/>
      <c r="I322" s="371"/>
      <c r="J322" s="370"/>
      <c r="K322" s="371"/>
      <c r="L322" s="366"/>
      <c r="M322" s="360"/>
      <c r="N322" s="367"/>
      <c r="O322" s="71"/>
    </row>
    <row r="323" spans="1:15" ht="42" customHeight="1">
      <c r="A323" s="316"/>
      <c r="B323" s="9"/>
      <c r="C323" s="9"/>
      <c r="D323" s="368"/>
      <c r="E323" s="369"/>
      <c r="F323" s="368"/>
      <c r="G323" s="369"/>
      <c r="H323" s="370"/>
      <c r="I323" s="371"/>
      <c r="J323" s="370"/>
      <c r="K323" s="371"/>
      <c r="L323" s="366"/>
      <c r="M323" s="360"/>
      <c r="N323" s="367"/>
      <c r="O323" s="71"/>
    </row>
    <row r="324" spans="1:15" ht="42" customHeight="1">
      <c r="A324" s="316"/>
      <c r="B324" s="9"/>
      <c r="C324" s="9"/>
      <c r="D324" s="368"/>
      <c r="E324" s="369"/>
      <c r="F324" s="368"/>
      <c r="G324" s="369"/>
      <c r="H324" s="370"/>
      <c r="I324" s="371"/>
      <c r="J324" s="370"/>
      <c r="K324" s="371"/>
      <c r="L324" s="366"/>
      <c r="M324" s="360"/>
      <c r="N324" s="367"/>
      <c r="O324" s="71"/>
    </row>
    <row r="325" spans="1:15" ht="42" customHeight="1">
      <c r="A325" s="316"/>
      <c r="B325" s="9"/>
      <c r="C325" s="9"/>
      <c r="D325" s="368"/>
      <c r="E325" s="369"/>
      <c r="F325" s="368"/>
      <c r="G325" s="369"/>
      <c r="H325" s="370"/>
      <c r="I325" s="371"/>
      <c r="J325" s="370"/>
      <c r="K325" s="371"/>
      <c r="L325" s="366"/>
      <c r="M325" s="360"/>
      <c r="N325" s="367"/>
      <c r="O325" s="71"/>
    </row>
    <row r="326" spans="1:15" ht="42" customHeight="1">
      <c r="A326" s="316"/>
      <c r="B326" s="9"/>
      <c r="C326" s="9"/>
      <c r="D326" s="368"/>
      <c r="E326" s="369"/>
      <c r="F326" s="368"/>
      <c r="G326" s="369"/>
      <c r="H326" s="370"/>
      <c r="I326" s="371"/>
      <c r="J326" s="370"/>
      <c r="K326" s="371"/>
      <c r="L326" s="366"/>
      <c r="M326" s="360"/>
      <c r="N326" s="367"/>
      <c r="O326" s="71"/>
    </row>
    <row r="327" spans="1:15" ht="42" customHeight="1">
      <c r="A327" s="316"/>
      <c r="B327" s="9"/>
      <c r="C327" s="9"/>
      <c r="D327" s="368"/>
      <c r="E327" s="369"/>
      <c r="F327" s="368"/>
      <c r="G327" s="369"/>
      <c r="H327" s="370"/>
      <c r="I327" s="371"/>
      <c r="J327" s="370"/>
      <c r="K327" s="371"/>
      <c r="L327" s="366"/>
      <c r="M327" s="360"/>
      <c r="N327" s="367"/>
      <c r="O327" s="71"/>
    </row>
    <row r="328" spans="1:15" ht="42" customHeight="1">
      <c r="A328" s="316"/>
      <c r="B328" s="9"/>
      <c r="C328" s="9"/>
      <c r="D328" s="368"/>
      <c r="E328" s="369"/>
      <c r="F328" s="368"/>
      <c r="G328" s="369"/>
      <c r="H328" s="370"/>
      <c r="I328" s="371"/>
      <c r="J328" s="370"/>
      <c r="K328" s="371"/>
      <c r="L328" s="366"/>
      <c r="M328" s="360"/>
      <c r="N328" s="367"/>
      <c r="O328" s="71"/>
    </row>
    <row r="329" spans="1:15" ht="42" customHeight="1">
      <c r="A329" s="316"/>
      <c r="B329" s="9"/>
      <c r="C329" s="9"/>
      <c r="D329" s="368"/>
      <c r="E329" s="369"/>
      <c r="F329" s="368"/>
      <c r="G329" s="369"/>
      <c r="H329" s="370"/>
      <c r="I329" s="371"/>
      <c r="J329" s="370"/>
      <c r="K329" s="371"/>
      <c r="L329" s="366"/>
      <c r="M329" s="360"/>
      <c r="N329" s="367"/>
      <c r="O329" s="71"/>
    </row>
    <row r="330" spans="1:15" ht="42" customHeight="1">
      <c r="A330" s="316"/>
      <c r="B330" s="9"/>
      <c r="C330" s="9"/>
      <c r="D330" s="368"/>
      <c r="E330" s="369"/>
      <c r="F330" s="368"/>
      <c r="G330" s="369"/>
      <c r="H330" s="370"/>
      <c r="I330" s="371"/>
      <c r="J330" s="370"/>
      <c r="K330" s="371"/>
      <c r="L330" s="366"/>
      <c r="M330" s="360"/>
      <c r="N330" s="367"/>
      <c r="O330" s="71"/>
    </row>
    <row r="331" spans="1:15" ht="42" customHeight="1">
      <c r="A331" s="316"/>
      <c r="B331" s="9"/>
      <c r="C331" s="9"/>
      <c r="D331" s="368"/>
      <c r="E331" s="369"/>
      <c r="F331" s="368"/>
      <c r="G331" s="369"/>
      <c r="H331" s="370"/>
      <c r="I331" s="371"/>
      <c r="J331" s="370"/>
      <c r="K331" s="371"/>
      <c r="L331" s="366"/>
      <c r="M331" s="360"/>
      <c r="N331" s="367"/>
      <c r="O331" s="71"/>
    </row>
    <row r="332" spans="1:15" ht="42" customHeight="1">
      <c r="A332" s="316"/>
      <c r="B332" s="9"/>
      <c r="C332" s="9"/>
      <c r="D332" s="368"/>
      <c r="E332" s="369"/>
      <c r="F332" s="368"/>
      <c r="G332" s="369"/>
      <c r="H332" s="370"/>
      <c r="I332" s="371"/>
      <c r="J332" s="370"/>
      <c r="K332" s="371"/>
      <c r="L332" s="366"/>
      <c r="M332" s="360"/>
      <c r="N332" s="367"/>
      <c r="O332" s="71"/>
    </row>
    <row r="333" spans="1:15" ht="42" customHeight="1">
      <c r="A333" s="316"/>
      <c r="B333" s="9"/>
      <c r="C333" s="9"/>
      <c r="D333" s="368"/>
      <c r="E333" s="369"/>
      <c r="F333" s="368"/>
      <c r="G333" s="369"/>
      <c r="H333" s="370"/>
      <c r="I333" s="371"/>
      <c r="J333" s="370"/>
      <c r="K333" s="371"/>
      <c r="L333" s="366"/>
      <c r="M333" s="360"/>
      <c r="N333" s="367"/>
      <c r="O333" s="71"/>
    </row>
    <row r="334" spans="1:15" ht="42" customHeight="1">
      <c r="A334" s="316"/>
      <c r="B334" s="9"/>
      <c r="C334" s="9"/>
      <c r="D334" s="368"/>
      <c r="E334" s="369"/>
      <c r="F334" s="368"/>
      <c r="G334" s="369"/>
      <c r="H334" s="370"/>
      <c r="I334" s="371"/>
      <c r="J334" s="370"/>
      <c r="K334" s="371"/>
      <c r="L334" s="366"/>
      <c r="M334" s="360"/>
      <c r="N334" s="367"/>
      <c r="O334" s="71"/>
    </row>
    <row r="335" spans="1:15" ht="42" customHeight="1">
      <c r="A335" s="316"/>
      <c r="B335" s="9"/>
      <c r="C335" s="9"/>
      <c r="D335" s="368"/>
      <c r="E335" s="369"/>
      <c r="F335" s="368"/>
      <c r="G335" s="369"/>
      <c r="H335" s="370"/>
      <c r="I335" s="371"/>
      <c r="J335" s="370"/>
      <c r="K335" s="371"/>
      <c r="L335" s="366"/>
      <c r="M335" s="360"/>
      <c r="N335" s="367"/>
      <c r="O335" s="71"/>
    </row>
    <row r="336" spans="1:15" ht="42" customHeight="1">
      <c r="A336" s="316"/>
      <c r="B336" s="9"/>
      <c r="C336" s="9"/>
      <c r="D336" s="368"/>
      <c r="E336" s="369"/>
      <c r="F336" s="368"/>
      <c r="G336" s="369"/>
      <c r="H336" s="370"/>
      <c r="I336" s="371"/>
      <c r="J336" s="370"/>
      <c r="K336" s="371"/>
      <c r="L336" s="366"/>
      <c r="M336" s="360"/>
      <c r="N336" s="367"/>
      <c r="O336" s="71"/>
    </row>
    <row r="337" spans="1:15" ht="42" customHeight="1">
      <c r="A337" s="316"/>
      <c r="B337" s="9"/>
      <c r="C337" s="9"/>
      <c r="D337" s="368"/>
      <c r="E337" s="369"/>
      <c r="F337" s="368"/>
      <c r="G337" s="369"/>
      <c r="H337" s="370"/>
      <c r="I337" s="371"/>
      <c r="J337" s="370"/>
      <c r="K337" s="371"/>
      <c r="L337" s="366"/>
      <c r="M337" s="360"/>
      <c r="N337" s="367"/>
      <c r="O337" s="71"/>
    </row>
    <row r="338" spans="1:15" ht="42" customHeight="1">
      <c r="A338" s="316"/>
      <c r="B338" s="9"/>
      <c r="C338" s="9"/>
      <c r="D338" s="368"/>
      <c r="E338" s="369"/>
      <c r="F338" s="368"/>
      <c r="G338" s="369"/>
      <c r="H338" s="370"/>
      <c r="I338" s="371"/>
      <c r="J338" s="370"/>
      <c r="K338" s="371"/>
      <c r="L338" s="366"/>
      <c r="M338" s="360"/>
      <c r="N338" s="367"/>
      <c r="O338" s="71"/>
    </row>
    <row r="339" spans="1:15" ht="42" customHeight="1">
      <c r="A339" s="316"/>
      <c r="B339" s="9"/>
      <c r="C339" s="9"/>
      <c r="D339" s="368"/>
      <c r="E339" s="369"/>
      <c r="F339" s="368"/>
      <c r="G339" s="369"/>
      <c r="H339" s="370"/>
      <c r="I339" s="371"/>
      <c r="J339" s="370"/>
      <c r="K339" s="371"/>
      <c r="L339" s="366"/>
      <c r="M339" s="360"/>
      <c r="N339" s="367"/>
      <c r="O339" s="71"/>
    </row>
    <row r="340" spans="1:15" ht="42" customHeight="1">
      <c r="A340" s="316"/>
      <c r="B340" s="9"/>
      <c r="C340" s="9"/>
      <c r="D340" s="368"/>
      <c r="E340" s="369"/>
      <c r="F340" s="368"/>
      <c r="G340" s="369"/>
      <c r="H340" s="370"/>
      <c r="I340" s="371"/>
      <c r="J340" s="370"/>
      <c r="K340" s="371"/>
      <c r="L340" s="366"/>
      <c r="M340" s="360"/>
      <c r="N340" s="367"/>
      <c r="O340" s="71"/>
    </row>
    <row r="341" spans="1:15" ht="42" customHeight="1">
      <c r="A341" s="316"/>
      <c r="B341" s="9"/>
      <c r="C341" s="9"/>
      <c r="D341" s="368"/>
      <c r="E341" s="369"/>
      <c r="F341" s="368"/>
      <c r="G341" s="369"/>
      <c r="H341" s="370"/>
      <c r="I341" s="371"/>
      <c r="J341" s="370"/>
      <c r="K341" s="371"/>
      <c r="L341" s="366"/>
      <c r="M341" s="360"/>
      <c r="N341" s="367"/>
      <c r="O341" s="71"/>
    </row>
    <row r="342" spans="1:15" ht="42" customHeight="1">
      <c r="A342" s="316"/>
      <c r="B342" s="9"/>
      <c r="C342" s="9"/>
      <c r="D342" s="368"/>
      <c r="E342" s="369"/>
      <c r="F342" s="368"/>
      <c r="G342" s="369"/>
      <c r="H342" s="370"/>
      <c r="I342" s="371"/>
      <c r="J342" s="370"/>
      <c r="K342" s="371"/>
      <c r="L342" s="366"/>
      <c r="M342" s="360"/>
      <c r="N342" s="367"/>
      <c r="O342" s="71"/>
    </row>
    <row r="343" spans="1:15" ht="42" customHeight="1">
      <c r="A343" s="316"/>
      <c r="B343" s="9"/>
      <c r="C343" s="9"/>
      <c r="D343" s="368"/>
      <c r="E343" s="369"/>
      <c r="F343" s="368"/>
      <c r="G343" s="369"/>
      <c r="H343" s="370"/>
      <c r="I343" s="371"/>
      <c r="J343" s="370"/>
      <c r="K343" s="371"/>
      <c r="L343" s="366"/>
      <c r="M343" s="360"/>
      <c r="N343" s="367"/>
      <c r="O343" s="71"/>
    </row>
    <row r="344" spans="1:15" ht="42" customHeight="1">
      <c r="A344" s="316"/>
      <c r="B344" s="9"/>
      <c r="C344" s="9"/>
      <c r="D344" s="368"/>
      <c r="E344" s="369"/>
      <c r="F344" s="368"/>
      <c r="G344" s="369"/>
      <c r="H344" s="370"/>
      <c r="I344" s="371"/>
      <c r="J344" s="370"/>
      <c r="K344" s="371"/>
      <c r="L344" s="366"/>
      <c r="M344" s="360"/>
      <c r="N344" s="367"/>
      <c r="O344" s="71"/>
    </row>
    <row r="345" spans="1:15" ht="42" customHeight="1">
      <c r="A345" s="316"/>
      <c r="B345" s="9"/>
      <c r="C345" s="9"/>
      <c r="D345" s="368"/>
      <c r="E345" s="369"/>
      <c r="F345" s="368"/>
      <c r="G345" s="369"/>
      <c r="H345" s="370"/>
      <c r="I345" s="371"/>
      <c r="J345" s="370"/>
      <c r="K345" s="371"/>
      <c r="L345" s="366"/>
      <c r="M345" s="360"/>
      <c r="N345" s="367"/>
      <c r="O345" s="71"/>
    </row>
    <row r="346" spans="1:15" ht="42" customHeight="1">
      <c r="A346" s="316"/>
      <c r="B346" s="9"/>
      <c r="C346" s="9"/>
      <c r="D346" s="368"/>
      <c r="E346" s="369"/>
      <c r="F346" s="368"/>
      <c r="G346" s="369"/>
      <c r="H346" s="370"/>
      <c r="I346" s="371"/>
      <c r="J346" s="370"/>
      <c r="K346" s="371"/>
      <c r="L346" s="366"/>
      <c r="M346" s="360"/>
      <c r="N346" s="367"/>
      <c r="O346" s="71"/>
    </row>
    <row r="347" spans="1:15" ht="42" customHeight="1">
      <c r="A347" s="316"/>
      <c r="B347" s="9"/>
      <c r="C347" s="9"/>
      <c r="D347" s="368"/>
      <c r="E347" s="369"/>
      <c r="F347" s="368"/>
      <c r="G347" s="369"/>
      <c r="H347" s="370"/>
      <c r="I347" s="371"/>
      <c r="J347" s="370"/>
      <c r="K347" s="371"/>
      <c r="L347" s="366"/>
      <c r="M347" s="360"/>
      <c r="N347" s="367"/>
      <c r="O347" s="71"/>
    </row>
    <row r="348" spans="1:15" ht="42" customHeight="1">
      <c r="A348" s="316"/>
      <c r="B348" s="9"/>
      <c r="C348" s="9"/>
      <c r="D348" s="368"/>
      <c r="E348" s="369"/>
      <c r="F348" s="368"/>
      <c r="G348" s="369"/>
      <c r="H348" s="370"/>
      <c r="I348" s="371"/>
      <c r="J348" s="370"/>
      <c r="K348" s="371"/>
      <c r="L348" s="366"/>
      <c r="M348" s="360"/>
      <c r="N348" s="367"/>
      <c r="O348" s="71"/>
    </row>
    <row r="349" spans="1:15" ht="42" customHeight="1">
      <c r="A349" s="316"/>
      <c r="B349" s="9"/>
      <c r="C349" s="9"/>
      <c r="D349" s="368"/>
      <c r="E349" s="369"/>
      <c r="F349" s="368"/>
      <c r="G349" s="369"/>
      <c r="H349" s="370"/>
      <c r="I349" s="371"/>
      <c r="J349" s="370"/>
      <c r="K349" s="371"/>
      <c r="L349" s="366"/>
      <c r="M349" s="360"/>
      <c r="N349" s="367"/>
      <c r="O349" s="71"/>
    </row>
    <row r="350" spans="1:15" ht="42" customHeight="1">
      <c r="A350" s="316"/>
      <c r="B350" s="9"/>
      <c r="C350" s="9"/>
      <c r="D350" s="368"/>
      <c r="E350" s="369"/>
      <c r="F350" s="368"/>
      <c r="G350" s="369"/>
      <c r="H350" s="370"/>
      <c r="I350" s="371"/>
      <c r="J350" s="370"/>
      <c r="K350" s="371"/>
      <c r="L350" s="366"/>
      <c r="M350" s="360"/>
      <c r="N350" s="367"/>
      <c r="O350" s="71"/>
    </row>
    <row r="351" spans="1:15" ht="42" customHeight="1">
      <c r="A351" s="316"/>
      <c r="B351" s="9"/>
      <c r="C351" s="9"/>
      <c r="D351" s="368"/>
      <c r="E351" s="369"/>
      <c r="F351" s="368"/>
      <c r="G351" s="369"/>
      <c r="H351" s="370"/>
      <c r="I351" s="371"/>
      <c r="J351" s="370"/>
      <c r="K351" s="371"/>
      <c r="L351" s="366"/>
      <c r="M351" s="360"/>
      <c r="N351" s="367"/>
      <c r="O351" s="71"/>
    </row>
    <row r="352" spans="1:15" ht="42" customHeight="1">
      <c r="A352" s="316"/>
      <c r="B352" s="9"/>
      <c r="C352" s="9"/>
      <c r="D352" s="368"/>
      <c r="E352" s="369"/>
      <c r="F352" s="368"/>
      <c r="G352" s="369"/>
      <c r="H352" s="370"/>
      <c r="I352" s="371"/>
      <c r="J352" s="370"/>
      <c r="K352" s="371"/>
      <c r="L352" s="366"/>
      <c r="M352" s="360"/>
      <c r="N352" s="367"/>
      <c r="O352" s="71"/>
    </row>
    <row r="353" spans="1:15" ht="42" customHeight="1">
      <c r="A353" s="316"/>
      <c r="B353" s="9"/>
      <c r="C353" s="9"/>
      <c r="D353" s="368"/>
      <c r="E353" s="369"/>
      <c r="F353" s="368"/>
      <c r="G353" s="369"/>
      <c r="H353" s="370"/>
      <c r="I353" s="371"/>
      <c r="J353" s="370"/>
      <c r="K353" s="371"/>
      <c r="L353" s="366"/>
      <c r="M353" s="360"/>
      <c r="N353" s="367"/>
      <c r="O353" s="71"/>
    </row>
    <row r="354" spans="1:15" ht="42" customHeight="1">
      <c r="A354" s="316"/>
      <c r="B354" s="9"/>
      <c r="C354" s="9"/>
      <c r="D354" s="368"/>
      <c r="E354" s="369"/>
      <c r="F354" s="368"/>
      <c r="G354" s="369"/>
      <c r="H354" s="370"/>
      <c r="I354" s="371"/>
      <c r="J354" s="370"/>
      <c r="K354" s="371"/>
      <c r="L354" s="366"/>
      <c r="M354" s="360"/>
      <c r="N354" s="367"/>
      <c r="O354" s="71"/>
    </row>
    <row r="355" spans="1:15" ht="42" customHeight="1">
      <c r="A355" s="316"/>
      <c r="B355" s="9"/>
      <c r="C355" s="9"/>
      <c r="D355" s="368"/>
      <c r="E355" s="369"/>
      <c r="F355" s="368"/>
      <c r="G355" s="369"/>
      <c r="H355" s="370"/>
      <c r="I355" s="371"/>
      <c r="J355" s="370"/>
      <c r="K355" s="371"/>
      <c r="L355" s="366"/>
      <c r="M355" s="360"/>
      <c r="N355" s="367"/>
      <c r="O355" s="71"/>
    </row>
    <row r="356" spans="1:15" ht="42" customHeight="1">
      <c r="A356" s="316"/>
      <c r="B356" s="9"/>
      <c r="C356" s="9"/>
      <c r="D356" s="368"/>
      <c r="E356" s="369"/>
      <c r="F356" s="368"/>
      <c r="G356" s="369"/>
      <c r="H356" s="370"/>
      <c r="I356" s="371"/>
      <c r="J356" s="370"/>
      <c r="K356" s="371"/>
      <c r="L356" s="366"/>
      <c r="M356" s="360"/>
      <c r="N356" s="367"/>
      <c r="O356" s="71"/>
    </row>
    <row r="357" spans="1:15" ht="42" customHeight="1">
      <c r="A357" s="316"/>
      <c r="B357" s="9"/>
      <c r="C357" s="9"/>
      <c r="D357" s="368"/>
      <c r="E357" s="369"/>
      <c r="F357" s="368"/>
      <c r="G357" s="369"/>
      <c r="H357" s="370"/>
      <c r="I357" s="371"/>
      <c r="J357" s="370"/>
      <c r="K357" s="371"/>
      <c r="L357" s="366"/>
      <c r="M357" s="360"/>
      <c r="N357" s="367"/>
      <c r="O357" s="71"/>
    </row>
    <row r="358" spans="1:15" ht="42" customHeight="1">
      <c r="A358" s="316"/>
      <c r="B358" s="9"/>
      <c r="C358" s="9"/>
      <c r="D358" s="368"/>
      <c r="E358" s="369"/>
      <c r="F358" s="368"/>
      <c r="G358" s="369"/>
      <c r="H358" s="370"/>
      <c r="I358" s="371"/>
      <c r="J358" s="370"/>
      <c r="K358" s="371"/>
      <c r="L358" s="366"/>
      <c r="M358" s="360"/>
      <c r="N358" s="367"/>
      <c r="O358" s="71"/>
    </row>
    <row r="359" spans="1:15" ht="42" customHeight="1">
      <c r="A359" s="316"/>
      <c r="B359" s="9"/>
      <c r="C359" s="9"/>
      <c r="D359" s="368"/>
      <c r="E359" s="369"/>
      <c r="F359" s="368"/>
      <c r="G359" s="369"/>
      <c r="H359" s="370"/>
      <c r="I359" s="371"/>
      <c r="J359" s="370"/>
      <c r="K359" s="371"/>
      <c r="L359" s="366"/>
      <c r="M359" s="360"/>
      <c r="N359" s="367"/>
      <c r="O359" s="71"/>
    </row>
    <row r="360" spans="1:15" ht="42" customHeight="1">
      <c r="A360" s="316"/>
      <c r="B360" s="9"/>
      <c r="C360" s="9"/>
      <c r="D360" s="368"/>
      <c r="E360" s="369"/>
      <c r="F360" s="368"/>
      <c r="G360" s="369"/>
      <c r="H360" s="370"/>
      <c r="I360" s="371"/>
      <c r="J360" s="370"/>
      <c r="K360" s="371"/>
      <c r="L360" s="366"/>
      <c r="M360" s="360"/>
      <c r="N360" s="367"/>
      <c r="O360" s="71"/>
    </row>
    <row r="361" spans="1:15" ht="42" customHeight="1">
      <c r="A361" s="316"/>
      <c r="B361" s="9"/>
      <c r="C361" s="9"/>
      <c r="D361" s="368"/>
      <c r="E361" s="369"/>
      <c r="F361" s="368"/>
      <c r="G361" s="369"/>
      <c r="H361" s="370"/>
      <c r="I361" s="371"/>
      <c r="J361" s="370"/>
      <c r="K361" s="371"/>
      <c r="L361" s="366"/>
      <c r="M361" s="360"/>
      <c r="N361" s="367"/>
      <c r="O361" s="71"/>
    </row>
    <row r="362" spans="1:15" ht="42" customHeight="1">
      <c r="A362" s="316"/>
      <c r="B362" s="9"/>
      <c r="C362" s="9"/>
      <c r="D362" s="368"/>
      <c r="E362" s="369"/>
      <c r="F362" s="368"/>
      <c r="G362" s="369"/>
      <c r="H362" s="370"/>
      <c r="I362" s="371"/>
      <c r="J362" s="370"/>
      <c r="K362" s="371"/>
      <c r="L362" s="366"/>
      <c r="M362" s="360"/>
      <c r="N362" s="367"/>
      <c r="O362" s="71"/>
    </row>
    <row r="363" spans="1:15" ht="42" customHeight="1">
      <c r="A363" s="316"/>
      <c r="B363" s="9"/>
      <c r="C363" s="9"/>
      <c r="D363" s="368"/>
      <c r="E363" s="369"/>
      <c r="F363" s="368"/>
      <c r="G363" s="369"/>
      <c r="H363" s="370"/>
      <c r="I363" s="371"/>
      <c r="J363" s="370"/>
      <c r="K363" s="371"/>
      <c r="L363" s="366"/>
      <c r="M363" s="360"/>
      <c r="N363" s="367"/>
      <c r="O363" s="71"/>
    </row>
    <row r="364" spans="1:15" ht="42" customHeight="1">
      <c r="A364" s="316"/>
      <c r="B364" s="9"/>
      <c r="C364" s="9"/>
      <c r="D364" s="368"/>
      <c r="E364" s="369"/>
      <c r="F364" s="368"/>
      <c r="G364" s="369"/>
      <c r="H364" s="370"/>
      <c r="I364" s="371"/>
      <c r="J364" s="370"/>
      <c r="K364" s="371"/>
      <c r="L364" s="366"/>
      <c r="M364" s="360"/>
      <c r="N364" s="367"/>
      <c r="O364" s="71"/>
    </row>
    <row r="365" spans="1:15" ht="42" customHeight="1">
      <c r="A365" s="316"/>
      <c r="B365" s="9"/>
      <c r="C365" s="9"/>
      <c r="D365" s="368"/>
      <c r="E365" s="369"/>
      <c r="F365" s="368"/>
      <c r="G365" s="369"/>
      <c r="H365" s="370"/>
      <c r="I365" s="371"/>
      <c r="J365" s="370"/>
      <c r="K365" s="371"/>
      <c r="L365" s="366"/>
      <c r="M365" s="360"/>
      <c r="N365" s="367"/>
      <c r="O365" s="71"/>
    </row>
    <row r="366" spans="1:15" ht="42" customHeight="1">
      <c r="A366" s="316"/>
      <c r="B366" s="9"/>
      <c r="C366" s="9"/>
      <c r="D366" s="368"/>
      <c r="E366" s="369"/>
      <c r="F366" s="368"/>
      <c r="G366" s="369"/>
      <c r="H366" s="370"/>
      <c r="I366" s="371"/>
      <c r="J366" s="370"/>
      <c r="K366" s="371"/>
      <c r="L366" s="366"/>
      <c r="M366" s="360"/>
      <c r="N366" s="367"/>
      <c r="O366" s="71"/>
    </row>
    <row r="367" spans="1:15" ht="42" customHeight="1">
      <c r="A367" s="316"/>
      <c r="B367" s="9"/>
      <c r="C367" s="9"/>
      <c r="D367" s="368"/>
      <c r="E367" s="369"/>
      <c r="F367" s="368"/>
      <c r="G367" s="369"/>
      <c r="H367" s="370"/>
      <c r="I367" s="371"/>
      <c r="J367" s="370"/>
      <c r="K367" s="371"/>
      <c r="L367" s="366"/>
      <c r="M367" s="360"/>
      <c r="N367" s="367"/>
      <c r="O367" s="71"/>
    </row>
    <row r="368" spans="1:15" ht="42" customHeight="1">
      <c r="A368" s="316"/>
      <c r="B368" s="9"/>
      <c r="C368" s="9"/>
      <c r="D368" s="368"/>
      <c r="E368" s="369"/>
      <c r="F368" s="368"/>
      <c r="G368" s="369"/>
      <c r="H368" s="370"/>
      <c r="I368" s="371"/>
      <c r="J368" s="370"/>
      <c r="K368" s="371"/>
      <c r="L368" s="366"/>
      <c r="M368" s="360"/>
      <c r="N368" s="367"/>
      <c r="O368" s="71"/>
    </row>
    <row r="369" spans="1:15" ht="42" customHeight="1">
      <c r="A369" s="316"/>
      <c r="B369" s="9"/>
      <c r="C369" s="9"/>
      <c r="D369" s="368"/>
      <c r="E369" s="369"/>
      <c r="F369" s="368"/>
      <c r="G369" s="369"/>
      <c r="H369" s="370"/>
      <c r="I369" s="371"/>
      <c r="J369" s="370"/>
      <c r="K369" s="371"/>
      <c r="L369" s="366"/>
      <c r="M369" s="360"/>
      <c r="N369" s="367"/>
      <c r="O369" s="71"/>
    </row>
    <row r="370" spans="1:15" ht="42" customHeight="1">
      <c r="A370" s="316"/>
      <c r="B370" s="9"/>
      <c r="C370" s="9"/>
      <c r="D370" s="368"/>
      <c r="E370" s="369"/>
      <c r="F370" s="368"/>
      <c r="G370" s="369"/>
      <c r="H370" s="370"/>
      <c r="I370" s="371"/>
      <c r="J370" s="370"/>
      <c r="K370" s="371"/>
      <c r="L370" s="366"/>
      <c r="M370" s="360"/>
      <c r="N370" s="367"/>
      <c r="O370" s="71"/>
    </row>
    <row r="371" spans="1:15" ht="42" customHeight="1">
      <c r="A371" s="316"/>
      <c r="B371" s="9"/>
      <c r="C371" s="9"/>
      <c r="D371" s="368"/>
      <c r="E371" s="369"/>
      <c r="F371" s="368"/>
      <c r="G371" s="369"/>
      <c r="H371" s="370"/>
      <c r="I371" s="371"/>
      <c r="J371" s="370"/>
      <c r="K371" s="371"/>
      <c r="L371" s="366"/>
      <c r="M371" s="360"/>
      <c r="N371" s="367"/>
      <c r="O371" s="71"/>
    </row>
    <row r="372" spans="1:15" ht="42" customHeight="1">
      <c r="A372" s="316"/>
      <c r="B372" s="9"/>
      <c r="C372" s="9"/>
      <c r="D372" s="368"/>
      <c r="E372" s="369"/>
      <c r="F372" s="368"/>
      <c r="G372" s="369"/>
      <c r="H372" s="370"/>
      <c r="I372" s="371"/>
      <c r="J372" s="370"/>
      <c r="K372" s="371"/>
      <c r="L372" s="366"/>
      <c r="M372" s="360"/>
      <c r="N372" s="367"/>
      <c r="O372" s="71"/>
    </row>
    <row r="373" spans="1:15" ht="42" customHeight="1">
      <c r="A373" s="316"/>
      <c r="B373" s="9"/>
      <c r="C373" s="9"/>
      <c r="D373" s="368"/>
      <c r="E373" s="369"/>
      <c r="F373" s="368"/>
      <c r="G373" s="369"/>
      <c r="H373" s="370"/>
      <c r="I373" s="371"/>
      <c r="J373" s="370"/>
      <c r="K373" s="371"/>
      <c r="L373" s="366"/>
      <c r="M373" s="360"/>
      <c r="N373" s="367"/>
      <c r="O373" s="71"/>
    </row>
    <row r="374" spans="1:15" ht="42" customHeight="1">
      <c r="A374" s="316"/>
      <c r="B374" s="9"/>
      <c r="C374" s="9"/>
      <c r="D374" s="368"/>
      <c r="E374" s="369"/>
      <c r="F374" s="368"/>
      <c r="G374" s="369"/>
      <c r="H374" s="370"/>
      <c r="I374" s="371"/>
      <c r="J374" s="370"/>
      <c r="K374" s="371"/>
      <c r="L374" s="366"/>
      <c r="M374" s="360"/>
      <c r="N374" s="367"/>
      <c r="O374" s="71"/>
    </row>
    <row r="375" spans="1:15" ht="42" customHeight="1">
      <c r="A375" s="316"/>
      <c r="B375" s="9"/>
      <c r="C375" s="9"/>
      <c r="D375" s="368"/>
      <c r="E375" s="369"/>
      <c r="F375" s="368"/>
      <c r="G375" s="369"/>
      <c r="H375" s="370"/>
      <c r="I375" s="371"/>
      <c r="J375" s="370"/>
      <c r="K375" s="371"/>
      <c r="L375" s="366"/>
      <c r="M375" s="360"/>
      <c r="N375" s="367"/>
      <c r="O375" s="71"/>
    </row>
    <row r="376" spans="1:15" ht="42" customHeight="1">
      <c r="A376" s="316"/>
      <c r="B376" s="9"/>
      <c r="C376" s="9"/>
      <c r="D376" s="368"/>
      <c r="E376" s="369"/>
      <c r="F376" s="368"/>
      <c r="G376" s="369"/>
      <c r="H376" s="370"/>
      <c r="I376" s="371"/>
      <c r="J376" s="370"/>
      <c r="K376" s="371"/>
      <c r="L376" s="366"/>
      <c r="M376" s="360"/>
      <c r="N376" s="367"/>
      <c r="O376" s="71"/>
    </row>
    <row r="377" spans="1:15" ht="42" customHeight="1">
      <c r="A377" s="316"/>
      <c r="B377" s="9"/>
      <c r="C377" s="9"/>
      <c r="D377" s="368"/>
      <c r="E377" s="369"/>
      <c r="F377" s="368"/>
      <c r="G377" s="369"/>
      <c r="H377" s="370"/>
      <c r="I377" s="371"/>
      <c r="J377" s="370"/>
      <c r="K377" s="371"/>
      <c r="L377" s="366"/>
      <c r="M377" s="360"/>
      <c r="N377" s="367"/>
      <c r="O377" s="71"/>
    </row>
    <row r="378" spans="1:15" ht="42" customHeight="1">
      <c r="A378" s="316"/>
      <c r="B378" s="9"/>
      <c r="C378" s="9"/>
      <c r="D378" s="368"/>
      <c r="E378" s="369"/>
      <c r="F378" s="368"/>
      <c r="G378" s="369"/>
      <c r="H378" s="370"/>
      <c r="I378" s="371"/>
      <c r="J378" s="370"/>
      <c r="K378" s="371"/>
      <c r="L378" s="366"/>
      <c r="M378" s="360"/>
      <c r="N378" s="367"/>
      <c r="O378" s="71"/>
    </row>
    <row r="379" spans="1:15" ht="42" customHeight="1">
      <c r="A379" s="316"/>
      <c r="B379" s="9"/>
      <c r="C379" s="9"/>
      <c r="D379" s="368"/>
      <c r="E379" s="369"/>
      <c r="F379" s="368"/>
      <c r="G379" s="369"/>
      <c r="H379" s="370"/>
      <c r="I379" s="371"/>
      <c r="J379" s="370"/>
      <c r="K379" s="371"/>
      <c r="L379" s="366"/>
      <c r="M379" s="360"/>
      <c r="N379" s="367"/>
      <c r="O379" s="71"/>
    </row>
    <row r="380" spans="1:15" ht="42" customHeight="1">
      <c r="A380" s="316"/>
      <c r="B380" s="9"/>
      <c r="C380" s="9"/>
      <c r="D380" s="368"/>
      <c r="E380" s="369"/>
      <c r="F380" s="368"/>
      <c r="G380" s="369"/>
      <c r="H380" s="370"/>
      <c r="I380" s="371"/>
      <c r="J380" s="370"/>
      <c r="K380" s="371"/>
      <c r="L380" s="366"/>
      <c r="M380" s="360"/>
      <c r="N380" s="367"/>
      <c r="O380" s="71"/>
    </row>
    <row r="381" spans="1:15" ht="42" customHeight="1">
      <c r="A381" s="316"/>
      <c r="B381" s="9"/>
      <c r="C381" s="9"/>
      <c r="D381" s="368"/>
      <c r="E381" s="369"/>
      <c r="F381" s="368"/>
      <c r="G381" s="369"/>
      <c r="H381" s="370"/>
      <c r="I381" s="371"/>
      <c r="J381" s="370"/>
      <c r="K381" s="371"/>
      <c r="L381" s="366"/>
      <c r="M381" s="360"/>
      <c r="N381" s="367"/>
      <c r="O381" s="71"/>
    </row>
    <row r="382" spans="1:15" ht="42" customHeight="1">
      <c r="A382" s="316"/>
      <c r="B382" s="9"/>
      <c r="C382" s="9"/>
      <c r="D382" s="368"/>
      <c r="E382" s="369"/>
      <c r="F382" s="368"/>
      <c r="G382" s="369"/>
      <c r="H382" s="370"/>
      <c r="I382" s="371"/>
      <c r="J382" s="370"/>
      <c r="K382" s="371"/>
      <c r="L382" s="366"/>
      <c r="M382" s="360"/>
      <c r="N382" s="367"/>
      <c r="O382" s="71"/>
    </row>
    <row r="383" spans="1:15" ht="42" customHeight="1">
      <c r="A383" s="316"/>
      <c r="B383" s="9"/>
      <c r="C383" s="9"/>
      <c r="D383" s="368"/>
      <c r="E383" s="369"/>
      <c r="F383" s="368"/>
      <c r="G383" s="369"/>
      <c r="H383" s="370"/>
      <c r="I383" s="371"/>
      <c r="J383" s="370"/>
      <c r="K383" s="371"/>
      <c r="L383" s="366"/>
      <c r="M383" s="360"/>
      <c r="N383" s="367"/>
      <c r="O383" s="71"/>
    </row>
    <row r="384" spans="1:15" ht="42" customHeight="1">
      <c r="A384" s="316"/>
      <c r="B384" s="9"/>
      <c r="C384" s="9"/>
      <c r="D384" s="368"/>
      <c r="E384" s="369"/>
      <c r="F384" s="368"/>
      <c r="G384" s="369"/>
      <c r="H384" s="370"/>
      <c r="I384" s="371"/>
      <c r="J384" s="370"/>
      <c r="K384" s="371"/>
      <c r="L384" s="366"/>
      <c r="M384" s="360"/>
      <c r="N384" s="367"/>
      <c r="O384" s="71"/>
    </row>
    <row r="385" spans="1:15" ht="42" customHeight="1">
      <c r="A385" s="316"/>
      <c r="B385" s="9"/>
      <c r="C385" s="9"/>
      <c r="D385" s="368"/>
      <c r="E385" s="369"/>
      <c r="F385" s="368"/>
      <c r="G385" s="369"/>
      <c r="H385" s="370"/>
      <c r="I385" s="371"/>
      <c r="J385" s="370"/>
      <c r="K385" s="371"/>
      <c r="L385" s="366"/>
      <c r="M385" s="360"/>
      <c r="N385" s="367"/>
      <c r="O385" s="71"/>
    </row>
    <row r="386" spans="1:15" ht="42" customHeight="1">
      <c r="A386" s="316"/>
      <c r="B386" s="9"/>
      <c r="C386" s="9"/>
      <c r="D386" s="368"/>
      <c r="E386" s="369"/>
      <c r="F386" s="368"/>
      <c r="G386" s="369"/>
      <c r="H386" s="370"/>
      <c r="I386" s="371"/>
      <c r="J386" s="370"/>
      <c r="K386" s="371"/>
      <c r="L386" s="366"/>
      <c r="M386" s="360"/>
      <c r="N386" s="367"/>
      <c r="O386" s="71"/>
    </row>
    <row r="387" spans="1:15" ht="42" customHeight="1">
      <c r="A387" s="316"/>
      <c r="B387" s="9"/>
      <c r="C387" s="9"/>
      <c r="D387" s="368"/>
      <c r="E387" s="369"/>
      <c r="F387" s="368"/>
      <c r="G387" s="369"/>
      <c r="H387" s="370"/>
      <c r="I387" s="371"/>
      <c r="J387" s="370"/>
      <c r="K387" s="371"/>
      <c r="L387" s="366"/>
      <c r="M387" s="360"/>
      <c r="N387" s="367"/>
      <c r="O387" s="71"/>
    </row>
    <row r="388" spans="1:15" ht="42" customHeight="1">
      <c r="A388" s="316"/>
      <c r="B388" s="9"/>
      <c r="C388" s="9"/>
      <c r="D388" s="368"/>
      <c r="E388" s="369"/>
      <c r="F388" s="368"/>
      <c r="G388" s="369"/>
      <c r="H388" s="370"/>
      <c r="I388" s="371"/>
      <c r="J388" s="370"/>
      <c r="K388" s="371"/>
      <c r="L388" s="366"/>
      <c r="M388" s="360"/>
      <c r="N388" s="367"/>
      <c r="O388" s="71"/>
    </row>
    <row r="389" spans="1:15" ht="42" customHeight="1">
      <c r="A389" s="316"/>
      <c r="B389" s="9"/>
      <c r="C389" s="9"/>
      <c r="D389" s="368"/>
      <c r="E389" s="369"/>
      <c r="F389" s="368"/>
      <c r="G389" s="369"/>
      <c r="H389" s="370"/>
      <c r="I389" s="371"/>
      <c r="J389" s="370"/>
      <c r="K389" s="371"/>
      <c r="L389" s="366"/>
      <c r="M389" s="360"/>
      <c r="N389" s="367"/>
      <c r="O389" s="71"/>
    </row>
    <row r="390" spans="1:15" ht="42" customHeight="1">
      <c r="A390" s="316"/>
      <c r="B390" s="9"/>
      <c r="C390" s="9"/>
      <c r="D390" s="368"/>
      <c r="E390" s="369"/>
      <c r="F390" s="368"/>
      <c r="G390" s="369"/>
      <c r="H390" s="370"/>
      <c r="I390" s="371"/>
      <c r="J390" s="370"/>
      <c r="K390" s="371"/>
      <c r="L390" s="366"/>
      <c r="M390" s="360"/>
      <c r="N390" s="367"/>
      <c r="O390" s="71"/>
    </row>
    <row r="391" spans="1:15" ht="42" customHeight="1">
      <c r="A391" s="316"/>
      <c r="B391" s="9"/>
      <c r="C391" s="9"/>
      <c r="D391" s="368"/>
      <c r="E391" s="369"/>
      <c r="F391" s="368"/>
      <c r="G391" s="369"/>
      <c r="H391" s="370"/>
      <c r="I391" s="371"/>
      <c r="J391" s="370"/>
      <c r="K391" s="371"/>
      <c r="L391" s="366"/>
      <c r="M391" s="360"/>
      <c r="N391" s="367"/>
      <c r="O391" s="71"/>
    </row>
    <row r="392" spans="1:15" ht="42" customHeight="1">
      <c r="A392" s="316"/>
      <c r="B392" s="9"/>
      <c r="C392" s="9"/>
      <c r="D392" s="368"/>
      <c r="E392" s="369"/>
      <c r="F392" s="368"/>
      <c r="G392" s="369"/>
      <c r="H392" s="370"/>
      <c r="I392" s="371"/>
      <c r="J392" s="370"/>
      <c r="K392" s="371"/>
      <c r="L392" s="366"/>
      <c r="M392" s="360"/>
      <c r="N392" s="367"/>
      <c r="O392" s="71"/>
    </row>
    <row r="393" spans="1:15" ht="42" customHeight="1">
      <c r="A393" s="316"/>
      <c r="B393" s="9"/>
      <c r="C393" s="9"/>
      <c r="D393" s="368"/>
      <c r="E393" s="369"/>
      <c r="F393" s="368"/>
      <c r="G393" s="369"/>
      <c r="H393" s="370"/>
      <c r="I393" s="371"/>
      <c r="J393" s="370"/>
      <c r="K393" s="371"/>
      <c r="L393" s="366"/>
      <c r="M393" s="360"/>
      <c r="N393" s="367"/>
      <c r="O393" s="71"/>
    </row>
    <row r="394" spans="1:15" ht="42" customHeight="1">
      <c r="A394" s="316"/>
      <c r="B394" s="9"/>
      <c r="C394" s="9"/>
      <c r="D394" s="368"/>
      <c r="E394" s="369"/>
      <c r="F394" s="368"/>
      <c r="G394" s="369"/>
      <c r="H394" s="370"/>
      <c r="I394" s="371"/>
      <c r="J394" s="370"/>
      <c r="K394" s="371"/>
      <c r="L394" s="366"/>
      <c r="M394" s="360"/>
      <c r="N394" s="367"/>
      <c r="O394" s="71"/>
    </row>
    <row r="395" spans="1:15" ht="42" customHeight="1">
      <c r="A395" s="316"/>
      <c r="B395" s="9"/>
      <c r="C395" s="9"/>
      <c r="D395" s="368"/>
      <c r="E395" s="369"/>
      <c r="F395" s="368"/>
      <c r="G395" s="369"/>
      <c r="H395" s="370"/>
      <c r="I395" s="371"/>
      <c r="J395" s="370"/>
      <c r="K395" s="371"/>
      <c r="L395" s="366"/>
      <c r="M395" s="360"/>
      <c r="N395" s="367"/>
      <c r="O395" s="71"/>
    </row>
    <row r="396" spans="1:15" ht="42" customHeight="1">
      <c r="A396" s="316"/>
      <c r="B396" s="9"/>
      <c r="C396" s="9"/>
      <c r="D396" s="368"/>
      <c r="E396" s="369"/>
      <c r="F396" s="368"/>
      <c r="G396" s="369"/>
      <c r="H396" s="370"/>
      <c r="I396" s="371"/>
      <c r="J396" s="370"/>
      <c r="K396" s="371"/>
      <c r="L396" s="366"/>
      <c r="M396" s="360"/>
      <c r="N396" s="367"/>
      <c r="O396" s="71"/>
    </row>
    <row r="397" spans="1:15" ht="42" customHeight="1">
      <c r="A397" s="316"/>
      <c r="B397" s="9"/>
      <c r="C397" s="9"/>
      <c r="D397" s="368"/>
      <c r="E397" s="369"/>
      <c r="F397" s="368"/>
      <c r="G397" s="369"/>
      <c r="H397" s="370"/>
      <c r="I397" s="371"/>
      <c r="J397" s="370"/>
      <c r="K397" s="371"/>
      <c r="L397" s="366"/>
      <c r="M397" s="360"/>
      <c r="N397" s="367"/>
      <c r="O397" s="71"/>
    </row>
    <row r="398" spans="1:15" ht="42" customHeight="1">
      <c r="A398" s="316"/>
      <c r="B398" s="9"/>
      <c r="C398" s="9"/>
      <c r="D398" s="368"/>
      <c r="E398" s="369"/>
      <c r="F398" s="368"/>
      <c r="G398" s="369"/>
      <c r="H398" s="370"/>
      <c r="I398" s="371"/>
      <c r="J398" s="370"/>
      <c r="K398" s="371"/>
      <c r="L398" s="366"/>
      <c r="M398" s="360"/>
      <c r="N398" s="367"/>
      <c r="O398" s="71"/>
    </row>
    <row r="399" spans="1:15" ht="42" customHeight="1">
      <c r="A399" s="316"/>
      <c r="B399" s="9"/>
      <c r="C399" s="9"/>
      <c r="D399" s="368"/>
      <c r="E399" s="369"/>
      <c r="F399" s="368"/>
      <c r="G399" s="369"/>
      <c r="H399" s="370"/>
      <c r="I399" s="371"/>
      <c r="J399" s="370"/>
      <c r="K399" s="371"/>
      <c r="L399" s="366"/>
      <c r="M399" s="360"/>
      <c r="N399" s="367"/>
      <c r="O399" s="71"/>
    </row>
    <row r="400" spans="1:15" ht="42" customHeight="1">
      <c r="A400" s="316"/>
      <c r="B400" s="9"/>
      <c r="C400" s="9"/>
      <c r="D400" s="368"/>
      <c r="E400" s="369"/>
      <c r="F400" s="368"/>
      <c r="G400" s="369"/>
      <c r="H400" s="370"/>
      <c r="I400" s="371"/>
      <c r="J400" s="370"/>
      <c r="K400" s="371"/>
      <c r="L400" s="366"/>
      <c r="M400" s="360"/>
      <c r="N400" s="367"/>
      <c r="O400" s="71"/>
    </row>
    <row r="401" spans="1:15" ht="42" customHeight="1">
      <c r="A401" s="316"/>
      <c r="B401" s="9"/>
      <c r="C401" s="9"/>
      <c r="D401" s="368"/>
      <c r="E401" s="369"/>
      <c r="F401" s="368"/>
      <c r="G401" s="369"/>
      <c r="H401" s="370"/>
      <c r="I401" s="371"/>
      <c r="J401" s="370"/>
      <c r="K401" s="371"/>
      <c r="L401" s="366"/>
      <c r="M401" s="360"/>
      <c r="N401" s="367"/>
      <c r="O401" s="71"/>
    </row>
    <row r="402" spans="1:15" ht="42" customHeight="1">
      <c r="A402" s="316"/>
      <c r="B402" s="9"/>
      <c r="C402" s="9"/>
      <c r="D402" s="368"/>
      <c r="E402" s="369"/>
      <c r="F402" s="368"/>
      <c r="G402" s="369"/>
      <c r="H402" s="370"/>
      <c r="I402" s="371"/>
      <c r="J402" s="370"/>
      <c r="K402" s="371"/>
      <c r="L402" s="366"/>
      <c r="M402" s="360"/>
      <c r="N402" s="367"/>
      <c r="O402" s="71"/>
    </row>
    <row r="403" spans="1:15" ht="42" customHeight="1">
      <c r="A403" s="316"/>
      <c r="B403" s="9"/>
      <c r="C403" s="9"/>
      <c r="D403" s="368"/>
      <c r="E403" s="369"/>
      <c r="F403" s="368"/>
      <c r="G403" s="369"/>
      <c r="H403" s="370"/>
      <c r="I403" s="371"/>
      <c r="J403" s="370"/>
      <c r="K403" s="371"/>
      <c r="L403" s="366"/>
      <c r="M403" s="360"/>
      <c r="N403" s="367"/>
      <c r="O403" s="71"/>
    </row>
    <row r="404" spans="1:15" ht="42" customHeight="1">
      <c r="A404" s="316"/>
      <c r="B404" s="9"/>
      <c r="C404" s="9"/>
      <c r="D404" s="368"/>
      <c r="E404" s="369"/>
      <c r="F404" s="368"/>
      <c r="G404" s="369"/>
      <c r="H404" s="370"/>
      <c r="I404" s="371"/>
      <c r="J404" s="370"/>
      <c r="K404" s="371"/>
      <c r="L404" s="366"/>
      <c r="M404" s="360"/>
      <c r="N404" s="367"/>
      <c r="O404" s="71"/>
    </row>
    <row r="405" spans="1:15" ht="42" customHeight="1">
      <c r="A405" s="316"/>
      <c r="B405" s="9"/>
      <c r="C405" s="9"/>
      <c r="D405" s="368"/>
      <c r="E405" s="369"/>
      <c r="F405" s="368"/>
      <c r="G405" s="369"/>
      <c r="H405" s="370"/>
      <c r="I405" s="371"/>
      <c r="J405" s="370"/>
      <c r="K405" s="371"/>
      <c r="L405" s="366"/>
      <c r="M405" s="360"/>
      <c r="N405" s="367"/>
      <c r="O405" s="71"/>
    </row>
    <row r="406" spans="1:15" ht="42" customHeight="1">
      <c r="A406" s="316"/>
      <c r="B406" s="9"/>
      <c r="C406" s="9"/>
      <c r="D406" s="368"/>
      <c r="E406" s="369"/>
      <c r="F406" s="368"/>
      <c r="G406" s="369"/>
      <c r="H406" s="370"/>
      <c r="I406" s="371"/>
      <c r="J406" s="370"/>
      <c r="K406" s="371"/>
      <c r="L406" s="366"/>
      <c r="M406" s="360"/>
      <c r="N406" s="367"/>
      <c r="O406" s="71"/>
    </row>
    <row r="407" spans="1:15" ht="42" customHeight="1">
      <c r="A407" s="316"/>
      <c r="B407" s="9"/>
      <c r="C407" s="9"/>
      <c r="D407" s="368"/>
      <c r="E407" s="369"/>
      <c r="F407" s="368"/>
      <c r="G407" s="369"/>
      <c r="H407" s="370"/>
      <c r="I407" s="371"/>
      <c r="J407" s="370"/>
      <c r="K407" s="371"/>
      <c r="L407" s="366"/>
      <c r="M407" s="360"/>
      <c r="N407" s="367"/>
      <c r="O407" s="71"/>
    </row>
    <row r="408" spans="1:15" ht="42" customHeight="1">
      <c r="A408" s="316"/>
      <c r="B408" s="9"/>
      <c r="C408" s="9"/>
      <c r="D408" s="368"/>
      <c r="E408" s="369"/>
      <c r="F408" s="368"/>
      <c r="G408" s="369"/>
      <c r="H408" s="370"/>
      <c r="I408" s="371"/>
      <c r="J408" s="370"/>
      <c r="K408" s="371"/>
      <c r="L408" s="366"/>
      <c r="M408" s="360"/>
      <c r="N408" s="367"/>
      <c r="O408" s="71"/>
    </row>
    <row r="409" spans="1:15" ht="42" customHeight="1">
      <c r="A409" s="316"/>
      <c r="B409" s="9"/>
      <c r="C409" s="9"/>
      <c r="D409" s="368"/>
      <c r="E409" s="369"/>
      <c r="F409" s="368"/>
      <c r="G409" s="369"/>
      <c r="H409" s="370"/>
      <c r="I409" s="371"/>
      <c r="J409" s="370"/>
      <c r="K409" s="371"/>
      <c r="L409" s="366"/>
      <c r="M409" s="360"/>
      <c r="N409" s="367"/>
      <c r="O409" s="71"/>
    </row>
    <row r="410" spans="1:15" ht="42" customHeight="1">
      <c r="A410" s="316"/>
      <c r="B410" s="9"/>
      <c r="C410" s="9"/>
      <c r="D410" s="368"/>
      <c r="E410" s="369"/>
      <c r="F410" s="368"/>
      <c r="G410" s="369"/>
      <c r="H410" s="370"/>
      <c r="I410" s="371"/>
      <c r="J410" s="370"/>
      <c r="K410" s="371"/>
      <c r="L410" s="366"/>
      <c r="M410" s="360"/>
      <c r="N410" s="367"/>
      <c r="O410" s="71"/>
    </row>
    <row r="411" spans="1:15" ht="42" customHeight="1">
      <c r="A411" s="316"/>
      <c r="B411" s="9"/>
      <c r="C411" s="9"/>
      <c r="D411" s="368"/>
      <c r="E411" s="369"/>
      <c r="F411" s="368"/>
      <c r="G411" s="369"/>
      <c r="H411" s="370"/>
      <c r="I411" s="371"/>
      <c r="J411" s="370"/>
      <c r="K411" s="371"/>
      <c r="L411" s="366"/>
      <c r="M411" s="360"/>
      <c r="N411" s="367"/>
      <c r="O411" s="71"/>
    </row>
    <row r="412" spans="1:15" ht="42" customHeight="1">
      <c r="A412" s="316"/>
      <c r="B412" s="9"/>
      <c r="C412" s="9"/>
      <c r="D412" s="368"/>
      <c r="E412" s="369"/>
      <c r="F412" s="368"/>
      <c r="G412" s="369"/>
      <c r="H412" s="370"/>
      <c r="I412" s="371"/>
      <c r="J412" s="370"/>
      <c r="K412" s="371"/>
      <c r="L412" s="366"/>
      <c r="M412" s="360"/>
      <c r="N412" s="367"/>
      <c r="O412" s="71"/>
    </row>
    <row r="413" spans="1:15" ht="42" customHeight="1">
      <c r="A413" s="316"/>
      <c r="B413" s="9"/>
      <c r="C413" s="9"/>
      <c r="D413" s="368"/>
      <c r="E413" s="369"/>
      <c r="F413" s="368"/>
      <c r="G413" s="369"/>
      <c r="H413" s="370"/>
      <c r="I413" s="371"/>
      <c r="J413" s="370"/>
      <c r="K413" s="371"/>
      <c r="L413" s="366"/>
      <c r="M413" s="360"/>
      <c r="N413" s="367"/>
      <c r="O413" s="71"/>
    </row>
    <row r="414" spans="1:15" ht="42" customHeight="1">
      <c r="A414" s="316"/>
      <c r="B414" s="9"/>
      <c r="C414" s="9"/>
      <c r="D414" s="368"/>
      <c r="E414" s="369"/>
      <c r="F414" s="368"/>
      <c r="G414" s="369"/>
      <c r="H414" s="370"/>
      <c r="I414" s="371"/>
      <c r="J414" s="370"/>
      <c r="K414" s="371"/>
      <c r="L414" s="366"/>
      <c r="M414" s="360"/>
      <c r="N414" s="367"/>
      <c r="O414" s="71"/>
    </row>
    <row r="415" spans="1:15" ht="42" customHeight="1">
      <c r="A415" s="316"/>
      <c r="B415" s="9"/>
      <c r="C415" s="9"/>
      <c r="D415" s="368"/>
      <c r="E415" s="369"/>
      <c r="F415" s="368"/>
      <c r="G415" s="369"/>
      <c r="H415" s="370"/>
      <c r="I415" s="371"/>
      <c r="J415" s="370"/>
      <c r="K415" s="371"/>
      <c r="L415" s="366"/>
      <c r="M415" s="360"/>
      <c r="N415" s="367"/>
      <c r="O415" s="71"/>
    </row>
    <row r="416" spans="1:15" ht="42" customHeight="1">
      <c r="A416" s="316"/>
      <c r="B416" s="9"/>
      <c r="C416" s="9"/>
      <c r="D416" s="368"/>
      <c r="E416" s="369"/>
      <c r="F416" s="368"/>
      <c r="G416" s="369"/>
      <c r="H416" s="370"/>
      <c r="I416" s="371"/>
      <c r="J416" s="370"/>
      <c r="K416" s="371"/>
      <c r="L416" s="366"/>
      <c r="M416" s="360"/>
      <c r="N416" s="367"/>
      <c r="O416" s="71"/>
    </row>
    <row r="417" spans="1:15" ht="42" customHeight="1">
      <c r="A417" s="316"/>
      <c r="B417" s="9"/>
      <c r="C417" s="9"/>
      <c r="D417" s="368"/>
      <c r="E417" s="369"/>
      <c r="F417" s="368"/>
      <c r="G417" s="369"/>
      <c r="H417" s="370"/>
      <c r="I417" s="371"/>
      <c r="J417" s="370"/>
      <c r="K417" s="371"/>
      <c r="L417" s="366"/>
      <c r="M417" s="360"/>
      <c r="N417" s="367"/>
      <c r="O417" s="71"/>
    </row>
    <row r="418" spans="1:15" ht="42" customHeight="1">
      <c r="A418" s="316"/>
      <c r="B418" s="9"/>
      <c r="C418" s="9"/>
      <c r="D418" s="368"/>
      <c r="E418" s="369"/>
      <c r="F418" s="368"/>
      <c r="G418" s="369"/>
      <c r="H418" s="370"/>
      <c r="I418" s="371"/>
      <c r="J418" s="370"/>
      <c r="K418" s="371"/>
      <c r="L418" s="366"/>
      <c r="M418" s="360"/>
      <c r="N418" s="367"/>
      <c r="O418" s="71"/>
    </row>
    <row r="419" spans="1:15" ht="42" customHeight="1">
      <c r="A419" s="316"/>
      <c r="B419" s="9"/>
      <c r="C419" s="9"/>
      <c r="D419" s="368"/>
      <c r="E419" s="369"/>
      <c r="F419" s="368"/>
      <c r="G419" s="369"/>
      <c r="H419" s="370"/>
      <c r="I419" s="371"/>
      <c r="J419" s="370"/>
      <c r="K419" s="371"/>
      <c r="L419" s="366"/>
      <c r="M419" s="360"/>
      <c r="N419" s="367"/>
      <c r="O419" s="71"/>
    </row>
    <row r="420" spans="1:15" ht="42" customHeight="1">
      <c r="A420" s="316"/>
      <c r="B420" s="9"/>
      <c r="C420" s="9"/>
      <c r="D420" s="368"/>
      <c r="E420" s="369"/>
      <c r="F420" s="368"/>
      <c r="G420" s="369"/>
      <c r="H420" s="370"/>
      <c r="I420" s="371"/>
      <c r="J420" s="370"/>
      <c r="K420" s="371"/>
      <c r="L420" s="366"/>
      <c r="M420" s="360"/>
      <c r="N420" s="367"/>
      <c r="O420" s="71"/>
    </row>
    <row r="421" spans="1:15" ht="42" customHeight="1">
      <c r="A421" s="316"/>
      <c r="B421" s="9"/>
      <c r="C421" s="9"/>
      <c r="D421" s="368"/>
      <c r="E421" s="369"/>
      <c r="F421" s="368"/>
      <c r="G421" s="369"/>
      <c r="H421" s="370"/>
      <c r="I421" s="371"/>
      <c r="J421" s="370"/>
      <c r="K421" s="371"/>
      <c r="L421" s="366"/>
      <c r="M421" s="360"/>
      <c r="N421" s="367"/>
      <c r="O421" s="71"/>
    </row>
    <row r="422" spans="1:15" ht="42" customHeight="1">
      <c r="A422" s="316"/>
      <c r="B422" s="9"/>
      <c r="C422" s="9"/>
      <c r="D422" s="368"/>
      <c r="E422" s="369"/>
      <c r="F422" s="368"/>
      <c r="G422" s="369"/>
      <c r="H422" s="370"/>
      <c r="I422" s="371"/>
      <c r="J422" s="370"/>
      <c r="K422" s="371"/>
      <c r="L422" s="366"/>
      <c r="M422" s="360"/>
      <c r="N422" s="367"/>
      <c r="O422" s="71"/>
    </row>
    <row r="423" spans="1:15" ht="42" customHeight="1">
      <c r="A423" s="316"/>
      <c r="B423" s="9"/>
      <c r="C423" s="9"/>
      <c r="D423" s="368"/>
      <c r="E423" s="369"/>
      <c r="F423" s="368"/>
      <c r="G423" s="369"/>
      <c r="H423" s="370"/>
      <c r="I423" s="371"/>
      <c r="J423" s="370"/>
      <c r="K423" s="371"/>
      <c r="L423" s="366"/>
      <c r="M423" s="360"/>
      <c r="N423" s="367"/>
      <c r="O423" s="71"/>
    </row>
    <row r="424" spans="1:15" ht="42" customHeight="1">
      <c r="A424" s="316"/>
      <c r="B424" s="9"/>
      <c r="C424" s="9"/>
      <c r="D424" s="368"/>
      <c r="E424" s="369"/>
      <c r="F424" s="368"/>
      <c r="G424" s="369"/>
      <c r="H424" s="370"/>
      <c r="I424" s="371"/>
      <c r="J424" s="370"/>
      <c r="K424" s="371"/>
      <c r="L424" s="366"/>
      <c r="M424" s="360"/>
      <c r="N424" s="367"/>
      <c r="O424" s="71"/>
    </row>
    <row r="425" spans="1:15" ht="42" customHeight="1">
      <c r="A425" s="316"/>
      <c r="B425" s="9"/>
      <c r="C425" s="9"/>
      <c r="D425" s="368"/>
      <c r="E425" s="369"/>
      <c r="F425" s="368"/>
      <c r="G425" s="369"/>
      <c r="H425" s="370"/>
      <c r="I425" s="371"/>
      <c r="J425" s="370"/>
      <c r="K425" s="371"/>
      <c r="L425" s="366"/>
      <c r="M425" s="360"/>
      <c r="N425" s="367"/>
      <c r="O425" s="71"/>
    </row>
    <row r="426" spans="1:15" ht="42" customHeight="1">
      <c r="A426" s="316"/>
      <c r="B426" s="9"/>
      <c r="C426" s="9"/>
      <c r="D426" s="368"/>
      <c r="E426" s="369"/>
      <c r="F426" s="368"/>
      <c r="G426" s="369"/>
      <c r="H426" s="370"/>
      <c r="I426" s="371"/>
      <c r="J426" s="370"/>
      <c r="K426" s="371"/>
      <c r="L426" s="366"/>
      <c r="M426" s="360"/>
      <c r="N426" s="367"/>
      <c r="O426" s="71"/>
    </row>
    <row r="427" spans="1:15" ht="42" customHeight="1">
      <c r="A427" s="316"/>
      <c r="B427" s="9"/>
      <c r="C427" s="9"/>
      <c r="D427" s="368"/>
      <c r="E427" s="369"/>
      <c r="F427" s="368"/>
      <c r="G427" s="369"/>
      <c r="H427" s="370"/>
      <c r="I427" s="371"/>
      <c r="J427" s="370"/>
      <c r="K427" s="371"/>
      <c r="L427" s="366"/>
      <c r="M427" s="360"/>
      <c r="N427" s="367"/>
      <c r="O427" s="71"/>
    </row>
    <row r="428" spans="1:15" ht="42" customHeight="1">
      <c r="A428" s="316"/>
      <c r="B428" s="9"/>
      <c r="C428" s="9"/>
      <c r="D428" s="368"/>
      <c r="E428" s="369"/>
      <c r="F428" s="368"/>
      <c r="G428" s="369"/>
      <c r="H428" s="370"/>
      <c r="I428" s="371"/>
      <c r="J428" s="370"/>
      <c r="K428" s="371"/>
      <c r="L428" s="366"/>
      <c r="M428" s="360"/>
      <c r="N428" s="367"/>
      <c r="O428" s="71"/>
    </row>
    <row r="429" spans="1:15" ht="42" customHeight="1">
      <c r="A429" s="316"/>
      <c r="B429" s="9"/>
      <c r="C429" s="9"/>
      <c r="D429" s="368"/>
      <c r="E429" s="369"/>
      <c r="F429" s="368"/>
      <c r="G429" s="369"/>
      <c r="H429" s="370"/>
      <c r="I429" s="371"/>
      <c r="J429" s="370"/>
      <c r="K429" s="371"/>
      <c r="L429" s="366"/>
      <c r="M429" s="360"/>
      <c r="N429" s="367"/>
      <c r="O429" s="71"/>
    </row>
    <row r="430" spans="1:15" ht="42" customHeight="1">
      <c r="A430" s="316"/>
      <c r="B430" s="9"/>
      <c r="C430" s="9"/>
      <c r="D430" s="368"/>
      <c r="E430" s="369"/>
      <c r="F430" s="368"/>
      <c r="G430" s="369"/>
      <c r="H430" s="370"/>
      <c r="I430" s="371"/>
      <c r="J430" s="370"/>
      <c r="K430" s="371"/>
      <c r="L430" s="366"/>
      <c r="M430" s="360"/>
      <c r="N430" s="367"/>
      <c r="O430" s="71"/>
    </row>
    <row r="431" spans="1:15" ht="42" customHeight="1">
      <c r="A431" s="316"/>
      <c r="B431" s="9"/>
      <c r="C431" s="9"/>
      <c r="D431" s="368"/>
      <c r="E431" s="369"/>
      <c r="F431" s="368"/>
      <c r="G431" s="369"/>
      <c r="H431" s="370"/>
      <c r="I431" s="371"/>
      <c r="J431" s="370"/>
      <c r="K431" s="371"/>
      <c r="L431" s="366"/>
      <c r="M431" s="360"/>
      <c r="N431" s="367"/>
      <c r="O431" s="71"/>
    </row>
    <row r="432" spans="1:15" ht="42" customHeight="1">
      <c r="A432" s="316"/>
      <c r="B432" s="9"/>
      <c r="C432" s="9"/>
      <c r="D432" s="368"/>
      <c r="E432" s="369"/>
      <c r="F432" s="368"/>
      <c r="G432" s="369"/>
      <c r="H432" s="370"/>
      <c r="I432" s="371"/>
      <c r="J432" s="370"/>
      <c r="K432" s="371"/>
      <c r="L432" s="366"/>
      <c r="M432" s="360"/>
      <c r="N432" s="367"/>
      <c r="O432" s="71"/>
    </row>
    <row r="433" spans="1:15" ht="42" customHeight="1">
      <c r="A433" s="316"/>
      <c r="B433" s="9"/>
      <c r="C433" s="9"/>
      <c r="D433" s="368"/>
      <c r="E433" s="369"/>
      <c r="F433" s="368"/>
      <c r="G433" s="369"/>
      <c r="H433" s="370"/>
      <c r="I433" s="371"/>
      <c r="J433" s="370"/>
      <c r="K433" s="371"/>
      <c r="L433" s="366"/>
      <c r="M433" s="360"/>
      <c r="N433" s="367"/>
      <c r="O433" s="71"/>
    </row>
    <row r="434" spans="1:15" ht="42" customHeight="1">
      <c r="A434" s="316"/>
      <c r="B434" s="9"/>
      <c r="C434" s="9"/>
      <c r="D434" s="368"/>
      <c r="E434" s="369"/>
      <c r="F434" s="368"/>
      <c r="G434" s="369"/>
      <c r="H434" s="370"/>
      <c r="I434" s="371"/>
      <c r="J434" s="370"/>
      <c r="K434" s="371"/>
      <c r="L434" s="366"/>
      <c r="M434" s="360"/>
      <c r="N434" s="367"/>
      <c r="O434" s="71"/>
    </row>
    <row r="435" spans="1:15" ht="42" customHeight="1">
      <c r="A435" s="316"/>
      <c r="B435" s="9"/>
      <c r="C435" s="9"/>
      <c r="D435" s="368"/>
      <c r="E435" s="369"/>
      <c r="F435" s="368"/>
      <c r="G435" s="369"/>
      <c r="H435" s="370"/>
      <c r="I435" s="371"/>
      <c r="J435" s="370"/>
      <c r="K435" s="371"/>
      <c r="L435" s="366"/>
      <c r="M435" s="360"/>
      <c r="N435" s="367"/>
      <c r="O435" s="71"/>
    </row>
    <row r="436" spans="1:15" ht="42" customHeight="1">
      <c r="A436" s="316"/>
      <c r="B436" s="9"/>
      <c r="C436" s="9"/>
      <c r="D436" s="368"/>
      <c r="E436" s="369"/>
      <c r="F436" s="368"/>
      <c r="G436" s="369"/>
      <c r="H436" s="370"/>
      <c r="I436" s="371"/>
      <c r="J436" s="370"/>
      <c r="K436" s="371"/>
      <c r="L436" s="366"/>
      <c r="M436" s="360"/>
      <c r="N436" s="367"/>
      <c r="O436" s="71"/>
    </row>
    <row r="437" spans="1:15" ht="42" customHeight="1">
      <c r="A437" s="316"/>
      <c r="B437" s="9"/>
      <c r="C437" s="9"/>
      <c r="D437" s="368"/>
      <c r="E437" s="369"/>
      <c r="F437" s="368"/>
      <c r="G437" s="369"/>
      <c r="H437" s="370"/>
      <c r="I437" s="371"/>
      <c r="J437" s="370"/>
      <c r="K437" s="371"/>
      <c r="L437" s="366"/>
      <c r="M437" s="360"/>
      <c r="N437" s="367"/>
      <c r="O437" s="71"/>
    </row>
    <row r="438" spans="1:15" ht="42" customHeight="1">
      <c r="A438" s="316"/>
      <c r="B438" s="9"/>
      <c r="C438" s="9"/>
      <c r="D438" s="368"/>
      <c r="E438" s="369"/>
      <c r="F438" s="368"/>
      <c r="G438" s="369"/>
      <c r="H438" s="370"/>
      <c r="I438" s="371"/>
      <c r="J438" s="370"/>
      <c r="K438" s="371"/>
      <c r="L438" s="366"/>
      <c r="M438" s="360"/>
      <c r="N438" s="367"/>
      <c r="O438" s="71"/>
    </row>
    <row r="439" spans="1:15" ht="42" customHeight="1">
      <c r="A439" s="316"/>
      <c r="B439" s="9"/>
      <c r="C439" s="9"/>
      <c r="D439" s="368"/>
      <c r="E439" s="369"/>
      <c r="F439" s="368"/>
      <c r="G439" s="369"/>
      <c r="H439" s="370"/>
      <c r="I439" s="371"/>
      <c r="J439" s="370"/>
      <c r="K439" s="371"/>
      <c r="L439" s="366"/>
      <c r="M439" s="360"/>
      <c r="N439" s="367"/>
      <c r="O439" s="71"/>
    </row>
    <row r="440" spans="1:15" ht="42" customHeight="1">
      <c r="A440" s="316"/>
      <c r="B440" s="9"/>
      <c r="C440" s="9"/>
      <c r="D440" s="368"/>
      <c r="E440" s="369"/>
      <c r="F440" s="368"/>
      <c r="G440" s="369"/>
      <c r="H440" s="370"/>
      <c r="I440" s="371"/>
      <c r="J440" s="370"/>
      <c r="K440" s="371"/>
      <c r="L440" s="366"/>
      <c r="M440" s="360"/>
      <c r="N440" s="367"/>
      <c r="O440" s="71"/>
    </row>
    <row r="441" spans="1:15" ht="42" customHeight="1">
      <c r="A441" s="316"/>
      <c r="B441" s="9"/>
      <c r="C441" s="9"/>
      <c r="D441" s="368"/>
      <c r="E441" s="369"/>
      <c r="F441" s="368"/>
      <c r="G441" s="369"/>
      <c r="H441" s="370"/>
      <c r="I441" s="371"/>
      <c r="J441" s="370"/>
      <c r="K441" s="371"/>
      <c r="L441" s="366"/>
      <c r="M441" s="360"/>
      <c r="N441" s="367"/>
      <c r="O441" s="71"/>
    </row>
    <row r="442" spans="1:15" ht="42" customHeight="1">
      <c r="A442" s="316"/>
      <c r="B442" s="9"/>
      <c r="C442" s="9"/>
      <c r="D442" s="368"/>
      <c r="E442" s="369"/>
      <c r="F442" s="368"/>
      <c r="G442" s="369"/>
      <c r="H442" s="370"/>
      <c r="I442" s="371"/>
      <c r="J442" s="370"/>
      <c r="K442" s="371"/>
      <c r="L442" s="366"/>
      <c r="M442" s="360"/>
      <c r="N442" s="367"/>
      <c r="O442" s="71"/>
    </row>
    <row r="443" spans="1:15" ht="42" customHeight="1">
      <c r="A443" s="316"/>
      <c r="B443" s="9"/>
      <c r="C443" s="9"/>
      <c r="D443" s="368"/>
      <c r="E443" s="369"/>
      <c r="F443" s="368"/>
      <c r="G443" s="369"/>
      <c r="H443" s="370"/>
      <c r="I443" s="371"/>
      <c r="J443" s="370"/>
      <c r="K443" s="371"/>
      <c r="L443" s="366"/>
      <c r="M443" s="360"/>
      <c r="N443" s="367"/>
      <c r="O443" s="71"/>
    </row>
    <row r="444" spans="1:15" ht="42" customHeight="1">
      <c r="A444" s="316"/>
      <c r="B444" s="9"/>
      <c r="C444" s="9"/>
      <c r="D444" s="368"/>
      <c r="E444" s="369"/>
      <c r="F444" s="368"/>
      <c r="G444" s="369"/>
      <c r="H444" s="370"/>
      <c r="I444" s="371"/>
      <c r="J444" s="370"/>
      <c r="K444" s="371"/>
      <c r="L444" s="366"/>
      <c r="M444" s="360"/>
      <c r="N444" s="367"/>
      <c r="O444" s="71"/>
    </row>
    <row r="445" spans="1:15" ht="42" customHeight="1">
      <c r="A445" s="316"/>
      <c r="B445" s="9"/>
      <c r="C445" s="9"/>
      <c r="D445" s="368"/>
      <c r="E445" s="369"/>
      <c r="F445" s="368"/>
      <c r="G445" s="369"/>
      <c r="H445" s="370"/>
      <c r="I445" s="371"/>
      <c r="J445" s="370"/>
      <c r="K445" s="371"/>
      <c r="L445" s="366"/>
      <c r="M445" s="360"/>
      <c r="N445" s="367"/>
      <c r="O445" s="71"/>
    </row>
    <row r="446" spans="1:15" ht="42" customHeight="1">
      <c r="A446" s="316"/>
      <c r="B446" s="9"/>
      <c r="C446" s="9"/>
      <c r="D446" s="368"/>
      <c r="E446" s="369"/>
      <c r="F446" s="368"/>
      <c r="G446" s="369"/>
      <c r="H446" s="370"/>
      <c r="I446" s="371"/>
      <c r="J446" s="370"/>
      <c r="K446" s="371"/>
      <c r="L446" s="366"/>
      <c r="M446" s="360"/>
      <c r="N446" s="367"/>
      <c r="O446" s="71"/>
    </row>
    <row r="447" spans="1:15" ht="42" customHeight="1">
      <c r="A447" s="316"/>
      <c r="B447" s="9"/>
      <c r="C447" s="9"/>
      <c r="D447" s="368"/>
      <c r="E447" s="369"/>
      <c r="F447" s="368"/>
      <c r="G447" s="369"/>
      <c r="H447" s="370"/>
      <c r="I447" s="371"/>
      <c r="J447" s="370"/>
      <c r="K447" s="371"/>
      <c r="L447" s="366"/>
      <c r="M447" s="360"/>
      <c r="N447" s="367"/>
      <c r="O447" s="71"/>
    </row>
    <row r="448" spans="1:15" ht="42" customHeight="1">
      <c r="A448" s="316"/>
      <c r="B448" s="9"/>
      <c r="C448" s="9"/>
      <c r="D448" s="368"/>
      <c r="E448" s="369"/>
      <c r="F448" s="368"/>
      <c r="G448" s="369"/>
      <c r="H448" s="370"/>
      <c r="I448" s="371"/>
      <c r="J448" s="370"/>
      <c r="K448" s="371"/>
      <c r="L448" s="366"/>
      <c r="M448" s="360"/>
      <c r="N448" s="367"/>
      <c r="O448" s="71"/>
    </row>
    <row r="449" spans="1:15" ht="42" customHeight="1">
      <c r="A449" s="316"/>
      <c r="B449" s="9"/>
      <c r="C449" s="9"/>
      <c r="D449" s="368"/>
      <c r="E449" s="369"/>
      <c r="F449" s="368"/>
      <c r="G449" s="369"/>
      <c r="H449" s="370"/>
      <c r="I449" s="371"/>
      <c r="J449" s="370"/>
      <c r="K449" s="371"/>
      <c r="L449" s="366"/>
      <c r="M449" s="360"/>
      <c r="N449" s="367"/>
      <c r="O449" s="71"/>
    </row>
    <row r="450" spans="1:15" ht="42" customHeight="1">
      <c r="A450" s="316"/>
      <c r="B450" s="9"/>
      <c r="C450" s="9"/>
      <c r="D450" s="368"/>
      <c r="E450" s="369"/>
      <c r="F450" s="368"/>
      <c r="G450" s="369"/>
      <c r="H450" s="370"/>
      <c r="I450" s="371"/>
      <c r="J450" s="370"/>
      <c r="K450" s="371"/>
      <c r="L450" s="366"/>
      <c r="M450" s="360"/>
      <c r="N450" s="367"/>
      <c r="O450" s="71"/>
    </row>
    <row r="451" spans="1:15" ht="42" customHeight="1">
      <c r="A451" s="316"/>
      <c r="B451" s="9"/>
      <c r="C451" s="9"/>
      <c r="D451" s="368"/>
      <c r="E451" s="369"/>
      <c r="F451" s="368"/>
      <c r="G451" s="369"/>
      <c r="H451" s="370"/>
      <c r="I451" s="371"/>
      <c r="J451" s="370"/>
      <c r="K451" s="371"/>
      <c r="L451" s="366"/>
      <c r="M451" s="360"/>
      <c r="N451" s="367"/>
      <c r="O451" s="71"/>
    </row>
    <row r="452" spans="1:15" ht="42" customHeight="1">
      <c r="A452" s="316"/>
      <c r="B452" s="9"/>
      <c r="C452" s="9"/>
      <c r="D452" s="368"/>
      <c r="E452" s="369"/>
      <c r="F452" s="368"/>
      <c r="G452" s="369"/>
      <c r="H452" s="370"/>
      <c r="I452" s="371"/>
      <c r="J452" s="370"/>
      <c r="K452" s="371"/>
      <c r="L452" s="366"/>
      <c r="M452" s="360"/>
      <c r="N452" s="367"/>
      <c r="O452" s="71"/>
    </row>
    <row r="453" spans="1:15" ht="42" customHeight="1">
      <c r="A453" s="316"/>
      <c r="B453" s="9"/>
      <c r="C453" s="9"/>
      <c r="D453" s="368"/>
      <c r="E453" s="369"/>
      <c r="F453" s="368"/>
      <c r="G453" s="369"/>
      <c r="H453" s="370"/>
      <c r="I453" s="371"/>
      <c r="J453" s="370"/>
      <c r="K453" s="371"/>
      <c r="L453" s="366"/>
      <c r="M453" s="360"/>
      <c r="N453" s="367"/>
      <c r="O453" s="71"/>
    </row>
    <row r="454" spans="1:15" ht="42" customHeight="1">
      <c r="A454" s="316"/>
      <c r="B454" s="9"/>
      <c r="C454" s="9"/>
      <c r="D454" s="368"/>
      <c r="E454" s="369"/>
      <c r="F454" s="368"/>
      <c r="G454" s="369"/>
      <c r="H454" s="370"/>
      <c r="I454" s="371"/>
      <c r="J454" s="370"/>
      <c r="K454" s="371"/>
      <c r="L454" s="366"/>
      <c r="M454" s="360"/>
      <c r="N454" s="367"/>
      <c r="O454" s="71"/>
    </row>
    <row r="455" spans="1:15" ht="42" customHeight="1">
      <c r="A455" s="316"/>
      <c r="B455" s="9"/>
      <c r="C455" s="9"/>
      <c r="D455" s="368"/>
      <c r="E455" s="369"/>
      <c r="F455" s="368"/>
      <c r="G455" s="369"/>
      <c r="H455" s="370"/>
      <c r="I455" s="371"/>
      <c r="J455" s="370"/>
      <c r="K455" s="371"/>
      <c r="L455" s="366"/>
      <c r="M455" s="360"/>
      <c r="N455" s="367"/>
      <c r="O455" s="71"/>
    </row>
    <row r="456" spans="1:15" ht="42" customHeight="1">
      <c r="A456" s="316"/>
      <c r="B456" s="9"/>
      <c r="C456" s="9"/>
      <c r="D456" s="368"/>
      <c r="E456" s="369"/>
      <c r="F456" s="368"/>
      <c r="G456" s="369"/>
      <c r="H456" s="370"/>
      <c r="I456" s="371"/>
      <c r="J456" s="370"/>
      <c r="K456" s="371"/>
      <c r="L456" s="366"/>
      <c r="M456" s="360"/>
      <c r="N456" s="367"/>
      <c r="O456" s="71"/>
    </row>
    <row r="457" spans="1:15" ht="42" customHeight="1">
      <c r="A457" s="316"/>
      <c r="B457" s="9"/>
      <c r="C457" s="9"/>
      <c r="D457" s="368"/>
      <c r="E457" s="369"/>
      <c r="F457" s="368"/>
      <c r="G457" s="369"/>
      <c r="H457" s="370"/>
      <c r="I457" s="371"/>
      <c r="J457" s="370"/>
      <c r="K457" s="371"/>
      <c r="L457" s="366"/>
      <c r="M457" s="360"/>
      <c r="N457" s="367"/>
      <c r="O457" s="71"/>
    </row>
    <row r="458" spans="1:15" ht="42" customHeight="1">
      <c r="A458" s="316"/>
      <c r="B458" s="9"/>
      <c r="C458" s="9"/>
      <c r="D458" s="368"/>
      <c r="E458" s="369"/>
      <c r="F458" s="368"/>
      <c r="G458" s="369"/>
      <c r="H458" s="370"/>
      <c r="I458" s="371"/>
      <c r="J458" s="370"/>
      <c r="K458" s="371"/>
      <c r="L458" s="366"/>
      <c r="M458" s="360"/>
      <c r="N458" s="367"/>
      <c r="O458" s="71"/>
    </row>
    <row r="459" spans="1:15" ht="42" customHeight="1">
      <c r="A459" s="316"/>
      <c r="B459" s="9"/>
      <c r="C459" s="9"/>
      <c r="D459" s="368"/>
      <c r="E459" s="369"/>
      <c r="F459" s="368"/>
      <c r="G459" s="369"/>
      <c r="H459" s="370"/>
      <c r="I459" s="371"/>
      <c r="J459" s="370"/>
      <c r="K459" s="371"/>
      <c r="L459" s="366"/>
      <c r="M459" s="360"/>
      <c r="N459" s="367"/>
      <c r="O459" s="71"/>
    </row>
    <row r="460" spans="1:15" ht="42" customHeight="1">
      <c r="A460" s="316"/>
      <c r="B460" s="9"/>
      <c r="C460" s="9"/>
      <c r="D460" s="368"/>
      <c r="E460" s="369"/>
      <c r="F460" s="368"/>
      <c r="G460" s="369"/>
      <c r="H460" s="370"/>
      <c r="I460" s="371"/>
      <c r="J460" s="370"/>
      <c r="K460" s="371"/>
      <c r="L460" s="366"/>
      <c r="M460" s="360"/>
      <c r="N460" s="367"/>
      <c r="O460" s="71"/>
    </row>
    <row r="461" spans="1:15" ht="42" customHeight="1">
      <c r="A461" s="316"/>
      <c r="B461" s="9"/>
      <c r="C461" s="9"/>
      <c r="D461" s="368"/>
      <c r="E461" s="369"/>
      <c r="F461" s="368"/>
      <c r="G461" s="369"/>
      <c r="H461" s="370"/>
      <c r="I461" s="371"/>
      <c r="J461" s="370"/>
      <c r="K461" s="371"/>
      <c r="L461" s="366"/>
      <c r="M461" s="360"/>
      <c r="N461" s="367"/>
      <c r="O461" s="71"/>
    </row>
    <row r="462" spans="1:15" ht="42" customHeight="1">
      <c r="A462" s="316"/>
      <c r="B462" s="9"/>
      <c r="C462" s="9"/>
      <c r="D462" s="368"/>
      <c r="E462" s="369"/>
      <c r="F462" s="368"/>
      <c r="G462" s="369"/>
      <c r="H462" s="370"/>
      <c r="I462" s="371"/>
      <c r="J462" s="370"/>
      <c r="K462" s="371"/>
      <c r="L462" s="366"/>
      <c r="M462" s="360"/>
      <c r="N462" s="367"/>
      <c r="O462" s="71"/>
    </row>
    <row r="463" spans="1:15" ht="42" customHeight="1">
      <c r="A463" s="316"/>
      <c r="B463" s="9"/>
      <c r="C463" s="9"/>
      <c r="D463" s="368"/>
      <c r="E463" s="369"/>
      <c r="F463" s="368"/>
      <c r="G463" s="369"/>
      <c r="H463" s="370"/>
      <c r="I463" s="371"/>
      <c r="J463" s="370"/>
      <c r="K463" s="371"/>
      <c r="L463" s="366"/>
      <c r="M463" s="360"/>
      <c r="N463" s="367"/>
      <c r="O463" s="71"/>
    </row>
    <row r="464" spans="1:15" ht="42" customHeight="1">
      <c r="A464" s="316"/>
      <c r="B464" s="9"/>
      <c r="C464" s="9"/>
      <c r="D464" s="368"/>
      <c r="E464" s="369"/>
      <c r="F464" s="368"/>
      <c r="G464" s="369"/>
      <c r="H464" s="370"/>
      <c r="I464" s="371"/>
      <c r="J464" s="370"/>
      <c r="K464" s="371"/>
      <c r="L464" s="366"/>
      <c r="M464" s="360"/>
      <c r="N464" s="367"/>
      <c r="O464" s="71"/>
    </row>
    <row r="465" spans="1:15" ht="42" customHeight="1">
      <c r="A465" s="316"/>
      <c r="B465" s="9"/>
      <c r="C465" s="9"/>
      <c r="D465" s="368"/>
      <c r="E465" s="369"/>
      <c r="F465" s="368"/>
      <c r="G465" s="369"/>
      <c r="H465" s="370"/>
      <c r="I465" s="371"/>
      <c r="J465" s="370"/>
      <c r="K465" s="371"/>
      <c r="L465" s="366"/>
      <c r="M465" s="360"/>
      <c r="N465" s="367"/>
      <c r="O465" s="71"/>
    </row>
    <row r="466" spans="1:15" ht="42" customHeight="1">
      <c r="A466" s="316"/>
      <c r="B466" s="9"/>
      <c r="C466" s="9"/>
      <c r="D466" s="368"/>
      <c r="E466" s="369"/>
      <c r="F466" s="368"/>
      <c r="G466" s="369"/>
      <c r="H466" s="370"/>
      <c r="I466" s="371"/>
      <c r="J466" s="370"/>
      <c r="K466" s="371"/>
      <c r="L466" s="366"/>
      <c r="M466" s="360"/>
      <c r="N466" s="367"/>
      <c r="O466" s="71"/>
    </row>
    <row r="467" spans="1:15" ht="42" customHeight="1">
      <c r="A467" s="316"/>
      <c r="B467" s="9"/>
      <c r="C467" s="9"/>
      <c r="D467" s="368"/>
      <c r="E467" s="369"/>
      <c r="F467" s="368"/>
      <c r="G467" s="369"/>
      <c r="H467" s="370"/>
      <c r="I467" s="371"/>
      <c r="J467" s="370"/>
      <c r="K467" s="371"/>
      <c r="L467" s="366"/>
      <c r="M467" s="360"/>
      <c r="N467" s="367"/>
      <c r="O467" s="71"/>
    </row>
    <row r="468" spans="1:15" ht="42" customHeight="1">
      <c r="A468" s="316"/>
      <c r="B468" s="9"/>
      <c r="C468" s="9"/>
      <c r="D468" s="368"/>
      <c r="E468" s="369"/>
      <c r="F468" s="368"/>
      <c r="G468" s="369"/>
      <c r="H468" s="370"/>
      <c r="I468" s="371"/>
      <c r="J468" s="370"/>
      <c r="K468" s="371"/>
      <c r="L468" s="366"/>
      <c r="M468" s="360"/>
      <c r="N468" s="367"/>
      <c r="O468" s="71"/>
    </row>
    <row r="469" spans="1:15" ht="42" customHeight="1">
      <c r="A469" s="316"/>
      <c r="B469" s="9"/>
      <c r="C469" s="9"/>
      <c r="D469" s="368"/>
      <c r="E469" s="369"/>
      <c r="F469" s="368"/>
      <c r="G469" s="369"/>
      <c r="H469" s="370"/>
      <c r="I469" s="371"/>
      <c r="J469" s="370"/>
      <c r="K469" s="371"/>
      <c r="L469" s="366"/>
      <c r="M469" s="360"/>
      <c r="N469" s="367"/>
      <c r="O469" s="71"/>
    </row>
    <row r="470" spans="1:15" ht="42" customHeight="1">
      <c r="A470" s="316"/>
      <c r="B470" s="9"/>
      <c r="C470" s="9"/>
      <c r="D470" s="368"/>
      <c r="E470" s="369"/>
      <c r="F470" s="368"/>
      <c r="G470" s="369"/>
      <c r="H470" s="370"/>
      <c r="I470" s="371"/>
      <c r="J470" s="370"/>
      <c r="K470" s="371"/>
      <c r="L470" s="366"/>
      <c r="M470" s="360"/>
      <c r="N470" s="367"/>
      <c r="O470" s="71"/>
    </row>
    <row r="471" spans="1:15" ht="42" customHeight="1">
      <c r="A471" s="316"/>
      <c r="B471" s="9"/>
      <c r="C471" s="9"/>
      <c r="D471" s="368"/>
      <c r="E471" s="369"/>
      <c r="F471" s="368"/>
      <c r="G471" s="369"/>
      <c r="H471" s="370"/>
      <c r="I471" s="371"/>
      <c r="J471" s="370"/>
      <c r="K471" s="371"/>
      <c r="L471" s="366"/>
      <c r="M471" s="360"/>
      <c r="N471" s="367"/>
      <c r="O471" s="71"/>
    </row>
    <row r="472" spans="1:15" ht="42" customHeight="1">
      <c r="A472" s="316"/>
      <c r="B472" s="9"/>
      <c r="C472" s="9"/>
      <c r="D472" s="368"/>
      <c r="E472" s="369"/>
      <c r="F472" s="368"/>
      <c r="G472" s="369"/>
      <c r="H472" s="370"/>
      <c r="I472" s="371"/>
      <c r="J472" s="370"/>
      <c r="K472" s="371"/>
      <c r="L472" s="366"/>
      <c r="M472" s="360"/>
      <c r="N472" s="367"/>
      <c r="O472" s="71"/>
    </row>
    <row r="473" spans="1:15" ht="42" customHeight="1">
      <c r="A473" s="316"/>
      <c r="B473" s="9"/>
      <c r="C473" s="9"/>
      <c r="D473" s="368"/>
      <c r="E473" s="369"/>
      <c r="F473" s="368"/>
      <c r="G473" s="369"/>
      <c r="H473" s="370"/>
      <c r="I473" s="371"/>
      <c r="J473" s="370"/>
      <c r="K473" s="371"/>
      <c r="L473" s="366"/>
      <c r="M473" s="360"/>
      <c r="N473" s="367"/>
      <c r="O473" s="71"/>
    </row>
    <row r="474" spans="1:15" ht="42" customHeight="1">
      <c r="A474" s="316"/>
      <c r="B474" s="9"/>
      <c r="C474" s="9"/>
      <c r="D474" s="368"/>
      <c r="E474" s="369"/>
      <c r="F474" s="368"/>
      <c r="G474" s="369"/>
      <c r="H474" s="370"/>
      <c r="I474" s="371"/>
      <c r="J474" s="370"/>
      <c r="K474" s="371"/>
      <c r="L474" s="366"/>
      <c r="M474" s="360"/>
      <c r="N474" s="367"/>
      <c r="O474" s="71"/>
    </row>
    <row r="475" spans="1:15" ht="42" customHeight="1">
      <c r="A475" s="316"/>
      <c r="B475" s="9"/>
      <c r="C475" s="9"/>
      <c r="D475" s="368"/>
      <c r="E475" s="369"/>
      <c r="F475" s="368"/>
      <c r="G475" s="369"/>
      <c r="H475" s="370"/>
      <c r="I475" s="371"/>
      <c r="J475" s="370"/>
      <c r="K475" s="371"/>
      <c r="L475" s="366"/>
      <c r="M475" s="360"/>
      <c r="N475" s="367"/>
      <c r="O475" s="71"/>
    </row>
    <row r="476" spans="1:15" ht="42" customHeight="1">
      <c r="A476" s="316"/>
      <c r="B476" s="9"/>
      <c r="C476" s="9"/>
      <c r="D476" s="368"/>
      <c r="E476" s="369"/>
      <c r="F476" s="368"/>
      <c r="G476" s="369"/>
      <c r="H476" s="370"/>
      <c r="I476" s="371"/>
      <c r="J476" s="370"/>
      <c r="K476" s="371"/>
      <c r="L476" s="366"/>
      <c r="M476" s="360"/>
      <c r="N476" s="367"/>
      <c r="O476" s="71"/>
    </row>
    <row r="477" spans="1:15" ht="42" customHeight="1">
      <c r="A477" s="316"/>
      <c r="B477" s="9"/>
      <c r="C477" s="9"/>
      <c r="D477" s="368"/>
      <c r="E477" s="369"/>
      <c r="F477" s="368"/>
      <c r="G477" s="369"/>
      <c r="H477" s="370"/>
      <c r="I477" s="371"/>
      <c r="J477" s="370"/>
      <c r="K477" s="371"/>
      <c r="L477" s="366"/>
      <c r="M477" s="360"/>
      <c r="N477" s="367"/>
      <c r="O477" s="71"/>
    </row>
    <row r="478" spans="1:15" ht="42" customHeight="1">
      <c r="A478" s="316"/>
      <c r="B478" s="9"/>
      <c r="C478" s="9"/>
      <c r="D478" s="368"/>
      <c r="E478" s="369"/>
      <c r="F478" s="368"/>
      <c r="G478" s="369"/>
      <c r="H478" s="370"/>
      <c r="I478" s="371"/>
      <c r="J478" s="370"/>
      <c r="K478" s="371"/>
      <c r="L478" s="366"/>
      <c r="M478" s="360"/>
      <c r="N478" s="367"/>
      <c r="O478" s="71"/>
    </row>
    <row r="479" spans="1:15" ht="42" customHeight="1">
      <c r="A479" s="316"/>
      <c r="B479" s="9"/>
      <c r="C479" s="9"/>
      <c r="D479" s="368"/>
      <c r="E479" s="369"/>
      <c r="F479" s="368"/>
      <c r="G479" s="369"/>
      <c r="H479" s="370"/>
      <c r="I479" s="371"/>
      <c r="J479" s="370"/>
      <c r="K479" s="371"/>
      <c r="L479" s="366"/>
      <c r="M479" s="360"/>
      <c r="N479" s="367"/>
      <c r="O479" s="71"/>
    </row>
    <row r="480" spans="1:15" ht="42" customHeight="1">
      <c r="A480" s="316"/>
      <c r="B480" s="9"/>
      <c r="C480" s="9"/>
      <c r="D480" s="368"/>
      <c r="E480" s="369"/>
      <c r="F480" s="368"/>
      <c r="G480" s="369"/>
      <c r="H480" s="370"/>
      <c r="I480" s="371"/>
      <c r="J480" s="370"/>
      <c r="K480" s="371"/>
      <c r="L480" s="366"/>
      <c r="M480" s="360"/>
      <c r="N480" s="367"/>
      <c r="O480" s="71"/>
    </row>
    <row r="481" spans="1:15" ht="42" customHeight="1">
      <c r="A481" s="316"/>
      <c r="B481" s="9"/>
      <c r="C481" s="9"/>
      <c r="D481" s="368"/>
      <c r="E481" s="369"/>
      <c r="F481" s="368"/>
      <c r="G481" s="369"/>
      <c r="H481" s="370"/>
      <c r="I481" s="371"/>
      <c r="J481" s="370"/>
      <c r="K481" s="371"/>
      <c r="L481" s="366"/>
      <c r="M481" s="360"/>
      <c r="N481" s="367"/>
      <c r="O481" s="71"/>
    </row>
    <row r="482" spans="1:15" ht="42" customHeight="1">
      <c r="A482" s="316"/>
      <c r="B482" s="9"/>
      <c r="C482" s="9"/>
      <c r="D482" s="368"/>
      <c r="E482" s="369"/>
      <c r="F482" s="368"/>
      <c r="G482" s="369"/>
      <c r="H482" s="370"/>
      <c r="I482" s="371"/>
      <c r="J482" s="370"/>
      <c r="K482" s="371"/>
      <c r="L482" s="366"/>
      <c r="M482" s="360"/>
      <c r="N482" s="367"/>
      <c r="O482" s="71"/>
    </row>
    <row r="483" spans="1:15" ht="42" customHeight="1">
      <c r="A483" s="316"/>
      <c r="B483" s="9"/>
      <c r="C483" s="9"/>
      <c r="D483" s="368"/>
      <c r="E483" s="369"/>
      <c r="F483" s="368"/>
      <c r="G483" s="369"/>
      <c r="H483" s="370"/>
      <c r="I483" s="371"/>
      <c r="J483" s="370"/>
      <c r="K483" s="371"/>
      <c r="L483" s="366"/>
      <c r="M483" s="360"/>
      <c r="N483" s="367"/>
      <c r="O483" s="71"/>
    </row>
    <row r="484" spans="1:15" ht="42" customHeight="1">
      <c r="A484" s="316"/>
      <c r="B484" s="9"/>
      <c r="C484" s="9"/>
      <c r="D484" s="368"/>
      <c r="E484" s="369"/>
      <c r="F484" s="368"/>
      <c r="G484" s="369"/>
      <c r="H484" s="370"/>
      <c r="I484" s="371"/>
      <c r="J484" s="370"/>
      <c r="K484" s="371"/>
      <c r="L484" s="366"/>
      <c r="M484" s="360"/>
      <c r="N484" s="367"/>
      <c r="O484" s="71"/>
    </row>
    <row r="485" spans="1:15" ht="42" customHeight="1">
      <c r="A485" s="316"/>
      <c r="B485" s="9"/>
      <c r="C485" s="9"/>
      <c r="D485" s="368"/>
      <c r="E485" s="369"/>
      <c r="F485" s="368"/>
      <c r="G485" s="369"/>
      <c r="H485" s="370"/>
      <c r="I485" s="371"/>
      <c r="J485" s="370"/>
      <c r="K485" s="371"/>
      <c r="L485" s="366"/>
      <c r="M485" s="360"/>
      <c r="N485" s="367"/>
      <c r="O485" s="71"/>
    </row>
    <row r="486" spans="1:15" ht="42" customHeight="1">
      <c r="A486" s="316"/>
      <c r="B486" s="9"/>
      <c r="C486" s="9"/>
      <c r="D486" s="368"/>
      <c r="E486" s="369"/>
      <c r="F486" s="368"/>
      <c r="G486" s="369"/>
      <c r="H486" s="370"/>
      <c r="I486" s="371"/>
      <c r="J486" s="370"/>
      <c r="K486" s="371"/>
      <c r="L486" s="366"/>
      <c r="M486" s="360"/>
      <c r="N486" s="367"/>
      <c r="O486" s="71"/>
    </row>
    <row r="487" spans="1:15" ht="42" customHeight="1">
      <c r="A487" s="316"/>
      <c r="B487" s="9"/>
      <c r="C487" s="9"/>
      <c r="D487" s="368"/>
      <c r="E487" s="369"/>
      <c r="F487" s="368"/>
      <c r="G487" s="369"/>
      <c r="H487" s="370"/>
      <c r="I487" s="371"/>
      <c r="J487" s="370"/>
      <c r="K487" s="371"/>
      <c r="L487" s="366"/>
      <c r="M487" s="360"/>
      <c r="N487" s="367"/>
      <c r="O487" s="71"/>
    </row>
    <row r="488" spans="1:15" ht="42" customHeight="1">
      <c r="A488" s="316"/>
      <c r="B488" s="9"/>
      <c r="C488" s="9"/>
      <c r="D488" s="368"/>
      <c r="E488" s="369"/>
      <c r="F488" s="368"/>
      <c r="G488" s="369"/>
      <c r="H488" s="370"/>
      <c r="I488" s="371"/>
      <c r="J488" s="370"/>
      <c r="K488" s="371"/>
      <c r="L488" s="366"/>
      <c r="M488" s="360"/>
      <c r="N488" s="367"/>
      <c r="O488" s="71"/>
    </row>
    <row r="489" spans="1:15" ht="42" customHeight="1">
      <c r="A489" s="316"/>
      <c r="B489" s="9"/>
      <c r="C489" s="9"/>
      <c r="D489" s="368"/>
      <c r="E489" s="369"/>
      <c r="F489" s="368"/>
      <c r="G489" s="369"/>
      <c r="H489" s="370"/>
      <c r="I489" s="371"/>
      <c r="J489" s="370"/>
      <c r="K489" s="371"/>
      <c r="L489" s="366"/>
      <c r="M489" s="360"/>
      <c r="N489" s="367"/>
      <c r="O489" s="71"/>
    </row>
    <row r="490" spans="1:15" ht="42" customHeight="1">
      <c r="A490" s="316"/>
      <c r="B490" s="9"/>
      <c r="C490" s="9"/>
      <c r="D490" s="368"/>
      <c r="E490" s="369"/>
      <c r="F490" s="368"/>
      <c r="G490" s="369"/>
      <c r="H490" s="370"/>
      <c r="I490" s="371"/>
      <c r="J490" s="370"/>
      <c r="K490" s="371"/>
      <c r="L490" s="366"/>
      <c r="M490" s="360"/>
      <c r="N490" s="367"/>
      <c r="O490" s="71"/>
    </row>
    <row r="491" spans="1:15" ht="42" customHeight="1">
      <c r="A491" s="316"/>
      <c r="B491" s="9"/>
      <c r="C491" s="9"/>
      <c r="D491" s="368"/>
      <c r="E491" s="369"/>
      <c r="F491" s="368"/>
      <c r="G491" s="369"/>
      <c r="H491" s="370"/>
      <c r="I491" s="371"/>
      <c r="J491" s="370"/>
      <c r="K491" s="371"/>
      <c r="L491" s="366"/>
      <c r="M491" s="360"/>
      <c r="N491" s="367"/>
      <c r="O491" s="71"/>
    </row>
    <row r="492" spans="1:15" ht="42" customHeight="1">
      <c r="A492" s="316"/>
      <c r="B492" s="9"/>
      <c r="C492" s="9"/>
      <c r="D492" s="368"/>
      <c r="E492" s="369"/>
      <c r="F492" s="368"/>
      <c r="G492" s="369"/>
      <c r="H492" s="370"/>
      <c r="I492" s="371"/>
      <c r="J492" s="370"/>
      <c r="K492" s="371"/>
      <c r="L492" s="366"/>
      <c r="M492" s="360"/>
      <c r="N492" s="367"/>
      <c r="O492" s="71"/>
    </row>
    <row r="493" spans="1:15" ht="42" customHeight="1">
      <c r="A493" s="316"/>
      <c r="B493" s="9"/>
      <c r="C493" s="9"/>
      <c r="D493" s="368"/>
      <c r="E493" s="369"/>
      <c r="F493" s="368"/>
      <c r="G493" s="369"/>
      <c r="H493" s="370"/>
      <c r="I493" s="371"/>
      <c r="J493" s="370"/>
      <c r="K493" s="371"/>
      <c r="L493" s="366"/>
      <c r="M493" s="360"/>
      <c r="N493" s="367"/>
      <c r="O493" s="71"/>
    </row>
    <row r="494" spans="1:15" ht="42" customHeight="1">
      <c r="A494" s="316"/>
      <c r="B494" s="9"/>
      <c r="C494" s="9"/>
      <c r="D494" s="368"/>
      <c r="E494" s="369"/>
      <c r="F494" s="368"/>
      <c r="G494" s="369"/>
      <c r="H494" s="370"/>
      <c r="I494" s="371"/>
      <c r="J494" s="370"/>
      <c r="K494" s="371"/>
      <c r="L494" s="366"/>
      <c r="M494" s="360"/>
      <c r="N494" s="367"/>
      <c r="O494" s="71"/>
    </row>
    <row r="495" spans="1:15" ht="42" customHeight="1">
      <c r="A495" s="316"/>
      <c r="B495" s="9"/>
      <c r="C495" s="9"/>
      <c r="D495" s="368"/>
      <c r="E495" s="369"/>
      <c r="F495" s="368"/>
      <c r="G495" s="369"/>
      <c r="H495" s="370"/>
      <c r="I495" s="371"/>
      <c r="J495" s="370"/>
      <c r="K495" s="371"/>
      <c r="L495" s="366"/>
      <c r="M495" s="360"/>
      <c r="N495" s="367"/>
      <c r="O495" s="71"/>
    </row>
    <row r="496" spans="1:15" ht="42" customHeight="1">
      <c r="A496" s="316"/>
      <c r="B496" s="9"/>
      <c r="C496" s="9"/>
      <c r="D496" s="368"/>
      <c r="E496" s="369"/>
      <c r="F496" s="368"/>
      <c r="G496" s="369"/>
      <c r="H496" s="370"/>
      <c r="I496" s="371"/>
      <c r="J496" s="370"/>
      <c r="K496" s="371"/>
      <c r="L496" s="366"/>
      <c r="M496" s="360"/>
      <c r="N496" s="367"/>
      <c r="O496" s="71"/>
    </row>
    <row r="497" spans="1:15" ht="42" customHeight="1">
      <c r="A497" s="316"/>
      <c r="B497" s="9"/>
      <c r="C497" s="9"/>
      <c r="D497" s="368"/>
      <c r="E497" s="369"/>
      <c r="F497" s="368"/>
      <c r="G497" s="369"/>
      <c r="H497" s="370"/>
      <c r="I497" s="371"/>
      <c r="J497" s="370"/>
      <c r="K497" s="371"/>
      <c r="L497" s="366"/>
      <c r="M497" s="360"/>
      <c r="N497" s="367"/>
      <c r="O497" s="71"/>
    </row>
    <row r="498" spans="1:15" ht="42" customHeight="1">
      <c r="A498" s="316"/>
      <c r="B498" s="9"/>
      <c r="C498" s="9"/>
      <c r="D498" s="368"/>
      <c r="E498" s="369"/>
      <c r="F498" s="368"/>
      <c r="G498" s="369"/>
      <c r="H498" s="370"/>
      <c r="I498" s="371"/>
      <c r="J498" s="370"/>
      <c r="K498" s="371"/>
      <c r="L498" s="366"/>
      <c r="M498" s="360"/>
      <c r="N498" s="367"/>
      <c r="O498" s="71"/>
    </row>
    <row r="499" spans="1:15" ht="42" customHeight="1">
      <c r="A499" s="316"/>
      <c r="B499" s="9"/>
      <c r="C499" s="9"/>
      <c r="D499" s="368"/>
      <c r="E499" s="369"/>
      <c r="F499" s="368"/>
      <c r="G499" s="369"/>
      <c r="H499" s="370"/>
      <c r="I499" s="371"/>
      <c r="J499" s="370"/>
      <c r="K499" s="371"/>
      <c r="L499" s="366"/>
      <c r="M499" s="360"/>
      <c r="N499" s="367"/>
      <c r="O499" s="71"/>
    </row>
    <row r="500" spans="1:15" ht="42" customHeight="1">
      <c r="A500" s="316"/>
      <c r="B500" s="9"/>
      <c r="C500" s="9"/>
      <c r="D500" s="368"/>
      <c r="E500" s="369"/>
      <c r="F500" s="368"/>
      <c r="G500" s="369"/>
      <c r="H500" s="370"/>
      <c r="I500" s="371"/>
      <c r="J500" s="370"/>
      <c r="K500" s="371"/>
      <c r="L500" s="366"/>
      <c r="M500" s="360"/>
      <c r="N500" s="367"/>
      <c r="O500" s="71"/>
    </row>
    <row r="501" spans="1:15" ht="42" customHeight="1">
      <c r="A501" s="316"/>
      <c r="B501" s="9"/>
      <c r="C501" s="9"/>
      <c r="D501" s="368"/>
      <c r="E501" s="369"/>
      <c r="F501" s="368"/>
      <c r="G501" s="369"/>
      <c r="H501" s="370"/>
      <c r="I501" s="371"/>
      <c r="J501" s="370"/>
      <c r="K501" s="371"/>
      <c r="L501" s="366"/>
      <c r="M501" s="360"/>
      <c r="N501" s="367"/>
      <c r="O501" s="71"/>
    </row>
    <row r="502" spans="1:15" ht="42" customHeight="1">
      <c r="A502" s="316"/>
      <c r="B502" s="9"/>
      <c r="C502" s="9"/>
      <c r="D502" s="368"/>
      <c r="E502" s="369"/>
      <c r="F502" s="368"/>
      <c r="G502" s="369"/>
      <c r="H502" s="370"/>
      <c r="I502" s="371"/>
      <c r="J502" s="370"/>
      <c r="K502" s="371"/>
      <c r="L502" s="366"/>
      <c r="M502" s="360"/>
      <c r="N502" s="367"/>
      <c r="O502" s="71"/>
    </row>
    <row r="503" spans="1:15" ht="42" customHeight="1">
      <c r="A503" s="316"/>
      <c r="B503" s="9"/>
      <c r="C503" s="9"/>
      <c r="D503" s="368"/>
      <c r="E503" s="369"/>
      <c r="F503" s="368"/>
      <c r="G503" s="369"/>
      <c r="H503" s="370"/>
      <c r="I503" s="371"/>
      <c r="J503" s="370"/>
      <c r="K503" s="371"/>
      <c r="L503" s="366"/>
      <c r="M503" s="360"/>
      <c r="N503" s="367"/>
      <c r="O503" s="71"/>
    </row>
    <row r="504" spans="1:15" ht="42" customHeight="1">
      <c r="A504" s="316"/>
      <c r="B504" s="9"/>
      <c r="C504" s="9"/>
      <c r="D504" s="368"/>
      <c r="E504" s="369"/>
      <c r="F504" s="368"/>
      <c r="G504" s="369"/>
      <c r="H504" s="370"/>
      <c r="I504" s="371"/>
      <c r="J504" s="370"/>
      <c r="K504" s="371"/>
      <c r="L504" s="366"/>
      <c r="M504" s="360"/>
      <c r="N504" s="367"/>
      <c r="O504" s="71"/>
    </row>
    <row r="505" spans="1:15" ht="42" customHeight="1">
      <c r="A505" s="316"/>
      <c r="B505" s="9"/>
      <c r="C505" s="9"/>
      <c r="D505" s="368"/>
      <c r="E505" s="369"/>
      <c r="F505" s="368"/>
      <c r="G505" s="369"/>
      <c r="H505" s="370"/>
      <c r="I505" s="371"/>
      <c r="J505" s="370"/>
      <c r="K505" s="371"/>
      <c r="L505" s="366"/>
      <c r="M505" s="360"/>
      <c r="N505" s="367"/>
      <c r="O505" s="71"/>
    </row>
    <row r="506" spans="1:15" ht="42" customHeight="1">
      <c r="A506" s="316"/>
      <c r="B506" s="9"/>
      <c r="C506" s="9"/>
      <c r="D506" s="368"/>
      <c r="E506" s="369"/>
      <c r="F506" s="368"/>
      <c r="G506" s="369"/>
      <c r="H506" s="370"/>
      <c r="I506" s="371"/>
      <c r="J506" s="370"/>
      <c r="K506" s="371"/>
      <c r="L506" s="366"/>
      <c r="M506" s="360"/>
      <c r="N506" s="367"/>
      <c r="O506" s="71"/>
    </row>
    <row r="507" spans="1:15" ht="42" customHeight="1">
      <c r="A507" s="316"/>
      <c r="B507" s="9"/>
      <c r="C507" s="9"/>
      <c r="D507" s="368"/>
      <c r="E507" s="369"/>
      <c r="F507" s="368"/>
      <c r="G507" s="369"/>
      <c r="H507" s="370"/>
      <c r="I507" s="371"/>
      <c r="J507" s="370"/>
      <c r="K507" s="371"/>
      <c r="L507" s="366"/>
      <c r="M507" s="360"/>
      <c r="N507" s="367"/>
      <c r="O507" s="71"/>
    </row>
    <row r="508" spans="1:15" ht="42" customHeight="1">
      <c r="A508" s="316"/>
      <c r="B508" s="9"/>
      <c r="C508" s="9"/>
      <c r="D508" s="368"/>
      <c r="E508" s="369"/>
      <c r="F508" s="368"/>
      <c r="G508" s="369"/>
      <c r="H508" s="370"/>
      <c r="I508" s="371"/>
      <c r="J508" s="370"/>
      <c r="K508" s="371"/>
      <c r="L508" s="366"/>
      <c r="M508" s="360"/>
      <c r="N508" s="367"/>
      <c r="O508" s="71"/>
    </row>
    <row r="509" spans="1:15" ht="42" customHeight="1">
      <c r="A509" s="316"/>
      <c r="B509" s="9"/>
      <c r="C509" s="9"/>
      <c r="D509" s="368"/>
      <c r="E509" s="369"/>
      <c r="F509" s="368"/>
      <c r="G509" s="369"/>
      <c r="H509" s="370"/>
      <c r="I509" s="371"/>
      <c r="J509" s="370"/>
      <c r="K509" s="371"/>
      <c r="L509" s="366"/>
      <c r="M509" s="360"/>
      <c r="N509" s="367"/>
      <c r="O509" s="71"/>
    </row>
    <row r="510" spans="1:15" ht="42" customHeight="1">
      <c r="A510" s="316"/>
      <c r="B510" s="9"/>
      <c r="C510" s="9"/>
      <c r="D510" s="368"/>
      <c r="E510" s="369"/>
      <c r="F510" s="368"/>
      <c r="G510" s="369"/>
      <c r="H510" s="370"/>
      <c r="I510" s="371"/>
      <c r="J510" s="370"/>
      <c r="K510" s="371"/>
      <c r="L510" s="366"/>
      <c r="M510" s="360"/>
      <c r="N510" s="367"/>
      <c r="O510" s="71"/>
    </row>
    <row r="511" spans="1:15" ht="42" customHeight="1">
      <c r="A511" s="316"/>
      <c r="B511" s="9"/>
      <c r="C511" s="9"/>
      <c r="D511" s="368"/>
      <c r="E511" s="369"/>
      <c r="F511" s="368"/>
      <c r="G511" s="369"/>
      <c r="H511" s="370"/>
      <c r="I511" s="371"/>
      <c r="J511" s="370"/>
      <c r="K511" s="371"/>
      <c r="L511" s="366"/>
      <c r="M511" s="360"/>
      <c r="N511" s="367"/>
      <c r="O511" s="71"/>
    </row>
    <row r="512" spans="1:15" ht="42" customHeight="1">
      <c r="A512" s="316"/>
      <c r="B512" s="9"/>
      <c r="C512" s="9"/>
      <c r="D512" s="368"/>
      <c r="E512" s="369"/>
      <c r="F512" s="368"/>
      <c r="G512" s="369"/>
      <c r="H512" s="370"/>
      <c r="I512" s="371"/>
      <c r="J512" s="370"/>
      <c r="K512" s="371"/>
      <c r="L512" s="366"/>
      <c r="M512" s="360"/>
      <c r="N512" s="367"/>
      <c r="O512" s="71"/>
    </row>
    <row r="513" spans="1:15" ht="42" customHeight="1">
      <c r="A513" s="316"/>
      <c r="B513" s="9"/>
      <c r="C513" s="9"/>
      <c r="D513" s="368"/>
      <c r="E513" s="369"/>
      <c r="F513" s="368"/>
      <c r="G513" s="369"/>
      <c r="H513" s="370"/>
      <c r="I513" s="371"/>
      <c r="J513" s="370"/>
      <c r="K513" s="371"/>
      <c r="L513" s="366"/>
      <c r="M513" s="360"/>
      <c r="N513" s="367"/>
      <c r="O513" s="71"/>
    </row>
    <row r="514" spans="1:15" ht="42" customHeight="1">
      <c r="A514" s="316"/>
      <c r="B514" s="9"/>
      <c r="C514" s="9"/>
      <c r="D514" s="368"/>
      <c r="E514" s="369"/>
      <c r="F514" s="368"/>
      <c r="G514" s="369"/>
      <c r="H514" s="370"/>
      <c r="I514" s="371"/>
      <c r="J514" s="370"/>
      <c r="K514" s="371"/>
      <c r="L514" s="366"/>
      <c r="M514" s="360"/>
      <c r="N514" s="367"/>
      <c r="O514" s="71"/>
    </row>
    <row r="515" spans="1:15" ht="42" customHeight="1">
      <c r="A515" s="316"/>
      <c r="B515" s="9"/>
      <c r="C515" s="9"/>
      <c r="D515" s="368"/>
      <c r="E515" s="369"/>
      <c r="F515" s="368"/>
      <c r="G515" s="369"/>
      <c r="H515" s="370"/>
      <c r="I515" s="371"/>
      <c r="J515" s="370"/>
      <c r="K515" s="371"/>
      <c r="L515" s="366"/>
      <c r="M515" s="360"/>
      <c r="N515" s="367"/>
      <c r="O515" s="71"/>
    </row>
    <row r="516" spans="1:15" ht="42" customHeight="1">
      <c r="A516" s="316"/>
      <c r="B516" s="9"/>
      <c r="C516" s="9"/>
      <c r="D516" s="368"/>
      <c r="E516" s="369"/>
      <c r="F516" s="368"/>
      <c r="G516" s="369"/>
      <c r="H516" s="370"/>
      <c r="I516" s="371"/>
      <c r="J516" s="370"/>
      <c r="K516" s="371"/>
      <c r="L516" s="366"/>
      <c r="M516" s="360"/>
      <c r="N516" s="367"/>
      <c r="O516" s="71"/>
    </row>
    <row r="517" spans="1:15" ht="42" customHeight="1">
      <c r="A517" s="316"/>
      <c r="B517" s="9"/>
      <c r="C517" s="9"/>
      <c r="D517" s="368"/>
      <c r="E517" s="369"/>
      <c r="F517" s="368"/>
      <c r="G517" s="369"/>
      <c r="H517" s="370"/>
      <c r="I517" s="371"/>
      <c r="J517" s="370"/>
      <c r="K517" s="371"/>
      <c r="L517" s="366"/>
      <c r="M517" s="360"/>
      <c r="N517" s="367"/>
      <c r="O517" s="71"/>
    </row>
    <row r="518" spans="1:15" ht="42" customHeight="1">
      <c r="A518" s="316"/>
      <c r="B518" s="9"/>
      <c r="C518" s="9"/>
      <c r="D518" s="368"/>
      <c r="E518" s="369"/>
      <c r="F518" s="368"/>
      <c r="G518" s="369"/>
      <c r="H518" s="370"/>
      <c r="I518" s="371"/>
      <c r="J518" s="370"/>
      <c r="K518" s="371"/>
      <c r="L518" s="366"/>
      <c r="M518" s="360"/>
      <c r="N518" s="367"/>
      <c r="O518" s="71"/>
    </row>
    <row r="519" spans="1:15" ht="42" customHeight="1">
      <c r="A519" s="316"/>
      <c r="B519" s="9"/>
      <c r="C519" s="9"/>
      <c r="D519" s="368"/>
      <c r="E519" s="369"/>
      <c r="F519" s="368"/>
      <c r="G519" s="369"/>
      <c r="H519" s="370"/>
      <c r="I519" s="371"/>
      <c r="J519" s="370"/>
      <c r="K519" s="371"/>
      <c r="L519" s="366"/>
      <c r="M519" s="360"/>
      <c r="N519" s="367"/>
      <c r="O519" s="71"/>
    </row>
    <row r="520" spans="1:15" ht="42" customHeight="1">
      <c r="A520" s="316"/>
      <c r="B520" s="9"/>
      <c r="C520" s="9"/>
      <c r="D520" s="368"/>
      <c r="E520" s="369"/>
      <c r="F520" s="368"/>
      <c r="G520" s="369"/>
      <c r="H520" s="370"/>
      <c r="I520" s="371"/>
      <c r="J520" s="370"/>
      <c r="K520" s="371"/>
      <c r="L520" s="366"/>
      <c r="M520" s="360"/>
      <c r="N520" s="367"/>
      <c r="O520" s="71"/>
    </row>
    <row r="521" spans="1:15" ht="42" customHeight="1">
      <c r="A521" s="316"/>
      <c r="B521" s="9"/>
      <c r="C521" s="9"/>
      <c r="D521" s="368"/>
      <c r="E521" s="369"/>
      <c r="F521" s="368"/>
      <c r="G521" s="369"/>
      <c r="H521" s="370"/>
      <c r="I521" s="371"/>
      <c r="J521" s="370"/>
      <c r="K521" s="371"/>
      <c r="L521" s="366"/>
      <c r="M521" s="360"/>
      <c r="N521" s="367"/>
      <c r="O521" s="71"/>
    </row>
    <row r="522" spans="1:15" ht="42" customHeight="1">
      <c r="A522" s="316"/>
      <c r="B522" s="9"/>
      <c r="C522" s="9"/>
      <c r="D522" s="368"/>
      <c r="E522" s="369"/>
      <c r="F522" s="368"/>
      <c r="G522" s="369"/>
      <c r="H522" s="370"/>
      <c r="I522" s="371"/>
      <c r="J522" s="370"/>
      <c r="K522" s="371"/>
      <c r="L522" s="366"/>
      <c r="M522" s="360"/>
      <c r="N522" s="367"/>
      <c r="O522" s="71"/>
    </row>
    <row r="523" spans="1:15" ht="42" customHeight="1">
      <c r="A523" s="316"/>
      <c r="B523" s="9"/>
      <c r="C523" s="9"/>
      <c r="D523" s="368"/>
      <c r="E523" s="369"/>
      <c r="F523" s="368"/>
      <c r="G523" s="369"/>
      <c r="H523" s="370"/>
      <c r="I523" s="371"/>
      <c r="J523" s="370"/>
      <c r="K523" s="371"/>
      <c r="L523" s="366"/>
      <c r="M523" s="360"/>
      <c r="N523" s="367"/>
      <c r="O523" s="71"/>
    </row>
    <row r="524" spans="1:15" ht="42" customHeight="1">
      <c r="A524" s="316"/>
      <c r="B524" s="9"/>
      <c r="C524" s="9"/>
      <c r="D524" s="368"/>
      <c r="E524" s="369"/>
      <c r="F524" s="368"/>
      <c r="G524" s="369"/>
      <c r="H524" s="370"/>
      <c r="I524" s="371"/>
      <c r="J524" s="370"/>
      <c r="K524" s="371"/>
      <c r="L524" s="366"/>
      <c r="M524" s="360"/>
      <c r="N524" s="367"/>
      <c r="O524" s="71"/>
    </row>
    <row r="525" spans="1:15" ht="42" customHeight="1">
      <c r="A525" s="316"/>
      <c r="B525" s="9"/>
      <c r="C525" s="9"/>
      <c r="D525" s="368"/>
      <c r="E525" s="369"/>
      <c r="F525" s="368"/>
      <c r="G525" s="369"/>
      <c r="H525" s="370"/>
      <c r="I525" s="371"/>
      <c r="J525" s="370"/>
      <c r="K525" s="371"/>
      <c r="L525" s="366"/>
      <c r="M525" s="360"/>
      <c r="N525" s="367"/>
      <c r="O525" s="71"/>
    </row>
    <row r="526" spans="1:15" ht="42" customHeight="1">
      <c r="A526" s="316"/>
      <c r="B526" s="9"/>
      <c r="C526" s="9"/>
      <c r="D526" s="368"/>
      <c r="E526" s="369"/>
      <c r="F526" s="368"/>
      <c r="G526" s="369"/>
      <c r="H526" s="370"/>
      <c r="I526" s="371"/>
      <c r="J526" s="370"/>
      <c r="K526" s="371"/>
      <c r="L526" s="366"/>
      <c r="M526" s="360"/>
      <c r="N526" s="367"/>
      <c r="O526" s="71"/>
    </row>
    <row r="527" spans="1:15" ht="42" customHeight="1">
      <c r="A527" s="316"/>
      <c r="B527" s="9"/>
      <c r="C527" s="9"/>
      <c r="D527" s="368"/>
      <c r="E527" s="369"/>
      <c r="F527" s="368"/>
      <c r="G527" s="369"/>
      <c r="H527" s="370"/>
      <c r="I527" s="371"/>
      <c r="J527" s="370"/>
      <c r="K527" s="371"/>
      <c r="L527" s="366"/>
      <c r="M527" s="360"/>
      <c r="N527" s="367"/>
      <c r="O527" s="71"/>
    </row>
    <row r="528" spans="1:15" ht="42" customHeight="1">
      <c r="A528" s="316"/>
      <c r="B528" s="9"/>
      <c r="C528" s="9"/>
      <c r="D528" s="368"/>
      <c r="E528" s="369"/>
      <c r="F528" s="368"/>
      <c r="G528" s="369"/>
      <c r="H528" s="370"/>
      <c r="I528" s="371"/>
      <c r="J528" s="370"/>
      <c r="K528" s="371"/>
      <c r="L528" s="366"/>
      <c r="M528" s="360"/>
      <c r="N528" s="367"/>
      <c r="O528" s="71"/>
    </row>
    <row r="529" spans="1:15" ht="42" customHeight="1">
      <c r="A529" s="316"/>
      <c r="B529" s="9"/>
      <c r="C529" s="9"/>
      <c r="D529" s="368"/>
      <c r="E529" s="369"/>
      <c r="F529" s="368"/>
      <c r="G529" s="369"/>
      <c r="H529" s="370"/>
      <c r="I529" s="371"/>
      <c r="J529" s="370"/>
      <c r="K529" s="371"/>
      <c r="L529" s="366"/>
      <c r="M529" s="360"/>
      <c r="N529" s="367"/>
      <c r="O529" s="71"/>
    </row>
    <row r="530" spans="1:15" ht="42" customHeight="1">
      <c r="A530" s="316"/>
      <c r="B530" s="9"/>
      <c r="C530" s="9"/>
      <c r="D530" s="368"/>
      <c r="E530" s="369"/>
      <c r="F530" s="368"/>
      <c r="G530" s="369"/>
      <c r="H530" s="370"/>
      <c r="I530" s="371"/>
      <c r="J530" s="370"/>
      <c r="K530" s="371"/>
      <c r="L530" s="366"/>
      <c r="M530" s="360"/>
      <c r="N530" s="367"/>
      <c r="O530" s="71"/>
    </row>
    <row r="531" spans="1:15" ht="42" customHeight="1">
      <c r="A531" s="316"/>
      <c r="B531" s="9"/>
      <c r="C531" s="9"/>
      <c r="D531" s="368"/>
      <c r="E531" s="369"/>
      <c r="F531" s="368"/>
      <c r="G531" s="369"/>
      <c r="H531" s="370"/>
      <c r="I531" s="371"/>
      <c r="J531" s="370"/>
      <c r="K531" s="371"/>
      <c r="L531" s="366"/>
      <c r="M531" s="360"/>
      <c r="N531" s="367"/>
      <c r="O531" s="71"/>
    </row>
    <row r="532" spans="1:15" ht="42" customHeight="1">
      <c r="A532" s="316"/>
      <c r="B532" s="9"/>
      <c r="C532" s="9"/>
      <c r="D532" s="368"/>
      <c r="E532" s="369"/>
      <c r="F532" s="368"/>
      <c r="G532" s="369"/>
      <c r="H532" s="370"/>
      <c r="I532" s="371"/>
      <c r="J532" s="370"/>
      <c r="K532" s="371"/>
      <c r="L532" s="366"/>
      <c r="M532" s="360"/>
      <c r="N532" s="367"/>
      <c r="O532" s="71"/>
    </row>
    <row r="533" spans="1:15" ht="42" customHeight="1">
      <c r="A533" s="316"/>
      <c r="B533" s="9"/>
      <c r="C533" s="9"/>
      <c r="D533" s="368"/>
      <c r="E533" s="369"/>
      <c r="F533" s="368"/>
      <c r="G533" s="369"/>
      <c r="H533" s="370"/>
      <c r="I533" s="371"/>
      <c r="J533" s="370"/>
      <c r="K533" s="371"/>
      <c r="L533" s="366"/>
      <c r="M533" s="360"/>
      <c r="N533" s="367"/>
      <c r="O533" s="71"/>
    </row>
    <row r="534" spans="1:15" ht="42" customHeight="1">
      <c r="A534" s="316"/>
      <c r="B534" s="9"/>
      <c r="C534" s="9"/>
      <c r="D534" s="368"/>
      <c r="E534" s="369"/>
      <c r="F534" s="368"/>
      <c r="G534" s="369"/>
      <c r="H534" s="370"/>
      <c r="I534" s="371"/>
      <c r="J534" s="370"/>
      <c r="K534" s="371"/>
      <c r="L534" s="366"/>
      <c r="M534" s="360"/>
      <c r="N534" s="367"/>
      <c r="O534" s="71"/>
    </row>
    <row r="535" spans="1:15" ht="42" customHeight="1">
      <c r="A535" s="316"/>
      <c r="B535" s="9"/>
      <c r="C535" s="9"/>
      <c r="D535" s="368"/>
      <c r="E535" s="369"/>
      <c r="F535" s="368"/>
      <c r="G535" s="369"/>
      <c r="H535" s="370"/>
      <c r="I535" s="371"/>
      <c r="J535" s="370"/>
      <c r="K535" s="371"/>
      <c r="L535" s="366"/>
      <c r="M535" s="360"/>
      <c r="N535" s="367"/>
      <c r="O535" s="71"/>
    </row>
    <row r="536" spans="1:15" ht="42" customHeight="1">
      <c r="A536" s="316"/>
      <c r="B536" s="9"/>
      <c r="C536" s="9"/>
      <c r="D536" s="368"/>
      <c r="E536" s="369"/>
      <c r="F536" s="368"/>
      <c r="G536" s="369"/>
      <c r="H536" s="370"/>
      <c r="I536" s="371"/>
      <c r="J536" s="370"/>
      <c r="K536" s="371"/>
      <c r="L536" s="366"/>
      <c r="M536" s="360"/>
      <c r="N536" s="367"/>
      <c r="O536" s="71"/>
    </row>
    <row r="537" spans="1:15" ht="42" customHeight="1">
      <c r="A537" s="316"/>
      <c r="B537" s="9"/>
      <c r="C537" s="9"/>
      <c r="D537" s="368"/>
      <c r="E537" s="369"/>
      <c r="F537" s="368"/>
      <c r="G537" s="369"/>
      <c r="H537" s="370"/>
      <c r="I537" s="371"/>
      <c r="J537" s="370"/>
      <c r="K537" s="371"/>
      <c r="L537" s="366"/>
      <c r="M537" s="360"/>
      <c r="N537" s="367"/>
      <c r="O537" s="71"/>
    </row>
    <row r="538" spans="1:15" ht="42" customHeight="1">
      <c r="A538" s="316"/>
      <c r="B538" s="9"/>
      <c r="C538" s="9"/>
      <c r="D538" s="368"/>
      <c r="E538" s="369"/>
      <c r="F538" s="368"/>
      <c r="G538" s="369"/>
      <c r="H538" s="370"/>
      <c r="I538" s="371"/>
      <c r="J538" s="370"/>
      <c r="K538" s="371"/>
      <c r="L538" s="366"/>
      <c r="M538" s="360"/>
      <c r="N538" s="367"/>
      <c r="O538" s="71"/>
    </row>
    <row r="539" spans="1:15" ht="42" customHeight="1">
      <c r="A539" s="316"/>
      <c r="B539" s="9"/>
      <c r="C539" s="9"/>
      <c r="D539" s="368"/>
      <c r="E539" s="369"/>
      <c r="F539" s="368"/>
      <c r="G539" s="369"/>
      <c r="H539" s="370"/>
      <c r="I539" s="371"/>
      <c r="J539" s="370"/>
      <c r="K539" s="371"/>
      <c r="L539" s="366"/>
      <c r="M539" s="360"/>
      <c r="N539" s="367"/>
      <c r="O539" s="71"/>
    </row>
    <row r="540" spans="1:15" ht="42" customHeight="1">
      <c r="A540" s="316"/>
      <c r="B540" s="9"/>
      <c r="C540" s="9"/>
      <c r="D540" s="368"/>
      <c r="E540" s="369"/>
      <c r="F540" s="368"/>
      <c r="G540" s="369"/>
      <c r="H540" s="370"/>
      <c r="I540" s="371"/>
      <c r="J540" s="370"/>
      <c r="K540" s="371"/>
      <c r="L540" s="366"/>
      <c r="M540" s="360"/>
      <c r="N540" s="367"/>
      <c r="O540" s="71"/>
    </row>
    <row r="541" spans="1:15" ht="42" customHeight="1">
      <c r="A541" s="316"/>
      <c r="B541" s="9"/>
      <c r="C541" s="9"/>
      <c r="D541" s="368"/>
      <c r="E541" s="369"/>
      <c r="F541" s="368"/>
      <c r="G541" s="369"/>
      <c r="H541" s="370"/>
      <c r="I541" s="371"/>
      <c r="J541" s="370"/>
      <c r="K541" s="371"/>
      <c r="L541" s="366"/>
      <c r="M541" s="360"/>
      <c r="N541" s="367"/>
      <c r="O541" s="71"/>
    </row>
    <row r="542" spans="1:15" ht="42" customHeight="1">
      <c r="A542" s="316"/>
      <c r="B542" s="9"/>
      <c r="C542" s="9"/>
      <c r="D542" s="368"/>
      <c r="E542" s="369"/>
      <c r="F542" s="368"/>
      <c r="G542" s="369"/>
      <c r="H542" s="370"/>
      <c r="I542" s="371"/>
      <c r="J542" s="370"/>
      <c r="K542" s="371"/>
      <c r="L542" s="366"/>
      <c r="M542" s="360"/>
      <c r="N542" s="367"/>
      <c r="O542" s="71"/>
    </row>
    <row r="543" spans="1:15" ht="42" customHeight="1">
      <c r="A543" s="316"/>
      <c r="B543" s="9"/>
      <c r="C543" s="9"/>
      <c r="D543" s="368"/>
      <c r="E543" s="369"/>
      <c r="F543" s="368"/>
      <c r="G543" s="369"/>
      <c r="H543" s="370"/>
      <c r="I543" s="371"/>
      <c r="J543" s="370"/>
      <c r="K543" s="371"/>
      <c r="L543" s="366"/>
      <c r="M543" s="360"/>
      <c r="N543" s="367"/>
      <c r="O543" s="71"/>
    </row>
    <row r="544" spans="1:15" ht="42" customHeight="1">
      <c r="A544" s="316"/>
      <c r="B544" s="9"/>
      <c r="C544" s="9"/>
      <c r="D544" s="368"/>
      <c r="E544" s="369"/>
      <c r="F544" s="368"/>
      <c r="G544" s="369"/>
      <c r="H544" s="370"/>
      <c r="I544" s="371"/>
      <c r="J544" s="370"/>
      <c r="K544" s="371"/>
      <c r="L544" s="366"/>
      <c r="M544" s="360"/>
      <c r="N544" s="367"/>
      <c r="O544" s="71"/>
    </row>
    <row r="545" spans="1:15" ht="42" customHeight="1">
      <c r="A545" s="316"/>
      <c r="B545" s="9"/>
      <c r="C545" s="9"/>
      <c r="D545" s="368"/>
      <c r="E545" s="369"/>
      <c r="F545" s="368"/>
      <c r="G545" s="369"/>
      <c r="H545" s="370"/>
      <c r="I545" s="371"/>
      <c r="J545" s="370"/>
      <c r="K545" s="371"/>
      <c r="L545" s="366"/>
      <c r="M545" s="360"/>
      <c r="N545" s="367"/>
      <c r="O545" s="71"/>
    </row>
    <row r="546" spans="1:15" ht="42" customHeight="1">
      <c r="A546" s="316"/>
      <c r="B546" s="9"/>
      <c r="C546" s="9"/>
      <c r="D546" s="368"/>
      <c r="E546" s="369"/>
      <c r="F546" s="368"/>
      <c r="G546" s="369"/>
      <c r="H546" s="370"/>
      <c r="I546" s="371"/>
      <c r="J546" s="370"/>
      <c r="K546" s="371"/>
      <c r="L546" s="366"/>
      <c r="M546" s="360"/>
      <c r="N546" s="367"/>
      <c r="O546" s="71"/>
    </row>
    <row r="547" spans="1:15" ht="42" customHeight="1">
      <c r="A547" s="316"/>
      <c r="B547" s="9"/>
      <c r="C547" s="9"/>
      <c r="D547" s="368"/>
      <c r="E547" s="369"/>
      <c r="F547" s="368"/>
      <c r="G547" s="369"/>
      <c r="H547" s="370"/>
      <c r="I547" s="371"/>
      <c r="J547" s="370"/>
      <c r="K547" s="371"/>
      <c r="L547" s="366"/>
      <c r="M547" s="360"/>
      <c r="N547" s="367"/>
      <c r="O547" s="71"/>
    </row>
    <row r="548" spans="1:15" ht="42" customHeight="1">
      <c r="A548" s="316"/>
      <c r="B548" s="9"/>
      <c r="C548" s="9"/>
      <c r="D548" s="368"/>
      <c r="E548" s="369"/>
      <c r="F548" s="368"/>
      <c r="G548" s="369"/>
      <c r="H548" s="370"/>
      <c r="I548" s="371"/>
      <c r="J548" s="370"/>
      <c r="K548" s="371"/>
      <c r="L548" s="366"/>
      <c r="M548" s="360"/>
      <c r="N548" s="367"/>
      <c r="O548" s="71"/>
    </row>
    <row r="549" spans="1:15" ht="42" customHeight="1">
      <c r="A549" s="316"/>
      <c r="B549" s="9"/>
      <c r="C549" s="9"/>
      <c r="D549" s="368"/>
      <c r="E549" s="369"/>
      <c r="F549" s="368"/>
      <c r="G549" s="369"/>
      <c r="H549" s="370"/>
      <c r="I549" s="371"/>
      <c r="J549" s="370"/>
      <c r="K549" s="371"/>
      <c r="L549" s="366"/>
      <c r="M549" s="360"/>
      <c r="N549" s="367"/>
      <c r="O549" s="71"/>
    </row>
    <row r="550" spans="1:15" ht="42" customHeight="1">
      <c r="A550" s="316"/>
      <c r="B550" s="9"/>
      <c r="C550" s="9"/>
      <c r="D550" s="368"/>
      <c r="E550" s="369"/>
      <c r="F550" s="368"/>
      <c r="G550" s="369"/>
      <c r="H550" s="370"/>
      <c r="I550" s="371"/>
      <c r="J550" s="370"/>
      <c r="K550" s="371"/>
      <c r="L550" s="366"/>
      <c r="M550" s="360"/>
      <c r="N550" s="367"/>
      <c r="O550" s="71"/>
    </row>
    <row r="551" spans="1:15" ht="42" customHeight="1">
      <c r="A551" s="316"/>
      <c r="B551" s="9"/>
      <c r="C551" s="9"/>
      <c r="D551" s="368"/>
      <c r="E551" s="369"/>
      <c r="F551" s="368"/>
      <c r="G551" s="369"/>
      <c r="H551" s="370"/>
      <c r="I551" s="371"/>
      <c r="J551" s="370"/>
      <c r="K551" s="371"/>
      <c r="L551" s="366"/>
      <c r="M551" s="360"/>
      <c r="N551" s="367"/>
      <c r="O551" s="71"/>
    </row>
    <row r="552" spans="1:15" ht="42" customHeight="1">
      <c r="A552" s="316"/>
      <c r="B552" s="9"/>
      <c r="C552" s="9"/>
      <c r="D552" s="368"/>
      <c r="E552" s="369"/>
      <c r="F552" s="368"/>
      <c r="G552" s="369"/>
      <c r="H552" s="370"/>
      <c r="I552" s="371"/>
      <c r="J552" s="370"/>
      <c r="K552" s="371"/>
      <c r="L552" s="366"/>
      <c r="M552" s="360"/>
      <c r="N552" s="367"/>
      <c r="O552" s="71"/>
    </row>
    <row r="553" spans="1:15" ht="42" customHeight="1">
      <c r="A553" s="316"/>
      <c r="B553" s="9"/>
      <c r="C553" s="9"/>
      <c r="D553" s="368"/>
      <c r="E553" s="369"/>
      <c r="F553" s="368"/>
      <c r="G553" s="369"/>
      <c r="H553" s="370"/>
      <c r="I553" s="371"/>
      <c r="J553" s="370"/>
      <c r="K553" s="371"/>
      <c r="L553" s="366"/>
      <c r="M553" s="360"/>
      <c r="N553" s="367"/>
      <c r="O553" s="71"/>
    </row>
    <row r="554" spans="1:15" ht="42" customHeight="1">
      <c r="A554" s="316"/>
      <c r="B554" s="9"/>
      <c r="C554" s="9"/>
      <c r="D554" s="368"/>
      <c r="E554" s="369"/>
      <c r="F554" s="368"/>
      <c r="G554" s="369"/>
      <c r="H554" s="370"/>
      <c r="I554" s="371"/>
      <c r="J554" s="370"/>
      <c r="K554" s="371"/>
      <c r="L554" s="366"/>
      <c r="M554" s="360"/>
      <c r="N554" s="367"/>
      <c r="O554" s="71"/>
    </row>
    <row r="555" spans="1:15" ht="42" customHeight="1">
      <c r="A555" s="316"/>
      <c r="B555" s="9"/>
      <c r="C555" s="9"/>
      <c r="D555" s="368"/>
      <c r="E555" s="369"/>
      <c r="F555" s="368"/>
      <c r="G555" s="369"/>
      <c r="H555" s="370"/>
      <c r="I555" s="371"/>
      <c r="J555" s="370"/>
      <c r="K555" s="371"/>
      <c r="L555" s="366"/>
      <c r="M555" s="360"/>
      <c r="N555" s="367"/>
      <c r="O555" s="71"/>
    </row>
    <row r="556" spans="1:15" ht="42" customHeight="1">
      <c r="A556" s="316"/>
      <c r="B556" s="9"/>
      <c r="C556" s="9"/>
      <c r="D556" s="368"/>
      <c r="E556" s="369"/>
      <c r="F556" s="368"/>
      <c r="G556" s="369"/>
      <c r="H556" s="370"/>
      <c r="I556" s="371"/>
      <c r="J556" s="370"/>
      <c r="K556" s="371"/>
      <c r="L556" s="366"/>
      <c r="M556" s="360"/>
      <c r="N556" s="367"/>
      <c r="O556" s="71"/>
    </row>
    <row r="557" spans="1:15" ht="42" customHeight="1">
      <c r="A557" s="316"/>
      <c r="B557" s="9"/>
      <c r="C557" s="9"/>
      <c r="D557" s="368"/>
      <c r="E557" s="369"/>
      <c r="F557" s="368"/>
      <c r="G557" s="369"/>
      <c r="H557" s="370"/>
      <c r="I557" s="371"/>
      <c r="J557" s="370"/>
      <c r="K557" s="371"/>
      <c r="L557" s="366"/>
      <c r="M557" s="360"/>
      <c r="N557" s="367"/>
      <c r="O557" s="71"/>
    </row>
    <row r="558" spans="1:15" ht="42" customHeight="1">
      <c r="A558" s="316"/>
      <c r="B558" s="9"/>
      <c r="C558" s="9"/>
      <c r="D558" s="368"/>
      <c r="E558" s="369"/>
      <c r="F558" s="368"/>
      <c r="G558" s="369"/>
      <c r="H558" s="370"/>
      <c r="I558" s="371"/>
      <c r="J558" s="370"/>
      <c r="K558" s="371"/>
      <c r="L558" s="366"/>
      <c r="M558" s="360"/>
      <c r="N558" s="367"/>
      <c r="O558" s="71"/>
    </row>
    <row r="559" spans="1:15" ht="42" customHeight="1">
      <c r="A559" s="316"/>
      <c r="B559" s="9"/>
      <c r="C559" s="9"/>
      <c r="D559" s="368"/>
      <c r="E559" s="369"/>
      <c r="F559" s="368"/>
      <c r="G559" s="369"/>
      <c r="H559" s="370"/>
      <c r="I559" s="371"/>
      <c r="J559" s="370"/>
      <c r="K559" s="371"/>
      <c r="L559" s="366"/>
      <c r="M559" s="360"/>
      <c r="N559" s="367"/>
      <c r="O559" s="71"/>
    </row>
    <row r="560" spans="1:15" ht="42" customHeight="1">
      <c r="A560" s="316"/>
      <c r="B560" s="9"/>
      <c r="C560" s="9"/>
      <c r="D560" s="368"/>
      <c r="E560" s="369"/>
      <c r="F560" s="368"/>
      <c r="G560" s="369"/>
      <c r="H560" s="370"/>
      <c r="I560" s="371"/>
      <c r="J560" s="370"/>
      <c r="K560" s="371"/>
      <c r="L560" s="366"/>
      <c r="M560" s="360"/>
      <c r="N560" s="367"/>
      <c r="O560" s="71"/>
    </row>
    <row r="561" spans="1:15" ht="42" customHeight="1">
      <c r="A561" s="316"/>
      <c r="B561" s="9"/>
      <c r="C561" s="9"/>
      <c r="D561" s="368"/>
      <c r="E561" s="369"/>
      <c r="F561" s="368"/>
      <c r="G561" s="369"/>
      <c r="H561" s="370"/>
      <c r="I561" s="371"/>
      <c r="J561" s="370"/>
      <c r="K561" s="371"/>
      <c r="L561" s="366"/>
      <c r="M561" s="360"/>
      <c r="N561" s="367"/>
      <c r="O561" s="71"/>
    </row>
    <row r="562" spans="1:15" ht="42" customHeight="1">
      <c r="A562" s="316"/>
      <c r="B562" s="9"/>
      <c r="C562" s="9"/>
      <c r="D562" s="368"/>
      <c r="E562" s="369"/>
      <c r="F562" s="368"/>
      <c r="G562" s="369"/>
      <c r="H562" s="370"/>
      <c r="I562" s="371"/>
      <c r="J562" s="370"/>
      <c r="K562" s="371"/>
      <c r="L562" s="366"/>
      <c r="M562" s="360"/>
      <c r="N562" s="367"/>
      <c r="O562" s="71"/>
    </row>
    <row r="563" spans="1:15" ht="42" customHeight="1">
      <c r="A563" s="316"/>
      <c r="B563" s="9"/>
      <c r="C563" s="9"/>
      <c r="D563" s="368"/>
      <c r="E563" s="369"/>
      <c r="F563" s="368"/>
      <c r="G563" s="369"/>
      <c r="H563" s="370"/>
      <c r="I563" s="371"/>
      <c r="J563" s="370"/>
      <c r="K563" s="371"/>
      <c r="L563" s="366"/>
      <c r="M563" s="360"/>
      <c r="N563" s="367"/>
      <c r="O563" s="71"/>
    </row>
    <row r="564" spans="1:15" ht="42" customHeight="1">
      <c r="A564" s="316"/>
      <c r="B564" s="9"/>
      <c r="C564" s="9"/>
      <c r="D564" s="368"/>
      <c r="E564" s="369"/>
      <c r="F564" s="368"/>
      <c r="G564" s="369"/>
      <c r="H564" s="370"/>
      <c r="I564" s="371"/>
      <c r="J564" s="370"/>
      <c r="K564" s="371"/>
      <c r="L564" s="366"/>
      <c r="M564" s="360"/>
      <c r="N564" s="367"/>
      <c r="O564" s="71"/>
    </row>
    <row r="565" spans="1:15" ht="42" customHeight="1">
      <c r="A565" s="316"/>
      <c r="B565" s="9"/>
      <c r="C565" s="9"/>
      <c r="D565" s="368"/>
      <c r="E565" s="369"/>
      <c r="F565" s="368"/>
      <c r="G565" s="369"/>
      <c r="H565" s="370"/>
      <c r="I565" s="371"/>
      <c r="J565" s="370"/>
      <c r="K565" s="371"/>
      <c r="L565" s="366"/>
      <c r="M565" s="360"/>
      <c r="N565" s="367"/>
      <c r="O565" s="71"/>
    </row>
    <row r="566" spans="1:15" ht="42" customHeight="1">
      <c r="A566" s="316"/>
      <c r="B566" s="9"/>
      <c r="C566" s="9"/>
      <c r="D566" s="368"/>
      <c r="E566" s="369"/>
      <c r="F566" s="368"/>
      <c r="G566" s="369"/>
      <c r="H566" s="370"/>
      <c r="I566" s="371"/>
      <c r="J566" s="370"/>
      <c r="K566" s="371"/>
      <c r="L566" s="366"/>
      <c r="M566" s="360"/>
      <c r="N566" s="367"/>
      <c r="O566" s="71"/>
    </row>
    <row r="567" spans="1:15" ht="42" customHeight="1">
      <c r="A567" s="316"/>
      <c r="B567" s="9"/>
      <c r="C567" s="9"/>
      <c r="D567" s="368"/>
      <c r="E567" s="369"/>
      <c r="F567" s="368"/>
      <c r="G567" s="369"/>
      <c r="H567" s="370"/>
      <c r="I567" s="371"/>
      <c r="J567" s="370"/>
      <c r="K567" s="371"/>
      <c r="L567" s="366"/>
      <c r="M567" s="360"/>
      <c r="N567" s="367"/>
      <c r="O567" s="71"/>
    </row>
    <row r="568" spans="1:15" ht="42" customHeight="1">
      <c r="A568" s="316"/>
      <c r="B568" s="9"/>
      <c r="C568" s="9"/>
      <c r="D568" s="368"/>
      <c r="E568" s="369"/>
      <c r="F568" s="368"/>
      <c r="G568" s="369"/>
      <c r="H568" s="370"/>
      <c r="I568" s="371"/>
      <c r="J568" s="370"/>
      <c r="K568" s="371"/>
      <c r="L568" s="366"/>
      <c r="M568" s="360"/>
      <c r="N568" s="367"/>
      <c r="O568" s="71"/>
    </row>
    <row r="569" spans="1:15" ht="42" customHeight="1">
      <c r="A569" s="316"/>
      <c r="B569" s="9"/>
      <c r="C569" s="9"/>
      <c r="D569" s="368"/>
      <c r="E569" s="369"/>
      <c r="F569" s="368"/>
      <c r="G569" s="369"/>
      <c r="H569" s="370"/>
      <c r="I569" s="371"/>
      <c r="J569" s="370"/>
      <c r="K569" s="371"/>
      <c r="L569" s="366"/>
      <c r="M569" s="360"/>
      <c r="N569" s="367"/>
      <c r="O569" s="71"/>
    </row>
    <row r="570" spans="1:15" ht="42" customHeight="1">
      <c r="A570" s="316"/>
      <c r="B570" s="9"/>
      <c r="C570" s="9"/>
      <c r="D570" s="368"/>
      <c r="E570" s="369"/>
      <c r="F570" s="368"/>
      <c r="G570" s="369"/>
      <c r="H570" s="370"/>
      <c r="I570" s="371"/>
      <c r="J570" s="370"/>
      <c r="K570" s="371"/>
      <c r="L570" s="366"/>
      <c r="M570" s="360"/>
      <c r="N570" s="367"/>
      <c r="O570" s="71"/>
    </row>
    <row r="571" spans="1:15" ht="42" customHeight="1">
      <c r="A571" s="316"/>
      <c r="B571" s="9"/>
      <c r="C571" s="9"/>
      <c r="D571" s="368"/>
      <c r="E571" s="369"/>
      <c r="F571" s="368"/>
      <c r="G571" s="369"/>
      <c r="H571" s="370"/>
      <c r="I571" s="371"/>
      <c r="J571" s="370"/>
      <c r="K571" s="371"/>
      <c r="L571" s="366"/>
      <c r="M571" s="360"/>
      <c r="N571" s="367"/>
      <c r="O571" s="71"/>
    </row>
    <row r="572" spans="1:15" ht="42" customHeight="1">
      <c r="A572" s="316"/>
      <c r="B572" s="9"/>
      <c r="C572" s="9"/>
      <c r="D572" s="368"/>
      <c r="E572" s="369"/>
      <c r="F572" s="368"/>
      <c r="G572" s="369"/>
      <c r="H572" s="370"/>
      <c r="I572" s="371"/>
      <c r="J572" s="370"/>
      <c r="K572" s="371"/>
      <c r="L572" s="366"/>
      <c r="M572" s="360"/>
      <c r="N572" s="367"/>
      <c r="O572" s="71"/>
    </row>
    <row r="573" spans="1:15" ht="42" customHeight="1">
      <c r="A573" s="316"/>
      <c r="B573" s="9"/>
      <c r="C573" s="9"/>
      <c r="D573" s="368"/>
      <c r="E573" s="369"/>
      <c r="F573" s="368"/>
      <c r="G573" s="369"/>
      <c r="H573" s="370"/>
      <c r="I573" s="371"/>
      <c r="J573" s="370"/>
      <c r="K573" s="371"/>
      <c r="L573" s="366"/>
      <c r="M573" s="360"/>
      <c r="N573" s="367"/>
      <c r="O573" s="71"/>
    </row>
    <row r="574" spans="1:15" ht="42" customHeight="1">
      <c r="A574" s="316"/>
      <c r="B574" s="9"/>
      <c r="C574" s="9"/>
      <c r="D574" s="368"/>
      <c r="E574" s="369"/>
      <c r="F574" s="368"/>
      <c r="G574" s="369"/>
      <c r="H574" s="370"/>
      <c r="I574" s="371"/>
      <c r="J574" s="370"/>
      <c r="K574" s="371"/>
      <c r="L574" s="366"/>
      <c r="M574" s="360"/>
      <c r="N574" s="367"/>
      <c r="O574" s="71"/>
    </row>
    <row r="575" spans="1:15" ht="42" customHeight="1">
      <c r="A575" s="316"/>
      <c r="B575" s="9"/>
      <c r="C575" s="9"/>
      <c r="D575" s="368"/>
      <c r="E575" s="369"/>
      <c r="F575" s="368"/>
      <c r="G575" s="369"/>
      <c r="H575" s="370"/>
      <c r="I575" s="371"/>
      <c r="J575" s="370"/>
      <c r="K575" s="371"/>
      <c r="L575" s="366"/>
      <c r="M575" s="360"/>
      <c r="N575" s="367"/>
      <c r="O575" s="71"/>
    </row>
    <row r="576" spans="1:15" ht="42" customHeight="1">
      <c r="A576" s="316"/>
      <c r="B576" s="9"/>
      <c r="C576" s="9"/>
      <c r="D576" s="368"/>
      <c r="E576" s="369"/>
      <c r="F576" s="368"/>
      <c r="G576" s="369"/>
      <c r="H576" s="370"/>
      <c r="I576" s="371"/>
      <c r="J576" s="370"/>
      <c r="K576" s="371"/>
      <c r="L576" s="366"/>
      <c r="M576" s="360"/>
      <c r="N576" s="367"/>
      <c r="O576" s="71"/>
    </row>
    <row r="577" spans="1:15" ht="42" customHeight="1">
      <c r="A577" s="316"/>
      <c r="B577" s="9"/>
      <c r="C577" s="9"/>
      <c r="D577" s="368"/>
      <c r="E577" s="369"/>
      <c r="F577" s="368"/>
      <c r="G577" s="369"/>
      <c r="H577" s="370"/>
      <c r="I577" s="371"/>
      <c r="J577" s="370"/>
      <c r="K577" s="371"/>
      <c r="L577" s="366"/>
      <c r="M577" s="360"/>
      <c r="N577" s="367"/>
      <c r="O577" s="71"/>
    </row>
    <row r="578" spans="1:15" ht="42" customHeight="1">
      <c r="A578" s="316"/>
      <c r="B578" s="9"/>
      <c r="C578" s="9"/>
      <c r="D578" s="368"/>
      <c r="E578" s="369"/>
      <c r="F578" s="368"/>
      <c r="G578" s="369"/>
      <c r="H578" s="370"/>
      <c r="I578" s="371"/>
      <c r="J578" s="370"/>
      <c r="K578" s="371"/>
      <c r="L578" s="366"/>
      <c r="M578" s="360"/>
      <c r="N578" s="367"/>
      <c r="O578" s="71"/>
    </row>
    <row r="579" spans="1:15" ht="42" customHeight="1">
      <c r="A579" s="316"/>
      <c r="B579" s="9"/>
      <c r="C579" s="9"/>
      <c r="D579" s="368"/>
      <c r="E579" s="369"/>
      <c r="F579" s="368"/>
      <c r="G579" s="369"/>
      <c r="H579" s="370"/>
      <c r="I579" s="371"/>
      <c r="J579" s="370"/>
      <c r="K579" s="371"/>
      <c r="L579" s="366"/>
      <c r="M579" s="360"/>
      <c r="N579" s="367"/>
      <c r="O579" s="71"/>
    </row>
    <row r="580" spans="1:15" ht="42" customHeight="1">
      <c r="A580" s="316"/>
      <c r="B580" s="9"/>
      <c r="C580" s="9"/>
      <c r="D580" s="368"/>
      <c r="E580" s="369"/>
      <c r="F580" s="368"/>
      <c r="G580" s="369"/>
      <c r="H580" s="370"/>
      <c r="I580" s="371"/>
      <c r="J580" s="370"/>
      <c r="K580" s="371"/>
      <c r="L580" s="366"/>
      <c r="M580" s="360"/>
      <c r="N580" s="367"/>
      <c r="O580" s="71"/>
    </row>
    <row r="581" spans="1:15" ht="42" customHeight="1">
      <c r="A581" s="316"/>
      <c r="B581" s="9"/>
      <c r="C581" s="9"/>
      <c r="D581" s="368"/>
      <c r="E581" s="369"/>
      <c r="F581" s="368"/>
      <c r="G581" s="369"/>
      <c r="H581" s="370"/>
      <c r="I581" s="371"/>
      <c r="J581" s="370"/>
      <c r="K581" s="371"/>
      <c r="L581" s="366"/>
      <c r="M581" s="360"/>
      <c r="N581" s="367"/>
      <c r="O581" s="71"/>
    </row>
    <row r="582" spans="1:15" ht="42" customHeight="1">
      <c r="A582" s="316"/>
      <c r="B582" s="9"/>
      <c r="C582" s="9"/>
      <c r="D582" s="368"/>
      <c r="E582" s="369"/>
      <c r="F582" s="368"/>
      <c r="G582" s="369"/>
      <c r="H582" s="370"/>
      <c r="I582" s="371"/>
      <c r="J582" s="370"/>
      <c r="K582" s="371"/>
      <c r="L582" s="366"/>
      <c r="M582" s="360"/>
      <c r="N582" s="367"/>
      <c r="O582" s="71"/>
    </row>
    <row r="583" spans="1:15" ht="42" customHeight="1">
      <c r="A583" s="316"/>
      <c r="B583" s="9"/>
      <c r="C583" s="9"/>
      <c r="D583" s="368"/>
      <c r="E583" s="369"/>
      <c r="F583" s="368"/>
      <c r="G583" s="369"/>
      <c r="H583" s="370"/>
      <c r="I583" s="371"/>
      <c r="J583" s="370"/>
      <c r="K583" s="371"/>
      <c r="L583" s="366"/>
      <c r="M583" s="360"/>
      <c r="N583" s="367"/>
      <c r="O583" s="71"/>
    </row>
    <row r="584" spans="1:15" ht="42" customHeight="1">
      <c r="A584" s="316"/>
      <c r="B584" s="9"/>
      <c r="C584" s="9"/>
      <c r="D584" s="368"/>
      <c r="E584" s="369"/>
      <c r="F584" s="368"/>
      <c r="G584" s="369"/>
      <c r="H584" s="370"/>
      <c r="I584" s="371"/>
      <c r="J584" s="370"/>
      <c r="K584" s="371"/>
      <c r="L584" s="366"/>
      <c r="M584" s="360"/>
      <c r="N584" s="367"/>
      <c r="O584" s="71"/>
    </row>
    <row r="585" spans="1:15" ht="42" customHeight="1">
      <c r="A585" s="316"/>
      <c r="B585" s="9"/>
      <c r="C585" s="9"/>
      <c r="D585" s="368"/>
      <c r="E585" s="369"/>
      <c r="F585" s="368"/>
      <c r="G585" s="369"/>
      <c r="H585" s="370"/>
      <c r="I585" s="371"/>
      <c r="J585" s="370"/>
      <c r="K585" s="371"/>
      <c r="L585" s="366"/>
      <c r="M585" s="360"/>
      <c r="N585" s="367"/>
      <c r="O585" s="71"/>
    </row>
    <row r="586" spans="1:15" ht="42" customHeight="1">
      <c r="A586" s="316"/>
      <c r="B586" s="9"/>
      <c r="C586" s="9"/>
      <c r="D586" s="368"/>
      <c r="E586" s="369"/>
      <c r="F586" s="368"/>
      <c r="G586" s="369"/>
      <c r="H586" s="370"/>
      <c r="I586" s="371"/>
      <c r="J586" s="370"/>
      <c r="K586" s="371"/>
      <c r="L586" s="366"/>
      <c r="M586" s="360"/>
      <c r="N586" s="367"/>
      <c r="O586" s="71"/>
    </row>
    <row r="587" spans="1:15" ht="42" customHeight="1">
      <c r="A587" s="316"/>
      <c r="B587" s="9"/>
      <c r="C587" s="9"/>
      <c r="D587" s="368"/>
      <c r="E587" s="369"/>
      <c r="F587" s="368"/>
      <c r="G587" s="369"/>
      <c r="H587" s="370"/>
      <c r="I587" s="371"/>
      <c r="J587" s="370"/>
      <c r="K587" s="371"/>
      <c r="L587" s="366"/>
      <c r="M587" s="360"/>
      <c r="N587" s="367"/>
      <c r="O587" s="71"/>
    </row>
    <row r="588" spans="1:15" ht="42" customHeight="1">
      <c r="A588" s="316"/>
      <c r="B588" s="9"/>
      <c r="C588" s="9"/>
      <c r="D588" s="368"/>
      <c r="E588" s="369"/>
      <c r="F588" s="368"/>
      <c r="G588" s="369"/>
      <c r="H588" s="370"/>
      <c r="I588" s="371"/>
      <c r="J588" s="370"/>
      <c r="K588" s="371"/>
      <c r="L588" s="366"/>
      <c r="M588" s="360"/>
      <c r="N588" s="367"/>
      <c r="O588" s="71"/>
    </row>
    <row r="589" spans="1:15" ht="42" customHeight="1">
      <c r="A589" s="316"/>
      <c r="B589" s="9"/>
      <c r="C589" s="9"/>
      <c r="D589" s="368"/>
      <c r="E589" s="369"/>
      <c r="F589" s="368"/>
      <c r="G589" s="369"/>
      <c r="H589" s="370"/>
      <c r="I589" s="371"/>
      <c r="J589" s="370"/>
      <c r="K589" s="371"/>
      <c r="L589" s="366"/>
      <c r="M589" s="360"/>
      <c r="N589" s="367"/>
      <c r="O589" s="71"/>
    </row>
    <row r="590" spans="1:15" ht="42" customHeight="1">
      <c r="A590" s="316"/>
      <c r="B590" s="9"/>
      <c r="C590" s="9"/>
      <c r="D590" s="368"/>
      <c r="E590" s="369"/>
      <c r="F590" s="368"/>
      <c r="G590" s="369"/>
      <c r="H590" s="370"/>
      <c r="I590" s="371"/>
      <c r="J590" s="370"/>
      <c r="K590" s="371"/>
      <c r="L590" s="366"/>
      <c r="M590" s="360"/>
      <c r="N590" s="367"/>
      <c r="O590" s="71"/>
    </row>
    <row r="591" spans="1:15" ht="42" customHeight="1">
      <c r="A591" s="316"/>
      <c r="B591" s="9"/>
      <c r="C591" s="9"/>
      <c r="D591" s="368"/>
      <c r="E591" s="369"/>
      <c r="F591" s="368"/>
      <c r="G591" s="369"/>
      <c r="H591" s="370"/>
      <c r="I591" s="371"/>
      <c r="J591" s="370"/>
      <c r="K591" s="371"/>
      <c r="L591" s="366"/>
      <c r="M591" s="360"/>
      <c r="N591" s="367"/>
      <c r="O591" s="71"/>
    </row>
    <row r="592" spans="1:15" ht="42" customHeight="1">
      <c r="A592" s="316"/>
      <c r="B592" s="9"/>
      <c r="C592" s="9"/>
      <c r="D592" s="368"/>
      <c r="E592" s="369"/>
      <c r="F592" s="368"/>
      <c r="G592" s="369"/>
      <c r="H592" s="370"/>
      <c r="I592" s="371"/>
      <c r="J592" s="370"/>
      <c r="K592" s="371"/>
      <c r="L592" s="366"/>
      <c r="M592" s="360"/>
      <c r="N592" s="367"/>
      <c r="O592" s="71"/>
    </row>
    <row r="593" spans="1:15" ht="42" customHeight="1">
      <c r="A593" s="316"/>
      <c r="B593" s="9"/>
      <c r="C593" s="9"/>
      <c r="D593" s="368"/>
      <c r="E593" s="369"/>
      <c r="F593" s="368"/>
      <c r="G593" s="369"/>
      <c r="H593" s="370"/>
      <c r="I593" s="371"/>
      <c r="J593" s="370"/>
      <c r="K593" s="371"/>
      <c r="L593" s="366"/>
      <c r="M593" s="360"/>
      <c r="N593" s="367"/>
      <c r="O593" s="71"/>
    </row>
    <row r="594" spans="1:15" ht="42" customHeight="1">
      <c r="A594" s="316"/>
      <c r="B594" s="9"/>
      <c r="C594" s="9"/>
      <c r="D594" s="368"/>
      <c r="E594" s="369"/>
      <c r="F594" s="368"/>
      <c r="G594" s="369"/>
      <c r="H594" s="370"/>
      <c r="I594" s="371"/>
      <c r="J594" s="370"/>
      <c r="K594" s="371"/>
      <c r="L594" s="366"/>
      <c r="M594" s="360"/>
      <c r="N594" s="367"/>
      <c r="O594" s="71"/>
    </row>
    <row r="595" spans="1:15" ht="42" customHeight="1">
      <c r="A595" s="316"/>
      <c r="B595" s="9"/>
      <c r="C595" s="9"/>
      <c r="D595" s="368"/>
      <c r="E595" s="369"/>
      <c r="F595" s="368"/>
      <c r="G595" s="369"/>
      <c r="H595" s="370"/>
      <c r="I595" s="371"/>
      <c r="J595" s="370"/>
      <c r="K595" s="371"/>
      <c r="L595" s="366"/>
      <c r="M595" s="360"/>
      <c r="N595" s="367"/>
      <c r="O595" s="71"/>
    </row>
    <row r="596" spans="1:15" ht="42" customHeight="1">
      <c r="A596" s="316"/>
      <c r="B596" s="9"/>
      <c r="C596" s="9"/>
      <c r="D596" s="368"/>
      <c r="E596" s="369"/>
      <c r="F596" s="368"/>
      <c r="G596" s="369"/>
      <c r="H596" s="370"/>
      <c r="I596" s="371"/>
      <c r="J596" s="370"/>
      <c r="K596" s="371"/>
      <c r="L596" s="366"/>
      <c r="M596" s="360"/>
      <c r="N596" s="367"/>
      <c r="O596" s="71"/>
    </row>
    <row r="597" spans="1:15" ht="42" customHeight="1">
      <c r="A597" s="316"/>
      <c r="B597" s="9"/>
      <c r="C597" s="9"/>
      <c r="D597" s="368"/>
      <c r="E597" s="369"/>
      <c r="F597" s="368"/>
      <c r="G597" s="369"/>
      <c r="H597" s="370"/>
      <c r="I597" s="371"/>
      <c r="J597" s="370"/>
      <c r="K597" s="371"/>
      <c r="L597" s="366"/>
      <c r="M597" s="360"/>
      <c r="N597" s="367"/>
      <c r="O597" s="71"/>
    </row>
    <row r="598" spans="1:15" ht="42" customHeight="1">
      <c r="A598" s="316"/>
      <c r="B598" s="9"/>
      <c r="C598" s="9"/>
      <c r="D598" s="368"/>
      <c r="E598" s="369"/>
      <c r="F598" s="368"/>
      <c r="G598" s="369"/>
      <c r="H598" s="370"/>
      <c r="I598" s="371"/>
      <c r="J598" s="370"/>
      <c r="K598" s="371"/>
      <c r="L598" s="366"/>
      <c r="M598" s="360"/>
      <c r="N598" s="367"/>
      <c r="O598" s="71"/>
    </row>
    <row r="599" spans="1:15" ht="42" customHeight="1">
      <c r="A599" s="316"/>
      <c r="B599" s="9"/>
      <c r="C599" s="9"/>
      <c r="D599" s="368"/>
      <c r="E599" s="369"/>
      <c r="F599" s="368"/>
      <c r="G599" s="369"/>
      <c r="H599" s="370"/>
      <c r="I599" s="371"/>
      <c r="J599" s="370"/>
      <c r="K599" s="371"/>
      <c r="L599" s="366"/>
      <c r="M599" s="360"/>
      <c r="N599" s="367"/>
      <c r="O599" s="71"/>
    </row>
    <row r="600" spans="1:15" ht="42" customHeight="1">
      <c r="A600" s="316"/>
      <c r="B600" s="9"/>
      <c r="C600" s="9"/>
      <c r="D600" s="368"/>
      <c r="E600" s="369"/>
      <c r="F600" s="368"/>
      <c r="G600" s="369"/>
      <c r="H600" s="370"/>
      <c r="I600" s="371"/>
      <c r="J600" s="370"/>
      <c r="K600" s="371"/>
      <c r="L600" s="366"/>
      <c r="M600" s="360"/>
      <c r="N600" s="367"/>
      <c r="O600" s="71"/>
    </row>
    <row r="601" spans="1:15" ht="42" customHeight="1">
      <c r="A601" s="316"/>
      <c r="B601" s="9"/>
      <c r="C601" s="9"/>
      <c r="D601" s="368"/>
      <c r="E601" s="369"/>
      <c r="F601" s="368"/>
      <c r="G601" s="369"/>
      <c r="H601" s="370"/>
      <c r="I601" s="371"/>
      <c r="J601" s="370"/>
      <c r="K601" s="371"/>
      <c r="L601" s="366"/>
      <c r="M601" s="360"/>
      <c r="N601" s="367"/>
      <c r="O601" s="71"/>
    </row>
    <row r="602" spans="1:15" ht="42" customHeight="1">
      <c r="A602" s="316"/>
      <c r="B602" s="9"/>
      <c r="C602" s="9"/>
      <c r="D602" s="368"/>
      <c r="E602" s="369"/>
      <c r="F602" s="368"/>
      <c r="G602" s="369"/>
      <c r="H602" s="370"/>
      <c r="I602" s="371"/>
      <c r="J602" s="370"/>
      <c r="K602" s="371"/>
      <c r="L602" s="366"/>
      <c r="M602" s="360"/>
      <c r="N602" s="367"/>
      <c r="O602" s="71"/>
    </row>
    <row r="603" spans="1:15" ht="42" customHeight="1">
      <c r="A603" s="316"/>
      <c r="B603" s="9"/>
      <c r="C603" s="9"/>
      <c r="D603" s="368"/>
      <c r="E603" s="369"/>
      <c r="F603" s="368"/>
      <c r="G603" s="369"/>
      <c r="H603" s="370"/>
      <c r="I603" s="371"/>
      <c r="J603" s="370"/>
      <c r="K603" s="371"/>
      <c r="L603" s="366"/>
      <c r="M603" s="360"/>
      <c r="N603" s="367"/>
      <c r="O603" s="71"/>
    </row>
    <row r="604" spans="1:15" ht="42" customHeight="1">
      <c r="A604" s="316"/>
      <c r="B604" s="9"/>
      <c r="C604" s="9"/>
      <c r="D604" s="368"/>
      <c r="E604" s="369"/>
      <c r="F604" s="368"/>
      <c r="G604" s="369"/>
      <c r="H604" s="370"/>
      <c r="I604" s="371"/>
      <c r="J604" s="370"/>
      <c r="K604" s="371"/>
      <c r="L604" s="366"/>
      <c r="M604" s="360"/>
      <c r="N604" s="367"/>
      <c r="O604" s="71"/>
    </row>
    <row r="605" spans="1:15" ht="42" customHeight="1">
      <c r="A605" s="316"/>
      <c r="B605" s="9"/>
      <c r="C605" s="9"/>
      <c r="D605" s="368"/>
      <c r="E605" s="369"/>
      <c r="F605" s="368"/>
      <c r="G605" s="369"/>
      <c r="H605" s="370"/>
      <c r="I605" s="371"/>
      <c r="J605" s="370"/>
      <c r="K605" s="371"/>
      <c r="L605" s="366"/>
      <c r="M605" s="360"/>
      <c r="N605" s="367"/>
      <c r="O605" s="71"/>
    </row>
    <row r="606" spans="1:15" ht="42" customHeight="1">
      <c r="A606" s="316"/>
      <c r="B606" s="9"/>
      <c r="C606" s="9"/>
      <c r="D606" s="368"/>
      <c r="E606" s="369"/>
      <c r="F606" s="368"/>
      <c r="G606" s="369"/>
      <c r="H606" s="370"/>
      <c r="I606" s="371"/>
      <c r="J606" s="370"/>
      <c r="K606" s="371"/>
      <c r="L606" s="366"/>
      <c r="M606" s="360"/>
      <c r="N606" s="367"/>
      <c r="O606" s="71"/>
    </row>
    <row r="607" spans="1:15" ht="42" customHeight="1">
      <c r="A607" s="316"/>
      <c r="B607" s="9"/>
      <c r="C607" s="9"/>
      <c r="D607" s="368"/>
      <c r="E607" s="369"/>
      <c r="F607" s="368"/>
      <c r="G607" s="369"/>
      <c r="H607" s="370"/>
      <c r="I607" s="371"/>
      <c r="J607" s="370"/>
      <c r="K607" s="371"/>
      <c r="L607" s="366"/>
      <c r="M607" s="360"/>
      <c r="N607" s="367"/>
      <c r="O607" s="71"/>
    </row>
    <row r="608" spans="1:15" ht="42" customHeight="1">
      <c r="A608" s="316"/>
      <c r="B608" s="9"/>
      <c r="C608" s="9"/>
      <c r="D608" s="368"/>
      <c r="E608" s="369"/>
      <c r="F608" s="368"/>
      <c r="G608" s="369"/>
      <c r="H608" s="370"/>
      <c r="I608" s="371"/>
      <c r="J608" s="370"/>
      <c r="K608" s="371"/>
      <c r="L608" s="366"/>
      <c r="M608" s="360"/>
      <c r="N608" s="367"/>
      <c r="O608" s="71"/>
    </row>
    <row r="609" spans="1:15" ht="42" customHeight="1">
      <c r="A609" s="316"/>
      <c r="B609" s="9"/>
      <c r="C609" s="9"/>
      <c r="D609" s="368"/>
      <c r="E609" s="369"/>
      <c r="F609" s="368"/>
      <c r="G609" s="369"/>
      <c r="H609" s="370"/>
      <c r="I609" s="371"/>
      <c r="J609" s="370"/>
      <c r="K609" s="371"/>
      <c r="L609" s="366"/>
      <c r="M609" s="360"/>
      <c r="N609" s="367"/>
      <c r="O609" s="71"/>
    </row>
    <row r="610" spans="1:15" ht="42" customHeight="1">
      <c r="A610" s="316"/>
      <c r="B610" s="9"/>
      <c r="C610" s="9"/>
      <c r="D610" s="368"/>
      <c r="E610" s="369"/>
      <c r="F610" s="368"/>
      <c r="G610" s="369"/>
      <c r="H610" s="370"/>
      <c r="I610" s="371"/>
      <c r="J610" s="370"/>
      <c r="K610" s="371"/>
      <c r="L610" s="366"/>
      <c r="M610" s="360"/>
      <c r="N610" s="367"/>
      <c r="O610" s="71"/>
    </row>
    <row r="611" spans="1:15" ht="42" customHeight="1">
      <c r="A611" s="316"/>
      <c r="B611" s="9"/>
      <c r="C611" s="9"/>
      <c r="D611" s="368"/>
      <c r="E611" s="369"/>
      <c r="F611" s="368"/>
      <c r="G611" s="369"/>
      <c r="H611" s="370"/>
      <c r="I611" s="371"/>
      <c r="J611" s="370"/>
      <c r="K611" s="371"/>
      <c r="L611" s="366"/>
      <c r="M611" s="360"/>
      <c r="N611" s="367"/>
      <c r="O611" s="71"/>
    </row>
    <row r="612" spans="1:15" ht="42" customHeight="1">
      <c r="A612" s="316"/>
      <c r="B612" s="9"/>
      <c r="C612" s="9"/>
      <c r="D612" s="368"/>
      <c r="E612" s="369"/>
      <c r="F612" s="368"/>
      <c r="G612" s="369"/>
      <c r="H612" s="370"/>
      <c r="I612" s="371"/>
      <c r="J612" s="370"/>
      <c r="K612" s="371"/>
      <c r="L612" s="366"/>
      <c r="M612" s="360"/>
      <c r="N612" s="367"/>
      <c r="O612" s="71"/>
    </row>
    <row r="613" spans="1:15" ht="42" customHeight="1">
      <c r="A613" s="316"/>
      <c r="B613" s="9"/>
      <c r="C613" s="9"/>
      <c r="D613" s="368"/>
      <c r="E613" s="369"/>
      <c r="F613" s="368"/>
      <c r="G613" s="369"/>
      <c r="H613" s="370"/>
      <c r="I613" s="371"/>
      <c r="J613" s="370"/>
      <c r="K613" s="371"/>
      <c r="L613" s="366"/>
      <c r="M613" s="360"/>
      <c r="N613" s="367"/>
      <c r="O613" s="71"/>
    </row>
    <row r="614" spans="1:15" ht="42" customHeight="1">
      <c r="A614" s="316"/>
      <c r="B614" s="9"/>
      <c r="C614" s="9"/>
      <c r="D614" s="368"/>
      <c r="E614" s="369"/>
      <c r="F614" s="368"/>
      <c r="G614" s="369"/>
      <c r="H614" s="370"/>
      <c r="I614" s="371"/>
      <c r="J614" s="370"/>
      <c r="K614" s="371"/>
      <c r="L614" s="366"/>
      <c r="M614" s="360"/>
      <c r="N614" s="367"/>
      <c r="O614" s="71"/>
    </row>
    <row r="615" spans="1:15" ht="42" customHeight="1">
      <c r="A615" s="316"/>
      <c r="B615" s="9"/>
      <c r="C615" s="9"/>
      <c r="D615" s="368"/>
      <c r="E615" s="369"/>
      <c r="F615" s="368"/>
      <c r="G615" s="369"/>
      <c r="H615" s="370"/>
      <c r="I615" s="371"/>
      <c r="J615" s="370"/>
      <c r="K615" s="371"/>
      <c r="L615" s="366"/>
      <c r="M615" s="360"/>
      <c r="N615" s="367"/>
      <c r="O615" s="71"/>
    </row>
    <row r="616" spans="1:15" ht="42" customHeight="1">
      <c r="A616" s="316"/>
      <c r="B616" s="9"/>
      <c r="C616" s="9"/>
      <c r="D616" s="368"/>
      <c r="E616" s="369"/>
      <c r="F616" s="368"/>
      <c r="G616" s="369"/>
      <c r="H616" s="370"/>
      <c r="I616" s="371"/>
      <c r="J616" s="370"/>
      <c r="K616" s="371"/>
      <c r="L616" s="366"/>
      <c r="M616" s="360"/>
      <c r="N616" s="367"/>
      <c r="O616" s="71"/>
    </row>
    <row r="617" spans="1:15" ht="42" customHeight="1">
      <c r="A617" s="316"/>
      <c r="B617" s="9"/>
      <c r="C617" s="9"/>
      <c r="D617" s="368"/>
      <c r="E617" s="369"/>
      <c r="F617" s="368"/>
      <c r="G617" s="369"/>
      <c r="H617" s="370"/>
      <c r="I617" s="371"/>
      <c r="J617" s="370"/>
      <c r="K617" s="371"/>
      <c r="L617" s="366"/>
      <c r="M617" s="360"/>
      <c r="N617" s="367"/>
      <c r="O617" s="71"/>
    </row>
    <row r="618" spans="1:15" ht="42" customHeight="1">
      <c r="A618" s="316"/>
      <c r="B618" s="9"/>
      <c r="C618" s="9"/>
      <c r="D618" s="368"/>
      <c r="E618" s="369"/>
      <c r="F618" s="368"/>
      <c r="G618" s="369"/>
      <c r="H618" s="370"/>
      <c r="I618" s="371"/>
      <c r="J618" s="370"/>
      <c r="K618" s="371"/>
      <c r="L618" s="366"/>
      <c r="M618" s="360"/>
      <c r="N618" s="367"/>
      <c r="O618" s="71"/>
    </row>
    <row r="619" spans="1:15" ht="42" customHeight="1">
      <c r="A619" s="316"/>
      <c r="B619" s="9"/>
      <c r="C619" s="9"/>
      <c r="D619" s="368"/>
      <c r="E619" s="369"/>
      <c r="F619" s="368"/>
      <c r="G619" s="369"/>
      <c r="H619" s="370"/>
      <c r="I619" s="371"/>
      <c r="J619" s="370"/>
      <c r="K619" s="371"/>
      <c r="L619" s="366"/>
      <c r="M619" s="360"/>
      <c r="N619" s="367"/>
      <c r="O619" s="71"/>
    </row>
    <row r="620" spans="1:15" ht="42" customHeight="1">
      <c r="A620" s="316"/>
      <c r="B620" s="9"/>
      <c r="C620" s="9"/>
      <c r="D620" s="368"/>
      <c r="E620" s="369"/>
      <c r="F620" s="368"/>
      <c r="G620" s="369"/>
      <c r="H620" s="370"/>
      <c r="I620" s="371"/>
      <c r="J620" s="370"/>
      <c r="K620" s="371"/>
      <c r="L620" s="366"/>
      <c r="M620" s="360"/>
      <c r="N620" s="367"/>
      <c r="O620" s="71"/>
    </row>
    <row r="621" spans="1:15" ht="42" customHeight="1">
      <c r="A621" s="316"/>
      <c r="B621" s="9"/>
      <c r="C621" s="9"/>
      <c r="D621" s="368"/>
      <c r="E621" s="369"/>
      <c r="F621" s="368"/>
      <c r="G621" s="369"/>
      <c r="H621" s="370"/>
      <c r="I621" s="371"/>
      <c r="J621" s="370"/>
      <c r="K621" s="371"/>
      <c r="L621" s="366"/>
      <c r="M621" s="360"/>
      <c r="N621" s="367"/>
      <c r="O621" s="71"/>
    </row>
    <row r="622" spans="1:15" ht="42" customHeight="1">
      <c r="A622" s="316"/>
      <c r="B622" s="9"/>
      <c r="C622" s="9"/>
      <c r="D622" s="368"/>
      <c r="E622" s="369"/>
      <c r="F622" s="368"/>
      <c r="G622" s="369"/>
      <c r="H622" s="370"/>
      <c r="I622" s="371"/>
      <c r="J622" s="370"/>
      <c r="K622" s="371"/>
      <c r="L622" s="366"/>
      <c r="M622" s="360"/>
      <c r="N622" s="367"/>
      <c r="O622" s="71"/>
    </row>
    <row r="623" spans="1:15" ht="42" customHeight="1">
      <c r="A623" s="316"/>
      <c r="B623" s="9"/>
      <c r="C623" s="9"/>
      <c r="D623" s="368"/>
      <c r="E623" s="369"/>
      <c r="F623" s="368"/>
      <c r="G623" s="369"/>
      <c r="H623" s="370"/>
      <c r="I623" s="371"/>
      <c r="J623" s="370"/>
      <c r="K623" s="371"/>
      <c r="L623" s="366"/>
      <c r="M623" s="360"/>
      <c r="N623" s="367"/>
      <c r="O623" s="71"/>
    </row>
    <row r="624" spans="1:15" ht="42" customHeight="1">
      <c r="A624" s="316"/>
      <c r="B624" s="9"/>
      <c r="C624" s="9"/>
      <c r="D624" s="368"/>
      <c r="E624" s="369"/>
      <c r="F624" s="368"/>
      <c r="G624" s="369"/>
      <c r="H624" s="370"/>
      <c r="I624" s="371"/>
      <c r="J624" s="370"/>
      <c r="K624" s="371"/>
      <c r="L624" s="366"/>
      <c r="M624" s="360"/>
      <c r="N624" s="367"/>
      <c r="O624" s="71"/>
    </row>
    <row r="625" spans="1:15" ht="42" customHeight="1">
      <c r="A625" s="316"/>
      <c r="B625" s="9"/>
      <c r="C625" s="9"/>
      <c r="D625" s="368"/>
      <c r="E625" s="369"/>
      <c r="F625" s="368"/>
      <c r="G625" s="369"/>
      <c r="H625" s="370"/>
      <c r="I625" s="371"/>
      <c r="J625" s="370"/>
      <c r="K625" s="371"/>
      <c r="L625" s="366"/>
      <c r="M625" s="360"/>
      <c r="N625" s="367"/>
      <c r="O625" s="71"/>
    </row>
    <row r="626" spans="1:15" ht="42" customHeight="1">
      <c r="A626" s="316"/>
      <c r="B626" s="9"/>
      <c r="C626" s="9"/>
      <c r="D626" s="368"/>
      <c r="E626" s="369"/>
      <c r="F626" s="368"/>
      <c r="G626" s="369"/>
      <c r="H626" s="370"/>
      <c r="I626" s="371"/>
      <c r="J626" s="370"/>
      <c r="K626" s="371"/>
      <c r="L626" s="366"/>
      <c r="M626" s="360"/>
      <c r="N626" s="367"/>
      <c r="O626" s="71"/>
    </row>
    <row r="627" spans="1:15" ht="42" customHeight="1">
      <c r="A627" s="316"/>
      <c r="B627" s="9"/>
      <c r="C627" s="9"/>
      <c r="D627" s="368"/>
      <c r="E627" s="369"/>
      <c r="F627" s="368"/>
      <c r="G627" s="369"/>
      <c r="H627" s="370"/>
      <c r="I627" s="371"/>
      <c r="J627" s="370"/>
      <c r="K627" s="371"/>
      <c r="L627" s="366"/>
      <c r="M627" s="360"/>
      <c r="N627" s="367"/>
      <c r="O627" s="71"/>
    </row>
    <row r="628" spans="1:15" ht="42" customHeight="1">
      <c r="A628" s="316"/>
      <c r="B628" s="9"/>
      <c r="C628" s="9"/>
      <c r="D628" s="368"/>
      <c r="E628" s="369"/>
      <c r="F628" s="368"/>
      <c r="G628" s="369"/>
      <c r="H628" s="370"/>
      <c r="I628" s="371"/>
      <c r="J628" s="370"/>
      <c r="K628" s="371"/>
      <c r="L628" s="366"/>
      <c r="M628" s="360"/>
      <c r="N628" s="367"/>
      <c r="O628" s="71"/>
    </row>
    <row r="629" spans="1:15" ht="42" customHeight="1">
      <c r="A629" s="316"/>
      <c r="B629" s="9"/>
      <c r="C629" s="9"/>
      <c r="D629" s="368"/>
      <c r="E629" s="369"/>
      <c r="F629" s="368"/>
      <c r="G629" s="369"/>
      <c r="H629" s="370"/>
      <c r="I629" s="371"/>
      <c r="J629" s="370"/>
      <c r="K629" s="371"/>
      <c r="L629" s="366"/>
      <c r="M629" s="360"/>
      <c r="N629" s="367"/>
      <c r="O629" s="71"/>
    </row>
    <row r="630" spans="1:15" ht="42" customHeight="1">
      <c r="A630" s="316"/>
      <c r="B630" s="9"/>
      <c r="C630" s="9"/>
      <c r="D630" s="368"/>
      <c r="E630" s="369"/>
      <c r="F630" s="368"/>
      <c r="G630" s="369"/>
      <c r="H630" s="370"/>
      <c r="I630" s="371"/>
      <c r="J630" s="370"/>
      <c r="K630" s="371"/>
      <c r="L630" s="366"/>
      <c r="M630" s="360"/>
      <c r="N630" s="367"/>
      <c r="O630" s="71"/>
    </row>
    <row r="631" spans="1:15" ht="42" customHeight="1">
      <c r="A631" s="316"/>
      <c r="B631" s="9"/>
      <c r="C631" s="9"/>
      <c r="D631" s="368"/>
      <c r="E631" s="369"/>
      <c r="F631" s="368"/>
      <c r="G631" s="369"/>
      <c r="H631" s="370"/>
      <c r="I631" s="371"/>
      <c r="J631" s="370"/>
      <c r="K631" s="371"/>
      <c r="L631" s="366"/>
      <c r="M631" s="360"/>
      <c r="N631" s="367"/>
      <c r="O631" s="71"/>
    </row>
    <row r="632" spans="1:15" ht="42" customHeight="1">
      <c r="A632" s="316"/>
      <c r="B632" s="9"/>
      <c r="C632" s="9"/>
      <c r="D632" s="368"/>
      <c r="E632" s="369"/>
      <c r="F632" s="368"/>
      <c r="G632" s="369"/>
      <c r="H632" s="370"/>
      <c r="I632" s="371"/>
      <c r="J632" s="370"/>
      <c r="K632" s="371"/>
      <c r="L632" s="366"/>
      <c r="M632" s="360"/>
      <c r="N632" s="367"/>
      <c r="O632" s="71"/>
    </row>
    <row r="633" spans="1:15" ht="42" customHeight="1">
      <c r="A633" s="316"/>
      <c r="B633" s="9"/>
      <c r="C633" s="9"/>
      <c r="D633" s="368"/>
      <c r="E633" s="369"/>
      <c r="F633" s="368"/>
      <c r="G633" s="369"/>
      <c r="H633" s="370"/>
      <c r="I633" s="371"/>
      <c r="J633" s="370"/>
      <c r="K633" s="371"/>
      <c r="L633" s="366"/>
      <c r="M633" s="360"/>
      <c r="N633" s="367"/>
      <c r="O633" s="71"/>
    </row>
    <row r="634" spans="1:15" ht="42" customHeight="1">
      <c r="A634" s="316"/>
      <c r="B634" s="9"/>
      <c r="C634" s="9"/>
      <c r="D634" s="368"/>
      <c r="E634" s="369"/>
      <c r="F634" s="368"/>
      <c r="G634" s="369"/>
      <c r="H634" s="370"/>
      <c r="I634" s="371"/>
      <c r="J634" s="370"/>
      <c r="K634" s="371"/>
      <c r="L634" s="366"/>
      <c r="M634" s="360"/>
      <c r="N634" s="367"/>
      <c r="O634" s="71"/>
    </row>
    <row r="635" spans="1:15" ht="42" customHeight="1">
      <c r="A635" s="316"/>
      <c r="B635" s="9"/>
      <c r="C635" s="9"/>
      <c r="D635" s="368"/>
      <c r="E635" s="369"/>
      <c r="F635" s="368"/>
      <c r="G635" s="369"/>
      <c r="H635" s="370"/>
      <c r="I635" s="371"/>
      <c r="J635" s="370"/>
      <c r="K635" s="371"/>
      <c r="L635" s="366"/>
      <c r="M635" s="360"/>
      <c r="N635" s="367"/>
      <c r="O635" s="71"/>
    </row>
    <row r="636" spans="1:15" ht="42" customHeight="1">
      <c r="A636" s="316"/>
      <c r="B636" s="9"/>
      <c r="C636" s="9"/>
      <c r="D636" s="368"/>
      <c r="E636" s="369"/>
      <c r="F636" s="368"/>
      <c r="G636" s="369"/>
      <c r="H636" s="370"/>
      <c r="I636" s="371"/>
      <c r="J636" s="370"/>
      <c r="K636" s="371"/>
      <c r="L636" s="366"/>
      <c r="M636" s="360"/>
      <c r="N636" s="367"/>
      <c r="O636" s="71"/>
    </row>
    <row r="637" spans="1:15" ht="42" customHeight="1">
      <c r="A637" s="316"/>
      <c r="B637" s="9"/>
      <c r="C637" s="9"/>
      <c r="D637" s="368"/>
      <c r="E637" s="369"/>
      <c r="F637" s="368"/>
      <c r="G637" s="369"/>
      <c r="H637" s="370"/>
      <c r="I637" s="371"/>
      <c r="J637" s="370"/>
      <c r="K637" s="371"/>
      <c r="L637" s="366"/>
      <c r="M637" s="360"/>
      <c r="N637" s="367"/>
      <c r="O637" s="71"/>
    </row>
    <row r="638" spans="1:15" ht="42" customHeight="1">
      <c r="A638" s="316"/>
      <c r="B638" s="9"/>
      <c r="C638" s="9"/>
      <c r="D638" s="368"/>
      <c r="E638" s="369"/>
      <c r="F638" s="368"/>
      <c r="G638" s="369"/>
      <c r="H638" s="370"/>
      <c r="I638" s="371"/>
      <c r="J638" s="370"/>
      <c r="K638" s="371"/>
      <c r="L638" s="366"/>
      <c r="M638" s="360"/>
      <c r="N638" s="367"/>
      <c r="O638" s="71"/>
    </row>
    <row r="639" spans="1:15" ht="42" customHeight="1">
      <c r="A639" s="316"/>
      <c r="B639" s="9"/>
      <c r="C639" s="9"/>
      <c r="D639" s="368"/>
      <c r="E639" s="369"/>
      <c r="F639" s="368"/>
      <c r="G639" s="369"/>
      <c r="H639" s="370"/>
      <c r="I639" s="371"/>
      <c r="J639" s="370"/>
      <c r="K639" s="371"/>
      <c r="L639" s="366"/>
      <c r="M639" s="360"/>
      <c r="N639" s="367"/>
      <c r="O639" s="71"/>
    </row>
    <row r="640" spans="1:15" ht="42" customHeight="1">
      <c r="A640" s="316"/>
      <c r="B640" s="9"/>
      <c r="C640" s="9"/>
      <c r="D640" s="368"/>
      <c r="E640" s="369"/>
      <c r="F640" s="368"/>
      <c r="G640" s="369"/>
      <c r="H640" s="370"/>
      <c r="I640" s="371"/>
      <c r="J640" s="370"/>
      <c r="K640" s="371"/>
      <c r="L640" s="366"/>
      <c r="M640" s="360"/>
      <c r="N640" s="367"/>
      <c r="O640" s="71"/>
    </row>
    <row r="641" spans="1:15" ht="42" customHeight="1">
      <c r="A641" s="316"/>
      <c r="B641" s="9"/>
      <c r="C641" s="9"/>
      <c r="D641" s="368"/>
      <c r="E641" s="369"/>
      <c r="F641" s="368"/>
      <c r="G641" s="369"/>
      <c r="H641" s="370"/>
      <c r="I641" s="371"/>
      <c r="J641" s="370"/>
      <c r="K641" s="371"/>
      <c r="L641" s="366"/>
      <c r="M641" s="360"/>
      <c r="N641" s="367"/>
      <c r="O641" s="71"/>
    </row>
    <row r="642" spans="1:15" ht="42" customHeight="1">
      <c r="A642" s="316"/>
      <c r="B642" s="9"/>
      <c r="C642" s="9"/>
      <c r="D642" s="368"/>
      <c r="E642" s="369"/>
      <c r="F642" s="368"/>
      <c r="G642" s="369"/>
      <c r="H642" s="370"/>
      <c r="I642" s="371"/>
      <c r="J642" s="370"/>
      <c r="K642" s="371"/>
      <c r="L642" s="366"/>
      <c r="M642" s="360"/>
      <c r="N642" s="367"/>
      <c r="O642" s="71"/>
    </row>
    <row r="643" spans="1:15" ht="42" customHeight="1">
      <c r="A643" s="316"/>
      <c r="B643" s="9"/>
      <c r="C643" s="9"/>
      <c r="D643" s="368"/>
      <c r="E643" s="369"/>
      <c r="F643" s="368"/>
      <c r="G643" s="369"/>
      <c r="H643" s="370"/>
      <c r="I643" s="371"/>
      <c r="J643" s="370"/>
      <c r="K643" s="371"/>
      <c r="L643" s="366"/>
      <c r="M643" s="360"/>
      <c r="N643" s="367"/>
      <c r="O643" s="71"/>
    </row>
    <row r="644" spans="1:15" ht="42" customHeight="1">
      <c r="A644" s="316"/>
      <c r="B644" s="9"/>
      <c r="C644" s="9"/>
      <c r="D644" s="368"/>
      <c r="E644" s="369"/>
      <c r="F644" s="368"/>
      <c r="G644" s="369"/>
      <c r="H644" s="370"/>
      <c r="I644" s="371"/>
      <c r="J644" s="370"/>
      <c r="K644" s="371"/>
      <c r="L644" s="366"/>
      <c r="M644" s="360"/>
      <c r="N644" s="367"/>
      <c r="O644" s="71"/>
    </row>
    <row r="645" spans="1:15" ht="42" customHeight="1">
      <c r="A645" s="316"/>
      <c r="B645" s="9"/>
      <c r="C645" s="9"/>
      <c r="D645" s="368"/>
      <c r="E645" s="369"/>
      <c r="F645" s="368"/>
      <c r="G645" s="369"/>
      <c r="H645" s="370"/>
      <c r="I645" s="371"/>
      <c r="J645" s="370"/>
      <c r="K645" s="371"/>
      <c r="L645" s="366"/>
      <c r="M645" s="360"/>
      <c r="N645" s="367"/>
      <c r="O645" s="71"/>
    </row>
    <row r="646" spans="1:15" ht="42" customHeight="1">
      <c r="A646" s="316"/>
      <c r="B646" s="9"/>
      <c r="C646" s="9"/>
      <c r="D646" s="368"/>
      <c r="E646" s="369"/>
      <c r="F646" s="368"/>
      <c r="G646" s="369"/>
      <c r="H646" s="370"/>
      <c r="I646" s="371"/>
      <c r="J646" s="370"/>
      <c r="K646" s="371"/>
      <c r="L646" s="366"/>
      <c r="M646" s="360"/>
      <c r="N646" s="367"/>
      <c r="O646" s="71"/>
    </row>
    <row r="647" spans="1:15" ht="42" customHeight="1">
      <c r="A647" s="316"/>
      <c r="B647" s="9"/>
      <c r="C647" s="9"/>
      <c r="D647" s="368"/>
      <c r="E647" s="369"/>
      <c r="F647" s="368"/>
      <c r="G647" s="369"/>
      <c r="H647" s="370"/>
      <c r="I647" s="371"/>
      <c r="J647" s="370"/>
      <c r="K647" s="371"/>
      <c r="L647" s="366"/>
      <c r="M647" s="360"/>
      <c r="N647" s="367"/>
      <c r="O647" s="71"/>
    </row>
    <row r="648" spans="1:15" ht="42" customHeight="1">
      <c r="A648" s="316"/>
      <c r="B648" s="9"/>
      <c r="C648" s="9"/>
      <c r="D648" s="368"/>
      <c r="E648" s="369"/>
      <c r="F648" s="368"/>
      <c r="G648" s="369"/>
      <c r="H648" s="370"/>
      <c r="I648" s="371"/>
      <c r="J648" s="370"/>
      <c r="K648" s="371"/>
      <c r="L648" s="366"/>
      <c r="M648" s="360"/>
      <c r="N648" s="367"/>
      <c r="O648" s="71"/>
    </row>
    <row r="649" spans="1:15" ht="42" customHeight="1">
      <c r="A649" s="316"/>
      <c r="B649" s="9"/>
      <c r="C649" s="9"/>
      <c r="D649" s="368"/>
      <c r="E649" s="369"/>
      <c r="F649" s="368"/>
      <c r="G649" s="369"/>
      <c r="H649" s="370"/>
      <c r="I649" s="371"/>
      <c r="J649" s="370"/>
      <c r="K649" s="371"/>
      <c r="L649" s="366"/>
      <c r="M649" s="360"/>
      <c r="N649" s="367"/>
      <c r="O649" s="71"/>
    </row>
    <row r="650" spans="1:15" ht="42" customHeight="1">
      <c r="A650" s="316"/>
      <c r="B650" s="9"/>
      <c r="C650" s="9"/>
      <c r="D650" s="368"/>
      <c r="E650" s="369"/>
      <c r="F650" s="368"/>
      <c r="G650" s="369"/>
      <c r="H650" s="370"/>
      <c r="I650" s="371"/>
      <c r="J650" s="370"/>
      <c r="K650" s="371"/>
      <c r="L650" s="366"/>
      <c r="M650" s="360"/>
      <c r="N650" s="367"/>
      <c r="O650" s="71"/>
    </row>
    <row r="651" spans="1:15" ht="42" customHeight="1">
      <c r="A651" s="316"/>
      <c r="B651" s="9"/>
      <c r="C651" s="9"/>
      <c r="D651" s="368"/>
      <c r="E651" s="369"/>
      <c r="F651" s="368"/>
      <c r="G651" s="369"/>
      <c r="H651" s="370"/>
      <c r="I651" s="371"/>
      <c r="J651" s="370"/>
      <c r="K651" s="371"/>
      <c r="L651" s="366"/>
      <c r="M651" s="360"/>
      <c r="N651" s="367"/>
      <c r="O651" s="71"/>
    </row>
    <row r="652" spans="1:15" ht="42" customHeight="1">
      <c r="A652" s="316"/>
      <c r="B652" s="9"/>
      <c r="C652" s="9"/>
      <c r="D652" s="368"/>
      <c r="E652" s="369"/>
      <c r="F652" s="368"/>
      <c r="G652" s="369"/>
      <c r="H652" s="370"/>
      <c r="I652" s="371"/>
      <c r="J652" s="370"/>
      <c r="K652" s="371"/>
      <c r="L652" s="366"/>
      <c r="M652" s="360"/>
      <c r="N652" s="367"/>
      <c r="O652" s="71"/>
    </row>
    <row r="653" spans="1:15" ht="42" customHeight="1">
      <c r="A653" s="316"/>
      <c r="B653" s="9"/>
      <c r="C653" s="9"/>
      <c r="D653" s="368"/>
      <c r="E653" s="369"/>
      <c r="F653" s="368"/>
      <c r="G653" s="369"/>
      <c r="H653" s="370"/>
      <c r="I653" s="371"/>
      <c r="J653" s="370"/>
      <c r="K653" s="371"/>
      <c r="L653" s="366"/>
      <c r="M653" s="360"/>
      <c r="N653" s="367"/>
      <c r="O653" s="71"/>
    </row>
    <row r="654" spans="1:15" ht="42" customHeight="1">
      <c r="A654" s="316"/>
      <c r="B654" s="9"/>
      <c r="C654" s="9"/>
      <c r="D654" s="368"/>
      <c r="E654" s="369"/>
      <c r="F654" s="368"/>
      <c r="G654" s="369"/>
      <c r="H654" s="370"/>
      <c r="I654" s="371"/>
      <c r="J654" s="370"/>
      <c r="K654" s="371"/>
      <c r="L654" s="366"/>
      <c r="M654" s="360"/>
      <c r="N654" s="367"/>
      <c r="O654" s="71"/>
    </row>
    <row r="655" spans="1:15" ht="42" customHeight="1">
      <c r="A655" s="316"/>
      <c r="B655" s="9"/>
      <c r="C655" s="9"/>
      <c r="D655" s="368"/>
      <c r="E655" s="369"/>
      <c r="F655" s="368"/>
      <c r="G655" s="369"/>
      <c r="H655" s="370"/>
      <c r="I655" s="371"/>
      <c r="J655" s="370"/>
      <c r="K655" s="371"/>
      <c r="L655" s="366"/>
      <c r="M655" s="360"/>
      <c r="N655" s="367"/>
      <c r="O655" s="71"/>
    </row>
    <row r="656" spans="1:15" ht="42" customHeight="1">
      <c r="A656" s="316"/>
      <c r="B656" s="9"/>
      <c r="C656" s="9"/>
      <c r="D656" s="368"/>
      <c r="E656" s="369"/>
      <c r="F656" s="368"/>
      <c r="G656" s="369"/>
      <c r="H656" s="370"/>
      <c r="I656" s="371"/>
      <c r="J656" s="370"/>
      <c r="K656" s="371"/>
      <c r="L656" s="366"/>
      <c r="M656" s="360"/>
      <c r="N656" s="367"/>
      <c r="O656" s="71"/>
    </row>
    <row r="657" spans="1:15" ht="42" customHeight="1">
      <c r="A657" s="316"/>
      <c r="B657" s="9"/>
      <c r="C657" s="9"/>
      <c r="D657" s="368"/>
      <c r="E657" s="369"/>
      <c r="F657" s="368"/>
      <c r="G657" s="369"/>
      <c r="H657" s="370"/>
      <c r="I657" s="371"/>
      <c r="J657" s="370"/>
      <c r="K657" s="371"/>
      <c r="L657" s="366"/>
      <c r="M657" s="360"/>
      <c r="N657" s="367"/>
      <c r="O657" s="71"/>
    </row>
    <row r="658" spans="1:15" ht="42" customHeight="1">
      <c r="A658" s="316"/>
      <c r="B658" s="9"/>
      <c r="C658" s="9"/>
      <c r="D658" s="368"/>
      <c r="E658" s="369"/>
      <c r="F658" s="368"/>
      <c r="G658" s="369"/>
      <c r="H658" s="370"/>
      <c r="I658" s="371"/>
      <c r="J658" s="370"/>
      <c r="K658" s="371"/>
      <c r="L658" s="366"/>
      <c r="M658" s="360"/>
      <c r="N658" s="367"/>
      <c r="O658" s="71"/>
    </row>
    <row r="659" spans="1:15" ht="42" customHeight="1">
      <c r="A659" s="316"/>
      <c r="B659" s="9"/>
      <c r="C659" s="9"/>
      <c r="D659" s="368"/>
      <c r="E659" s="369"/>
      <c r="F659" s="368"/>
      <c r="G659" s="369"/>
      <c r="H659" s="370"/>
      <c r="I659" s="371"/>
      <c r="J659" s="370"/>
      <c r="K659" s="371"/>
      <c r="L659" s="366"/>
      <c r="M659" s="360"/>
      <c r="N659" s="367"/>
      <c r="O659" s="71"/>
    </row>
    <row r="660" spans="1:15" ht="42" customHeight="1">
      <c r="A660" s="316"/>
      <c r="B660" s="9"/>
      <c r="C660" s="9"/>
      <c r="D660" s="368"/>
      <c r="E660" s="369"/>
      <c r="F660" s="368"/>
      <c r="G660" s="369"/>
      <c r="H660" s="370"/>
      <c r="I660" s="371"/>
      <c r="J660" s="370"/>
      <c r="K660" s="371"/>
      <c r="L660" s="366"/>
      <c r="M660" s="360"/>
      <c r="N660" s="367"/>
      <c r="O660" s="71"/>
    </row>
    <row r="661" spans="1:15" ht="42" customHeight="1">
      <c r="A661" s="316"/>
      <c r="B661" s="9"/>
      <c r="C661" s="9"/>
      <c r="D661" s="368"/>
      <c r="E661" s="369"/>
      <c r="F661" s="368"/>
      <c r="G661" s="369"/>
      <c r="H661" s="370"/>
      <c r="I661" s="371"/>
      <c r="J661" s="370"/>
      <c r="K661" s="371"/>
      <c r="L661" s="366"/>
      <c r="M661" s="360"/>
      <c r="N661" s="367"/>
      <c r="O661" s="71"/>
    </row>
    <row r="662" spans="1:15" ht="42" customHeight="1">
      <c r="A662" s="316"/>
      <c r="B662" s="9"/>
      <c r="C662" s="9"/>
      <c r="D662" s="368"/>
      <c r="E662" s="369"/>
      <c r="F662" s="368"/>
      <c r="G662" s="369"/>
      <c r="H662" s="370"/>
      <c r="I662" s="371"/>
      <c r="J662" s="370"/>
      <c r="K662" s="371"/>
      <c r="L662" s="366"/>
      <c r="M662" s="360"/>
      <c r="N662" s="367"/>
      <c r="O662" s="71"/>
    </row>
    <row r="663" spans="1:15" ht="42" customHeight="1">
      <c r="A663" s="316"/>
      <c r="B663" s="9"/>
      <c r="C663" s="9"/>
      <c r="D663" s="368"/>
      <c r="E663" s="369"/>
      <c r="F663" s="368"/>
      <c r="G663" s="369"/>
      <c r="H663" s="370"/>
      <c r="I663" s="371"/>
      <c r="J663" s="370"/>
      <c r="K663" s="371"/>
      <c r="L663" s="366"/>
      <c r="M663" s="360"/>
      <c r="N663" s="367"/>
      <c r="O663" s="71"/>
    </row>
    <row r="664" spans="1:15" ht="42" customHeight="1">
      <c r="A664" s="316"/>
      <c r="B664" s="9"/>
      <c r="C664" s="9"/>
      <c r="D664" s="368"/>
      <c r="E664" s="369"/>
      <c r="F664" s="368"/>
      <c r="G664" s="369"/>
      <c r="H664" s="370"/>
      <c r="I664" s="371"/>
      <c r="J664" s="370"/>
      <c r="K664" s="371"/>
      <c r="L664" s="366"/>
      <c r="M664" s="360"/>
      <c r="N664" s="367"/>
      <c r="O664" s="71"/>
    </row>
    <row r="665" spans="1:15" ht="42" customHeight="1">
      <c r="A665" s="316"/>
      <c r="B665" s="9"/>
      <c r="C665" s="9"/>
      <c r="D665" s="368"/>
      <c r="E665" s="369"/>
      <c r="F665" s="368"/>
      <c r="G665" s="369"/>
      <c r="H665" s="370"/>
      <c r="I665" s="371"/>
      <c r="J665" s="370"/>
      <c r="K665" s="371"/>
      <c r="L665" s="366"/>
      <c r="M665" s="360"/>
      <c r="N665" s="367"/>
      <c r="O665" s="71"/>
    </row>
    <row r="666" spans="1:15" ht="42" customHeight="1">
      <c r="A666" s="316"/>
      <c r="B666" s="9"/>
      <c r="C666" s="9"/>
      <c r="D666" s="368"/>
      <c r="E666" s="369"/>
      <c r="F666" s="368"/>
      <c r="G666" s="369"/>
      <c r="H666" s="370"/>
      <c r="I666" s="371"/>
      <c r="J666" s="370"/>
      <c r="K666" s="371"/>
      <c r="L666" s="366"/>
      <c r="M666" s="360"/>
      <c r="N666" s="367"/>
      <c r="O666" s="71"/>
    </row>
    <row r="667" spans="1:15" ht="42" customHeight="1">
      <c r="A667" s="316"/>
      <c r="B667" s="9"/>
      <c r="C667" s="9"/>
      <c r="D667" s="368"/>
      <c r="E667" s="369"/>
      <c r="F667" s="368"/>
      <c r="G667" s="369"/>
      <c r="H667" s="370"/>
      <c r="I667" s="371"/>
      <c r="J667" s="370"/>
      <c r="K667" s="371"/>
      <c r="L667" s="366"/>
      <c r="M667" s="360"/>
      <c r="N667" s="367"/>
      <c r="O667" s="71"/>
    </row>
    <row r="668" spans="1:15" ht="42" customHeight="1">
      <c r="A668" s="316"/>
      <c r="B668" s="9"/>
      <c r="C668" s="9"/>
      <c r="D668" s="368"/>
      <c r="E668" s="369"/>
      <c r="F668" s="368"/>
      <c r="G668" s="369"/>
      <c r="H668" s="370"/>
      <c r="I668" s="371"/>
      <c r="J668" s="370"/>
      <c r="K668" s="371"/>
      <c r="L668" s="366"/>
      <c r="M668" s="360"/>
      <c r="N668" s="367"/>
      <c r="O668" s="71"/>
    </row>
    <row r="669" spans="1:15" ht="42" customHeight="1">
      <c r="A669" s="316"/>
      <c r="B669" s="9"/>
      <c r="C669" s="9"/>
      <c r="D669" s="368"/>
      <c r="E669" s="369"/>
      <c r="F669" s="368"/>
      <c r="G669" s="369"/>
      <c r="H669" s="370"/>
      <c r="I669" s="371"/>
      <c r="J669" s="370"/>
      <c r="K669" s="371"/>
      <c r="L669" s="366"/>
      <c r="M669" s="360"/>
      <c r="N669" s="367"/>
      <c r="O669" s="71"/>
    </row>
    <row r="670" spans="1:15" ht="42" customHeight="1">
      <c r="A670" s="316"/>
      <c r="B670" s="9"/>
      <c r="C670" s="9"/>
      <c r="D670" s="368"/>
      <c r="E670" s="369"/>
      <c r="F670" s="368"/>
      <c r="G670" s="369"/>
      <c r="H670" s="370"/>
      <c r="I670" s="371"/>
      <c r="J670" s="370"/>
      <c r="K670" s="371"/>
      <c r="L670" s="366"/>
      <c r="M670" s="360"/>
      <c r="N670" s="367"/>
      <c r="O670" s="71"/>
    </row>
    <row r="671" spans="1:15" ht="42" customHeight="1">
      <c r="A671" s="316"/>
      <c r="B671" s="9"/>
      <c r="C671" s="9"/>
      <c r="D671" s="368"/>
      <c r="E671" s="369"/>
      <c r="F671" s="368"/>
      <c r="G671" s="369"/>
      <c r="H671" s="370"/>
      <c r="I671" s="371"/>
      <c r="J671" s="370"/>
      <c r="K671" s="371"/>
      <c r="L671" s="366"/>
      <c r="M671" s="360"/>
      <c r="N671" s="367"/>
      <c r="O671" s="71"/>
    </row>
    <row r="672" spans="1:15" ht="42" customHeight="1">
      <c r="A672" s="316"/>
      <c r="B672" s="9"/>
      <c r="C672" s="9"/>
      <c r="D672" s="368"/>
      <c r="E672" s="369"/>
      <c r="F672" s="368"/>
      <c r="G672" s="369"/>
      <c r="H672" s="370"/>
      <c r="I672" s="371"/>
      <c r="J672" s="370"/>
      <c r="K672" s="371"/>
      <c r="L672" s="366"/>
      <c r="M672" s="360"/>
      <c r="N672" s="367"/>
      <c r="O672" s="71"/>
    </row>
    <row r="673" spans="1:15" ht="42" customHeight="1">
      <c r="A673" s="316"/>
      <c r="B673" s="9"/>
      <c r="C673" s="9"/>
      <c r="D673" s="368"/>
      <c r="E673" s="369"/>
      <c r="F673" s="368"/>
      <c r="G673" s="369"/>
      <c r="H673" s="370"/>
      <c r="I673" s="371"/>
      <c r="J673" s="370"/>
      <c r="K673" s="371"/>
      <c r="L673" s="366"/>
      <c r="M673" s="360"/>
      <c r="N673" s="367"/>
      <c r="O673" s="71"/>
    </row>
    <row r="674" spans="1:15" ht="42" customHeight="1">
      <c r="A674" s="316"/>
      <c r="B674" s="9"/>
      <c r="C674" s="9"/>
      <c r="D674" s="368"/>
      <c r="E674" s="369"/>
      <c r="F674" s="368"/>
      <c r="G674" s="369"/>
      <c r="H674" s="370"/>
      <c r="I674" s="371"/>
      <c r="J674" s="370"/>
      <c r="K674" s="371"/>
      <c r="L674" s="366"/>
      <c r="M674" s="360"/>
      <c r="N674" s="367"/>
      <c r="O674" s="71"/>
    </row>
    <row r="675" spans="1:15" ht="42" customHeight="1">
      <c r="A675" s="316"/>
      <c r="B675" s="9"/>
      <c r="C675" s="9"/>
      <c r="D675" s="368"/>
      <c r="E675" s="369"/>
      <c r="F675" s="368"/>
      <c r="G675" s="369"/>
      <c r="H675" s="370"/>
      <c r="I675" s="371"/>
      <c r="J675" s="370"/>
      <c r="K675" s="371"/>
      <c r="L675" s="366"/>
      <c r="M675" s="360"/>
      <c r="N675" s="367"/>
      <c r="O675" s="71"/>
    </row>
    <row r="676" spans="1:15" ht="42" customHeight="1">
      <c r="A676" s="316"/>
      <c r="B676" s="9"/>
      <c r="C676" s="9"/>
      <c r="D676" s="368"/>
      <c r="E676" s="369"/>
      <c r="F676" s="368"/>
      <c r="G676" s="369"/>
      <c r="H676" s="370"/>
      <c r="I676" s="371"/>
      <c r="J676" s="370"/>
      <c r="K676" s="371"/>
      <c r="L676" s="366"/>
      <c r="M676" s="360"/>
      <c r="N676" s="367"/>
      <c r="O676" s="71"/>
    </row>
    <row r="677" spans="1:15" ht="42" customHeight="1">
      <c r="A677" s="316"/>
      <c r="B677" s="9"/>
      <c r="C677" s="9"/>
      <c r="D677" s="368"/>
      <c r="E677" s="369"/>
      <c r="F677" s="368"/>
      <c r="G677" s="369"/>
      <c r="H677" s="370"/>
      <c r="I677" s="371"/>
      <c r="J677" s="370"/>
      <c r="K677" s="371"/>
      <c r="L677" s="366"/>
      <c r="M677" s="360"/>
      <c r="N677" s="367"/>
      <c r="O677" s="71"/>
    </row>
    <row r="678" spans="1:15" ht="42" customHeight="1">
      <c r="A678" s="316"/>
      <c r="B678" s="9"/>
      <c r="C678" s="9"/>
      <c r="D678" s="368"/>
      <c r="E678" s="369"/>
      <c r="F678" s="368"/>
      <c r="G678" s="369"/>
      <c r="H678" s="370"/>
      <c r="I678" s="371"/>
      <c r="J678" s="370"/>
      <c r="K678" s="371"/>
      <c r="L678" s="366"/>
      <c r="M678" s="360"/>
      <c r="N678" s="367"/>
      <c r="O678" s="71"/>
    </row>
    <row r="679" spans="1:15" ht="42" customHeight="1">
      <c r="A679" s="316"/>
      <c r="B679" s="9"/>
      <c r="C679" s="9"/>
    </row>
    <row r="680" spans="1:15" ht="42" customHeight="1">
      <c r="A680" s="316"/>
      <c r="B680" s="9"/>
      <c r="C680" s="9"/>
    </row>
    <row r="681" spans="1:15" ht="42" customHeight="1">
      <c r="A681" s="316"/>
      <c r="B681" s="9"/>
      <c r="C681" s="9"/>
    </row>
    <row r="682" spans="1:15" ht="42" customHeight="1">
      <c r="A682" s="316"/>
      <c r="B682" s="9"/>
      <c r="C682" s="9"/>
    </row>
    <row r="683" spans="1:15" ht="42" customHeight="1">
      <c r="A683" s="316"/>
      <c r="B683" s="9"/>
      <c r="C683" s="9"/>
    </row>
    <row r="684" spans="1:15" ht="42" customHeight="1">
      <c r="A684" s="316"/>
      <c r="B684" s="9"/>
      <c r="C684" s="9"/>
    </row>
    <row r="685" spans="1:15" ht="42" customHeight="1">
      <c r="A685" s="316"/>
      <c r="B685" s="9"/>
      <c r="C685" s="9"/>
    </row>
    <row r="686" spans="1:15" ht="42" customHeight="1">
      <c r="A686" s="316"/>
      <c r="B686" s="9"/>
      <c r="C686" s="9"/>
    </row>
    <row r="687" spans="1:15" ht="42" customHeight="1">
      <c r="A687" s="316"/>
      <c r="B687" s="9"/>
      <c r="C687" s="9"/>
    </row>
    <row r="688" spans="1:15" ht="42" customHeight="1">
      <c r="A688" s="316"/>
      <c r="B688" s="9"/>
      <c r="C688" s="9"/>
    </row>
  </sheetData>
  <autoFilter ref="A8:GY168"/>
  <mergeCells count="17">
    <mergeCell ref="A161:C161"/>
    <mergeCell ref="M168:N168"/>
    <mergeCell ref="A164:C164"/>
    <mergeCell ref="F164:G164"/>
    <mergeCell ref="L163:O163"/>
    <mergeCell ref="L164:O164"/>
    <mergeCell ref="A1:F1"/>
    <mergeCell ref="A2:F2"/>
    <mergeCell ref="A3:F3"/>
    <mergeCell ref="D7:G7"/>
    <mergeCell ref="H7:K7"/>
    <mergeCell ref="A7:A8"/>
    <mergeCell ref="B7:B8"/>
    <mergeCell ref="C7:C8"/>
    <mergeCell ref="A4:O4"/>
    <mergeCell ref="A5:O5"/>
    <mergeCell ref="L7:O7"/>
  </mergeCells>
  <conditionalFormatting sqref="A1:A1048576">
    <cfRule type="duplicateValues" dxfId="157" priority="1"/>
  </conditionalFormatting>
  <conditionalFormatting sqref="A4">
    <cfRule type="duplicateValues" dxfId="156" priority="2529" stopIfTrue="1"/>
  </conditionalFormatting>
  <conditionalFormatting sqref="A7:A8">
    <cfRule type="duplicateValues" dxfId="155" priority="2483" stopIfTrue="1"/>
    <cfRule type="duplicateValues" dxfId="154" priority="2485" stopIfTrue="1"/>
    <cfRule type="duplicateValues" dxfId="153" priority="2486" stopIfTrue="1"/>
  </conditionalFormatting>
  <conditionalFormatting sqref="A14">
    <cfRule type="duplicateValues" dxfId="152" priority="214" stopIfTrue="1"/>
    <cfRule type="duplicateValues" dxfId="151" priority="215" stopIfTrue="1"/>
    <cfRule type="duplicateValues" dxfId="150" priority="216" stopIfTrue="1"/>
    <cfRule type="duplicateValues" dxfId="149" priority="217" stopIfTrue="1"/>
  </conditionalFormatting>
  <conditionalFormatting sqref="A14:A28">
    <cfRule type="duplicateValues" dxfId="148" priority="174"/>
  </conditionalFormatting>
  <conditionalFormatting sqref="A17:A18">
    <cfRule type="duplicateValues" dxfId="147" priority="4099" stopIfTrue="1"/>
    <cfRule type="duplicateValues" dxfId="146" priority="4100" stopIfTrue="1"/>
    <cfRule type="duplicateValues" dxfId="145" priority="4101" stopIfTrue="1"/>
  </conditionalFormatting>
  <conditionalFormatting sqref="A20">
    <cfRule type="duplicateValues" dxfId="144" priority="219" stopIfTrue="1"/>
    <cfRule type="duplicateValues" dxfId="143" priority="220" stopIfTrue="1"/>
    <cfRule type="duplicateValues" dxfId="142" priority="221" stopIfTrue="1"/>
    <cfRule type="duplicateValues" dxfId="141" priority="222" stopIfTrue="1"/>
    <cfRule type="duplicateValues" dxfId="140" priority="223" stopIfTrue="1"/>
  </conditionalFormatting>
  <conditionalFormatting sqref="A22 A16 A19 A9">
    <cfRule type="duplicateValues" dxfId="139" priority="4478" stopIfTrue="1"/>
    <cfRule type="duplicateValues" dxfId="138" priority="4479" stopIfTrue="1"/>
    <cfRule type="duplicateValues" dxfId="137" priority="4480" stopIfTrue="1"/>
  </conditionalFormatting>
  <conditionalFormatting sqref="A22:A25 A9 A15:A20">
    <cfRule type="duplicateValues" dxfId="136" priority="4556" stopIfTrue="1"/>
  </conditionalFormatting>
  <conditionalFormatting sqref="A23">
    <cfRule type="duplicateValues" dxfId="135" priority="4927" stopIfTrue="1"/>
  </conditionalFormatting>
  <conditionalFormatting sqref="A24">
    <cfRule type="duplicateValues" dxfId="134" priority="228" stopIfTrue="1"/>
  </conditionalFormatting>
  <conditionalFormatting sqref="A28">
    <cfRule type="duplicateValues" dxfId="133" priority="178"/>
  </conditionalFormatting>
  <conditionalFormatting sqref="A29">
    <cfRule type="duplicateValues" dxfId="132" priority="139"/>
    <cfRule type="duplicateValues" dxfId="131" priority="140"/>
  </conditionalFormatting>
  <conditionalFormatting sqref="A32:A46">
    <cfRule type="duplicateValues" dxfId="130" priority="4850"/>
  </conditionalFormatting>
  <conditionalFormatting sqref="A38:A46">
    <cfRule type="duplicateValues" dxfId="129" priority="4930"/>
  </conditionalFormatting>
  <conditionalFormatting sqref="A44:A45">
    <cfRule type="duplicateValues" dxfId="128" priority="4933" stopIfTrue="1"/>
  </conditionalFormatting>
  <conditionalFormatting sqref="A46">
    <cfRule type="duplicateValues" dxfId="127" priority="4826"/>
  </conditionalFormatting>
  <conditionalFormatting sqref="A47">
    <cfRule type="duplicateValues" dxfId="126" priority="4951"/>
    <cfRule type="duplicateValues" dxfId="125" priority="4952"/>
    <cfRule type="duplicateValues" dxfId="124" priority="4953"/>
    <cfRule type="duplicateValues" dxfId="123" priority="4954"/>
  </conditionalFormatting>
  <conditionalFormatting sqref="A48">
    <cfRule type="duplicateValues" dxfId="122" priority="200" stopIfTrue="1"/>
    <cfRule type="duplicateValues" dxfId="121" priority="201" stopIfTrue="1"/>
    <cfRule type="duplicateValues" dxfId="120" priority="202" stopIfTrue="1"/>
    <cfRule type="duplicateValues" dxfId="119" priority="203" stopIfTrue="1"/>
    <cfRule type="duplicateValues" dxfId="118" priority="204" stopIfTrue="1"/>
  </conditionalFormatting>
  <conditionalFormatting sqref="A49">
    <cfRule type="duplicateValues" dxfId="117" priority="235" stopIfTrue="1"/>
    <cfRule type="duplicateValues" dxfId="116" priority="236" stopIfTrue="1"/>
    <cfRule type="duplicateValues" dxfId="115" priority="237" stopIfTrue="1"/>
    <cfRule type="duplicateValues" dxfId="114" priority="238" stopIfTrue="1"/>
    <cfRule type="duplicateValues" dxfId="113" priority="239" stopIfTrue="1"/>
  </conditionalFormatting>
  <conditionalFormatting sqref="A55">
    <cfRule type="duplicateValues" dxfId="112" priority="77"/>
    <cfRule type="duplicateValues" dxfId="111" priority="78"/>
  </conditionalFormatting>
  <conditionalFormatting sqref="A56">
    <cfRule type="duplicateValues" dxfId="110" priority="11"/>
    <cfRule type="duplicateValues" dxfId="109" priority="12"/>
  </conditionalFormatting>
  <conditionalFormatting sqref="A57">
    <cfRule type="duplicateValues" dxfId="108" priority="8"/>
    <cfRule type="duplicateValues" dxfId="107" priority="9"/>
  </conditionalFormatting>
  <conditionalFormatting sqref="A58">
    <cfRule type="duplicateValues" dxfId="106" priority="5"/>
    <cfRule type="duplicateValues" dxfId="105" priority="6"/>
  </conditionalFormatting>
  <conditionalFormatting sqref="A59">
    <cfRule type="duplicateValues" dxfId="104" priority="2"/>
    <cfRule type="duplicateValues" dxfId="103" priority="3"/>
  </conditionalFormatting>
  <conditionalFormatting sqref="A60">
    <cfRule type="duplicateValues" dxfId="102" priority="17"/>
    <cfRule type="duplicateValues" dxfId="101" priority="18"/>
  </conditionalFormatting>
  <conditionalFormatting sqref="A66">
    <cfRule type="duplicateValues" dxfId="100" priority="180"/>
    <cfRule type="duplicateValues" dxfId="99" priority="181" stopIfTrue="1"/>
    <cfRule type="duplicateValues" dxfId="98" priority="182" stopIfTrue="1"/>
    <cfRule type="duplicateValues" dxfId="97" priority="183" stopIfTrue="1"/>
    <cfRule type="duplicateValues" dxfId="96" priority="184" stopIfTrue="1"/>
  </conditionalFormatting>
  <conditionalFormatting sqref="A67">
    <cfRule type="duplicateValues" dxfId="95" priority="185"/>
    <cfRule type="duplicateValues" dxfId="94" priority="186" stopIfTrue="1"/>
    <cfRule type="duplicateValues" dxfId="93" priority="187" stopIfTrue="1"/>
    <cfRule type="duplicateValues" dxfId="92" priority="188" stopIfTrue="1"/>
    <cfRule type="duplicateValues" dxfId="91" priority="189" stopIfTrue="1"/>
  </conditionalFormatting>
  <conditionalFormatting sqref="A73:A76">
    <cfRule type="duplicateValues" dxfId="90" priority="245" stopIfTrue="1"/>
  </conditionalFormatting>
  <conditionalFormatting sqref="A94">
    <cfRule type="duplicateValues" dxfId="89" priority="120"/>
  </conditionalFormatting>
  <conditionalFormatting sqref="A95">
    <cfRule type="duplicateValues" dxfId="88" priority="115"/>
  </conditionalFormatting>
  <conditionalFormatting sqref="A96">
    <cfRule type="duplicateValues" dxfId="87" priority="110"/>
    <cfRule type="duplicateValues" dxfId="86" priority="111"/>
    <cfRule type="duplicateValues" dxfId="85" priority="112"/>
    <cfRule type="duplicateValues" dxfId="84" priority="114"/>
  </conditionalFormatting>
  <conditionalFormatting sqref="A97">
    <cfRule type="duplicateValues" dxfId="83" priority="100"/>
    <cfRule type="duplicateValues" dxfId="82" priority="101"/>
    <cfRule type="duplicateValues" dxfId="81" priority="102"/>
    <cfRule type="duplicateValues" dxfId="80" priority="104"/>
  </conditionalFormatting>
  <conditionalFormatting sqref="A98">
    <cfRule type="duplicateValues" dxfId="79" priority="95"/>
    <cfRule type="duplicateValues" dxfId="78" priority="96"/>
    <cfRule type="duplicateValues" dxfId="77" priority="97"/>
    <cfRule type="duplicateValues" dxfId="76" priority="99"/>
  </conditionalFormatting>
  <conditionalFormatting sqref="A99">
    <cfRule type="duplicateValues" dxfId="75" priority="69"/>
    <cfRule type="duplicateValues" dxfId="74" priority="70"/>
    <cfRule type="duplicateValues" dxfId="73" priority="71"/>
    <cfRule type="duplicateValues" dxfId="72" priority="73"/>
  </conditionalFormatting>
  <conditionalFormatting sqref="A100">
    <cfRule type="duplicateValues" dxfId="71" priority="64"/>
    <cfRule type="duplicateValues" dxfId="70" priority="65"/>
    <cfRule type="duplicateValues" dxfId="69" priority="66"/>
    <cfRule type="duplicateValues" dxfId="68" priority="68"/>
  </conditionalFormatting>
  <conditionalFormatting sqref="A101">
    <cfRule type="duplicateValues" dxfId="67" priority="59"/>
    <cfRule type="duplicateValues" dxfId="66" priority="60"/>
    <cfRule type="duplicateValues" dxfId="65" priority="61"/>
    <cfRule type="duplicateValues" dxfId="64" priority="63"/>
  </conditionalFormatting>
  <conditionalFormatting sqref="A102">
    <cfRule type="duplicateValues" dxfId="63" priority="54"/>
    <cfRule type="duplicateValues" dxfId="62" priority="55"/>
    <cfRule type="duplicateValues" dxfId="61" priority="56"/>
    <cfRule type="duplicateValues" dxfId="60" priority="58"/>
  </conditionalFormatting>
  <conditionalFormatting sqref="A103">
    <cfRule type="duplicateValues" dxfId="59" priority="51"/>
    <cfRule type="duplicateValues" dxfId="58" priority="52"/>
  </conditionalFormatting>
  <conditionalFormatting sqref="A104">
    <cfRule type="duplicateValues" dxfId="57" priority="48"/>
    <cfRule type="duplicateValues" dxfId="56" priority="49"/>
  </conditionalFormatting>
  <conditionalFormatting sqref="A105">
    <cfRule type="duplicateValues" dxfId="55" priority="45"/>
    <cfRule type="duplicateValues" dxfId="54" priority="46"/>
  </conditionalFormatting>
  <conditionalFormatting sqref="A106">
    <cfRule type="duplicateValues" dxfId="53" priority="83"/>
    <cfRule type="duplicateValues" dxfId="52" priority="84"/>
  </conditionalFormatting>
  <conditionalFormatting sqref="A107">
    <cfRule type="duplicateValues" dxfId="51" priority="80"/>
    <cfRule type="duplicateValues" dxfId="50" priority="81"/>
  </conditionalFormatting>
  <conditionalFormatting sqref="A108">
    <cfRule type="duplicateValues" dxfId="49" priority="86"/>
    <cfRule type="duplicateValues" dxfId="48" priority="87"/>
  </conditionalFormatting>
  <conditionalFormatting sqref="A109">
    <cfRule type="duplicateValues" dxfId="47" priority="32"/>
    <cfRule type="duplicateValues" dxfId="46" priority="33"/>
  </conditionalFormatting>
  <conditionalFormatting sqref="A110">
    <cfRule type="duplicateValues" dxfId="45" priority="26"/>
    <cfRule type="duplicateValues" dxfId="44" priority="27"/>
  </conditionalFormatting>
  <conditionalFormatting sqref="A111">
    <cfRule type="duplicateValues" dxfId="43" priority="23"/>
    <cfRule type="duplicateValues" dxfId="42" priority="24"/>
  </conditionalFormatting>
  <conditionalFormatting sqref="A112">
    <cfRule type="duplicateValues" dxfId="41" priority="20"/>
    <cfRule type="duplicateValues" dxfId="40" priority="21"/>
  </conditionalFormatting>
  <conditionalFormatting sqref="A113">
    <cfRule type="duplicateValues" dxfId="39" priority="29"/>
    <cfRule type="duplicateValues" dxfId="38" priority="30"/>
  </conditionalFormatting>
  <conditionalFormatting sqref="A114:A160 A48:A54 A61:A65 A9:A27 A30:A45 A68:A92">
    <cfRule type="duplicateValues" dxfId="37" priority="4949"/>
  </conditionalFormatting>
  <conditionalFormatting sqref="A114:A160 A73:A76 A44:A45 A50:A54 A68:A70 A61:A65 A79:A92">
    <cfRule type="duplicateValues" dxfId="36" priority="4996" stopIfTrue="1"/>
    <cfRule type="duplicateValues" dxfId="35" priority="4997" stopIfTrue="1"/>
    <cfRule type="duplicateValues" dxfId="34" priority="4998" stopIfTrue="1"/>
  </conditionalFormatting>
  <conditionalFormatting sqref="A114:A1048576 A1:A55 A61:A108">
    <cfRule type="duplicateValues" dxfId="33" priority="44"/>
  </conditionalFormatting>
  <conditionalFormatting sqref="A162:A163 A5:A6 A165:A65441 D6 G6 J6 M6">
    <cfRule type="duplicateValues" dxfId="32" priority="2691" stopIfTrue="1"/>
  </conditionalFormatting>
  <conditionalFormatting sqref="C14:C25 C9">
    <cfRule type="duplicateValues" dxfId="31" priority="4642"/>
  </conditionalFormatting>
  <conditionalFormatting sqref="C26">
    <cfRule type="duplicateValues" dxfId="30" priority="4669"/>
  </conditionalFormatting>
  <conditionalFormatting sqref="C27">
    <cfRule type="duplicateValues" dxfId="29" priority="4791"/>
  </conditionalFormatting>
  <conditionalFormatting sqref="C28">
    <cfRule type="duplicateValues" dxfId="28" priority="179"/>
  </conditionalFormatting>
  <conditionalFormatting sqref="C29">
    <cfRule type="duplicateValues" dxfId="27" priority="141"/>
  </conditionalFormatting>
  <conditionalFormatting sqref="C46">
    <cfRule type="duplicateValues" dxfId="26" priority="4848"/>
  </conditionalFormatting>
  <conditionalFormatting sqref="C47">
    <cfRule type="duplicateValues" dxfId="25" priority="4972"/>
  </conditionalFormatting>
  <conditionalFormatting sqref="C55">
    <cfRule type="duplicateValues" dxfId="24" priority="79"/>
  </conditionalFormatting>
  <conditionalFormatting sqref="C56">
    <cfRule type="duplicateValues" dxfId="23" priority="13"/>
  </conditionalFormatting>
  <conditionalFormatting sqref="C57">
    <cfRule type="duplicateValues" dxfId="22" priority="10"/>
  </conditionalFormatting>
  <conditionalFormatting sqref="C58">
    <cfRule type="duplicateValues" dxfId="21" priority="7"/>
  </conditionalFormatting>
  <conditionalFormatting sqref="C59">
    <cfRule type="duplicateValues" dxfId="20" priority="4"/>
  </conditionalFormatting>
  <conditionalFormatting sqref="C60">
    <cfRule type="duplicateValues" dxfId="19" priority="19"/>
  </conditionalFormatting>
  <conditionalFormatting sqref="C95">
    <cfRule type="duplicateValues" dxfId="18" priority="116"/>
  </conditionalFormatting>
  <conditionalFormatting sqref="C96">
    <cfRule type="duplicateValues" dxfId="17" priority="113"/>
  </conditionalFormatting>
  <conditionalFormatting sqref="C97">
    <cfRule type="duplicateValues" dxfId="16" priority="103"/>
  </conditionalFormatting>
  <conditionalFormatting sqref="C98">
    <cfRule type="duplicateValues" dxfId="15" priority="98"/>
  </conditionalFormatting>
  <conditionalFormatting sqref="C99">
    <cfRule type="duplicateValues" dxfId="14" priority="72"/>
  </conditionalFormatting>
  <conditionalFormatting sqref="C100">
    <cfRule type="duplicateValues" dxfId="13" priority="67"/>
  </conditionalFormatting>
  <conditionalFormatting sqref="C101">
    <cfRule type="duplicateValues" dxfId="12" priority="62"/>
  </conditionalFormatting>
  <conditionalFormatting sqref="C102">
    <cfRule type="duplicateValues" dxfId="11" priority="57"/>
  </conditionalFormatting>
  <conditionalFormatting sqref="C103">
    <cfRule type="duplicateValues" dxfId="10" priority="53"/>
  </conditionalFormatting>
  <conditionalFormatting sqref="C104">
    <cfRule type="duplicateValues" dxfId="9" priority="50"/>
  </conditionalFormatting>
  <conditionalFormatting sqref="C105">
    <cfRule type="duplicateValues" dxfId="8" priority="47"/>
  </conditionalFormatting>
  <conditionalFormatting sqref="C106">
    <cfRule type="duplicateValues" dxfId="7" priority="85"/>
  </conditionalFormatting>
  <conditionalFormatting sqref="C107">
    <cfRule type="duplicateValues" dxfId="6" priority="82"/>
  </conditionalFormatting>
  <conditionalFormatting sqref="C108">
    <cfRule type="duplicateValues" dxfId="5" priority="88"/>
  </conditionalFormatting>
  <conditionalFormatting sqref="C109">
    <cfRule type="duplicateValues" dxfId="4" priority="34"/>
  </conditionalFormatting>
  <conditionalFormatting sqref="C110">
    <cfRule type="duplicateValues" dxfId="3" priority="28"/>
  </conditionalFormatting>
  <conditionalFormatting sqref="C111">
    <cfRule type="duplicateValues" dxfId="2" priority="25"/>
  </conditionalFormatting>
  <conditionalFormatting sqref="C112">
    <cfRule type="duplicateValues" dxfId="1" priority="22"/>
  </conditionalFormatting>
  <conditionalFormatting sqref="C113">
    <cfRule type="duplicateValues" dxfId="0" priority="31"/>
  </conditionalFormatting>
  <printOptions horizontalCentered="1"/>
  <pageMargins left="0.19685039370078741" right="0.19685039370078741" top="0.39370078740157483" bottom="0.39370078740157483" header="0" footer="0.19685039370078741"/>
  <pageSetup paperSize="9" scale="76" fitToHeight="0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topLeftCell="C220" workbookViewId="0">
      <selection activeCell="K234" sqref="K234"/>
    </sheetView>
  </sheetViews>
  <sheetFormatPr defaultColWidth="8" defaultRowHeight="43.5" customHeight="1"/>
  <cols>
    <col min="1" max="1" width="32.875" style="163" customWidth="1"/>
    <col min="2" max="2" width="10.75" style="163" customWidth="1"/>
    <col min="3" max="4" width="16.75" style="163" customWidth="1"/>
    <col min="5" max="5" width="15.5" style="163" bestFit="1" customWidth="1"/>
    <col min="6" max="6" width="13" style="163" customWidth="1"/>
    <col min="7" max="7" width="11.25" style="163" customWidth="1"/>
    <col min="8" max="8" width="13.25" style="163" customWidth="1"/>
    <col min="9" max="9" width="7.25" style="163" customWidth="1"/>
    <col min="10" max="10" width="15.625" style="174" customWidth="1"/>
    <col min="11" max="11" width="12.125" style="174" bestFit="1" customWidth="1"/>
    <col min="12" max="12" width="14.375" style="163" customWidth="1"/>
    <col min="13" max="13" width="9.875" style="163" bestFit="1" customWidth="1"/>
    <col min="14" max="16384" width="8" style="163"/>
  </cols>
  <sheetData>
    <row r="1" spans="1:12" s="159" customFormat="1" ht="28.5" customHeight="1">
      <c r="C1" s="160">
        <v>44196</v>
      </c>
      <c r="D1" s="161">
        <f>SUBTOTAL(9,D5:D211)</f>
        <v>13579452926</v>
      </c>
      <c r="E1" s="161"/>
      <c r="F1" s="161">
        <f t="shared" ref="F1:K1" si="0">SUM(F5:F211)</f>
        <v>6866289494</v>
      </c>
      <c r="G1" s="161">
        <f t="shared" si="0"/>
        <v>865623692</v>
      </c>
      <c r="H1" s="161">
        <f t="shared" si="0"/>
        <v>4621022128</v>
      </c>
      <c r="I1" s="161">
        <f t="shared" si="0"/>
        <v>438479589</v>
      </c>
      <c r="J1" s="162">
        <f t="shared" si="0"/>
        <v>788038023</v>
      </c>
      <c r="K1" s="162">
        <f t="shared" si="0"/>
        <v>3665171906.8999996</v>
      </c>
      <c r="L1" s="159" t="s">
        <v>559</v>
      </c>
    </row>
    <row r="2" spans="1:12" ht="16.5" customHeight="1">
      <c r="A2" s="462" t="s">
        <v>439</v>
      </c>
      <c r="B2" s="465" t="s">
        <v>440</v>
      </c>
      <c r="C2" s="465" t="s">
        <v>441</v>
      </c>
      <c r="D2" s="465" t="s">
        <v>442</v>
      </c>
      <c r="E2" s="469" t="s">
        <v>443</v>
      </c>
      <c r="F2" s="469"/>
      <c r="G2" s="469"/>
      <c r="H2" s="469"/>
      <c r="I2" s="469"/>
      <c r="J2" s="469"/>
      <c r="K2" s="460" t="s">
        <v>444</v>
      </c>
    </row>
    <row r="3" spans="1:12" ht="19.5" customHeight="1">
      <c r="A3" s="463"/>
      <c r="B3" s="466"/>
      <c r="C3" s="466"/>
      <c r="D3" s="466"/>
      <c r="E3" s="96" t="s">
        <v>445</v>
      </c>
      <c r="F3" s="96" t="s">
        <v>446</v>
      </c>
      <c r="G3" s="96" t="s">
        <v>447</v>
      </c>
      <c r="H3" s="96" t="s">
        <v>448</v>
      </c>
      <c r="I3" s="96" t="s">
        <v>449</v>
      </c>
      <c r="J3" s="120" t="s">
        <v>450</v>
      </c>
      <c r="K3" s="460"/>
    </row>
    <row r="4" spans="1:12" ht="16.5" customHeight="1">
      <c r="A4" s="464"/>
      <c r="B4" s="467"/>
      <c r="C4" s="467"/>
      <c r="D4" s="467"/>
      <c r="E4" s="97"/>
      <c r="F4" s="97">
        <v>0</v>
      </c>
      <c r="G4" s="97">
        <v>0.3</v>
      </c>
      <c r="H4" s="97">
        <v>0.5</v>
      </c>
      <c r="I4" s="97">
        <v>0.7</v>
      </c>
      <c r="J4" s="121">
        <v>1</v>
      </c>
      <c r="K4" s="460"/>
    </row>
    <row r="5" spans="1:12" ht="18.75" customHeight="1">
      <c r="A5" s="98" t="s">
        <v>451</v>
      </c>
      <c r="B5" s="99" t="s">
        <v>452</v>
      </c>
      <c r="C5" s="100">
        <v>43832</v>
      </c>
      <c r="D5" s="101">
        <v>18179700</v>
      </c>
      <c r="E5" s="164">
        <f>($C$1-C5)/30</f>
        <v>12.133333333333333</v>
      </c>
      <c r="F5" s="164">
        <f>IF(E5&lt;6,D5,0)</f>
        <v>0</v>
      </c>
      <c r="G5" s="164">
        <f>IF(AND(E5&gt;=6,E5&lt;12),D5,0)</f>
        <v>0</v>
      </c>
      <c r="H5" s="165">
        <f>IF(AND(E5&gt;=12,E5&lt;24),D5,0)</f>
        <v>18179700</v>
      </c>
      <c r="I5" s="164">
        <f>IF(AND(E5&gt;=24,E5&lt;36),D5,0)</f>
        <v>0</v>
      </c>
      <c r="J5" s="166">
        <f>IF(E5&gt;=36,D5,0)</f>
        <v>0</v>
      </c>
      <c r="K5" s="166">
        <f>F5*$F$4+G5*$G$4+H5*$H$4+I5*$I$4+J5*$J$4</f>
        <v>9089850</v>
      </c>
    </row>
    <row r="6" spans="1:12" ht="18.75" customHeight="1">
      <c r="A6" s="98" t="s">
        <v>451</v>
      </c>
      <c r="B6" s="99" t="s">
        <v>452</v>
      </c>
      <c r="C6" s="100">
        <v>43832</v>
      </c>
      <c r="D6" s="101">
        <v>1817970</v>
      </c>
      <c r="E6" s="164">
        <f t="shared" ref="E6:E69" si="1">($C$1-C6)/30</f>
        <v>12.133333333333333</v>
      </c>
      <c r="F6" s="164">
        <f t="shared" ref="F6:F69" si="2">IF(E6&lt;6,D6,0)</f>
        <v>0</v>
      </c>
      <c r="G6" s="164">
        <f t="shared" ref="G6:G69" si="3">IF(AND(E6&gt;=6,E6&lt;12),D6,0)</f>
        <v>0</v>
      </c>
      <c r="H6" s="165">
        <f t="shared" ref="H6:H69" si="4">IF(AND(E6&gt;=12,E6&lt;24),D6,0)</f>
        <v>1817970</v>
      </c>
      <c r="I6" s="164">
        <f t="shared" ref="I6:I69" si="5">IF(AND(E6&gt;=24,E6&lt;36),D6,0)</f>
        <v>0</v>
      </c>
      <c r="J6" s="166">
        <f t="shared" ref="J6:J69" si="6">IF(E6&gt;=36,D6,0)</f>
        <v>0</v>
      </c>
      <c r="K6" s="166">
        <f>F6*$F$4+G6*$G$4+H6*$H$4+I6*$I$4+J6*$J$4</f>
        <v>908985</v>
      </c>
    </row>
    <row r="7" spans="1:12" s="159" customFormat="1" ht="18.75" customHeight="1">
      <c r="A7" s="109" t="s">
        <v>451</v>
      </c>
      <c r="B7" s="110" t="s">
        <v>453</v>
      </c>
      <c r="C7" s="111">
        <v>43887</v>
      </c>
      <c r="D7" s="112">
        <v>47676330</v>
      </c>
      <c r="E7" s="167">
        <f t="shared" si="1"/>
        <v>10.3</v>
      </c>
      <c r="F7" s="167">
        <f t="shared" si="2"/>
        <v>0</v>
      </c>
      <c r="G7" s="167">
        <f t="shared" si="3"/>
        <v>47676330</v>
      </c>
      <c r="H7" s="165">
        <f t="shared" si="4"/>
        <v>0</v>
      </c>
      <c r="I7" s="167">
        <f t="shared" si="5"/>
        <v>0</v>
      </c>
      <c r="J7" s="168">
        <f t="shared" si="6"/>
        <v>0</v>
      </c>
      <c r="K7" s="168">
        <f>F7*$F$4+G7*$G$4+H7*$H$4+I7*$I$4+J7*$J$4</f>
        <v>14302899</v>
      </c>
    </row>
    <row r="8" spans="1:12" s="159" customFormat="1" ht="18.75" customHeight="1">
      <c r="A8" s="109" t="s">
        <v>451</v>
      </c>
      <c r="B8" s="110" t="s">
        <v>453</v>
      </c>
      <c r="C8" s="111">
        <v>43887</v>
      </c>
      <c r="D8" s="112">
        <v>4767633</v>
      </c>
      <c r="E8" s="167">
        <f t="shared" si="1"/>
        <v>10.3</v>
      </c>
      <c r="F8" s="167">
        <f t="shared" si="2"/>
        <v>0</v>
      </c>
      <c r="G8" s="167">
        <f t="shared" si="3"/>
        <v>4767633</v>
      </c>
      <c r="H8" s="165">
        <f t="shared" si="4"/>
        <v>0</v>
      </c>
      <c r="I8" s="167">
        <f t="shared" si="5"/>
        <v>0</v>
      </c>
      <c r="J8" s="168">
        <f t="shared" si="6"/>
        <v>0</v>
      </c>
      <c r="K8" s="168">
        <f>F8*$F$4+G8*$G$4+H8*$H$4+I8*$I$4+J8*$J$4</f>
        <v>1430289.9</v>
      </c>
    </row>
    <row r="9" spans="1:12" s="159" customFormat="1" ht="18.75" customHeight="1">
      <c r="A9" s="109" t="s">
        <v>451</v>
      </c>
      <c r="B9" s="110" t="s">
        <v>407</v>
      </c>
      <c r="C9" s="111">
        <v>43917</v>
      </c>
      <c r="D9" s="112">
        <v>89319600</v>
      </c>
      <c r="E9" s="167">
        <f t="shared" si="1"/>
        <v>9.3000000000000007</v>
      </c>
      <c r="F9" s="167">
        <f t="shared" si="2"/>
        <v>0</v>
      </c>
      <c r="G9" s="167">
        <f t="shared" si="3"/>
        <v>89319600</v>
      </c>
      <c r="H9" s="165">
        <f t="shared" si="4"/>
        <v>0</v>
      </c>
      <c r="I9" s="167">
        <f t="shared" si="5"/>
        <v>0</v>
      </c>
      <c r="J9" s="168">
        <f t="shared" si="6"/>
        <v>0</v>
      </c>
      <c r="K9" s="168">
        <f t="shared" ref="K9:K72" si="7">F9*$F$4+G9*$G$4+H9*$H$4+I9*$I$4+J9*$J$4</f>
        <v>26795880</v>
      </c>
    </row>
    <row r="10" spans="1:12" s="159" customFormat="1" ht="18.75" customHeight="1">
      <c r="A10" s="109" t="s">
        <v>451</v>
      </c>
      <c r="B10" s="110" t="s">
        <v>407</v>
      </c>
      <c r="C10" s="111">
        <v>43917</v>
      </c>
      <c r="D10" s="112">
        <v>8931960</v>
      </c>
      <c r="E10" s="167">
        <f t="shared" si="1"/>
        <v>9.3000000000000007</v>
      </c>
      <c r="F10" s="167">
        <f t="shared" si="2"/>
        <v>0</v>
      </c>
      <c r="G10" s="167">
        <f t="shared" si="3"/>
        <v>8931960</v>
      </c>
      <c r="H10" s="165">
        <f t="shared" si="4"/>
        <v>0</v>
      </c>
      <c r="I10" s="167">
        <f t="shared" si="5"/>
        <v>0</v>
      </c>
      <c r="J10" s="168">
        <f t="shared" si="6"/>
        <v>0</v>
      </c>
      <c r="K10" s="168">
        <f t="shared" si="7"/>
        <v>2679588</v>
      </c>
    </row>
    <row r="11" spans="1:12" ht="18.75" customHeight="1">
      <c r="A11" s="98" t="s">
        <v>451</v>
      </c>
      <c r="B11" s="99">
        <v>785</v>
      </c>
      <c r="C11" s="100">
        <v>43479</v>
      </c>
      <c r="D11" s="101">
        <v>3731440</v>
      </c>
      <c r="E11" s="164">
        <f t="shared" si="1"/>
        <v>23.9</v>
      </c>
      <c r="F11" s="164">
        <f t="shared" si="2"/>
        <v>0</v>
      </c>
      <c r="G11" s="164">
        <f t="shared" si="3"/>
        <v>0</v>
      </c>
      <c r="H11" s="165">
        <f t="shared" si="4"/>
        <v>3731440</v>
      </c>
      <c r="I11" s="164">
        <f t="shared" si="5"/>
        <v>0</v>
      </c>
      <c r="J11" s="166">
        <f t="shared" si="6"/>
        <v>0</v>
      </c>
      <c r="K11" s="166">
        <f t="shared" si="7"/>
        <v>1865720</v>
      </c>
    </row>
    <row r="12" spans="1:12" ht="18.75" customHeight="1">
      <c r="A12" s="98" t="s">
        <v>451</v>
      </c>
      <c r="B12" s="99">
        <v>785</v>
      </c>
      <c r="C12" s="100">
        <v>43479</v>
      </c>
      <c r="D12" s="101">
        <v>373144</v>
      </c>
      <c r="E12" s="164">
        <f t="shared" si="1"/>
        <v>23.9</v>
      </c>
      <c r="F12" s="164">
        <f t="shared" si="2"/>
        <v>0</v>
      </c>
      <c r="G12" s="164">
        <f t="shared" si="3"/>
        <v>0</v>
      </c>
      <c r="H12" s="165">
        <f t="shared" si="4"/>
        <v>373144</v>
      </c>
      <c r="I12" s="164">
        <f t="shared" si="5"/>
        <v>0</v>
      </c>
      <c r="J12" s="166">
        <f t="shared" si="6"/>
        <v>0</v>
      </c>
      <c r="K12" s="166">
        <f t="shared" si="7"/>
        <v>186572</v>
      </c>
    </row>
    <row r="13" spans="1:12" ht="18.75" customHeight="1">
      <c r="A13" s="98" t="s">
        <v>451</v>
      </c>
      <c r="B13" s="99">
        <v>835</v>
      </c>
      <c r="C13" s="100">
        <v>43522</v>
      </c>
      <c r="D13" s="101">
        <v>75066160</v>
      </c>
      <c r="E13" s="164">
        <f t="shared" si="1"/>
        <v>22.466666666666665</v>
      </c>
      <c r="F13" s="164">
        <f t="shared" si="2"/>
        <v>0</v>
      </c>
      <c r="G13" s="164">
        <f t="shared" si="3"/>
        <v>0</v>
      </c>
      <c r="H13" s="165">
        <f t="shared" si="4"/>
        <v>75066160</v>
      </c>
      <c r="I13" s="164">
        <f t="shared" si="5"/>
        <v>0</v>
      </c>
      <c r="J13" s="166">
        <f t="shared" si="6"/>
        <v>0</v>
      </c>
      <c r="K13" s="166">
        <f t="shared" si="7"/>
        <v>37533080</v>
      </c>
    </row>
    <row r="14" spans="1:12" ht="18.75" customHeight="1">
      <c r="A14" s="98" t="s">
        <v>451</v>
      </c>
      <c r="B14" s="99">
        <v>835</v>
      </c>
      <c r="C14" s="100">
        <v>43522</v>
      </c>
      <c r="D14" s="101">
        <v>7506616</v>
      </c>
      <c r="E14" s="164">
        <f t="shared" si="1"/>
        <v>22.466666666666665</v>
      </c>
      <c r="F14" s="164">
        <f t="shared" si="2"/>
        <v>0</v>
      </c>
      <c r="G14" s="164">
        <f t="shared" si="3"/>
        <v>0</v>
      </c>
      <c r="H14" s="165">
        <f t="shared" si="4"/>
        <v>7506616</v>
      </c>
      <c r="I14" s="164">
        <f t="shared" si="5"/>
        <v>0</v>
      </c>
      <c r="J14" s="166">
        <f t="shared" si="6"/>
        <v>0</v>
      </c>
      <c r="K14" s="166">
        <f t="shared" si="7"/>
        <v>3753308</v>
      </c>
    </row>
    <row r="15" spans="1:12" ht="18.75" customHeight="1">
      <c r="A15" s="98" t="s">
        <v>451</v>
      </c>
      <c r="B15" s="99" t="s">
        <v>454</v>
      </c>
      <c r="C15" s="100">
        <v>43549</v>
      </c>
      <c r="D15" s="101">
        <v>7062240</v>
      </c>
      <c r="E15" s="164">
        <f t="shared" si="1"/>
        <v>21.566666666666666</v>
      </c>
      <c r="F15" s="164">
        <f t="shared" si="2"/>
        <v>0</v>
      </c>
      <c r="G15" s="164">
        <f t="shared" si="3"/>
        <v>0</v>
      </c>
      <c r="H15" s="165">
        <f t="shared" si="4"/>
        <v>7062240</v>
      </c>
      <c r="I15" s="164">
        <f t="shared" si="5"/>
        <v>0</v>
      </c>
      <c r="J15" s="166">
        <f t="shared" si="6"/>
        <v>0</v>
      </c>
      <c r="K15" s="166">
        <f t="shared" si="7"/>
        <v>3531120</v>
      </c>
    </row>
    <row r="16" spans="1:12" ht="18.75" customHeight="1">
      <c r="A16" s="98" t="s">
        <v>451</v>
      </c>
      <c r="B16" s="99" t="s">
        <v>454</v>
      </c>
      <c r="C16" s="100">
        <v>43549</v>
      </c>
      <c r="D16" s="101">
        <v>706224</v>
      </c>
      <c r="E16" s="164">
        <f t="shared" si="1"/>
        <v>21.566666666666666</v>
      </c>
      <c r="F16" s="164">
        <f t="shared" si="2"/>
        <v>0</v>
      </c>
      <c r="G16" s="164">
        <f t="shared" si="3"/>
        <v>0</v>
      </c>
      <c r="H16" s="165">
        <f t="shared" si="4"/>
        <v>706224</v>
      </c>
      <c r="I16" s="164">
        <f t="shared" si="5"/>
        <v>0</v>
      </c>
      <c r="J16" s="166">
        <f t="shared" si="6"/>
        <v>0</v>
      </c>
      <c r="K16" s="166">
        <f t="shared" si="7"/>
        <v>353112</v>
      </c>
    </row>
    <row r="17" spans="1:11" s="159" customFormat="1" ht="18.75" customHeight="1">
      <c r="A17" s="109" t="s">
        <v>451</v>
      </c>
      <c r="B17" s="110">
        <v>0</v>
      </c>
      <c r="C17" s="111">
        <v>43466</v>
      </c>
      <c r="D17" s="112">
        <v>57926880</v>
      </c>
      <c r="E17" s="167">
        <f t="shared" si="1"/>
        <v>24.333333333333332</v>
      </c>
      <c r="F17" s="167">
        <f t="shared" si="2"/>
        <v>0</v>
      </c>
      <c r="G17" s="167">
        <f t="shared" si="3"/>
        <v>0</v>
      </c>
      <c r="H17" s="167">
        <f t="shared" si="4"/>
        <v>0</v>
      </c>
      <c r="I17" s="167">
        <f t="shared" si="5"/>
        <v>57926880</v>
      </c>
      <c r="J17" s="168">
        <f t="shared" si="6"/>
        <v>0</v>
      </c>
      <c r="K17" s="168">
        <f t="shared" si="7"/>
        <v>40548816</v>
      </c>
    </row>
    <row r="18" spans="1:11" s="159" customFormat="1" ht="18.75" customHeight="1">
      <c r="A18" s="109" t="s">
        <v>451</v>
      </c>
      <c r="B18" s="110">
        <v>0</v>
      </c>
      <c r="C18" s="111">
        <v>43466</v>
      </c>
      <c r="D18" s="112">
        <v>68322144</v>
      </c>
      <c r="E18" s="167">
        <f t="shared" si="1"/>
        <v>24.333333333333332</v>
      </c>
      <c r="F18" s="167">
        <f t="shared" si="2"/>
        <v>0</v>
      </c>
      <c r="G18" s="167">
        <f t="shared" si="3"/>
        <v>0</v>
      </c>
      <c r="H18" s="167">
        <f t="shared" si="4"/>
        <v>0</v>
      </c>
      <c r="I18" s="167">
        <f t="shared" si="5"/>
        <v>68322144</v>
      </c>
      <c r="J18" s="168">
        <f t="shared" si="6"/>
        <v>0</v>
      </c>
      <c r="K18" s="168">
        <f t="shared" si="7"/>
        <v>47825500.799999997</v>
      </c>
    </row>
    <row r="19" spans="1:11" s="159" customFormat="1" ht="18.75" customHeight="1">
      <c r="A19" s="109" t="s">
        <v>451</v>
      </c>
      <c r="B19" s="110">
        <v>0</v>
      </c>
      <c r="C19" s="111">
        <v>43466</v>
      </c>
      <c r="D19" s="112">
        <v>312230565</v>
      </c>
      <c r="E19" s="167">
        <f t="shared" si="1"/>
        <v>24.333333333333332</v>
      </c>
      <c r="F19" s="167">
        <f t="shared" si="2"/>
        <v>0</v>
      </c>
      <c r="G19" s="167">
        <f t="shared" si="3"/>
        <v>0</v>
      </c>
      <c r="H19" s="167">
        <f t="shared" si="4"/>
        <v>0</v>
      </c>
      <c r="I19" s="167">
        <f t="shared" si="5"/>
        <v>312230565</v>
      </c>
      <c r="J19" s="168">
        <f t="shared" si="6"/>
        <v>0</v>
      </c>
      <c r="K19" s="168">
        <f t="shared" si="7"/>
        <v>218561395.5</v>
      </c>
    </row>
    <row r="20" spans="1:11" ht="18.75" customHeight="1">
      <c r="A20" s="98" t="s">
        <v>451</v>
      </c>
      <c r="B20" s="99" t="s">
        <v>455</v>
      </c>
      <c r="C20" s="100">
        <v>43581</v>
      </c>
      <c r="D20" s="101">
        <v>336311154</v>
      </c>
      <c r="E20" s="164">
        <f t="shared" si="1"/>
        <v>20.5</v>
      </c>
      <c r="F20" s="164">
        <f t="shared" si="2"/>
        <v>0</v>
      </c>
      <c r="G20" s="164">
        <f t="shared" si="3"/>
        <v>0</v>
      </c>
      <c r="H20" s="165">
        <f t="shared" si="4"/>
        <v>336311154</v>
      </c>
      <c r="I20" s="164">
        <f t="shared" si="5"/>
        <v>0</v>
      </c>
      <c r="J20" s="166">
        <f t="shared" si="6"/>
        <v>0</v>
      </c>
      <c r="K20" s="166">
        <f t="shared" si="7"/>
        <v>168155577</v>
      </c>
    </row>
    <row r="21" spans="1:11" ht="18.75" customHeight="1">
      <c r="A21" s="98" t="s">
        <v>451</v>
      </c>
      <c r="B21" s="99" t="s">
        <v>455</v>
      </c>
      <c r="C21" s="100">
        <v>43581</v>
      </c>
      <c r="D21" s="101">
        <v>33631115</v>
      </c>
      <c r="E21" s="164">
        <f t="shared" si="1"/>
        <v>20.5</v>
      </c>
      <c r="F21" s="164">
        <f t="shared" si="2"/>
        <v>0</v>
      </c>
      <c r="G21" s="164">
        <f t="shared" si="3"/>
        <v>0</v>
      </c>
      <c r="H21" s="165">
        <f t="shared" si="4"/>
        <v>33631115</v>
      </c>
      <c r="I21" s="164">
        <f t="shared" si="5"/>
        <v>0</v>
      </c>
      <c r="J21" s="166">
        <f t="shared" si="6"/>
        <v>0</v>
      </c>
      <c r="K21" s="166">
        <f t="shared" si="7"/>
        <v>16815557.5</v>
      </c>
    </row>
    <row r="22" spans="1:11" ht="18.75" customHeight="1">
      <c r="A22" s="98" t="s">
        <v>451</v>
      </c>
      <c r="B22" s="99" t="s">
        <v>456</v>
      </c>
      <c r="C22" s="100">
        <v>43614</v>
      </c>
      <c r="D22" s="101">
        <v>118888525</v>
      </c>
      <c r="E22" s="164">
        <f t="shared" si="1"/>
        <v>19.399999999999999</v>
      </c>
      <c r="F22" s="164">
        <f t="shared" si="2"/>
        <v>0</v>
      </c>
      <c r="G22" s="164">
        <f t="shared" si="3"/>
        <v>0</v>
      </c>
      <c r="H22" s="165">
        <f t="shared" si="4"/>
        <v>118888525</v>
      </c>
      <c r="I22" s="164">
        <f t="shared" si="5"/>
        <v>0</v>
      </c>
      <c r="J22" s="166">
        <f t="shared" si="6"/>
        <v>0</v>
      </c>
      <c r="K22" s="166">
        <f t="shared" si="7"/>
        <v>59444262.5</v>
      </c>
    </row>
    <row r="23" spans="1:11" ht="18.75" customHeight="1">
      <c r="A23" s="98" t="s">
        <v>451</v>
      </c>
      <c r="B23" s="99" t="s">
        <v>456</v>
      </c>
      <c r="C23" s="100">
        <v>43614</v>
      </c>
      <c r="D23" s="101">
        <v>11888853</v>
      </c>
      <c r="E23" s="164">
        <f t="shared" si="1"/>
        <v>19.399999999999999</v>
      </c>
      <c r="F23" s="164">
        <f t="shared" si="2"/>
        <v>0</v>
      </c>
      <c r="G23" s="164">
        <f t="shared" si="3"/>
        <v>0</v>
      </c>
      <c r="H23" s="165">
        <f t="shared" si="4"/>
        <v>11888853</v>
      </c>
      <c r="I23" s="164">
        <f t="shared" si="5"/>
        <v>0</v>
      </c>
      <c r="J23" s="166">
        <f t="shared" si="6"/>
        <v>0</v>
      </c>
      <c r="K23" s="166">
        <f t="shared" si="7"/>
        <v>5944426.5</v>
      </c>
    </row>
    <row r="24" spans="1:11" ht="18.75" customHeight="1">
      <c r="A24" s="98" t="s">
        <v>451</v>
      </c>
      <c r="B24" s="99">
        <v>57</v>
      </c>
      <c r="C24" s="100">
        <v>43675</v>
      </c>
      <c r="D24" s="101">
        <v>506710460</v>
      </c>
      <c r="E24" s="164">
        <f t="shared" si="1"/>
        <v>17.366666666666667</v>
      </c>
      <c r="F24" s="164">
        <f t="shared" si="2"/>
        <v>0</v>
      </c>
      <c r="G24" s="164">
        <f t="shared" si="3"/>
        <v>0</v>
      </c>
      <c r="H24" s="165">
        <f t="shared" si="4"/>
        <v>506710460</v>
      </c>
      <c r="I24" s="164">
        <f t="shared" si="5"/>
        <v>0</v>
      </c>
      <c r="J24" s="166">
        <f t="shared" si="6"/>
        <v>0</v>
      </c>
      <c r="K24" s="166">
        <f t="shared" si="7"/>
        <v>253355230</v>
      </c>
    </row>
    <row r="25" spans="1:11" ht="18.75" customHeight="1">
      <c r="A25" s="98" t="s">
        <v>451</v>
      </c>
      <c r="B25" s="99">
        <v>57</v>
      </c>
      <c r="C25" s="100">
        <v>43675</v>
      </c>
      <c r="D25" s="101">
        <v>50671046</v>
      </c>
      <c r="E25" s="164">
        <f t="shared" si="1"/>
        <v>17.366666666666667</v>
      </c>
      <c r="F25" s="164">
        <f t="shared" si="2"/>
        <v>0</v>
      </c>
      <c r="G25" s="164">
        <f t="shared" si="3"/>
        <v>0</v>
      </c>
      <c r="H25" s="165">
        <f t="shared" si="4"/>
        <v>50671046</v>
      </c>
      <c r="I25" s="164">
        <f t="shared" si="5"/>
        <v>0</v>
      </c>
      <c r="J25" s="166">
        <f t="shared" si="6"/>
        <v>0</v>
      </c>
      <c r="K25" s="166">
        <f t="shared" si="7"/>
        <v>25335523</v>
      </c>
    </row>
    <row r="26" spans="1:11" ht="18.75" customHeight="1">
      <c r="A26" s="98" t="s">
        <v>451</v>
      </c>
      <c r="B26" s="99">
        <v>129</v>
      </c>
      <c r="C26" s="100">
        <v>43733</v>
      </c>
      <c r="D26" s="101">
        <v>286310226</v>
      </c>
      <c r="E26" s="164">
        <f t="shared" si="1"/>
        <v>15.433333333333334</v>
      </c>
      <c r="F26" s="164">
        <f t="shared" si="2"/>
        <v>0</v>
      </c>
      <c r="G26" s="164">
        <f t="shared" si="3"/>
        <v>0</v>
      </c>
      <c r="H26" s="165">
        <f t="shared" si="4"/>
        <v>286310226</v>
      </c>
      <c r="I26" s="164">
        <f t="shared" si="5"/>
        <v>0</v>
      </c>
      <c r="J26" s="166">
        <f t="shared" si="6"/>
        <v>0</v>
      </c>
      <c r="K26" s="166">
        <f t="shared" si="7"/>
        <v>143155113</v>
      </c>
    </row>
    <row r="27" spans="1:11" ht="18.75" customHeight="1">
      <c r="A27" s="98" t="s">
        <v>451</v>
      </c>
      <c r="B27" s="99">
        <v>129</v>
      </c>
      <c r="C27" s="100">
        <v>43733</v>
      </c>
      <c r="D27" s="101">
        <v>28631023</v>
      </c>
      <c r="E27" s="164">
        <f t="shared" si="1"/>
        <v>15.433333333333334</v>
      </c>
      <c r="F27" s="164">
        <f t="shared" si="2"/>
        <v>0</v>
      </c>
      <c r="G27" s="164">
        <f t="shared" si="3"/>
        <v>0</v>
      </c>
      <c r="H27" s="165">
        <f t="shared" si="4"/>
        <v>28631023</v>
      </c>
      <c r="I27" s="164">
        <f t="shared" si="5"/>
        <v>0</v>
      </c>
      <c r="J27" s="166">
        <f t="shared" si="6"/>
        <v>0</v>
      </c>
      <c r="K27" s="166">
        <f t="shared" si="7"/>
        <v>14315511.5</v>
      </c>
    </row>
    <row r="28" spans="1:11" ht="18.75" customHeight="1">
      <c r="A28" s="98" t="s">
        <v>451</v>
      </c>
      <c r="B28" s="99">
        <v>162</v>
      </c>
      <c r="C28" s="100">
        <v>43764</v>
      </c>
      <c r="D28" s="101">
        <v>324885600</v>
      </c>
      <c r="E28" s="164">
        <f t="shared" si="1"/>
        <v>14.4</v>
      </c>
      <c r="F28" s="164">
        <f t="shared" si="2"/>
        <v>0</v>
      </c>
      <c r="G28" s="164">
        <f t="shared" si="3"/>
        <v>0</v>
      </c>
      <c r="H28" s="165">
        <f t="shared" si="4"/>
        <v>324885600</v>
      </c>
      <c r="I28" s="164">
        <f t="shared" si="5"/>
        <v>0</v>
      </c>
      <c r="J28" s="166">
        <f t="shared" si="6"/>
        <v>0</v>
      </c>
      <c r="K28" s="166">
        <f t="shared" si="7"/>
        <v>162442800</v>
      </c>
    </row>
    <row r="29" spans="1:11" ht="18.75" customHeight="1">
      <c r="A29" s="98" t="s">
        <v>451</v>
      </c>
      <c r="B29" s="99">
        <v>162</v>
      </c>
      <c r="C29" s="100">
        <v>43764</v>
      </c>
      <c r="D29" s="101">
        <v>32488560</v>
      </c>
      <c r="E29" s="164">
        <f t="shared" si="1"/>
        <v>14.4</v>
      </c>
      <c r="F29" s="164">
        <f t="shared" si="2"/>
        <v>0</v>
      </c>
      <c r="G29" s="164">
        <f t="shared" si="3"/>
        <v>0</v>
      </c>
      <c r="H29" s="165">
        <f t="shared" si="4"/>
        <v>32488560</v>
      </c>
      <c r="I29" s="164">
        <f t="shared" si="5"/>
        <v>0</v>
      </c>
      <c r="J29" s="166">
        <f t="shared" si="6"/>
        <v>0</v>
      </c>
      <c r="K29" s="166">
        <f t="shared" si="7"/>
        <v>16244280</v>
      </c>
    </row>
    <row r="30" spans="1:11" ht="18.75" customHeight="1">
      <c r="A30" s="98" t="s">
        <v>451</v>
      </c>
      <c r="B30" s="99">
        <v>206</v>
      </c>
      <c r="C30" s="100">
        <v>43796</v>
      </c>
      <c r="D30" s="101">
        <v>10468670</v>
      </c>
      <c r="E30" s="164">
        <f t="shared" si="1"/>
        <v>13.333333333333334</v>
      </c>
      <c r="F30" s="164">
        <f t="shared" si="2"/>
        <v>0</v>
      </c>
      <c r="G30" s="164">
        <f t="shared" si="3"/>
        <v>0</v>
      </c>
      <c r="H30" s="165">
        <f t="shared" si="4"/>
        <v>10468670</v>
      </c>
      <c r="I30" s="164">
        <f t="shared" si="5"/>
        <v>0</v>
      </c>
      <c r="J30" s="166">
        <f t="shared" si="6"/>
        <v>0</v>
      </c>
      <c r="K30" s="166">
        <f t="shared" si="7"/>
        <v>5234335</v>
      </c>
    </row>
    <row r="31" spans="1:11" ht="18.75" customHeight="1">
      <c r="A31" s="98" t="s">
        <v>451</v>
      </c>
      <c r="B31" s="99">
        <v>206</v>
      </c>
      <c r="C31" s="100">
        <v>43796</v>
      </c>
      <c r="D31" s="101">
        <v>1046867</v>
      </c>
      <c r="E31" s="164">
        <f t="shared" si="1"/>
        <v>13.333333333333334</v>
      </c>
      <c r="F31" s="164">
        <f t="shared" si="2"/>
        <v>0</v>
      </c>
      <c r="G31" s="164">
        <f t="shared" si="3"/>
        <v>0</v>
      </c>
      <c r="H31" s="165">
        <f t="shared" si="4"/>
        <v>1046867</v>
      </c>
      <c r="I31" s="164">
        <f t="shared" si="5"/>
        <v>0</v>
      </c>
      <c r="J31" s="166">
        <f t="shared" si="6"/>
        <v>0</v>
      </c>
      <c r="K31" s="166">
        <f t="shared" si="7"/>
        <v>523433.5</v>
      </c>
    </row>
    <row r="32" spans="1:11" ht="18.75" customHeight="1">
      <c r="A32" s="98" t="s">
        <v>451</v>
      </c>
      <c r="B32" s="99">
        <v>236</v>
      </c>
      <c r="C32" s="100">
        <v>43823</v>
      </c>
      <c r="D32" s="101">
        <v>18240710</v>
      </c>
      <c r="E32" s="164">
        <f t="shared" si="1"/>
        <v>12.433333333333334</v>
      </c>
      <c r="F32" s="164">
        <f t="shared" si="2"/>
        <v>0</v>
      </c>
      <c r="G32" s="164">
        <f t="shared" si="3"/>
        <v>0</v>
      </c>
      <c r="H32" s="165">
        <f t="shared" si="4"/>
        <v>18240710</v>
      </c>
      <c r="I32" s="164">
        <f t="shared" si="5"/>
        <v>0</v>
      </c>
      <c r="J32" s="166">
        <f t="shared" si="6"/>
        <v>0</v>
      </c>
      <c r="K32" s="166">
        <f t="shared" si="7"/>
        <v>9120355</v>
      </c>
    </row>
    <row r="33" spans="1:11" ht="18.75" customHeight="1">
      <c r="A33" s="98" t="s">
        <v>451</v>
      </c>
      <c r="B33" s="99">
        <v>236</v>
      </c>
      <c r="C33" s="100">
        <v>43823</v>
      </c>
      <c r="D33" s="101">
        <v>1824071</v>
      </c>
      <c r="E33" s="164">
        <f t="shared" si="1"/>
        <v>12.433333333333334</v>
      </c>
      <c r="F33" s="164">
        <f t="shared" si="2"/>
        <v>0</v>
      </c>
      <c r="G33" s="164">
        <f t="shared" si="3"/>
        <v>0</v>
      </c>
      <c r="H33" s="165">
        <f t="shared" si="4"/>
        <v>1824071</v>
      </c>
      <c r="I33" s="164">
        <f t="shared" si="5"/>
        <v>0</v>
      </c>
      <c r="J33" s="166">
        <f t="shared" si="6"/>
        <v>0</v>
      </c>
      <c r="K33" s="166">
        <f t="shared" si="7"/>
        <v>912035.5</v>
      </c>
    </row>
    <row r="34" spans="1:11" s="159" customFormat="1" ht="18.75" customHeight="1">
      <c r="A34" s="109" t="s">
        <v>451</v>
      </c>
      <c r="B34" s="110"/>
      <c r="C34" s="111">
        <v>43101</v>
      </c>
      <c r="D34" s="112">
        <v>380848114</v>
      </c>
      <c r="E34" s="167">
        <f>($C$1-C34)/30</f>
        <v>36.5</v>
      </c>
      <c r="F34" s="167">
        <f t="shared" si="2"/>
        <v>0</v>
      </c>
      <c r="G34" s="167">
        <f t="shared" si="3"/>
        <v>0</v>
      </c>
      <c r="H34" s="167">
        <f t="shared" si="4"/>
        <v>0</v>
      </c>
      <c r="I34" s="167">
        <f t="shared" si="5"/>
        <v>0</v>
      </c>
      <c r="J34" s="168">
        <f t="shared" si="6"/>
        <v>380848114</v>
      </c>
      <c r="K34" s="168">
        <f t="shared" si="7"/>
        <v>380848114</v>
      </c>
    </row>
    <row r="35" spans="1:11" s="212" customFormat="1" ht="18.75" customHeight="1">
      <c r="A35" s="206" t="s">
        <v>457</v>
      </c>
      <c r="B35" s="207"/>
      <c r="C35" s="208">
        <v>43678</v>
      </c>
      <c r="D35" s="209">
        <v>2299946400</v>
      </c>
      <c r="E35" s="210">
        <f t="shared" si="1"/>
        <v>17.266666666666666</v>
      </c>
      <c r="F35" s="210">
        <f t="shared" si="2"/>
        <v>0</v>
      </c>
      <c r="G35" s="210">
        <f t="shared" si="3"/>
        <v>0</v>
      </c>
      <c r="H35" s="210">
        <f t="shared" si="4"/>
        <v>2299946400</v>
      </c>
      <c r="I35" s="210">
        <f t="shared" si="5"/>
        <v>0</v>
      </c>
      <c r="J35" s="211">
        <f t="shared" si="6"/>
        <v>0</v>
      </c>
      <c r="K35" s="211">
        <f t="shared" si="7"/>
        <v>1149973200</v>
      </c>
    </row>
    <row r="36" spans="1:11" ht="18.75" customHeight="1">
      <c r="A36" s="98" t="s">
        <v>458</v>
      </c>
      <c r="B36" s="102" t="s">
        <v>459</v>
      </c>
      <c r="C36" s="100">
        <v>44119</v>
      </c>
      <c r="D36" s="101">
        <v>503591716</v>
      </c>
      <c r="E36" s="164">
        <f t="shared" si="1"/>
        <v>2.5666666666666669</v>
      </c>
      <c r="F36" s="164">
        <f t="shared" si="2"/>
        <v>503591716</v>
      </c>
      <c r="G36" s="164">
        <f t="shared" si="3"/>
        <v>0</v>
      </c>
      <c r="H36" s="164">
        <f t="shared" si="4"/>
        <v>0</v>
      </c>
      <c r="I36" s="164">
        <f t="shared" si="5"/>
        <v>0</v>
      </c>
      <c r="J36" s="166">
        <f t="shared" si="6"/>
        <v>0</v>
      </c>
      <c r="K36" s="166">
        <f t="shared" si="7"/>
        <v>0</v>
      </c>
    </row>
    <row r="37" spans="1:11" ht="18.75" customHeight="1">
      <c r="A37" s="98" t="s">
        <v>458</v>
      </c>
      <c r="B37" s="102" t="s">
        <v>460</v>
      </c>
      <c r="C37" s="100">
        <v>44130</v>
      </c>
      <c r="D37" s="101">
        <v>346001630</v>
      </c>
      <c r="E37" s="164">
        <f t="shared" si="1"/>
        <v>2.2000000000000002</v>
      </c>
      <c r="F37" s="164">
        <f t="shared" si="2"/>
        <v>346001630</v>
      </c>
      <c r="G37" s="164">
        <f t="shared" si="3"/>
        <v>0</v>
      </c>
      <c r="H37" s="164">
        <f t="shared" si="4"/>
        <v>0</v>
      </c>
      <c r="I37" s="164">
        <f t="shared" si="5"/>
        <v>0</v>
      </c>
      <c r="J37" s="166">
        <f t="shared" si="6"/>
        <v>0</v>
      </c>
      <c r="K37" s="166">
        <f t="shared" si="7"/>
        <v>0</v>
      </c>
    </row>
    <row r="38" spans="1:11" ht="18.75" customHeight="1">
      <c r="A38" s="98" t="s">
        <v>458</v>
      </c>
      <c r="B38" s="102" t="s">
        <v>460</v>
      </c>
      <c r="C38" s="100">
        <v>44130</v>
      </c>
      <c r="D38" s="101">
        <v>34600163</v>
      </c>
      <c r="E38" s="164">
        <f t="shared" si="1"/>
        <v>2.2000000000000002</v>
      </c>
      <c r="F38" s="164">
        <f t="shared" si="2"/>
        <v>34600163</v>
      </c>
      <c r="G38" s="164">
        <f t="shared" si="3"/>
        <v>0</v>
      </c>
      <c r="H38" s="164">
        <f t="shared" si="4"/>
        <v>0</v>
      </c>
      <c r="I38" s="164">
        <f t="shared" si="5"/>
        <v>0</v>
      </c>
      <c r="J38" s="166">
        <f t="shared" si="6"/>
        <v>0</v>
      </c>
      <c r="K38" s="166">
        <f t="shared" si="7"/>
        <v>0</v>
      </c>
    </row>
    <row r="39" spans="1:11" ht="18.75" customHeight="1">
      <c r="A39" s="98" t="s">
        <v>458</v>
      </c>
      <c r="B39" s="102" t="s">
        <v>461</v>
      </c>
      <c r="C39" s="100">
        <v>44160</v>
      </c>
      <c r="D39" s="101">
        <v>21292050</v>
      </c>
      <c r="E39" s="164">
        <f t="shared" si="1"/>
        <v>1.2</v>
      </c>
      <c r="F39" s="164">
        <f t="shared" si="2"/>
        <v>21292050</v>
      </c>
      <c r="G39" s="164">
        <f t="shared" si="3"/>
        <v>0</v>
      </c>
      <c r="H39" s="164">
        <f t="shared" si="4"/>
        <v>0</v>
      </c>
      <c r="I39" s="164">
        <f t="shared" si="5"/>
        <v>0</v>
      </c>
      <c r="J39" s="166">
        <f t="shared" si="6"/>
        <v>0</v>
      </c>
      <c r="K39" s="166">
        <f t="shared" si="7"/>
        <v>0</v>
      </c>
    </row>
    <row r="40" spans="1:11" ht="18.75" customHeight="1">
      <c r="A40" s="98" t="s">
        <v>458</v>
      </c>
      <c r="B40" s="102" t="s">
        <v>461</v>
      </c>
      <c r="C40" s="100">
        <v>44160</v>
      </c>
      <c r="D40" s="101">
        <v>2129205</v>
      </c>
      <c r="E40" s="164">
        <f t="shared" si="1"/>
        <v>1.2</v>
      </c>
      <c r="F40" s="164">
        <f t="shared" si="2"/>
        <v>2129205</v>
      </c>
      <c r="G40" s="164">
        <f t="shared" si="3"/>
        <v>0</v>
      </c>
      <c r="H40" s="164">
        <f t="shared" si="4"/>
        <v>0</v>
      </c>
      <c r="I40" s="164">
        <f t="shared" si="5"/>
        <v>0</v>
      </c>
      <c r="J40" s="166">
        <f t="shared" si="6"/>
        <v>0</v>
      </c>
      <c r="K40" s="166">
        <f t="shared" si="7"/>
        <v>0</v>
      </c>
    </row>
    <row r="41" spans="1:11" ht="18.75" customHeight="1">
      <c r="A41" s="98" t="s">
        <v>458</v>
      </c>
      <c r="B41" s="102" t="s">
        <v>392</v>
      </c>
      <c r="C41" s="100">
        <v>44193</v>
      </c>
      <c r="D41" s="101">
        <v>178183170</v>
      </c>
      <c r="E41" s="164">
        <f t="shared" si="1"/>
        <v>0.1</v>
      </c>
      <c r="F41" s="164">
        <f t="shared" si="2"/>
        <v>178183170</v>
      </c>
      <c r="G41" s="164">
        <f t="shared" si="3"/>
        <v>0</v>
      </c>
      <c r="H41" s="164">
        <f t="shared" si="4"/>
        <v>0</v>
      </c>
      <c r="I41" s="164">
        <f t="shared" si="5"/>
        <v>0</v>
      </c>
      <c r="J41" s="166">
        <f t="shared" si="6"/>
        <v>0</v>
      </c>
      <c r="K41" s="166">
        <f t="shared" si="7"/>
        <v>0</v>
      </c>
    </row>
    <row r="42" spans="1:11" ht="18.75" customHeight="1">
      <c r="A42" s="98" t="s">
        <v>458</v>
      </c>
      <c r="B42" s="102" t="s">
        <v>392</v>
      </c>
      <c r="C42" s="100">
        <v>44193</v>
      </c>
      <c r="D42" s="101">
        <v>17818317</v>
      </c>
      <c r="E42" s="164">
        <f t="shared" si="1"/>
        <v>0.1</v>
      </c>
      <c r="F42" s="164">
        <f t="shared" si="2"/>
        <v>17818317</v>
      </c>
      <c r="G42" s="164">
        <f t="shared" si="3"/>
        <v>0</v>
      </c>
      <c r="H42" s="164">
        <f t="shared" si="4"/>
        <v>0</v>
      </c>
      <c r="I42" s="164">
        <f t="shared" si="5"/>
        <v>0</v>
      </c>
      <c r="J42" s="166">
        <f t="shared" si="6"/>
        <v>0</v>
      </c>
      <c r="K42" s="166">
        <f t="shared" si="7"/>
        <v>0</v>
      </c>
    </row>
    <row r="43" spans="1:11" ht="18.75" customHeight="1">
      <c r="A43" s="98" t="s">
        <v>462</v>
      </c>
      <c r="B43" s="102" t="s">
        <v>463</v>
      </c>
      <c r="C43" s="100">
        <v>43900</v>
      </c>
      <c r="D43" s="101">
        <v>620000000</v>
      </c>
      <c r="E43" s="164">
        <f t="shared" si="1"/>
        <v>9.8666666666666671</v>
      </c>
      <c r="F43" s="164">
        <f t="shared" si="2"/>
        <v>0</v>
      </c>
      <c r="G43" s="164">
        <f t="shared" si="3"/>
        <v>620000000</v>
      </c>
      <c r="H43" s="164">
        <f t="shared" si="4"/>
        <v>0</v>
      </c>
      <c r="I43" s="164">
        <f t="shared" si="5"/>
        <v>0</v>
      </c>
      <c r="J43" s="166">
        <f t="shared" si="6"/>
        <v>0</v>
      </c>
      <c r="K43" s="166">
        <f t="shared" si="7"/>
        <v>186000000</v>
      </c>
    </row>
    <row r="44" spans="1:11" ht="18.75" customHeight="1">
      <c r="A44" s="98" t="s">
        <v>462</v>
      </c>
      <c r="B44" s="102" t="s">
        <v>463</v>
      </c>
      <c r="C44" s="100">
        <v>43900</v>
      </c>
      <c r="D44" s="101">
        <v>62000000</v>
      </c>
      <c r="E44" s="164">
        <f t="shared" si="1"/>
        <v>9.8666666666666671</v>
      </c>
      <c r="F44" s="164">
        <f t="shared" si="2"/>
        <v>0</v>
      </c>
      <c r="G44" s="164">
        <f t="shared" si="3"/>
        <v>62000000</v>
      </c>
      <c r="H44" s="164">
        <f t="shared" si="4"/>
        <v>0</v>
      </c>
      <c r="I44" s="164">
        <f t="shared" si="5"/>
        <v>0</v>
      </c>
      <c r="J44" s="166">
        <f t="shared" si="6"/>
        <v>0</v>
      </c>
      <c r="K44" s="166">
        <f t="shared" si="7"/>
        <v>18600000</v>
      </c>
    </row>
    <row r="45" spans="1:11" s="171" customFormat="1" ht="18.75" customHeight="1">
      <c r="A45" s="130" t="s">
        <v>464</v>
      </c>
      <c r="B45" s="131" t="s">
        <v>465</v>
      </c>
      <c r="C45" s="132">
        <v>44166</v>
      </c>
      <c r="D45" s="133">
        <v>218208891</v>
      </c>
      <c r="E45" s="169">
        <f t="shared" si="1"/>
        <v>1</v>
      </c>
      <c r="F45" s="169">
        <f t="shared" si="2"/>
        <v>218208891</v>
      </c>
      <c r="G45" s="169">
        <f t="shared" si="3"/>
        <v>0</v>
      </c>
      <c r="H45" s="169">
        <f t="shared" si="4"/>
        <v>0</v>
      </c>
      <c r="I45" s="169">
        <f t="shared" si="5"/>
        <v>0</v>
      </c>
      <c r="J45" s="170">
        <f t="shared" si="6"/>
        <v>0</v>
      </c>
      <c r="K45" s="170">
        <f t="shared" si="7"/>
        <v>0</v>
      </c>
    </row>
    <row r="46" spans="1:11" s="171" customFormat="1" ht="18.75" customHeight="1">
      <c r="A46" s="130" t="s">
        <v>464</v>
      </c>
      <c r="B46" s="131" t="s">
        <v>465</v>
      </c>
      <c r="C46" s="132">
        <v>44166</v>
      </c>
      <c r="D46" s="133">
        <v>21820889</v>
      </c>
      <c r="E46" s="169">
        <f t="shared" si="1"/>
        <v>1</v>
      </c>
      <c r="F46" s="169">
        <f t="shared" si="2"/>
        <v>21820889</v>
      </c>
      <c r="G46" s="169">
        <f t="shared" si="3"/>
        <v>0</v>
      </c>
      <c r="H46" s="169">
        <f t="shared" si="4"/>
        <v>0</v>
      </c>
      <c r="I46" s="169">
        <f t="shared" si="5"/>
        <v>0</v>
      </c>
      <c r="J46" s="170">
        <f t="shared" si="6"/>
        <v>0</v>
      </c>
      <c r="K46" s="170">
        <f t="shared" si="7"/>
        <v>0</v>
      </c>
    </row>
    <row r="47" spans="1:11" s="171" customFormat="1" ht="18.75" customHeight="1">
      <c r="A47" s="130" t="s">
        <v>464</v>
      </c>
      <c r="B47" s="131" t="s">
        <v>403</v>
      </c>
      <c r="C47" s="132">
        <v>44195</v>
      </c>
      <c r="D47" s="133">
        <v>292016109</v>
      </c>
      <c r="E47" s="169">
        <f t="shared" si="1"/>
        <v>3.3333333333333333E-2</v>
      </c>
      <c r="F47" s="169">
        <f t="shared" si="2"/>
        <v>292016109</v>
      </c>
      <c r="G47" s="169">
        <f t="shared" si="3"/>
        <v>0</v>
      </c>
      <c r="H47" s="169">
        <f t="shared" si="4"/>
        <v>0</v>
      </c>
      <c r="I47" s="169">
        <f t="shared" si="5"/>
        <v>0</v>
      </c>
      <c r="J47" s="170">
        <f t="shared" si="6"/>
        <v>0</v>
      </c>
      <c r="K47" s="170">
        <f t="shared" si="7"/>
        <v>0</v>
      </c>
    </row>
    <row r="48" spans="1:11" s="171" customFormat="1" ht="18.75" customHeight="1">
      <c r="A48" s="130" t="s">
        <v>464</v>
      </c>
      <c r="B48" s="131" t="s">
        <v>403</v>
      </c>
      <c r="C48" s="132">
        <v>44195</v>
      </c>
      <c r="D48" s="133">
        <v>29201611</v>
      </c>
      <c r="E48" s="169">
        <f t="shared" si="1"/>
        <v>3.3333333333333333E-2</v>
      </c>
      <c r="F48" s="169">
        <f t="shared" si="2"/>
        <v>29201611</v>
      </c>
      <c r="G48" s="169">
        <f t="shared" si="3"/>
        <v>0</v>
      </c>
      <c r="H48" s="169">
        <f t="shared" si="4"/>
        <v>0</v>
      </c>
      <c r="I48" s="169">
        <f t="shared" si="5"/>
        <v>0</v>
      </c>
      <c r="J48" s="170">
        <f t="shared" si="6"/>
        <v>0</v>
      </c>
      <c r="K48" s="170">
        <f t="shared" si="7"/>
        <v>0</v>
      </c>
    </row>
    <row r="49" spans="1:11" ht="18.75" customHeight="1">
      <c r="A49" s="98" t="s">
        <v>466</v>
      </c>
      <c r="B49" s="102" t="s">
        <v>467</v>
      </c>
      <c r="C49" s="100">
        <v>44104</v>
      </c>
      <c r="D49" s="101">
        <v>87431696</v>
      </c>
      <c r="E49" s="164">
        <f t="shared" si="1"/>
        <v>3.0666666666666669</v>
      </c>
      <c r="F49" s="164">
        <f t="shared" si="2"/>
        <v>87431696</v>
      </c>
      <c r="G49" s="164">
        <f t="shared" si="3"/>
        <v>0</v>
      </c>
      <c r="H49" s="164">
        <f t="shared" si="4"/>
        <v>0</v>
      </c>
      <c r="I49" s="164">
        <f t="shared" si="5"/>
        <v>0</v>
      </c>
      <c r="J49" s="166">
        <f t="shared" si="6"/>
        <v>0</v>
      </c>
      <c r="K49" s="166">
        <f t="shared" si="7"/>
        <v>0</v>
      </c>
    </row>
    <row r="50" spans="1:11" ht="18.75" customHeight="1">
      <c r="A50" s="98" t="s">
        <v>466</v>
      </c>
      <c r="B50" s="102" t="s">
        <v>467</v>
      </c>
      <c r="C50" s="100">
        <v>44104</v>
      </c>
      <c r="D50" s="101">
        <v>8743170</v>
      </c>
      <c r="E50" s="164">
        <f t="shared" si="1"/>
        <v>3.0666666666666669</v>
      </c>
      <c r="F50" s="164">
        <f t="shared" si="2"/>
        <v>8743170</v>
      </c>
      <c r="G50" s="164">
        <f t="shared" si="3"/>
        <v>0</v>
      </c>
      <c r="H50" s="164">
        <f t="shared" si="4"/>
        <v>0</v>
      </c>
      <c r="I50" s="164">
        <f t="shared" si="5"/>
        <v>0</v>
      </c>
      <c r="J50" s="166">
        <f t="shared" si="6"/>
        <v>0</v>
      </c>
      <c r="K50" s="166">
        <f t="shared" si="7"/>
        <v>0</v>
      </c>
    </row>
    <row r="51" spans="1:11" ht="18.75" customHeight="1">
      <c r="A51" s="98" t="s">
        <v>466</v>
      </c>
      <c r="B51" s="102" t="s">
        <v>468</v>
      </c>
      <c r="C51" s="100">
        <v>44130</v>
      </c>
      <c r="D51" s="101">
        <v>138360356</v>
      </c>
      <c r="E51" s="164">
        <f t="shared" si="1"/>
        <v>2.2000000000000002</v>
      </c>
      <c r="F51" s="164">
        <f t="shared" si="2"/>
        <v>138360356</v>
      </c>
      <c r="G51" s="164">
        <f t="shared" si="3"/>
        <v>0</v>
      </c>
      <c r="H51" s="164">
        <f t="shared" si="4"/>
        <v>0</v>
      </c>
      <c r="I51" s="164">
        <f t="shared" si="5"/>
        <v>0</v>
      </c>
      <c r="J51" s="166">
        <f t="shared" si="6"/>
        <v>0</v>
      </c>
      <c r="K51" s="166">
        <f t="shared" si="7"/>
        <v>0</v>
      </c>
    </row>
    <row r="52" spans="1:11" ht="18.75" customHeight="1">
      <c r="A52" s="98" t="s">
        <v>466</v>
      </c>
      <c r="B52" s="102" t="s">
        <v>468</v>
      </c>
      <c r="C52" s="100">
        <v>44130</v>
      </c>
      <c r="D52" s="101">
        <v>13836036</v>
      </c>
      <c r="E52" s="164">
        <f t="shared" si="1"/>
        <v>2.2000000000000002</v>
      </c>
      <c r="F52" s="164">
        <f t="shared" si="2"/>
        <v>13836036</v>
      </c>
      <c r="G52" s="164">
        <f t="shared" si="3"/>
        <v>0</v>
      </c>
      <c r="H52" s="164">
        <f t="shared" si="4"/>
        <v>0</v>
      </c>
      <c r="I52" s="164">
        <f t="shared" si="5"/>
        <v>0</v>
      </c>
      <c r="J52" s="166">
        <f t="shared" si="6"/>
        <v>0</v>
      </c>
      <c r="K52" s="166">
        <f t="shared" si="7"/>
        <v>0</v>
      </c>
    </row>
    <row r="53" spans="1:11" ht="18.75" customHeight="1">
      <c r="A53" s="98" t="s">
        <v>466</v>
      </c>
      <c r="B53" s="102" t="s">
        <v>404</v>
      </c>
      <c r="C53" s="100">
        <v>44160</v>
      </c>
      <c r="D53" s="101">
        <v>273671704</v>
      </c>
      <c r="E53" s="164">
        <f t="shared" si="1"/>
        <v>1.2</v>
      </c>
      <c r="F53" s="164">
        <f t="shared" si="2"/>
        <v>273671704</v>
      </c>
      <c r="G53" s="164">
        <f t="shared" si="3"/>
        <v>0</v>
      </c>
      <c r="H53" s="164">
        <f t="shared" si="4"/>
        <v>0</v>
      </c>
      <c r="I53" s="164">
        <f t="shared" si="5"/>
        <v>0</v>
      </c>
      <c r="J53" s="166">
        <f t="shared" si="6"/>
        <v>0</v>
      </c>
      <c r="K53" s="166">
        <f t="shared" si="7"/>
        <v>0</v>
      </c>
    </row>
    <row r="54" spans="1:11" ht="18.75" customHeight="1">
      <c r="A54" s="98" t="s">
        <v>466</v>
      </c>
      <c r="B54" s="102" t="s">
        <v>404</v>
      </c>
      <c r="C54" s="100">
        <v>44160</v>
      </c>
      <c r="D54" s="101">
        <v>27367170</v>
      </c>
      <c r="E54" s="164">
        <f t="shared" si="1"/>
        <v>1.2</v>
      </c>
      <c r="F54" s="164">
        <f t="shared" si="2"/>
        <v>27367170</v>
      </c>
      <c r="G54" s="164">
        <f t="shared" si="3"/>
        <v>0</v>
      </c>
      <c r="H54" s="164">
        <f t="shared" si="4"/>
        <v>0</v>
      </c>
      <c r="I54" s="164">
        <f t="shared" si="5"/>
        <v>0</v>
      </c>
      <c r="J54" s="166">
        <f t="shared" si="6"/>
        <v>0</v>
      </c>
      <c r="K54" s="166">
        <f t="shared" si="7"/>
        <v>0</v>
      </c>
    </row>
    <row r="55" spans="1:11" s="171" customFormat="1" ht="18.75" customHeight="1">
      <c r="A55" s="130" t="s">
        <v>469</v>
      </c>
      <c r="B55" s="131" t="s">
        <v>470</v>
      </c>
      <c r="C55" s="132">
        <v>44132</v>
      </c>
      <c r="D55" s="133">
        <v>66070610</v>
      </c>
      <c r="E55" s="169">
        <f t="shared" si="1"/>
        <v>2.1333333333333333</v>
      </c>
      <c r="F55" s="169">
        <f t="shared" si="2"/>
        <v>66070610</v>
      </c>
      <c r="G55" s="169">
        <f t="shared" si="3"/>
        <v>0</v>
      </c>
      <c r="H55" s="169">
        <f t="shared" si="4"/>
        <v>0</v>
      </c>
      <c r="I55" s="169">
        <f t="shared" si="5"/>
        <v>0</v>
      </c>
      <c r="J55" s="170">
        <f t="shared" si="6"/>
        <v>0</v>
      </c>
      <c r="K55" s="170">
        <f t="shared" si="7"/>
        <v>0</v>
      </c>
    </row>
    <row r="56" spans="1:11" s="171" customFormat="1" ht="18.75" customHeight="1">
      <c r="A56" s="130" t="s">
        <v>469</v>
      </c>
      <c r="B56" s="131" t="s">
        <v>470</v>
      </c>
      <c r="C56" s="132">
        <v>44132</v>
      </c>
      <c r="D56" s="133">
        <v>6607061</v>
      </c>
      <c r="E56" s="169">
        <f t="shared" si="1"/>
        <v>2.1333333333333333</v>
      </c>
      <c r="F56" s="169">
        <f t="shared" si="2"/>
        <v>6607061</v>
      </c>
      <c r="G56" s="169">
        <f t="shared" si="3"/>
        <v>0</v>
      </c>
      <c r="H56" s="169">
        <f t="shared" si="4"/>
        <v>0</v>
      </c>
      <c r="I56" s="169">
        <f t="shared" si="5"/>
        <v>0</v>
      </c>
      <c r="J56" s="170">
        <f t="shared" si="6"/>
        <v>0</v>
      </c>
      <c r="K56" s="170">
        <f t="shared" si="7"/>
        <v>0</v>
      </c>
    </row>
    <row r="57" spans="1:11" s="171" customFormat="1" ht="18.75" customHeight="1">
      <c r="A57" s="130" t="s">
        <v>469</v>
      </c>
      <c r="B57" s="131" t="s">
        <v>471</v>
      </c>
      <c r="C57" s="132">
        <v>44165</v>
      </c>
      <c r="D57" s="133">
        <v>289758889</v>
      </c>
      <c r="E57" s="169">
        <f t="shared" si="1"/>
        <v>1.0333333333333334</v>
      </c>
      <c r="F57" s="169">
        <f t="shared" si="2"/>
        <v>289758889</v>
      </c>
      <c r="G57" s="169">
        <f t="shared" si="3"/>
        <v>0</v>
      </c>
      <c r="H57" s="169">
        <f t="shared" si="4"/>
        <v>0</v>
      </c>
      <c r="I57" s="169">
        <f t="shared" si="5"/>
        <v>0</v>
      </c>
      <c r="J57" s="170">
        <f t="shared" si="6"/>
        <v>0</v>
      </c>
      <c r="K57" s="170">
        <f t="shared" si="7"/>
        <v>0</v>
      </c>
    </row>
    <row r="58" spans="1:11" s="171" customFormat="1" ht="18.75" customHeight="1">
      <c r="A58" s="130" t="s">
        <v>469</v>
      </c>
      <c r="B58" s="131" t="s">
        <v>471</v>
      </c>
      <c r="C58" s="132">
        <v>44165</v>
      </c>
      <c r="D58" s="133">
        <v>28975889</v>
      </c>
      <c r="E58" s="169">
        <f t="shared" si="1"/>
        <v>1.0333333333333334</v>
      </c>
      <c r="F58" s="169">
        <f t="shared" si="2"/>
        <v>28975889</v>
      </c>
      <c r="G58" s="169">
        <f t="shared" si="3"/>
        <v>0</v>
      </c>
      <c r="H58" s="169">
        <f t="shared" si="4"/>
        <v>0</v>
      </c>
      <c r="I58" s="169">
        <f t="shared" si="5"/>
        <v>0</v>
      </c>
      <c r="J58" s="170">
        <f t="shared" si="6"/>
        <v>0</v>
      </c>
      <c r="K58" s="170">
        <f t="shared" si="7"/>
        <v>0</v>
      </c>
    </row>
    <row r="59" spans="1:11" s="171" customFormat="1" ht="18.75" customHeight="1">
      <c r="A59" s="130" t="s">
        <v>469</v>
      </c>
      <c r="B59" s="131" t="s">
        <v>391</v>
      </c>
      <c r="C59" s="132">
        <v>44194</v>
      </c>
      <c r="D59" s="133">
        <v>116525640</v>
      </c>
      <c r="E59" s="169">
        <f t="shared" si="1"/>
        <v>6.6666666666666666E-2</v>
      </c>
      <c r="F59" s="169">
        <f t="shared" si="2"/>
        <v>116525640</v>
      </c>
      <c r="G59" s="169">
        <f t="shared" si="3"/>
        <v>0</v>
      </c>
      <c r="H59" s="169">
        <f t="shared" si="4"/>
        <v>0</v>
      </c>
      <c r="I59" s="169">
        <f t="shared" si="5"/>
        <v>0</v>
      </c>
      <c r="J59" s="170">
        <f t="shared" si="6"/>
        <v>0</v>
      </c>
      <c r="K59" s="170">
        <f t="shared" si="7"/>
        <v>0</v>
      </c>
    </row>
    <row r="60" spans="1:11" s="171" customFormat="1" ht="18.75" customHeight="1">
      <c r="A60" s="130" t="s">
        <v>469</v>
      </c>
      <c r="B60" s="131" t="s">
        <v>391</v>
      </c>
      <c r="C60" s="132">
        <v>44194</v>
      </c>
      <c r="D60" s="133">
        <v>11652564</v>
      </c>
      <c r="E60" s="169">
        <f t="shared" si="1"/>
        <v>6.6666666666666666E-2</v>
      </c>
      <c r="F60" s="169">
        <f t="shared" si="2"/>
        <v>11652564</v>
      </c>
      <c r="G60" s="169">
        <f t="shared" si="3"/>
        <v>0</v>
      </c>
      <c r="H60" s="169">
        <f t="shared" si="4"/>
        <v>0</v>
      </c>
      <c r="I60" s="169">
        <f t="shared" si="5"/>
        <v>0</v>
      </c>
      <c r="J60" s="170">
        <f t="shared" si="6"/>
        <v>0</v>
      </c>
      <c r="K60" s="170">
        <f t="shared" si="7"/>
        <v>0</v>
      </c>
    </row>
    <row r="61" spans="1:11" ht="18.75" customHeight="1">
      <c r="A61" s="98" t="s">
        <v>472</v>
      </c>
      <c r="B61" s="102" t="s">
        <v>473</v>
      </c>
      <c r="C61" s="100">
        <v>44165</v>
      </c>
      <c r="D61" s="101">
        <v>152333427</v>
      </c>
      <c r="E61" s="164">
        <f t="shared" si="1"/>
        <v>1.0333333333333334</v>
      </c>
      <c r="F61" s="164">
        <f t="shared" si="2"/>
        <v>152333427</v>
      </c>
      <c r="G61" s="164">
        <f t="shared" si="3"/>
        <v>0</v>
      </c>
      <c r="H61" s="164">
        <f t="shared" si="4"/>
        <v>0</v>
      </c>
      <c r="I61" s="164">
        <f t="shared" si="5"/>
        <v>0</v>
      </c>
      <c r="J61" s="166">
        <f t="shared" si="6"/>
        <v>0</v>
      </c>
      <c r="K61" s="166">
        <f t="shared" si="7"/>
        <v>0</v>
      </c>
    </row>
    <row r="62" spans="1:11" ht="18.75" customHeight="1">
      <c r="A62" s="98" t="s">
        <v>472</v>
      </c>
      <c r="B62" s="102" t="s">
        <v>473</v>
      </c>
      <c r="C62" s="100">
        <v>44165</v>
      </c>
      <c r="D62" s="101">
        <v>15233343</v>
      </c>
      <c r="E62" s="164">
        <f t="shared" si="1"/>
        <v>1.0333333333333334</v>
      </c>
      <c r="F62" s="164">
        <f t="shared" si="2"/>
        <v>15233343</v>
      </c>
      <c r="G62" s="164">
        <f t="shared" si="3"/>
        <v>0</v>
      </c>
      <c r="H62" s="164">
        <f t="shared" si="4"/>
        <v>0</v>
      </c>
      <c r="I62" s="164">
        <f t="shared" si="5"/>
        <v>0</v>
      </c>
      <c r="J62" s="166">
        <f t="shared" si="6"/>
        <v>0</v>
      </c>
      <c r="K62" s="166">
        <f t="shared" si="7"/>
        <v>0</v>
      </c>
    </row>
    <row r="63" spans="1:11" ht="18.75" customHeight="1">
      <c r="A63" s="98" t="s">
        <v>472</v>
      </c>
      <c r="B63" s="102" t="s">
        <v>394</v>
      </c>
      <c r="C63" s="100">
        <v>44194</v>
      </c>
      <c r="D63" s="101">
        <v>312661372</v>
      </c>
      <c r="E63" s="164">
        <f t="shared" si="1"/>
        <v>6.6666666666666666E-2</v>
      </c>
      <c r="F63" s="164">
        <f t="shared" si="2"/>
        <v>312661372</v>
      </c>
      <c r="G63" s="164">
        <f t="shared" si="3"/>
        <v>0</v>
      </c>
      <c r="H63" s="164">
        <f t="shared" si="4"/>
        <v>0</v>
      </c>
      <c r="I63" s="164">
        <f t="shared" si="5"/>
        <v>0</v>
      </c>
      <c r="J63" s="166">
        <f t="shared" si="6"/>
        <v>0</v>
      </c>
      <c r="K63" s="166">
        <f t="shared" si="7"/>
        <v>0</v>
      </c>
    </row>
    <row r="64" spans="1:11" ht="18.75" customHeight="1">
      <c r="A64" s="98" t="s">
        <v>472</v>
      </c>
      <c r="B64" s="102" t="s">
        <v>394</v>
      </c>
      <c r="C64" s="100">
        <v>44194</v>
      </c>
      <c r="D64" s="101">
        <v>31266137</v>
      </c>
      <c r="E64" s="164">
        <f t="shared" si="1"/>
        <v>6.6666666666666666E-2</v>
      </c>
      <c r="F64" s="164">
        <f t="shared" si="2"/>
        <v>31266137</v>
      </c>
      <c r="G64" s="164">
        <f t="shared" si="3"/>
        <v>0</v>
      </c>
      <c r="H64" s="164">
        <f t="shared" si="4"/>
        <v>0</v>
      </c>
      <c r="I64" s="164">
        <f t="shared" si="5"/>
        <v>0</v>
      </c>
      <c r="J64" s="166">
        <f t="shared" si="6"/>
        <v>0</v>
      </c>
      <c r="K64" s="166">
        <f t="shared" si="7"/>
        <v>0</v>
      </c>
    </row>
    <row r="65" spans="1:11" ht="18.75" customHeight="1">
      <c r="A65" s="98" t="s">
        <v>474</v>
      </c>
      <c r="B65" s="102" t="s">
        <v>393</v>
      </c>
      <c r="C65" s="100">
        <v>44193</v>
      </c>
      <c r="D65" s="101">
        <v>258740800</v>
      </c>
      <c r="E65" s="164">
        <f t="shared" si="1"/>
        <v>0.1</v>
      </c>
      <c r="F65" s="164">
        <f t="shared" si="2"/>
        <v>258740800</v>
      </c>
      <c r="G65" s="164">
        <f t="shared" si="3"/>
        <v>0</v>
      </c>
      <c r="H65" s="164">
        <f t="shared" si="4"/>
        <v>0</v>
      </c>
      <c r="I65" s="164">
        <f t="shared" si="5"/>
        <v>0</v>
      </c>
      <c r="J65" s="166">
        <f t="shared" si="6"/>
        <v>0</v>
      </c>
      <c r="K65" s="166">
        <f t="shared" si="7"/>
        <v>0</v>
      </c>
    </row>
    <row r="66" spans="1:11" ht="18.75" customHeight="1">
      <c r="A66" s="98" t="s">
        <v>474</v>
      </c>
      <c r="B66" s="102" t="s">
        <v>393</v>
      </c>
      <c r="C66" s="100">
        <v>44193</v>
      </c>
      <c r="D66" s="101">
        <v>25874080</v>
      </c>
      <c r="E66" s="164">
        <f t="shared" si="1"/>
        <v>0.1</v>
      </c>
      <c r="F66" s="164">
        <f t="shared" si="2"/>
        <v>25874080</v>
      </c>
      <c r="G66" s="164">
        <f t="shared" si="3"/>
        <v>0</v>
      </c>
      <c r="H66" s="164">
        <f t="shared" si="4"/>
        <v>0</v>
      </c>
      <c r="I66" s="164">
        <f t="shared" si="5"/>
        <v>0</v>
      </c>
      <c r="J66" s="166">
        <f t="shared" si="6"/>
        <v>0</v>
      </c>
      <c r="K66" s="166">
        <f t="shared" si="7"/>
        <v>0</v>
      </c>
    </row>
    <row r="67" spans="1:11" ht="18.75" customHeight="1">
      <c r="A67" s="98" t="s">
        <v>474</v>
      </c>
      <c r="B67" s="102" t="s">
        <v>406</v>
      </c>
      <c r="C67" s="100">
        <v>44194</v>
      </c>
      <c r="D67" s="101">
        <v>199295600</v>
      </c>
      <c r="E67" s="164">
        <f t="shared" si="1"/>
        <v>6.6666666666666666E-2</v>
      </c>
      <c r="F67" s="164">
        <f t="shared" si="2"/>
        <v>199295600</v>
      </c>
      <c r="G67" s="164">
        <f t="shared" si="3"/>
        <v>0</v>
      </c>
      <c r="H67" s="164">
        <f t="shared" si="4"/>
        <v>0</v>
      </c>
      <c r="I67" s="164">
        <f t="shared" si="5"/>
        <v>0</v>
      </c>
      <c r="J67" s="166">
        <f t="shared" si="6"/>
        <v>0</v>
      </c>
      <c r="K67" s="166">
        <f t="shared" si="7"/>
        <v>0</v>
      </c>
    </row>
    <row r="68" spans="1:11" ht="18.75" customHeight="1">
      <c r="A68" s="98" t="s">
        <v>474</v>
      </c>
      <c r="B68" s="102" t="s">
        <v>406</v>
      </c>
      <c r="C68" s="100">
        <v>44194</v>
      </c>
      <c r="D68" s="101">
        <v>19929560</v>
      </c>
      <c r="E68" s="164">
        <f t="shared" si="1"/>
        <v>6.6666666666666666E-2</v>
      </c>
      <c r="F68" s="164">
        <f t="shared" si="2"/>
        <v>19929560</v>
      </c>
      <c r="G68" s="164">
        <f t="shared" si="3"/>
        <v>0</v>
      </c>
      <c r="H68" s="164">
        <f t="shared" si="4"/>
        <v>0</v>
      </c>
      <c r="I68" s="164">
        <f t="shared" si="5"/>
        <v>0</v>
      </c>
      <c r="J68" s="166">
        <f t="shared" si="6"/>
        <v>0</v>
      </c>
      <c r="K68" s="166">
        <f t="shared" si="7"/>
        <v>0</v>
      </c>
    </row>
    <row r="69" spans="1:11" ht="18.75" customHeight="1">
      <c r="A69" s="98" t="s">
        <v>475</v>
      </c>
      <c r="B69" s="102" t="s">
        <v>421</v>
      </c>
      <c r="C69" s="100">
        <v>44161</v>
      </c>
      <c r="D69" s="101">
        <v>431596279</v>
      </c>
      <c r="E69" s="164">
        <f t="shared" si="1"/>
        <v>1.1666666666666667</v>
      </c>
      <c r="F69" s="164">
        <f t="shared" si="2"/>
        <v>431596279</v>
      </c>
      <c r="G69" s="164">
        <f t="shared" si="3"/>
        <v>0</v>
      </c>
      <c r="H69" s="164">
        <f t="shared" si="4"/>
        <v>0</v>
      </c>
      <c r="I69" s="164">
        <f t="shared" si="5"/>
        <v>0</v>
      </c>
      <c r="J69" s="166">
        <f t="shared" si="6"/>
        <v>0</v>
      </c>
      <c r="K69" s="166">
        <f t="shared" si="7"/>
        <v>0</v>
      </c>
    </row>
    <row r="70" spans="1:11" ht="18.75" customHeight="1">
      <c r="A70" s="98" t="s">
        <v>475</v>
      </c>
      <c r="B70" s="102" t="s">
        <v>421</v>
      </c>
      <c r="C70" s="100">
        <v>44161</v>
      </c>
      <c r="D70" s="101">
        <v>43159628</v>
      </c>
      <c r="E70" s="164">
        <f t="shared" ref="E70:E133" si="8">($C$1-C70)/30</f>
        <v>1.1666666666666667</v>
      </c>
      <c r="F70" s="164">
        <f t="shared" ref="F70:F133" si="9">IF(E70&lt;6,D70,0)</f>
        <v>43159628</v>
      </c>
      <c r="G70" s="164">
        <f t="shared" ref="G70:G133" si="10">IF(AND(E70&gt;=6,E70&lt;12),D70,0)</f>
        <v>0</v>
      </c>
      <c r="H70" s="164">
        <f t="shared" ref="H70:H133" si="11">IF(AND(E70&gt;=12,E70&lt;24),D70,0)</f>
        <v>0</v>
      </c>
      <c r="I70" s="164">
        <f t="shared" ref="I70:I133" si="12">IF(AND(E70&gt;=24,E70&lt;36),D70,0)</f>
        <v>0</v>
      </c>
      <c r="J70" s="166">
        <f t="shared" ref="J70:J133" si="13">IF(E70&gt;=36,D70,0)</f>
        <v>0</v>
      </c>
      <c r="K70" s="166">
        <f t="shared" si="7"/>
        <v>0</v>
      </c>
    </row>
    <row r="71" spans="1:11" s="171" customFormat="1" ht="18.75" customHeight="1">
      <c r="A71" s="130" t="s">
        <v>476</v>
      </c>
      <c r="B71" s="131"/>
      <c r="C71" s="132">
        <v>43101</v>
      </c>
      <c r="D71" s="133">
        <v>392279594</v>
      </c>
      <c r="E71" s="169">
        <f t="shared" si="8"/>
        <v>36.5</v>
      </c>
      <c r="F71" s="169">
        <f t="shared" si="9"/>
        <v>0</v>
      </c>
      <c r="G71" s="169">
        <f t="shared" si="10"/>
        <v>0</v>
      </c>
      <c r="H71" s="169">
        <f t="shared" si="11"/>
        <v>0</v>
      </c>
      <c r="I71" s="169">
        <f t="shared" si="12"/>
        <v>0</v>
      </c>
      <c r="J71" s="170">
        <f t="shared" si="13"/>
        <v>392279594</v>
      </c>
      <c r="K71" s="170">
        <f t="shared" si="7"/>
        <v>392279594</v>
      </c>
    </row>
    <row r="72" spans="1:11" s="212" customFormat="1" ht="18.75" customHeight="1">
      <c r="A72" s="206" t="s">
        <v>477</v>
      </c>
      <c r="B72" s="207" t="s">
        <v>478</v>
      </c>
      <c r="C72" s="208">
        <v>43613</v>
      </c>
      <c r="D72" s="209">
        <v>294349044</v>
      </c>
      <c r="E72" s="210">
        <f t="shared" si="8"/>
        <v>19.433333333333334</v>
      </c>
      <c r="F72" s="210">
        <f t="shared" si="9"/>
        <v>0</v>
      </c>
      <c r="G72" s="210">
        <f t="shared" si="10"/>
        <v>0</v>
      </c>
      <c r="H72" s="210">
        <f t="shared" si="11"/>
        <v>294349044</v>
      </c>
      <c r="I72" s="210">
        <f t="shared" si="12"/>
        <v>0</v>
      </c>
      <c r="J72" s="211">
        <f t="shared" si="13"/>
        <v>0</v>
      </c>
      <c r="K72" s="211">
        <f t="shared" si="7"/>
        <v>147174522</v>
      </c>
    </row>
    <row r="73" spans="1:11" s="212" customFormat="1" ht="18.75" customHeight="1">
      <c r="A73" s="206" t="s">
        <v>477</v>
      </c>
      <c r="B73" s="207" t="s">
        <v>478</v>
      </c>
      <c r="C73" s="208">
        <v>43613</v>
      </c>
      <c r="D73" s="209">
        <v>29434904</v>
      </c>
      <c r="E73" s="210">
        <f t="shared" si="8"/>
        <v>19.433333333333334</v>
      </c>
      <c r="F73" s="210">
        <f t="shared" si="9"/>
        <v>0</v>
      </c>
      <c r="G73" s="210">
        <f t="shared" si="10"/>
        <v>0</v>
      </c>
      <c r="H73" s="210">
        <f t="shared" si="11"/>
        <v>29434904</v>
      </c>
      <c r="I73" s="210">
        <f t="shared" si="12"/>
        <v>0</v>
      </c>
      <c r="J73" s="211">
        <f t="shared" si="13"/>
        <v>0</v>
      </c>
      <c r="K73" s="211">
        <f t="shared" ref="K73:K136" si="14">F73*$F$4+G73*$G$4+H73*$H$4+I73*$I$4+J73*$J$4</f>
        <v>14717452</v>
      </c>
    </row>
    <row r="74" spans="1:11" s="212" customFormat="1" ht="18.75" customHeight="1">
      <c r="A74" s="206" t="s">
        <v>477</v>
      </c>
      <c r="B74" s="207">
        <v>6</v>
      </c>
      <c r="C74" s="208">
        <v>43645</v>
      </c>
      <c r="D74" s="209">
        <v>57500000</v>
      </c>
      <c r="E74" s="210">
        <f t="shared" si="8"/>
        <v>18.366666666666667</v>
      </c>
      <c r="F74" s="210">
        <f t="shared" si="9"/>
        <v>0</v>
      </c>
      <c r="G74" s="210">
        <f t="shared" si="10"/>
        <v>0</v>
      </c>
      <c r="H74" s="210">
        <f t="shared" si="11"/>
        <v>57500000</v>
      </c>
      <c r="I74" s="210">
        <f t="shared" si="12"/>
        <v>0</v>
      </c>
      <c r="J74" s="211">
        <f t="shared" si="13"/>
        <v>0</v>
      </c>
      <c r="K74" s="211">
        <f t="shared" si="14"/>
        <v>28750000</v>
      </c>
    </row>
    <row r="75" spans="1:11" s="212" customFormat="1" ht="18.75" customHeight="1">
      <c r="A75" s="206" t="s">
        <v>477</v>
      </c>
      <c r="B75" s="207">
        <v>6</v>
      </c>
      <c r="C75" s="208">
        <v>43645</v>
      </c>
      <c r="D75" s="209">
        <v>5750000</v>
      </c>
      <c r="E75" s="210">
        <f t="shared" si="8"/>
        <v>18.366666666666667</v>
      </c>
      <c r="F75" s="210">
        <f t="shared" si="9"/>
        <v>0</v>
      </c>
      <c r="G75" s="210">
        <f t="shared" si="10"/>
        <v>0</v>
      </c>
      <c r="H75" s="210">
        <f t="shared" si="11"/>
        <v>5750000</v>
      </c>
      <c r="I75" s="210">
        <f t="shared" si="12"/>
        <v>0</v>
      </c>
      <c r="J75" s="211">
        <f t="shared" si="13"/>
        <v>0</v>
      </c>
      <c r="K75" s="211">
        <f t="shared" si="14"/>
        <v>2875000</v>
      </c>
    </row>
    <row r="76" spans="1:11" ht="18.75" customHeight="1">
      <c r="A76" s="98" t="s">
        <v>479</v>
      </c>
      <c r="B76" s="102" t="s">
        <v>480</v>
      </c>
      <c r="C76" s="100">
        <v>44194</v>
      </c>
      <c r="D76" s="101">
        <v>117307906</v>
      </c>
      <c r="E76" s="164">
        <f t="shared" si="8"/>
        <v>6.6666666666666666E-2</v>
      </c>
      <c r="F76" s="164">
        <f t="shared" si="9"/>
        <v>117307906</v>
      </c>
      <c r="G76" s="164">
        <f t="shared" si="10"/>
        <v>0</v>
      </c>
      <c r="H76" s="164">
        <f t="shared" si="11"/>
        <v>0</v>
      </c>
      <c r="I76" s="164">
        <f t="shared" si="12"/>
        <v>0</v>
      </c>
      <c r="J76" s="166">
        <f t="shared" si="13"/>
        <v>0</v>
      </c>
      <c r="K76" s="166">
        <f t="shared" si="14"/>
        <v>0</v>
      </c>
    </row>
    <row r="77" spans="1:11" ht="18.75" customHeight="1">
      <c r="A77" s="98" t="s">
        <v>479</v>
      </c>
      <c r="B77" s="102" t="s">
        <v>480</v>
      </c>
      <c r="C77" s="100">
        <v>44194</v>
      </c>
      <c r="D77" s="101">
        <v>11730791</v>
      </c>
      <c r="E77" s="164">
        <f t="shared" si="8"/>
        <v>6.6666666666666666E-2</v>
      </c>
      <c r="F77" s="164">
        <f t="shared" si="9"/>
        <v>11730791</v>
      </c>
      <c r="G77" s="164">
        <f t="shared" si="10"/>
        <v>0</v>
      </c>
      <c r="H77" s="164">
        <f t="shared" si="11"/>
        <v>0</v>
      </c>
      <c r="I77" s="164">
        <f t="shared" si="12"/>
        <v>0</v>
      </c>
      <c r="J77" s="166">
        <f t="shared" si="13"/>
        <v>0</v>
      </c>
      <c r="K77" s="166">
        <f t="shared" si="14"/>
        <v>0</v>
      </c>
    </row>
    <row r="78" spans="1:11" ht="18.75" customHeight="1">
      <c r="A78" s="98" t="s">
        <v>479</v>
      </c>
      <c r="B78" s="102" t="s">
        <v>481</v>
      </c>
      <c r="C78" s="100">
        <v>44195</v>
      </c>
      <c r="D78" s="101">
        <v>182018087</v>
      </c>
      <c r="E78" s="164">
        <f t="shared" si="8"/>
        <v>3.3333333333333333E-2</v>
      </c>
      <c r="F78" s="164">
        <f t="shared" si="9"/>
        <v>182018087</v>
      </c>
      <c r="G78" s="164">
        <f t="shared" si="10"/>
        <v>0</v>
      </c>
      <c r="H78" s="164">
        <f t="shared" si="11"/>
        <v>0</v>
      </c>
      <c r="I78" s="164">
        <f t="shared" si="12"/>
        <v>0</v>
      </c>
      <c r="J78" s="166">
        <f t="shared" si="13"/>
        <v>0</v>
      </c>
      <c r="K78" s="166">
        <f t="shared" si="14"/>
        <v>0</v>
      </c>
    </row>
    <row r="79" spans="1:11" ht="18.75" customHeight="1">
      <c r="A79" s="98" t="s">
        <v>479</v>
      </c>
      <c r="B79" s="102" t="s">
        <v>481</v>
      </c>
      <c r="C79" s="100">
        <v>44195</v>
      </c>
      <c r="D79" s="101">
        <v>18201809</v>
      </c>
      <c r="E79" s="164">
        <f t="shared" si="8"/>
        <v>3.3333333333333333E-2</v>
      </c>
      <c r="F79" s="164">
        <f t="shared" si="9"/>
        <v>18201809</v>
      </c>
      <c r="G79" s="164">
        <f t="shared" si="10"/>
        <v>0</v>
      </c>
      <c r="H79" s="164">
        <f t="shared" si="11"/>
        <v>0</v>
      </c>
      <c r="I79" s="164">
        <f t="shared" si="12"/>
        <v>0</v>
      </c>
      <c r="J79" s="166">
        <f t="shared" si="13"/>
        <v>0</v>
      </c>
      <c r="K79" s="166">
        <f t="shared" si="14"/>
        <v>0</v>
      </c>
    </row>
    <row r="80" spans="1:11" ht="18.75" customHeight="1">
      <c r="A80" s="98" t="s">
        <v>482</v>
      </c>
      <c r="B80" s="102" t="s">
        <v>483</v>
      </c>
      <c r="C80" s="100">
        <v>44162</v>
      </c>
      <c r="D80" s="101">
        <v>125834703</v>
      </c>
      <c r="E80" s="164">
        <f t="shared" si="8"/>
        <v>1.1333333333333333</v>
      </c>
      <c r="F80" s="164">
        <f t="shared" si="9"/>
        <v>125834703</v>
      </c>
      <c r="G80" s="164">
        <f t="shared" si="10"/>
        <v>0</v>
      </c>
      <c r="H80" s="164">
        <f t="shared" si="11"/>
        <v>0</v>
      </c>
      <c r="I80" s="164">
        <f t="shared" si="12"/>
        <v>0</v>
      </c>
      <c r="J80" s="166">
        <f t="shared" si="13"/>
        <v>0</v>
      </c>
      <c r="K80" s="166">
        <f t="shared" si="14"/>
        <v>0</v>
      </c>
    </row>
    <row r="81" spans="1:11" ht="18.75" customHeight="1">
      <c r="A81" s="98" t="s">
        <v>482</v>
      </c>
      <c r="B81" s="102" t="s">
        <v>483</v>
      </c>
      <c r="C81" s="100">
        <v>44162</v>
      </c>
      <c r="D81" s="101">
        <v>12583470</v>
      </c>
      <c r="E81" s="164">
        <f t="shared" si="8"/>
        <v>1.1333333333333333</v>
      </c>
      <c r="F81" s="164">
        <f t="shared" si="9"/>
        <v>12583470</v>
      </c>
      <c r="G81" s="164">
        <f t="shared" si="10"/>
        <v>0</v>
      </c>
      <c r="H81" s="164">
        <f t="shared" si="11"/>
        <v>0</v>
      </c>
      <c r="I81" s="164">
        <f t="shared" si="12"/>
        <v>0</v>
      </c>
      <c r="J81" s="166">
        <f t="shared" si="13"/>
        <v>0</v>
      </c>
      <c r="K81" s="166">
        <f t="shared" si="14"/>
        <v>0</v>
      </c>
    </row>
    <row r="82" spans="1:11" ht="18.75" customHeight="1">
      <c r="A82" s="98" t="s">
        <v>482</v>
      </c>
      <c r="B82" s="102" t="s">
        <v>399</v>
      </c>
      <c r="C82" s="100">
        <v>44195</v>
      </c>
      <c r="D82" s="101">
        <v>131148300</v>
      </c>
      <c r="E82" s="164">
        <f t="shared" si="8"/>
        <v>3.3333333333333333E-2</v>
      </c>
      <c r="F82" s="164">
        <f t="shared" si="9"/>
        <v>131148300</v>
      </c>
      <c r="G82" s="164">
        <f t="shared" si="10"/>
        <v>0</v>
      </c>
      <c r="H82" s="164">
        <f t="shared" si="11"/>
        <v>0</v>
      </c>
      <c r="I82" s="164">
        <f t="shared" si="12"/>
        <v>0</v>
      </c>
      <c r="J82" s="166">
        <f t="shared" si="13"/>
        <v>0</v>
      </c>
      <c r="K82" s="166">
        <f t="shared" si="14"/>
        <v>0</v>
      </c>
    </row>
    <row r="83" spans="1:11" ht="18.75" customHeight="1">
      <c r="A83" s="98" t="s">
        <v>482</v>
      </c>
      <c r="B83" s="102" t="s">
        <v>399</v>
      </c>
      <c r="C83" s="100">
        <v>44195</v>
      </c>
      <c r="D83" s="101">
        <v>13114830</v>
      </c>
      <c r="E83" s="164">
        <f t="shared" si="8"/>
        <v>3.3333333333333333E-2</v>
      </c>
      <c r="F83" s="164">
        <f t="shared" si="9"/>
        <v>13114830</v>
      </c>
      <c r="G83" s="164">
        <f t="shared" si="10"/>
        <v>0</v>
      </c>
      <c r="H83" s="164">
        <f t="shared" si="11"/>
        <v>0</v>
      </c>
      <c r="I83" s="164">
        <f t="shared" si="12"/>
        <v>0</v>
      </c>
      <c r="J83" s="166">
        <f t="shared" si="13"/>
        <v>0</v>
      </c>
      <c r="K83" s="166">
        <f t="shared" si="14"/>
        <v>0</v>
      </c>
    </row>
    <row r="84" spans="1:11" ht="18.75" customHeight="1">
      <c r="A84" s="98" t="s">
        <v>484</v>
      </c>
      <c r="B84" s="102" t="s">
        <v>400</v>
      </c>
      <c r="C84" s="100">
        <v>44194</v>
      </c>
      <c r="D84" s="101">
        <v>1367660</v>
      </c>
      <c r="E84" s="164">
        <f t="shared" si="8"/>
        <v>6.6666666666666666E-2</v>
      </c>
      <c r="F84" s="164">
        <f t="shared" si="9"/>
        <v>1367660</v>
      </c>
      <c r="G84" s="164">
        <f t="shared" si="10"/>
        <v>0</v>
      </c>
      <c r="H84" s="164">
        <f t="shared" si="11"/>
        <v>0</v>
      </c>
      <c r="I84" s="164">
        <f t="shared" si="12"/>
        <v>0</v>
      </c>
      <c r="J84" s="166">
        <f t="shared" si="13"/>
        <v>0</v>
      </c>
      <c r="K84" s="166">
        <f t="shared" si="14"/>
        <v>0</v>
      </c>
    </row>
    <row r="85" spans="1:11" ht="18.75" customHeight="1">
      <c r="A85" s="98" t="s">
        <v>484</v>
      </c>
      <c r="B85" s="102" t="s">
        <v>400</v>
      </c>
      <c r="C85" s="100">
        <v>44194</v>
      </c>
      <c r="D85" s="101">
        <v>32775396</v>
      </c>
      <c r="E85" s="164">
        <f t="shared" si="8"/>
        <v>6.6666666666666666E-2</v>
      </c>
      <c r="F85" s="164">
        <f t="shared" si="9"/>
        <v>32775396</v>
      </c>
      <c r="G85" s="164">
        <f t="shared" si="10"/>
        <v>0</v>
      </c>
      <c r="H85" s="164">
        <f t="shared" si="11"/>
        <v>0</v>
      </c>
      <c r="I85" s="164">
        <f t="shared" si="12"/>
        <v>0</v>
      </c>
      <c r="J85" s="166">
        <f t="shared" si="13"/>
        <v>0</v>
      </c>
      <c r="K85" s="166">
        <f t="shared" si="14"/>
        <v>0</v>
      </c>
    </row>
    <row r="86" spans="1:11" ht="18.75" customHeight="1">
      <c r="A86" s="98" t="s">
        <v>484</v>
      </c>
      <c r="B86" s="102" t="s">
        <v>400</v>
      </c>
      <c r="C86" s="100">
        <v>44194</v>
      </c>
      <c r="D86" s="101">
        <v>3414306</v>
      </c>
      <c r="E86" s="164">
        <f t="shared" si="8"/>
        <v>6.6666666666666666E-2</v>
      </c>
      <c r="F86" s="164">
        <f t="shared" si="9"/>
        <v>3414306</v>
      </c>
      <c r="G86" s="164">
        <f t="shared" si="10"/>
        <v>0</v>
      </c>
      <c r="H86" s="164">
        <f t="shared" si="11"/>
        <v>0</v>
      </c>
      <c r="I86" s="164">
        <f t="shared" si="12"/>
        <v>0</v>
      </c>
      <c r="J86" s="166">
        <f t="shared" si="13"/>
        <v>0</v>
      </c>
      <c r="K86" s="166">
        <f t="shared" si="14"/>
        <v>0</v>
      </c>
    </row>
    <row r="87" spans="1:11" ht="18.75" customHeight="1">
      <c r="A87" s="98" t="s">
        <v>484</v>
      </c>
      <c r="B87" s="102" t="s">
        <v>396</v>
      </c>
      <c r="C87" s="100">
        <v>44195</v>
      </c>
      <c r="D87" s="101">
        <v>206128858</v>
      </c>
      <c r="E87" s="164">
        <f t="shared" si="8"/>
        <v>3.3333333333333333E-2</v>
      </c>
      <c r="F87" s="164">
        <f t="shared" si="9"/>
        <v>206128858</v>
      </c>
      <c r="G87" s="164">
        <f t="shared" si="10"/>
        <v>0</v>
      </c>
      <c r="H87" s="164">
        <f t="shared" si="11"/>
        <v>0</v>
      </c>
      <c r="I87" s="164">
        <f t="shared" si="12"/>
        <v>0</v>
      </c>
      <c r="J87" s="166">
        <f t="shared" si="13"/>
        <v>0</v>
      </c>
      <c r="K87" s="166">
        <f t="shared" si="14"/>
        <v>0</v>
      </c>
    </row>
    <row r="88" spans="1:11" ht="18.75" customHeight="1">
      <c r="A88" s="98" t="s">
        <v>484</v>
      </c>
      <c r="B88" s="102" t="s">
        <v>396</v>
      </c>
      <c r="C88" s="100">
        <v>44195</v>
      </c>
      <c r="D88" s="101">
        <v>20612886</v>
      </c>
      <c r="E88" s="164">
        <f t="shared" si="8"/>
        <v>3.3333333333333333E-2</v>
      </c>
      <c r="F88" s="164">
        <f t="shared" si="9"/>
        <v>20612886</v>
      </c>
      <c r="G88" s="164">
        <f t="shared" si="10"/>
        <v>0</v>
      </c>
      <c r="H88" s="164">
        <f t="shared" si="11"/>
        <v>0</v>
      </c>
      <c r="I88" s="164">
        <f t="shared" si="12"/>
        <v>0</v>
      </c>
      <c r="J88" s="166">
        <f t="shared" si="13"/>
        <v>0</v>
      </c>
      <c r="K88" s="166">
        <f t="shared" si="14"/>
        <v>0</v>
      </c>
    </row>
    <row r="89" spans="1:11" ht="18.75" customHeight="1">
      <c r="A89" s="98" t="s">
        <v>485</v>
      </c>
      <c r="B89" s="102" t="s">
        <v>405</v>
      </c>
      <c r="C89" s="100">
        <v>44195</v>
      </c>
      <c r="D89" s="101">
        <v>234913030</v>
      </c>
      <c r="E89" s="164">
        <f t="shared" si="8"/>
        <v>3.3333333333333333E-2</v>
      </c>
      <c r="F89" s="164">
        <f t="shared" si="9"/>
        <v>234913030</v>
      </c>
      <c r="G89" s="164">
        <f t="shared" si="10"/>
        <v>0</v>
      </c>
      <c r="H89" s="164">
        <f t="shared" si="11"/>
        <v>0</v>
      </c>
      <c r="I89" s="164">
        <f t="shared" si="12"/>
        <v>0</v>
      </c>
      <c r="J89" s="166">
        <f t="shared" si="13"/>
        <v>0</v>
      </c>
      <c r="K89" s="166">
        <f t="shared" si="14"/>
        <v>0</v>
      </c>
    </row>
    <row r="90" spans="1:11" ht="18.75" customHeight="1">
      <c r="A90" s="98" t="s">
        <v>485</v>
      </c>
      <c r="B90" s="102" t="s">
        <v>405</v>
      </c>
      <c r="C90" s="100">
        <v>44195</v>
      </c>
      <c r="D90" s="101">
        <v>23491303</v>
      </c>
      <c r="E90" s="164">
        <f t="shared" si="8"/>
        <v>3.3333333333333333E-2</v>
      </c>
      <c r="F90" s="164">
        <f t="shared" si="9"/>
        <v>23491303</v>
      </c>
      <c r="G90" s="164">
        <f t="shared" si="10"/>
        <v>0</v>
      </c>
      <c r="H90" s="164">
        <f t="shared" si="11"/>
        <v>0</v>
      </c>
      <c r="I90" s="164">
        <f t="shared" si="12"/>
        <v>0</v>
      </c>
      <c r="J90" s="166">
        <f t="shared" si="13"/>
        <v>0</v>
      </c>
      <c r="K90" s="166">
        <f t="shared" si="14"/>
        <v>0</v>
      </c>
    </row>
    <row r="91" spans="1:11" ht="18.75" customHeight="1">
      <c r="A91" s="98" t="s">
        <v>486</v>
      </c>
      <c r="B91" s="102" t="s">
        <v>487</v>
      </c>
      <c r="C91" s="100">
        <v>44130</v>
      </c>
      <c r="D91" s="101">
        <v>40361320</v>
      </c>
      <c r="E91" s="164">
        <f t="shared" si="8"/>
        <v>2.2000000000000002</v>
      </c>
      <c r="F91" s="164">
        <f t="shared" si="9"/>
        <v>40361320</v>
      </c>
      <c r="G91" s="164">
        <f t="shared" si="10"/>
        <v>0</v>
      </c>
      <c r="H91" s="164">
        <f t="shared" si="11"/>
        <v>0</v>
      </c>
      <c r="I91" s="164">
        <f t="shared" si="12"/>
        <v>0</v>
      </c>
      <c r="J91" s="166">
        <f t="shared" si="13"/>
        <v>0</v>
      </c>
      <c r="K91" s="166">
        <f t="shared" si="14"/>
        <v>0</v>
      </c>
    </row>
    <row r="92" spans="1:11" ht="18.75" customHeight="1">
      <c r="A92" s="98" t="s">
        <v>486</v>
      </c>
      <c r="B92" s="102" t="s">
        <v>487</v>
      </c>
      <c r="C92" s="100">
        <v>44130</v>
      </c>
      <c r="D92" s="101">
        <v>4036132</v>
      </c>
      <c r="E92" s="164">
        <f t="shared" si="8"/>
        <v>2.2000000000000002</v>
      </c>
      <c r="F92" s="164">
        <f t="shared" si="9"/>
        <v>4036132</v>
      </c>
      <c r="G92" s="164">
        <f t="shared" si="10"/>
        <v>0</v>
      </c>
      <c r="H92" s="164">
        <f t="shared" si="11"/>
        <v>0</v>
      </c>
      <c r="I92" s="164">
        <f t="shared" si="12"/>
        <v>0</v>
      </c>
      <c r="J92" s="166">
        <f t="shared" si="13"/>
        <v>0</v>
      </c>
      <c r="K92" s="166">
        <f t="shared" si="14"/>
        <v>0</v>
      </c>
    </row>
    <row r="93" spans="1:11" ht="18.75" customHeight="1">
      <c r="A93" s="98" t="s">
        <v>486</v>
      </c>
      <c r="B93" s="102" t="s">
        <v>488</v>
      </c>
      <c r="C93" s="100">
        <v>44162</v>
      </c>
      <c r="D93" s="101">
        <v>76253740</v>
      </c>
      <c r="E93" s="164">
        <f t="shared" si="8"/>
        <v>1.1333333333333333</v>
      </c>
      <c r="F93" s="164">
        <f t="shared" si="9"/>
        <v>76253740</v>
      </c>
      <c r="G93" s="164">
        <f t="shared" si="10"/>
        <v>0</v>
      </c>
      <c r="H93" s="164">
        <f t="shared" si="11"/>
        <v>0</v>
      </c>
      <c r="I93" s="164">
        <f t="shared" si="12"/>
        <v>0</v>
      </c>
      <c r="J93" s="166">
        <f t="shared" si="13"/>
        <v>0</v>
      </c>
      <c r="K93" s="166">
        <f t="shared" si="14"/>
        <v>0</v>
      </c>
    </row>
    <row r="94" spans="1:11" ht="18.75" customHeight="1">
      <c r="A94" s="98" t="s">
        <v>486</v>
      </c>
      <c r="B94" s="102" t="s">
        <v>488</v>
      </c>
      <c r="C94" s="100">
        <v>44162</v>
      </c>
      <c r="D94" s="101">
        <v>7625374</v>
      </c>
      <c r="E94" s="164">
        <f t="shared" si="8"/>
        <v>1.1333333333333333</v>
      </c>
      <c r="F94" s="164">
        <f t="shared" si="9"/>
        <v>7625374</v>
      </c>
      <c r="G94" s="164">
        <f t="shared" si="10"/>
        <v>0</v>
      </c>
      <c r="H94" s="164">
        <f t="shared" si="11"/>
        <v>0</v>
      </c>
      <c r="I94" s="164">
        <f t="shared" si="12"/>
        <v>0</v>
      </c>
      <c r="J94" s="166">
        <f t="shared" si="13"/>
        <v>0</v>
      </c>
      <c r="K94" s="166">
        <f t="shared" si="14"/>
        <v>0</v>
      </c>
    </row>
    <row r="95" spans="1:11" ht="18.75" customHeight="1">
      <c r="A95" s="98" t="s">
        <v>486</v>
      </c>
      <c r="B95" s="102" t="s">
        <v>489</v>
      </c>
      <c r="C95" s="100">
        <v>44195</v>
      </c>
      <c r="D95" s="101">
        <v>61645290</v>
      </c>
      <c r="E95" s="164">
        <f t="shared" si="8"/>
        <v>3.3333333333333333E-2</v>
      </c>
      <c r="F95" s="164">
        <f t="shared" si="9"/>
        <v>61645290</v>
      </c>
      <c r="G95" s="164">
        <f t="shared" si="10"/>
        <v>0</v>
      </c>
      <c r="H95" s="164">
        <f t="shared" si="11"/>
        <v>0</v>
      </c>
      <c r="I95" s="164">
        <f t="shared" si="12"/>
        <v>0</v>
      </c>
      <c r="J95" s="166">
        <f t="shared" si="13"/>
        <v>0</v>
      </c>
      <c r="K95" s="166">
        <f t="shared" si="14"/>
        <v>0</v>
      </c>
    </row>
    <row r="96" spans="1:11" ht="18.75" customHeight="1">
      <c r="A96" s="98" t="s">
        <v>486</v>
      </c>
      <c r="B96" s="102" t="s">
        <v>489</v>
      </c>
      <c r="C96" s="100">
        <v>44195</v>
      </c>
      <c r="D96" s="101">
        <v>6164529</v>
      </c>
      <c r="E96" s="164">
        <f t="shared" si="8"/>
        <v>3.3333333333333333E-2</v>
      </c>
      <c r="F96" s="164">
        <f t="shared" si="9"/>
        <v>6164529</v>
      </c>
      <c r="G96" s="164">
        <f t="shared" si="10"/>
        <v>0</v>
      </c>
      <c r="H96" s="164">
        <f t="shared" si="11"/>
        <v>0</v>
      </c>
      <c r="I96" s="164">
        <f t="shared" si="12"/>
        <v>0</v>
      </c>
      <c r="J96" s="166">
        <f t="shared" si="13"/>
        <v>0</v>
      </c>
      <c r="K96" s="166">
        <f t="shared" si="14"/>
        <v>0</v>
      </c>
    </row>
    <row r="97" spans="1:11" ht="18.75" customHeight="1">
      <c r="A97" s="98" t="s">
        <v>490</v>
      </c>
      <c r="B97" s="102" t="s">
        <v>491</v>
      </c>
      <c r="C97" s="100">
        <v>44162</v>
      </c>
      <c r="D97" s="101">
        <v>146280000</v>
      </c>
      <c r="E97" s="164">
        <f t="shared" si="8"/>
        <v>1.1333333333333333</v>
      </c>
      <c r="F97" s="164">
        <f t="shared" si="9"/>
        <v>146280000</v>
      </c>
      <c r="G97" s="164">
        <f t="shared" si="10"/>
        <v>0</v>
      </c>
      <c r="H97" s="164">
        <f t="shared" si="11"/>
        <v>0</v>
      </c>
      <c r="I97" s="164">
        <f t="shared" si="12"/>
        <v>0</v>
      </c>
      <c r="J97" s="166">
        <f t="shared" si="13"/>
        <v>0</v>
      </c>
      <c r="K97" s="166">
        <f t="shared" si="14"/>
        <v>0</v>
      </c>
    </row>
    <row r="98" spans="1:11" ht="18.75" customHeight="1">
      <c r="A98" s="98" t="s">
        <v>490</v>
      </c>
      <c r="B98" s="102" t="s">
        <v>491</v>
      </c>
      <c r="C98" s="100">
        <v>44162</v>
      </c>
      <c r="D98" s="101">
        <v>14628000</v>
      </c>
      <c r="E98" s="164">
        <f t="shared" si="8"/>
        <v>1.1333333333333333</v>
      </c>
      <c r="F98" s="164">
        <f t="shared" si="9"/>
        <v>14628000</v>
      </c>
      <c r="G98" s="164">
        <f t="shared" si="10"/>
        <v>0</v>
      </c>
      <c r="H98" s="164">
        <f t="shared" si="11"/>
        <v>0</v>
      </c>
      <c r="I98" s="164">
        <f t="shared" si="12"/>
        <v>0</v>
      </c>
      <c r="J98" s="166">
        <f t="shared" si="13"/>
        <v>0</v>
      </c>
      <c r="K98" s="166">
        <f t="shared" si="14"/>
        <v>0</v>
      </c>
    </row>
    <row r="99" spans="1:11" ht="18.75" customHeight="1">
      <c r="A99" s="98" t="s">
        <v>492</v>
      </c>
      <c r="B99" s="102" t="s">
        <v>493</v>
      </c>
      <c r="C99" s="100">
        <v>44160</v>
      </c>
      <c r="D99" s="101">
        <v>86631312</v>
      </c>
      <c r="E99" s="164">
        <f t="shared" si="8"/>
        <v>1.2</v>
      </c>
      <c r="F99" s="164">
        <f t="shared" si="9"/>
        <v>86631312</v>
      </c>
      <c r="G99" s="164">
        <f t="shared" si="10"/>
        <v>0</v>
      </c>
      <c r="H99" s="164">
        <f t="shared" si="11"/>
        <v>0</v>
      </c>
      <c r="I99" s="164">
        <f t="shared" si="12"/>
        <v>0</v>
      </c>
      <c r="J99" s="166">
        <f t="shared" si="13"/>
        <v>0</v>
      </c>
      <c r="K99" s="166">
        <f t="shared" si="14"/>
        <v>0</v>
      </c>
    </row>
    <row r="100" spans="1:11" ht="18.75" customHeight="1">
      <c r="A100" s="98" t="s">
        <v>492</v>
      </c>
      <c r="B100" s="102" t="s">
        <v>493</v>
      </c>
      <c r="C100" s="100">
        <v>44160</v>
      </c>
      <c r="D100" s="101">
        <v>8663132</v>
      </c>
      <c r="E100" s="164">
        <f t="shared" si="8"/>
        <v>1.2</v>
      </c>
      <c r="F100" s="164">
        <f t="shared" si="9"/>
        <v>8663132</v>
      </c>
      <c r="G100" s="164">
        <f t="shared" si="10"/>
        <v>0</v>
      </c>
      <c r="H100" s="164">
        <f t="shared" si="11"/>
        <v>0</v>
      </c>
      <c r="I100" s="164">
        <f t="shared" si="12"/>
        <v>0</v>
      </c>
      <c r="J100" s="166">
        <f t="shared" si="13"/>
        <v>0</v>
      </c>
      <c r="K100" s="166">
        <f t="shared" si="14"/>
        <v>0</v>
      </c>
    </row>
    <row r="101" spans="1:11" ht="18.75" customHeight="1">
      <c r="A101" s="98" t="s">
        <v>492</v>
      </c>
      <c r="B101" s="102" t="s">
        <v>397</v>
      </c>
      <c r="C101" s="100">
        <v>44190</v>
      </c>
      <c r="D101" s="101">
        <v>49574676</v>
      </c>
      <c r="E101" s="164">
        <f t="shared" si="8"/>
        <v>0.2</v>
      </c>
      <c r="F101" s="164">
        <f t="shared" si="9"/>
        <v>49574676</v>
      </c>
      <c r="G101" s="164">
        <f t="shared" si="10"/>
        <v>0</v>
      </c>
      <c r="H101" s="164">
        <f t="shared" si="11"/>
        <v>0</v>
      </c>
      <c r="I101" s="164">
        <f t="shared" si="12"/>
        <v>0</v>
      </c>
      <c r="J101" s="166">
        <f t="shared" si="13"/>
        <v>0</v>
      </c>
      <c r="K101" s="166">
        <f t="shared" si="14"/>
        <v>0</v>
      </c>
    </row>
    <row r="102" spans="1:11" ht="18.75" customHeight="1">
      <c r="A102" s="98" t="s">
        <v>492</v>
      </c>
      <c r="B102" s="102" t="s">
        <v>397</v>
      </c>
      <c r="C102" s="100">
        <v>44190</v>
      </c>
      <c r="D102" s="101">
        <v>4957468</v>
      </c>
      <c r="E102" s="164">
        <f t="shared" si="8"/>
        <v>0.2</v>
      </c>
      <c r="F102" s="164">
        <f t="shared" si="9"/>
        <v>4957468</v>
      </c>
      <c r="G102" s="164">
        <f t="shared" si="10"/>
        <v>0</v>
      </c>
      <c r="H102" s="164">
        <f t="shared" si="11"/>
        <v>0</v>
      </c>
      <c r="I102" s="164">
        <f t="shared" si="12"/>
        <v>0</v>
      </c>
      <c r="J102" s="166">
        <f t="shared" si="13"/>
        <v>0</v>
      </c>
      <c r="K102" s="166">
        <f t="shared" si="14"/>
        <v>0</v>
      </c>
    </row>
    <row r="103" spans="1:11" ht="18.75" customHeight="1">
      <c r="A103" s="98" t="s">
        <v>494</v>
      </c>
      <c r="B103" s="102" t="s">
        <v>495</v>
      </c>
      <c r="C103" s="100">
        <v>44160</v>
      </c>
      <c r="D103" s="101">
        <v>18765762</v>
      </c>
      <c r="E103" s="164">
        <f t="shared" si="8"/>
        <v>1.2</v>
      </c>
      <c r="F103" s="164">
        <f t="shared" si="9"/>
        <v>18765762</v>
      </c>
      <c r="G103" s="164">
        <f t="shared" si="10"/>
        <v>0</v>
      </c>
      <c r="H103" s="164">
        <f t="shared" si="11"/>
        <v>0</v>
      </c>
      <c r="I103" s="164">
        <f t="shared" si="12"/>
        <v>0</v>
      </c>
      <c r="J103" s="166">
        <f t="shared" si="13"/>
        <v>0</v>
      </c>
      <c r="K103" s="166">
        <f t="shared" si="14"/>
        <v>0</v>
      </c>
    </row>
    <row r="104" spans="1:11" ht="18.75" customHeight="1">
      <c r="A104" s="98" t="s">
        <v>494</v>
      </c>
      <c r="B104" s="102" t="s">
        <v>495</v>
      </c>
      <c r="C104" s="100">
        <v>44160</v>
      </c>
      <c r="D104" s="101">
        <v>1876576</v>
      </c>
      <c r="E104" s="164">
        <f t="shared" si="8"/>
        <v>1.2</v>
      </c>
      <c r="F104" s="164">
        <f t="shared" si="9"/>
        <v>1876576</v>
      </c>
      <c r="G104" s="164">
        <f t="shared" si="10"/>
        <v>0</v>
      </c>
      <c r="H104" s="164">
        <f t="shared" si="11"/>
        <v>0</v>
      </c>
      <c r="I104" s="164">
        <f t="shared" si="12"/>
        <v>0</v>
      </c>
      <c r="J104" s="166">
        <f t="shared" si="13"/>
        <v>0</v>
      </c>
      <c r="K104" s="166">
        <f t="shared" si="14"/>
        <v>0</v>
      </c>
    </row>
    <row r="105" spans="1:11" ht="18.75" customHeight="1">
      <c r="A105" s="98" t="s">
        <v>494</v>
      </c>
      <c r="B105" s="102" t="s">
        <v>496</v>
      </c>
      <c r="C105" s="100">
        <v>44190</v>
      </c>
      <c r="D105" s="101">
        <v>69155676</v>
      </c>
      <c r="E105" s="164">
        <f t="shared" si="8"/>
        <v>0.2</v>
      </c>
      <c r="F105" s="164">
        <f t="shared" si="9"/>
        <v>69155676</v>
      </c>
      <c r="G105" s="164">
        <f t="shared" si="10"/>
        <v>0</v>
      </c>
      <c r="H105" s="164">
        <f t="shared" si="11"/>
        <v>0</v>
      </c>
      <c r="I105" s="164">
        <f t="shared" si="12"/>
        <v>0</v>
      </c>
      <c r="J105" s="166">
        <f t="shared" si="13"/>
        <v>0</v>
      </c>
      <c r="K105" s="166">
        <f t="shared" si="14"/>
        <v>0</v>
      </c>
    </row>
    <row r="106" spans="1:11" ht="18.75" customHeight="1">
      <c r="A106" s="98" t="s">
        <v>494</v>
      </c>
      <c r="B106" s="102" t="s">
        <v>496</v>
      </c>
      <c r="C106" s="100">
        <v>44190</v>
      </c>
      <c r="D106" s="101">
        <v>6915568</v>
      </c>
      <c r="E106" s="164">
        <f t="shared" si="8"/>
        <v>0.2</v>
      </c>
      <c r="F106" s="164">
        <f t="shared" si="9"/>
        <v>6915568</v>
      </c>
      <c r="G106" s="164">
        <f t="shared" si="10"/>
        <v>0</v>
      </c>
      <c r="H106" s="164">
        <f t="shared" si="11"/>
        <v>0</v>
      </c>
      <c r="I106" s="164">
        <f t="shared" si="12"/>
        <v>0</v>
      </c>
      <c r="J106" s="166">
        <f t="shared" si="13"/>
        <v>0</v>
      </c>
      <c r="K106" s="166">
        <f t="shared" si="14"/>
        <v>0</v>
      </c>
    </row>
    <row r="107" spans="1:11" ht="18.75" customHeight="1">
      <c r="A107" s="98" t="s">
        <v>494</v>
      </c>
      <c r="B107" s="102"/>
      <c r="C107" s="100">
        <v>43101</v>
      </c>
      <c r="D107" s="103">
        <v>14910315</v>
      </c>
      <c r="E107" s="164">
        <f t="shared" si="8"/>
        <v>36.5</v>
      </c>
      <c r="F107" s="164">
        <f t="shared" si="9"/>
        <v>0</v>
      </c>
      <c r="G107" s="164">
        <f t="shared" si="10"/>
        <v>0</v>
      </c>
      <c r="H107" s="164">
        <f t="shared" si="11"/>
        <v>0</v>
      </c>
      <c r="I107" s="164">
        <f t="shared" si="12"/>
        <v>0</v>
      </c>
      <c r="J107" s="166">
        <f t="shared" si="13"/>
        <v>14910315</v>
      </c>
      <c r="K107" s="166">
        <f t="shared" si="14"/>
        <v>14910315</v>
      </c>
    </row>
    <row r="108" spans="1:11" ht="18.75" customHeight="1">
      <c r="A108" s="98" t="s">
        <v>497</v>
      </c>
      <c r="B108" s="102" t="s">
        <v>498</v>
      </c>
      <c r="C108" s="100">
        <v>44194</v>
      </c>
      <c r="D108" s="101">
        <v>95793200</v>
      </c>
      <c r="E108" s="164">
        <f t="shared" si="8"/>
        <v>6.6666666666666666E-2</v>
      </c>
      <c r="F108" s="164">
        <f t="shared" si="9"/>
        <v>95793200</v>
      </c>
      <c r="G108" s="164">
        <f t="shared" si="10"/>
        <v>0</v>
      </c>
      <c r="H108" s="164">
        <f t="shared" si="11"/>
        <v>0</v>
      </c>
      <c r="I108" s="164">
        <f t="shared" si="12"/>
        <v>0</v>
      </c>
      <c r="J108" s="166">
        <f t="shared" si="13"/>
        <v>0</v>
      </c>
      <c r="K108" s="166">
        <f t="shared" si="14"/>
        <v>0</v>
      </c>
    </row>
    <row r="109" spans="1:11" ht="18.75" customHeight="1">
      <c r="A109" s="98" t="s">
        <v>497</v>
      </c>
      <c r="B109" s="102" t="s">
        <v>498</v>
      </c>
      <c r="C109" s="100">
        <v>44194</v>
      </c>
      <c r="D109" s="101">
        <v>9579320</v>
      </c>
      <c r="E109" s="164">
        <f t="shared" si="8"/>
        <v>6.6666666666666666E-2</v>
      </c>
      <c r="F109" s="164">
        <f t="shared" si="9"/>
        <v>9579320</v>
      </c>
      <c r="G109" s="164">
        <f t="shared" si="10"/>
        <v>0</v>
      </c>
      <c r="H109" s="164">
        <f t="shared" si="11"/>
        <v>0</v>
      </c>
      <c r="I109" s="164">
        <f t="shared" si="12"/>
        <v>0</v>
      </c>
      <c r="J109" s="166">
        <f t="shared" si="13"/>
        <v>0</v>
      </c>
      <c r="K109" s="166">
        <f t="shared" si="14"/>
        <v>0</v>
      </c>
    </row>
    <row r="110" spans="1:11" ht="18.75" customHeight="1">
      <c r="A110" s="98" t="s">
        <v>426</v>
      </c>
      <c r="B110" s="102" t="s">
        <v>499</v>
      </c>
      <c r="C110" s="100">
        <v>43845</v>
      </c>
      <c r="D110" s="101">
        <v>12449974</v>
      </c>
      <c r="E110" s="164">
        <f t="shared" si="8"/>
        <v>11.7</v>
      </c>
      <c r="F110" s="164">
        <f t="shared" si="9"/>
        <v>0</v>
      </c>
      <c r="G110" s="164">
        <f t="shared" si="10"/>
        <v>12449974</v>
      </c>
      <c r="H110" s="164">
        <f t="shared" si="11"/>
        <v>0</v>
      </c>
      <c r="I110" s="164">
        <f t="shared" si="12"/>
        <v>0</v>
      </c>
      <c r="J110" s="166">
        <f t="shared" si="13"/>
        <v>0</v>
      </c>
      <c r="K110" s="166">
        <f t="shared" si="14"/>
        <v>3734992.1999999997</v>
      </c>
    </row>
    <row r="111" spans="1:11" ht="18.75" customHeight="1">
      <c r="A111" s="98" t="s">
        <v>426</v>
      </c>
      <c r="B111" s="102" t="s">
        <v>499</v>
      </c>
      <c r="C111" s="100">
        <v>43845</v>
      </c>
      <c r="D111" s="101">
        <v>1244997</v>
      </c>
      <c r="E111" s="164">
        <f t="shared" si="8"/>
        <v>11.7</v>
      </c>
      <c r="F111" s="164">
        <f t="shared" si="9"/>
        <v>0</v>
      </c>
      <c r="G111" s="164">
        <f t="shared" si="10"/>
        <v>1244997</v>
      </c>
      <c r="H111" s="164">
        <f t="shared" si="11"/>
        <v>0</v>
      </c>
      <c r="I111" s="164">
        <f t="shared" si="12"/>
        <v>0</v>
      </c>
      <c r="J111" s="166">
        <f t="shared" si="13"/>
        <v>0</v>
      </c>
      <c r="K111" s="166">
        <f t="shared" si="14"/>
        <v>373499.1</v>
      </c>
    </row>
    <row r="112" spans="1:11" ht="18.75" customHeight="1">
      <c r="A112" s="98" t="s">
        <v>426</v>
      </c>
      <c r="B112" s="102" t="s">
        <v>63</v>
      </c>
      <c r="C112" s="100">
        <v>43887</v>
      </c>
      <c r="D112" s="101">
        <v>0</v>
      </c>
      <c r="E112" s="164">
        <f t="shared" si="8"/>
        <v>10.3</v>
      </c>
      <c r="F112" s="164">
        <f t="shared" si="9"/>
        <v>0</v>
      </c>
      <c r="G112" s="164">
        <f t="shared" si="10"/>
        <v>0</v>
      </c>
      <c r="H112" s="164">
        <f t="shared" si="11"/>
        <v>0</v>
      </c>
      <c r="I112" s="164">
        <f t="shared" si="12"/>
        <v>0</v>
      </c>
      <c r="J112" s="166">
        <f t="shared" si="13"/>
        <v>0</v>
      </c>
      <c r="K112" s="166">
        <f t="shared" si="14"/>
        <v>0</v>
      </c>
    </row>
    <row r="113" spans="1:11" ht="18.75" customHeight="1">
      <c r="A113" s="98" t="s">
        <v>426</v>
      </c>
      <c r="B113" s="102" t="s">
        <v>63</v>
      </c>
      <c r="C113" s="100">
        <v>43887</v>
      </c>
      <c r="D113" s="101">
        <v>0</v>
      </c>
      <c r="E113" s="164">
        <f t="shared" si="8"/>
        <v>10.3</v>
      </c>
      <c r="F113" s="164">
        <f t="shared" si="9"/>
        <v>0</v>
      </c>
      <c r="G113" s="164">
        <f t="shared" si="10"/>
        <v>0</v>
      </c>
      <c r="H113" s="164">
        <f t="shared" si="11"/>
        <v>0</v>
      </c>
      <c r="I113" s="164">
        <f t="shared" si="12"/>
        <v>0</v>
      </c>
      <c r="J113" s="166">
        <f t="shared" si="13"/>
        <v>0</v>
      </c>
      <c r="K113" s="166">
        <f t="shared" si="14"/>
        <v>0</v>
      </c>
    </row>
    <row r="114" spans="1:11" ht="18.75" customHeight="1">
      <c r="A114" s="98" t="s">
        <v>426</v>
      </c>
      <c r="B114" s="102" t="s">
        <v>99</v>
      </c>
      <c r="C114" s="100">
        <v>43892</v>
      </c>
      <c r="D114" s="101">
        <v>2053500</v>
      </c>
      <c r="E114" s="164">
        <f t="shared" si="8"/>
        <v>10.133333333333333</v>
      </c>
      <c r="F114" s="164">
        <f t="shared" si="9"/>
        <v>0</v>
      </c>
      <c r="G114" s="164">
        <f t="shared" si="10"/>
        <v>2053500</v>
      </c>
      <c r="H114" s="164">
        <f t="shared" si="11"/>
        <v>0</v>
      </c>
      <c r="I114" s="164">
        <f t="shared" si="12"/>
        <v>0</v>
      </c>
      <c r="J114" s="166">
        <f t="shared" si="13"/>
        <v>0</v>
      </c>
      <c r="K114" s="166">
        <f t="shared" si="14"/>
        <v>616050</v>
      </c>
    </row>
    <row r="115" spans="1:11" ht="18.75" customHeight="1">
      <c r="A115" s="98" t="s">
        <v>426</v>
      </c>
      <c r="B115" s="102" t="s">
        <v>99</v>
      </c>
      <c r="C115" s="100">
        <v>43892</v>
      </c>
      <c r="D115" s="101">
        <v>205350</v>
      </c>
      <c r="E115" s="164">
        <f t="shared" si="8"/>
        <v>10.133333333333333</v>
      </c>
      <c r="F115" s="164">
        <f t="shared" si="9"/>
        <v>0</v>
      </c>
      <c r="G115" s="164">
        <f t="shared" si="10"/>
        <v>205350</v>
      </c>
      <c r="H115" s="164">
        <f t="shared" si="11"/>
        <v>0</v>
      </c>
      <c r="I115" s="164">
        <f t="shared" si="12"/>
        <v>0</v>
      </c>
      <c r="J115" s="166">
        <f t="shared" si="13"/>
        <v>0</v>
      </c>
      <c r="K115" s="166">
        <f t="shared" si="14"/>
        <v>61605</v>
      </c>
    </row>
    <row r="116" spans="1:11" ht="18.75" customHeight="1">
      <c r="A116" s="98" t="s">
        <v>426</v>
      </c>
      <c r="B116" s="102" t="s">
        <v>499</v>
      </c>
      <c r="C116" s="100">
        <v>43916</v>
      </c>
      <c r="D116" s="101">
        <v>0</v>
      </c>
      <c r="E116" s="164">
        <f t="shared" si="8"/>
        <v>9.3333333333333339</v>
      </c>
      <c r="F116" s="164">
        <f t="shared" si="9"/>
        <v>0</v>
      </c>
      <c r="G116" s="164">
        <f t="shared" si="10"/>
        <v>0</v>
      </c>
      <c r="H116" s="164">
        <f t="shared" si="11"/>
        <v>0</v>
      </c>
      <c r="I116" s="164">
        <f t="shared" si="12"/>
        <v>0</v>
      </c>
      <c r="J116" s="166">
        <f t="shared" si="13"/>
        <v>0</v>
      </c>
      <c r="K116" s="166">
        <f t="shared" si="14"/>
        <v>0</v>
      </c>
    </row>
    <row r="117" spans="1:11" ht="18.75" customHeight="1">
      <c r="A117" s="98" t="s">
        <v>426</v>
      </c>
      <c r="B117" s="102" t="s">
        <v>430</v>
      </c>
      <c r="C117" s="100">
        <v>43956</v>
      </c>
      <c r="D117" s="101">
        <v>8027980</v>
      </c>
      <c r="E117" s="164">
        <f t="shared" si="8"/>
        <v>8</v>
      </c>
      <c r="F117" s="164">
        <f t="shared" si="9"/>
        <v>0</v>
      </c>
      <c r="G117" s="164">
        <f t="shared" si="10"/>
        <v>8027980</v>
      </c>
      <c r="H117" s="164">
        <f t="shared" si="11"/>
        <v>0</v>
      </c>
      <c r="I117" s="164">
        <f t="shared" si="12"/>
        <v>0</v>
      </c>
      <c r="J117" s="166">
        <f t="shared" si="13"/>
        <v>0</v>
      </c>
      <c r="K117" s="166">
        <f t="shared" si="14"/>
        <v>2408394</v>
      </c>
    </row>
    <row r="118" spans="1:11" ht="18.75" customHeight="1">
      <c r="A118" s="98" t="s">
        <v>426</v>
      </c>
      <c r="B118" s="102" t="s">
        <v>430</v>
      </c>
      <c r="C118" s="100">
        <v>43956</v>
      </c>
      <c r="D118" s="101">
        <v>802798</v>
      </c>
      <c r="E118" s="164">
        <f t="shared" si="8"/>
        <v>8</v>
      </c>
      <c r="F118" s="164">
        <f t="shared" si="9"/>
        <v>0</v>
      </c>
      <c r="G118" s="164">
        <f t="shared" si="10"/>
        <v>802798</v>
      </c>
      <c r="H118" s="164">
        <f t="shared" si="11"/>
        <v>0</v>
      </c>
      <c r="I118" s="164">
        <f t="shared" si="12"/>
        <v>0</v>
      </c>
      <c r="J118" s="166">
        <f t="shared" si="13"/>
        <v>0</v>
      </c>
      <c r="K118" s="166">
        <f t="shared" si="14"/>
        <v>240839.4</v>
      </c>
    </row>
    <row r="119" spans="1:11" ht="18.75" customHeight="1">
      <c r="A119" s="98" t="s">
        <v>426</v>
      </c>
      <c r="B119" s="102" t="s">
        <v>99</v>
      </c>
      <c r="C119" s="100">
        <v>43979</v>
      </c>
      <c r="D119" s="101">
        <v>0</v>
      </c>
      <c r="E119" s="164">
        <f t="shared" si="8"/>
        <v>7.2333333333333334</v>
      </c>
      <c r="F119" s="164">
        <f t="shared" si="9"/>
        <v>0</v>
      </c>
      <c r="G119" s="164">
        <f t="shared" si="10"/>
        <v>0</v>
      </c>
      <c r="H119" s="164">
        <f t="shared" si="11"/>
        <v>0</v>
      </c>
      <c r="I119" s="164">
        <f t="shared" si="12"/>
        <v>0</v>
      </c>
      <c r="J119" s="166">
        <f t="shared" si="13"/>
        <v>0</v>
      </c>
      <c r="K119" s="166">
        <f t="shared" si="14"/>
        <v>0</v>
      </c>
    </row>
    <row r="120" spans="1:11" ht="18.75" customHeight="1">
      <c r="A120" s="98" t="s">
        <v>426</v>
      </c>
      <c r="B120" s="102" t="s">
        <v>500</v>
      </c>
      <c r="C120" s="100">
        <v>44067</v>
      </c>
      <c r="D120" s="101">
        <v>13298616</v>
      </c>
      <c r="E120" s="164">
        <f t="shared" si="8"/>
        <v>4.3</v>
      </c>
      <c r="F120" s="164">
        <f t="shared" si="9"/>
        <v>13298616</v>
      </c>
      <c r="G120" s="164">
        <f t="shared" si="10"/>
        <v>0</v>
      </c>
      <c r="H120" s="164">
        <f t="shared" si="11"/>
        <v>0</v>
      </c>
      <c r="I120" s="164">
        <f t="shared" si="12"/>
        <v>0</v>
      </c>
      <c r="J120" s="166">
        <f t="shared" si="13"/>
        <v>0</v>
      </c>
      <c r="K120" s="166">
        <f t="shared" si="14"/>
        <v>0</v>
      </c>
    </row>
    <row r="121" spans="1:11" ht="18.75" customHeight="1">
      <c r="A121" s="98" t="s">
        <v>426</v>
      </c>
      <c r="B121" s="102" t="s">
        <v>500</v>
      </c>
      <c r="C121" s="100">
        <v>44067</v>
      </c>
      <c r="D121" s="101">
        <v>1329862</v>
      </c>
      <c r="E121" s="164">
        <f t="shared" si="8"/>
        <v>4.3</v>
      </c>
      <c r="F121" s="164">
        <f t="shared" si="9"/>
        <v>1329862</v>
      </c>
      <c r="G121" s="164">
        <f t="shared" si="10"/>
        <v>0</v>
      </c>
      <c r="H121" s="164">
        <f t="shared" si="11"/>
        <v>0</v>
      </c>
      <c r="I121" s="164">
        <f t="shared" si="12"/>
        <v>0</v>
      </c>
      <c r="J121" s="166">
        <f t="shared" si="13"/>
        <v>0</v>
      </c>
      <c r="K121" s="166">
        <f t="shared" si="14"/>
        <v>0</v>
      </c>
    </row>
    <row r="122" spans="1:11" ht="18.75" customHeight="1">
      <c r="A122" s="98" t="s">
        <v>426</v>
      </c>
      <c r="B122" s="102" t="s">
        <v>435</v>
      </c>
      <c r="C122" s="100">
        <v>44165</v>
      </c>
      <c r="D122" s="101">
        <v>41935816</v>
      </c>
      <c r="E122" s="164">
        <f t="shared" si="8"/>
        <v>1.0333333333333334</v>
      </c>
      <c r="F122" s="164">
        <f t="shared" si="9"/>
        <v>41935816</v>
      </c>
      <c r="G122" s="164">
        <f t="shared" si="10"/>
        <v>0</v>
      </c>
      <c r="H122" s="164">
        <f t="shared" si="11"/>
        <v>0</v>
      </c>
      <c r="I122" s="164">
        <f t="shared" si="12"/>
        <v>0</v>
      </c>
      <c r="J122" s="166">
        <f t="shared" si="13"/>
        <v>0</v>
      </c>
      <c r="K122" s="166">
        <f t="shared" si="14"/>
        <v>0</v>
      </c>
    </row>
    <row r="123" spans="1:11" ht="18.75" customHeight="1">
      <c r="A123" s="98" t="s">
        <v>426</v>
      </c>
      <c r="B123" s="102" t="s">
        <v>435</v>
      </c>
      <c r="C123" s="100">
        <v>44165</v>
      </c>
      <c r="D123" s="101">
        <v>4193582</v>
      </c>
      <c r="E123" s="164">
        <f t="shared" si="8"/>
        <v>1.0333333333333334</v>
      </c>
      <c r="F123" s="164">
        <f t="shared" si="9"/>
        <v>4193582</v>
      </c>
      <c r="G123" s="164">
        <f t="shared" si="10"/>
        <v>0</v>
      </c>
      <c r="H123" s="164">
        <f t="shared" si="11"/>
        <v>0</v>
      </c>
      <c r="I123" s="164">
        <f t="shared" si="12"/>
        <v>0</v>
      </c>
      <c r="J123" s="166">
        <f t="shared" si="13"/>
        <v>0</v>
      </c>
      <c r="K123" s="166">
        <f t="shared" si="14"/>
        <v>0</v>
      </c>
    </row>
    <row r="124" spans="1:11" ht="18.75" customHeight="1">
      <c r="A124" s="98" t="s">
        <v>426</v>
      </c>
      <c r="B124" s="102" t="s">
        <v>436</v>
      </c>
      <c r="C124" s="100">
        <v>44182</v>
      </c>
      <c r="D124" s="101">
        <v>15248000</v>
      </c>
      <c r="E124" s="164">
        <f t="shared" si="8"/>
        <v>0.46666666666666667</v>
      </c>
      <c r="F124" s="164">
        <f t="shared" si="9"/>
        <v>15248000</v>
      </c>
      <c r="G124" s="164">
        <f t="shared" si="10"/>
        <v>0</v>
      </c>
      <c r="H124" s="164">
        <f t="shared" si="11"/>
        <v>0</v>
      </c>
      <c r="I124" s="164">
        <f t="shared" si="12"/>
        <v>0</v>
      </c>
      <c r="J124" s="166">
        <f t="shared" si="13"/>
        <v>0</v>
      </c>
      <c r="K124" s="166">
        <f t="shared" si="14"/>
        <v>0</v>
      </c>
    </row>
    <row r="125" spans="1:11" ht="18.75" customHeight="1">
      <c r="A125" s="98" t="s">
        <v>426</v>
      </c>
      <c r="B125" s="102" t="s">
        <v>436</v>
      </c>
      <c r="C125" s="100">
        <v>44182</v>
      </c>
      <c r="D125" s="101">
        <v>1524800</v>
      </c>
      <c r="E125" s="164">
        <f t="shared" si="8"/>
        <v>0.46666666666666667</v>
      </c>
      <c r="F125" s="164">
        <f t="shared" si="9"/>
        <v>1524800</v>
      </c>
      <c r="G125" s="164">
        <f t="shared" si="10"/>
        <v>0</v>
      </c>
      <c r="H125" s="164">
        <f t="shared" si="11"/>
        <v>0</v>
      </c>
      <c r="I125" s="164">
        <f t="shared" si="12"/>
        <v>0</v>
      </c>
      <c r="J125" s="166">
        <f t="shared" si="13"/>
        <v>0</v>
      </c>
      <c r="K125" s="166">
        <f t="shared" si="14"/>
        <v>0</v>
      </c>
    </row>
    <row r="126" spans="1:11" ht="18.75" customHeight="1">
      <c r="A126" s="98" t="s">
        <v>501</v>
      </c>
      <c r="B126" s="102" t="s">
        <v>390</v>
      </c>
      <c r="C126" s="100">
        <v>44194</v>
      </c>
      <c r="D126" s="101">
        <v>84106105</v>
      </c>
      <c r="E126" s="164">
        <f t="shared" si="8"/>
        <v>6.6666666666666666E-2</v>
      </c>
      <c r="F126" s="164">
        <f t="shared" si="9"/>
        <v>84106105</v>
      </c>
      <c r="G126" s="164">
        <f t="shared" si="10"/>
        <v>0</v>
      </c>
      <c r="H126" s="164">
        <f t="shared" si="11"/>
        <v>0</v>
      </c>
      <c r="I126" s="164">
        <f t="shared" si="12"/>
        <v>0</v>
      </c>
      <c r="J126" s="166">
        <f t="shared" si="13"/>
        <v>0</v>
      </c>
      <c r="K126" s="166">
        <f t="shared" si="14"/>
        <v>0</v>
      </c>
    </row>
    <row r="127" spans="1:11" ht="18.75" customHeight="1">
      <c r="A127" s="98" t="s">
        <v>501</v>
      </c>
      <c r="B127" s="102" t="s">
        <v>390</v>
      </c>
      <c r="C127" s="100">
        <v>44194</v>
      </c>
      <c r="D127" s="101">
        <v>8410611</v>
      </c>
      <c r="E127" s="164">
        <f t="shared" si="8"/>
        <v>6.6666666666666666E-2</v>
      </c>
      <c r="F127" s="164">
        <f t="shared" si="9"/>
        <v>8410611</v>
      </c>
      <c r="G127" s="164">
        <f t="shared" si="10"/>
        <v>0</v>
      </c>
      <c r="H127" s="164">
        <f t="shared" si="11"/>
        <v>0</v>
      </c>
      <c r="I127" s="164">
        <f t="shared" si="12"/>
        <v>0</v>
      </c>
      <c r="J127" s="166">
        <f t="shared" si="13"/>
        <v>0</v>
      </c>
      <c r="K127" s="166">
        <f t="shared" si="14"/>
        <v>0</v>
      </c>
    </row>
    <row r="128" spans="1:11" ht="18.75" customHeight="1">
      <c r="A128" s="98" t="s">
        <v>502</v>
      </c>
      <c r="B128" s="102" t="s">
        <v>503</v>
      </c>
      <c r="C128" s="100">
        <v>44145</v>
      </c>
      <c r="D128" s="101">
        <v>32200</v>
      </c>
      <c r="E128" s="164">
        <f t="shared" si="8"/>
        <v>1.7</v>
      </c>
      <c r="F128" s="164">
        <f t="shared" si="9"/>
        <v>32200</v>
      </c>
      <c r="G128" s="164">
        <f t="shared" si="10"/>
        <v>0</v>
      </c>
      <c r="H128" s="164">
        <f t="shared" si="11"/>
        <v>0</v>
      </c>
      <c r="I128" s="164">
        <f t="shared" si="12"/>
        <v>0</v>
      </c>
      <c r="J128" s="166">
        <f t="shared" si="13"/>
        <v>0</v>
      </c>
      <c r="K128" s="166">
        <f t="shared" si="14"/>
        <v>0</v>
      </c>
    </row>
    <row r="129" spans="1:11" ht="18.75" customHeight="1">
      <c r="A129" s="98" t="s">
        <v>502</v>
      </c>
      <c r="B129" s="102" t="s">
        <v>503</v>
      </c>
      <c r="C129" s="100">
        <v>44145</v>
      </c>
      <c r="D129" s="101">
        <v>3220</v>
      </c>
      <c r="E129" s="164">
        <f t="shared" si="8"/>
        <v>1.7</v>
      </c>
      <c r="F129" s="164">
        <f t="shared" si="9"/>
        <v>3220</v>
      </c>
      <c r="G129" s="164">
        <f t="shared" si="10"/>
        <v>0</v>
      </c>
      <c r="H129" s="164">
        <f t="shared" si="11"/>
        <v>0</v>
      </c>
      <c r="I129" s="164">
        <f t="shared" si="12"/>
        <v>0</v>
      </c>
      <c r="J129" s="166">
        <f t="shared" si="13"/>
        <v>0</v>
      </c>
      <c r="K129" s="166">
        <f t="shared" si="14"/>
        <v>0</v>
      </c>
    </row>
    <row r="130" spans="1:11" ht="18.75" customHeight="1">
      <c r="A130" s="98" t="s">
        <v>502</v>
      </c>
      <c r="B130" s="102" t="s">
        <v>504</v>
      </c>
      <c r="C130" s="100">
        <v>44155</v>
      </c>
      <c r="D130" s="101">
        <v>10264400</v>
      </c>
      <c r="E130" s="164">
        <f t="shared" si="8"/>
        <v>1.3666666666666667</v>
      </c>
      <c r="F130" s="164">
        <f t="shared" si="9"/>
        <v>10264400</v>
      </c>
      <c r="G130" s="164">
        <f t="shared" si="10"/>
        <v>0</v>
      </c>
      <c r="H130" s="164">
        <f t="shared" si="11"/>
        <v>0</v>
      </c>
      <c r="I130" s="164">
        <f t="shared" si="12"/>
        <v>0</v>
      </c>
      <c r="J130" s="166">
        <f t="shared" si="13"/>
        <v>0</v>
      </c>
      <c r="K130" s="166">
        <f t="shared" si="14"/>
        <v>0</v>
      </c>
    </row>
    <row r="131" spans="1:11" ht="18.75" customHeight="1">
      <c r="A131" s="98" t="s">
        <v>502</v>
      </c>
      <c r="B131" s="102" t="s">
        <v>504</v>
      </c>
      <c r="C131" s="100">
        <v>44155</v>
      </c>
      <c r="D131" s="101">
        <v>1026440</v>
      </c>
      <c r="E131" s="164">
        <f t="shared" si="8"/>
        <v>1.3666666666666667</v>
      </c>
      <c r="F131" s="164">
        <f t="shared" si="9"/>
        <v>1026440</v>
      </c>
      <c r="G131" s="164">
        <f t="shared" si="10"/>
        <v>0</v>
      </c>
      <c r="H131" s="164">
        <f t="shared" si="11"/>
        <v>0</v>
      </c>
      <c r="I131" s="164">
        <f t="shared" si="12"/>
        <v>0</v>
      </c>
      <c r="J131" s="166">
        <f t="shared" si="13"/>
        <v>0</v>
      </c>
      <c r="K131" s="166">
        <f t="shared" si="14"/>
        <v>0</v>
      </c>
    </row>
    <row r="132" spans="1:11" ht="18.75" customHeight="1">
      <c r="A132" s="98" t="s">
        <v>502</v>
      </c>
      <c r="B132" s="102" t="s">
        <v>505</v>
      </c>
      <c r="C132" s="100">
        <v>44169</v>
      </c>
      <c r="D132" s="101">
        <v>23165120</v>
      </c>
      <c r="E132" s="164">
        <f t="shared" si="8"/>
        <v>0.9</v>
      </c>
      <c r="F132" s="164">
        <f t="shared" si="9"/>
        <v>23165120</v>
      </c>
      <c r="G132" s="164">
        <f t="shared" si="10"/>
        <v>0</v>
      </c>
      <c r="H132" s="164">
        <f t="shared" si="11"/>
        <v>0</v>
      </c>
      <c r="I132" s="164">
        <f t="shared" si="12"/>
        <v>0</v>
      </c>
      <c r="J132" s="166">
        <f t="shared" si="13"/>
        <v>0</v>
      </c>
      <c r="K132" s="166">
        <f t="shared" si="14"/>
        <v>0</v>
      </c>
    </row>
    <row r="133" spans="1:11" ht="18.75" customHeight="1">
      <c r="A133" s="98" t="s">
        <v>502</v>
      </c>
      <c r="B133" s="102" t="s">
        <v>505</v>
      </c>
      <c r="C133" s="100">
        <v>44169</v>
      </c>
      <c r="D133" s="101">
        <v>2316512</v>
      </c>
      <c r="E133" s="164">
        <f t="shared" si="8"/>
        <v>0.9</v>
      </c>
      <c r="F133" s="164">
        <f t="shared" si="9"/>
        <v>2316512</v>
      </c>
      <c r="G133" s="164">
        <f t="shared" si="10"/>
        <v>0</v>
      </c>
      <c r="H133" s="164">
        <f t="shared" si="11"/>
        <v>0</v>
      </c>
      <c r="I133" s="164">
        <f t="shared" si="12"/>
        <v>0</v>
      </c>
      <c r="J133" s="166">
        <f t="shared" si="13"/>
        <v>0</v>
      </c>
      <c r="K133" s="166">
        <f t="shared" si="14"/>
        <v>0</v>
      </c>
    </row>
    <row r="134" spans="1:11" ht="18.75" customHeight="1">
      <c r="A134" s="98" t="s">
        <v>502</v>
      </c>
      <c r="B134" s="102" t="s">
        <v>506</v>
      </c>
      <c r="C134" s="100">
        <v>44170</v>
      </c>
      <c r="D134" s="101">
        <v>33694720</v>
      </c>
      <c r="E134" s="164">
        <f t="shared" ref="E134:E197" si="15">($C$1-C134)/30</f>
        <v>0.8666666666666667</v>
      </c>
      <c r="F134" s="164">
        <f t="shared" ref="F134:F197" si="16">IF(E134&lt;6,D134,0)</f>
        <v>33694720</v>
      </c>
      <c r="G134" s="164">
        <f t="shared" ref="G134:G197" si="17">IF(AND(E134&gt;=6,E134&lt;12),D134,0)</f>
        <v>0</v>
      </c>
      <c r="H134" s="164">
        <f t="shared" ref="H134:H197" si="18">IF(AND(E134&gt;=12,E134&lt;24),D134,0)</f>
        <v>0</v>
      </c>
      <c r="I134" s="164">
        <f t="shared" ref="I134:I197" si="19">IF(AND(E134&gt;=24,E134&lt;36),D134,0)</f>
        <v>0</v>
      </c>
      <c r="J134" s="166">
        <f t="shared" ref="J134:J197" si="20">IF(E134&gt;=36,D134,0)</f>
        <v>0</v>
      </c>
      <c r="K134" s="166">
        <f t="shared" si="14"/>
        <v>0</v>
      </c>
    </row>
    <row r="135" spans="1:11" ht="18.75" customHeight="1">
      <c r="A135" s="98" t="s">
        <v>502</v>
      </c>
      <c r="B135" s="102" t="s">
        <v>506</v>
      </c>
      <c r="C135" s="100">
        <v>44170</v>
      </c>
      <c r="D135" s="101">
        <v>3369472</v>
      </c>
      <c r="E135" s="164">
        <f t="shared" si="15"/>
        <v>0.8666666666666667</v>
      </c>
      <c r="F135" s="164">
        <f t="shared" si="16"/>
        <v>3369472</v>
      </c>
      <c r="G135" s="164">
        <f t="shared" si="17"/>
        <v>0</v>
      </c>
      <c r="H135" s="164">
        <f t="shared" si="18"/>
        <v>0</v>
      </c>
      <c r="I135" s="164">
        <f t="shared" si="19"/>
        <v>0</v>
      </c>
      <c r="J135" s="166">
        <f t="shared" si="20"/>
        <v>0</v>
      </c>
      <c r="K135" s="166">
        <f t="shared" si="14"/>
        <v>0</v>
      </c>
    </row>
    <row r="136" spans="1:11" ht="18.75" customHeight="1">
      <c r="A136" s="98" t="s">
        <v>502</v>
      </c>
      <c r="B136" s="102" t="s">
        <v>507</v>
      </c>
      <c r="C136" s="100">
        <v>44179</v>
      </c>
      <c r="D136" s="101">
        <v>3181720</v>
      </c>
      <c r="E136" s="164">
        <f t="shared" si="15"/>
        <v>0.56666666666666665</v>
      </c>
      <c r="F136" s="164">
        <f t="shared" si="16"/>
        <v>3181720</v>
      </c>
      <c r="G136" s="164">
        <f t="shared" si="17"/>
        <v>0</v>
      </c>
      <c r="H136" s="164">
        <f t="shared" si="18"/>
        <v>0</v>
      </c>
      <c r="I136" s="164">
        <f t="shared" si="19"/>
        <v>0</v>
      </c>
      <c r="J136" s="166">
        <f t="shared" si="20"/>
        <v>0</v>
      </c>
      <c r="K136" s="166">
        <f t="shared" si="14"/>
        <v>0</v>
      </c>
    </row>
    <row r="137" spans="1:11" ht="18.75" customHeight="1">
      <c r="A137" s="98" t="s">
        <v>502</v>
      </c>
      <c r="B137" s="102" t="s">
        <v>507</v>
      </c>
      <c r="C137" s="100">
        <v>44179</v>
      </c>
      <c r="D137" s="101">
        <v>318172</v>
      </c>
      <c r="E137" s="164">
        <f t="shared" si="15"/>
        <v>0.56666666666666665</v>
      </c>
      <c r="F137" s="164">
        <f t="shared" si="16"/>
        <v>318172</v>
      </c>
      <c r="G137" s="164">
        <f t="shared" si="17"/>
        <v>0</v>
      </c>
      <c r="H137" s="164">
        <f t="shared" si="18"/>
        <v>0</v>
      </c>
      <c r="I137" s="164">
        <f t="shared" si="19"/>
        <v>0</v>
      </c>
      <c r="J137" s="166">
        <f t="shared" si="20"/>
        <v>0</v>
      </c>
      <c r="K137" s="166">
        <f t="shared" ref="K137:K200" si="21">F137*$F$4+G137*$G$4+H137*$H$4+I137*$I$4+J137*$J$4</f>
        <v>0</v>
      </c>
    </row>
    <row r="138" spans="1:11" ht="18.75" customHeight="1">
      <c r="A138" s="98" t="s">
        <v>508</v>
      </c>
      <c r="B138" s="102" t="s">
        <v>509</v>
      </c>
      <c r="C138" s="100">
        <v>44163</v>
      </c>
      <c r="D138" s="101">
        <v>8240000</v>
      </c>
      <c r="E138" s="164">
        <f t="shared" si="15"/>
        <v>1.1000000000000001</v>
      </c>
      <c r="F138" s="164">
        <f t="shared" si="16"/>
        <v>8240000</v>
      </c>
      <c r="G138" s="164">
        <f t="shared" si="17"/>
        <v>0</v>
      </c>
      <c r="H138" s="164">
        <f t="shared" si="18"/>
        <v>0</v>
      </c>
      <c r="I138" s="164">
        <f t="shared" si="19"/>
        <v>0</v>
      </c>
      <c r="J138" s="166">
        <f t="shared" si="20"/>
        <v>0</v>
      </c>
      <c r="K138" s="166">
        <f t="shared" si="21"/>
        <v>0</v>
      </c>
    </row>
    <row r="139" spans="1:11" ht="18.75" customHeight="1">
      <c r="A139" s="98" t="s">
        <v>508</v>
      </c>
      <c r="B139" s="102" t="s">
        <v>509</v>
      </c>
      <c r="C139" s="100">
        <v>44163</v>
      </c>
      <c r="D139" s="101">
        <v>824000</v>
      </c>
      <c r="E139" s="164">
        <f t="shared" si="15"/>
        <v>1.1000000000000001</v>
      </c>
      <c r="F139" s="164">
        <f t="shared" si="16"/>
        <v>824000</v>
      </c>
      <c r="G139" s="164">
        <f t="shared" si="17"/>
        <v>0</v>
      </c>
      <c r="H139" s="164">
        <f t="shared" si="18"/>
        <v>0</v>
      </c>
      <c r="I139" s="164">
        <f t="shared" si="19"/>
        <v>0</v>
      </c>
      <c r="J139" s="166">
        <f t="shared" si="20"/>
        <v>0</v>
      </c>
      <c r="K139" s="166">
        <f t="shared" si="21"/>
        <v>0</v>
      </c>
    </row>
    <row r="140" spans="1:11" ht="18.75" customHeight="1">
      <c r="A140" s="98" t="s">
        <v>508</v>
      </c>
      <c r="B140" s="102" t="s">
        <v>389</v>
      </c>
      <c r="C140" s="100">
        <v>44190</v>
      </c>
      <c r="D140" s="101">
        <v>57600000</v>
      </c>
      <c r="E140" s="164">
        <f t="shared" si="15"/>
        <v>0.2</v>
      </c>
      <c r="F140" s="164">
        <f t="shared" si="16"/>
        <v>57600000</v>
      </c>
      <c r="G140" s="164">
        <f t="shared" si="17"/>
        <v>0</v>
      </c>
      <c r="H140" s="164">
        <f t="shared" si="18"/>
        <v>0</v>
      </c>
      <c r="I140" s="164">
        <f t="shared" si="19"/>
        <v>0</v>
      </c>
      <c r="J140" s="166">
        <f t="shared" si="20"/>
        <v>0</v>
      </c>
      <c r="K140" s="166">
        <f t="shared" si="21"/>
        <v>0</v>
      </c>
    </row>
    <row r="141" spans="1:11" ht="18.75" customHeight="1">
      <c r="A141" s="98" t="s">
        <v>508</v>
      </c>
      <c r="B141" s="102" t="s">
        <v>389</v>
      </c>
      <c r="C141" s="100">
        <v>44190</v>
      </c>
      <c r="D141" s="101">
        <v>5760000</v>
      </c>
      <c r="E141" s="164">
        <f t="shared" si="15"/>
        <v>0.2</v>
      </c>
      <c r="F141" s="164">
        <f t="shared" si="16"/>
        <v>5760000</v>
      </c>
      <c r="G141" s="164">
        <f t="shared" si="17"/>
        <v>0</v>
      </c>
      <c r="H141" s="164">
        <f t="shared" si="18"/>
        <v>0</v>
      </c>
      <c r="I141" s="164">
        <f t="shared" si="19"/>
        <v>0</v>
      </c>
      <c r="J141" s="166">
        <f t="shared" si="20"/>
        <v>0</v>
      </c>
      <c r="K141" s="166">
        <f t="shared" si="21"/>
        <v>0</v>
      </c>
    </row>
    <row r="142" spans="1:11" ht="18.75" customHeight="1">
      <c r="A142" s="98" t="s">
        <v>510</v>
      </c>
      <c r="B142" s="102" t="s">
        <v>511</v>
      </c>
      <c r="C142" s="100">
        <v>44163</v>
      </c>
      <c r="D142" s="101">
        <v>46333489</v>
      </c>
      <c r="E142" s="164">
        <f t="shared" si="15"/>
        <v>1.1000000000000001</v>
      </c>
      <c r="F142" s="164">
        <f t="shared" si="16"/>
        <v>46333489</v>
      </c>
      <c r="G142" s="164">
        <f t="shared" si="17"/>
        <v>0</v>
      </c>
      <c r="H142" s="164">
        <f t="shared" si="18"/>
        <v>0</v>
      </c>
      <c r="I142" s="164">
        <f t="shared" si="19"/>
        <v>0</v>
      </c>
      <c r="J142" s="166">
        <f t="shared" si="20"/>
        <v>0</v>
      </c>
      <c r="K142" s="166">
        <f t="shared" si="21"/>
        <v>0</v>
      </c>
    </row>
    <row r="143" spans="1:11" ht="18.75" customHeight="1">
      <c r="A143" s="98" t="s">
        <v>510</v>
      </c>
      <c r="B143" s="102" t="s">
        <v>511</v>
      </c>
      <c r="C143" s="100">
        <v>44163</v>
      </c>
      <c r="D143" s="101">
        <v>4633349</v>
      </c>
      <c r="E143" s="164">
        <f t="shared" si="15"/>
        <v>1.1000000000000001</v>
      </c>
      <c r="F143" s="164">
        <f t="shared" si="16"/>
        <v>4633349</v>
      </c>
      <c r="G143" s="164">
        <f t="shared" si="17"/>
        <v>0</v>
      </c>
      <c r="H143" s="164">
        <f t="shared" si="18"/>
        <v>0</v>
      </c>
      <c r="I143" s="164">
        <f t="shared" si="19"/>
        <v>0</v>
      </c>
      <c r="J143" s="166">
        <f t="shared" si="20"/>
        <v>0</v>
      </c>
      <c r="K143" s="166">
        <f t="shared" si="21"/>
        <v>0</v>
      </c>
    </row>
    <row r="144" spans="1:11" ht="18.75" customHeight="1">
      <c r="A144" s="98" t="s">
        <v>510</v>
      </c>
      <c r="B144" s="102" t="s">
        <v>512</v>
      </c>
      <c r="C144" s="100">
        <v>44193</v>
      </c>
      <c r="D144" s="101">
        <v>13510609</v>
      </c>
      <c r="E144" s="164">
        <f t="shared" si="15"/>
        <v>0.1</v>
      </c>
      <c r="F144" s="164">
        <f t="shared" si="16"/>
        <v>13510609</v>
      </c>
      <c r="G144" s="164">
        <f t="shared" si="17"/>
        <v>0</v>
      </c>
      <c r="H144" s="164">
        <f t="shared" si="18"/>
        <v>0</v>
      </c>
      <c r="I144" s="164">
        <f t="shared" si="19"/>
        <v>0</v>
      </c>
      <c r="J144" s="166">
        <f t="shared" si="20"/>
        <v>0</v>
      </c>
      <c r="K144" s="166">
        <f t="shared" si="21"/>
        <v>0</v>
      </c>
    </row>
    <row r="145" spans="1:11" ht="18.75" customHeight="1">
      <c r="A145" s="98" t="s">
        <v>510</v>
      </c>
      <c r="B145" s="102" t="s">
        <v>512</v>
      </c>
      <c r="C145" s="100">
        <v>44193</v>
      </c>
      <c r="D145" s="101">
        <v>1351061</v>
      </c>
      <c r="E145" s="164">
        <f t="shared" si="15"/>
        <v>0.1</v>
      </c>
      <c r="F145" s="164">
        <f t="shared" si="16"/>
        <v>1351061</v>
      </c>
      <c r="G145" s="164">
        <f t="shared" si="17"/>
        <v>0</v>
      </c>
      <c r="H145" s="164">
        <f t="shared" si="18"/>
        <v>0</v>
      </c>
      <c r="I145" s="164">
        <f t="shared" si="19"/>
        <v>0</v>
      </c>
      <c r="J145" s="166">
        <f t="shared" si="20"/>
        <v>0</v>
      </c>
      <c r="K145" s="166">
        <f t="shared" si="21"/>
        <v>0</v>
      </c>
    </row>
    <row r="146" spans="1:11" ht="18.75" customHeight="1">
      <c r="A146" s="98" t="s">
        <v>513</v>
      </c>
      <c r="B146" s="102" t="s">
        <v>514</v>
      </c>
      <c r="C146" s="100">
        <v>44161</v>
      </c>
      <c r="D146" s="101">
        <v>48027200</v>
      </c>
      <c r="E146" s="164">
        <f t="shared" si="15"/>
        <v>1.1666666666666667</v>
      </c>
      <c r="F146" s="164">
        <f t="shared" si="16"/>
        <v>48027200</v>
      </c>
      <c r="G146" s="164">
        <f t="shared" si="17"/>
        <v>0</v>
      </c>
      <c r="H146" s="164">
        <f t="shared" si="18"/>
        <v>0</v>
      </c>
      <c r="I146" s="164">
        <f t="shared" si="19"/>
        <v>0</v>
      </c>
      <c r="J146" s="166">
        <f t="shared" si="20"/>
        <v>0</v>
      </c>
      <c r="K146" s="166">
        <f t="shared" si="21"/>
        <v>0</v>
      </c>
    </row>
    <row r="147" spans="1:11" ht="18.75" customHeight="1">
      <c r="A147" s="98" t="s">
        <v>513</v>
      </c>
      <c r="B147" s="102" t="s">
        <v>514</v>
      </c>
      <c r="C147" s="100">
        <v>44161</v>
      </c>
      <c r="D147" s="101">
        <v>4802720</v>
      </c>
      <c r="E147" s="164">
        <f t="shared" si="15"/>
        <v>1.1666666666666667</v>
      </c>
      <c r="F147" s="164">
        <f t="shared" si="16"/>
        <v>4802720</v>
      </c>
      <c r="G147" s="164">
        <f t="shared" si="17"/>
        <v>0</v>
      </c>
      <c r="H147" s="164">
        <f t="shared" si="18"/>
        <v>0</v>
      </c>
      <c r="I147" s="164">
        <f t="shared" si="19"/>
        <v>0</v>
      </c>
      <c r="J147" s="166">
        <f t="shared" si="20"/>
        <v>0</v>
      </c>
      <c r="K147" s="166">
        <f t="shared" si="21"/>
        <v>0</v>
      </c>
    </row>
    <row r="148" spans="1:11" ht="18.75" customHeight="1">
      <c r="A148" s="98" t="s">
        <v>513</v>
      </c>
      <c r="B148" s="102" t="s">
        <v>395</v>
      </c>
      <c r="C148" s="100">
        <v>44194</v>
      </c>
      <c r="D148" s="101">
        <v>11044800</v>
      </c>
      <c r="E148" s="164">
        <f t="shared" si="15"/>
        <v>6.6666666666666666E-2</v>
      </c>
      <c r="F148" s="164">
        <f t="shared" si="16"/>
        <v>11044800</v>
      </c>
      <c r="G148" s="164">
        <f t="shared" si="17"/>
        <v>0</v>
      </c>
      <c r="H148" s="164">
        <f t="shared" si="18"/>
        <v>0</v>
      </c>
      <c r="I148" s="164">
        <f t="shared" si="19"/>
        <v>0</v>
      </c>
      <c r="J148" s="166">
        <f t="shared" si="20"/>
        <v>0</v>
      </c>
      <c r="K148" s="166">
        <f t="shared" si="21"/>
        <v>0</v>
      </c>
    </row>
    <row r="149" spans="1:11" ht="18.75" customHeight="1">
      <c r="A149" s="98" t="s">
        <v>513</v>
      </c>
      <c r="B149" s="102" t="s">
        <v>395</v>
      </c>
      <c r="C149" s="100">
        <v>44194</v>
      </c>
      <c r="D149" s="101">
        <v>1104480</v>
      </c>
      <c r="E149" s="164">
        <f t="shared" si="15"/>
        <v>6.6666666666666666E-2</v>
      </c>
      <c r="F149" s="164">
        <f t="shared" si="16"/>
        <v>1104480</v>
      </c>
      <c r="G149" s="164">
        <f t="shared" si="17"/>
        <v>0</v>
      </c>
      <c r="H149" s="164">
        <f t="shared" si="18"/>
        <v>0</v>
      </c>
      <c r="I149" s="164">
        <f t="shared" si="19"/>
        <v>0</v>
      </c>
      <c r="J149" s="166">
        <f t="shared" si="20"/>
        <v>0</v>
      </c>
      <c r="K149" s="166">
        <f t="shared" si="21"/>
        <v>0</v>
      </c>
    </row>
    <row r="150" spans="1:11" s="212" customFormat="1" ht="18.75" customHeight="1">
      <c r="A150" s="206" t="s">
        <v>515</v>
      </c>
      <c r="B150" s="207">
        <v>966</v>
      </c>
      <c r="C150" s="208">
        <v>43620</v>
      </c>
      <c r="D150" s="209">
        <v>57601406</v>
      </c>
      <c r="E150" s="210">
        <f t="shared" si="15"/>
        <v>19.2</v>
      </c>
      <c r="F150" s="210">
        <f t="shared" si="16"/>
        <v>0</v>
      </c>
      <c r="G150" s="210">
        <f t="shared" si="17"/>
        <v>0</v>
      </c>
      <c r="H150" s="210">
        <f t="shared" si="18"/>
        <v>57601406</v>
      </c>
      <c r="I150" s="210">
        <f t="shared" si="19"/>
        <v>0</v>
      </c>
      <c r="J150" s="211">
        <f t="shared" si="20"/>
        <v>0</v>
      </c>
      <c r="K150" s="211">
        <f t="shared" si="21"/>
        <v>28800703</v>
      </c>
    </row>
    <row r="151" spans="1:11" ht="18.75" customHeight="1">
      <c r="A151" s="98" t="s">
        <v>516</v>
      </c>
      <c r="B151" s="102" t="s">
        <v>517</v>
      </c>
      <c r="C151" s="100">
        <v>44165</v>
      </c>
      <c r="D151" s="101">
        <v>30668380</v>
      </c>
      <c r="E151" s="164">
        <f t="shared" si="15"/>
        <v>1.0333333333333334</v>
      </c>
      <c r="F151" s="164">
        <f t="shared" si="16"/>
        <v>30668380</v>
      </c>
      <c r="G151" s="164">
        <f t="shared" si="17"/>
        <v>0</v>
      </c>
      <c r="H151" s="164">
        <f t="shared" si="18"/>
        <v>0</v>
      </c>
      <c r="I151" s="164">
        <f t="shared" si="19"/>
        <v>0</v>
      </c>
      <c r="J151" s="166">
        <f t="shared" si="20"/>
        <v>0</v>
      </c>
      <c r="K151" s="166">
        <f t="shared" si="21"/>
        <v>0</v>
      </c>
    </row>
    <row r="152" spans="1:11" ht="18.75" customHeight="1">
      <c r="A152" s="98" t="s">
        <v>516</v>
      </c>
      <c r="B152" s="102" t="s">
        <v>517</v>
      </c>
      <c r="C152" s="100">
        <v>44165</v>
      </c>
      <c r="D152" s="101">
        <v>3066838</v>
      </c>
      <c r="E152" s="164">
        <f t="shared" si="15"/>
        <v>1.0333333333333334</v>
      </c>
      <c r="F152" s="164">
        <f t="shared" si="16"/>
        <v>3066838</v>
      </c>
      <c r="G152" s="164">
        <f t="shared" si="17"/>
        <v>0</v>
      </c>
      <c r="H152" s="164">
        <f t="shared" si="18"/>
        <v>0</v>
      </c>
      <c r="I152" s="164">
        <f t="shared" si="19"/>
        <v>0</v>
      </c>
      <c r="J152" s="166">
        <f t="shared" si="20"/>
        <v>0</v>
      </c>
      <c r="K152" s="166">
        <f t="shared" si="21"/>
        <v>0</v>
      </c>
    </row>
    <row r="153" spans="1:11" ht="18.75" customHeight="1">
      <c r="A153" s="98" t="s">
        <v>516</v>
      </c>
      <c r="B153" s="102" t="s">
        <v>518</v>
      </c>
      <c r="C153" s="100">
        <v>44193</v>
      </c>
      <c r="D153" s="101">
        <v>18988200</v>
      </c>
      <c r="E153" s="164">
        <f t="shared" si="15"/>
        <v>0.1</v>
      </c>
      <c r="F153" s="164">
        <f t="shared" si="16"/>
        <v>18988200</v>
      </c>
      <c r="G153" s="164">
        <f t="shared" si="17"/>
        <v>0</v>
      </c>
      <c r="H153" s="164">
        <f t="shared" si="18"/>
        <v>0</v>
      </c>
      <c r="I153" s="164">
        <f t="shared" si="19"/>
        <v>0</v>
      </c>
      <c r="J153" s="166">
        <f t="shared" si="20"/>
        <v>0</v>
      </c>
      <c r="K153" s="166">
        <f t="shared" si="21"/>
        <v>0</v>
      </c>
    </row>
    <row r="154" spans="1:11" ht="18.75" customHeight="1">
      <c r="A154" s="98" t="s">
        <v>516</v>
      </c>
      <c r="B154" s="102" t="s">
        <v>518</v>
      </c>
      <c r="C154" s="100">
        <v>44193</v>
      </c>
      <c r="D154" s="101">
        <v>1898820</v>
      </c>
      <c r="E154" s="164">
        <f t="shared" si="15"/>
        <v>0.1</v>
      </c>
      <c r="F154" s="164">
        <f t="shared" si="16"/>
        <v>1898820</v>
      </c>
      <c r="G154" s="164">
        <f t="shared" si="17"/>
        <v>0</v>
      </c>
      <c r="H154" s="164">
        <f t="shared" si="18"/>
        <v>0</v>
      </c>
      <c r="I154" s="164">
        <f t="shared" si="19"/>
        <v>0</v>
      </c>
      <c r="J154" s="166">
        <f t="shared" si="20"/>
        <v>0</v>
      </c>
      <c r="K154" s="166">
        <f t="shared" si="21"/>
        <v>0</v>
      </c>
    </row>
    <row r="155" spans="1:11" ht="18.75" customHeight="1">
      <c r="A155" s="98" t="s">
        <v>519</v>
      </c>
      <c r="B155" s="102" t="s">
        <v>520</v>
      </c>
      <c r="C155" s="100">
        <v>44160</v>
      </c>
      <c r="D155" s="101">
        <v>18933600</v>
      </c>
      <c r="E155" s="164">
        <f t="shared" si="15"/>
        <v>1.2</v>
      </c>
      <c r="F155" s="164">
        <f t="shared" si="16"/>
        <v>18933600</v>
      </c>
      <c r="G155" s="164">
        <f t="shared" si="17"/>
        <v>0</v>
      </c>
      <c r="H155" s="164">
        <f t="shared" si="18"/>
        <v>0</v>
      </c>
      <c r="I155" s="164">
        <f t="shared" si="19"/>
        <v>0</v>
      </c>
      <c r="J155" s="166">
        <f t="shared" si="20"/>
        <v>0</v>
      </c>
      <c r="K155" s="166">
        <f t="shared" si="21"/>
        <v>0</v>
      </c>
    </row>
    <row r="156" spans="1:11" ht="18.75" customHeight="1">
      <c r="A156" s="98" t="s">
        <v>519</v>
      </c>
      <c r="B156" s="102" t="s">
        <v>520</v>
      </c>
      <c r="C156" s="100">
        <v>44160</v>
      </c>
      <c r="D156" s="101">
        <v>1893360</v>
      </c>
      <c r="E156" s="164">
        <f t="shared" si="15"/>
        <v>1.2</v>
      </c>
      <c r="F156" s="164">
        <f t="shared" si="16"/>
        <v>1893360</v>
      </c>
      <c r="G156" s="164">
        <f t="shared" si="17"/>
        <v>0</v>
      </c>
      <c r="H156" s="164">
        <f t="shared" si="18"/>
        <v>0</v>
      </c>
      <c r="I156" s="164">
        <f t="shared" si="19"/>
        <v>0</v>
      </c>
      <c r="J156" s="166">
        <f t="shared" si="20"/>
        <v>0</v>
      </c>
      <c r="K156" s="166">
        <f t="shared" si="21"/>
        <v>0</v>
      </c>
    </row>
    <row r="157" spans="1:11" ht="18.75" customHeight="1">
      <c r="A157" s="98" t="s">
        <v>519</v>
      </c>
      <c r="B157" s="102" t="s">
        <v>521</v>
      </c>
      <c r="C157" s="100">
        <v>44194</v>
      </c>
      <c r="D157" s="101">
        <v>18547200</v>
      </c>
      <c r="E157" s="164">
        <f t="shared" si="15"/>
        <v>6.6666666666666666E-2</v>
      </c>
      <c r="F157" s="164">
        <f t="shared" si="16"/>
        <v>18547200</v>
      </c>
      <c r="G157" s="164">
        <f t="shared" si="17"/>
        <v>0</v>
      </c>
      <c r="H157" s="164">
        <f t="shared" si="18"/>
        <v>0</v>
      </c>
      <c r="I157" s="164">
        <f t="shared" si="19"/>
        <v>0</v>
      </c>
      <c r="J157" s="166">
        <f t="shared" si="20"/>
        <v>0</v>
      </c>
      <c r="K157" s="166">
        <f t="shared" si="21"/>
        <v>0</v>
      </c>
    </row>
    <row r="158" spans="1:11" ht="18.75" customHeight="1">
      <c r="A158" s="98" t="s">
        <v>519</v>
      </c>
      <c r="B158" s="102" t="s">
        <v>521</v>
      </c>
      <c r="C158" s="100">
        <v>44194</v>
      </c>
      <c r="D158" s="101">
        <v>1854720</v>
      </c>
      <c r="E158" s="164">
        <f t="shared" si="15"/>
        <v>6.6666666666666666E-2</v>
      </c>
      <c r="F158" s="164">
        <f t="shared" si="16"/>
        <v>1854720</v>
      </c>
      <c r="G158" s="164">
        <f t="shared" si="17"/>
        <v>0</v>
      </c>
      <c r="H158" s="164">
        <f t="shared" si="18"/>
        <v>0</v>
      </c>
      <c r="I158" s="164">
        <f t="shared" si="19"/>
        <v>0</v>
      </c>
      <c r="J158" s="166">
        <f t="shared" si="20"/>
        <v>0</v>
      </c>
      <c r="K158" s="166">
        <f t="shared" si="21"/>
        <v>0</v>
      </c>
    </row>
    <row r="159" spans="1:11" ht="18.75" customHeight="1">
      <c r="A159" s="98" t="s">
        <v>522</v>
      </c>
      <c r="B159" s="102" t="s">
        <v>523</v>
      </c>
      <c r="C159" s="100">
        <v>44130</v>
      </c>
      <c r="D159" s="101">
        <v>6911615</v>
      </c>
      <c r="E159" s="164">
        <f t="shared" si="15"/>
        <v>2.2000000000000002</v>
      </c>
      <c r="F159" s="164">
        <f t="shared" si="16"/>
        <v>6911615</v>
      </c>
      <c r="G159" s="164">
        <f t="shared" si="17"/>
        <v>0</v>
      </c>
      <c r="H159" s="164">
        <f t="shared" si="18"/>
        <v>0</v>
      </c>
      <c r="I159" s="164">
        <f t="shared" si="19"/>
        <v>0</v>
      </c>
      <c r="J159" s="166">
        <f t="shared" si="20"/>
        <v>0</v>
      </c>
      <c r="K159" s="166">
        <f t="shared" si="21"/>
        <v>0</v>
      </c>
    </row>
    <row r="160" spans="1:11" ht="18.75" customHeight="1">
      <c r="A160" s="98" t="s">
        <v>522</v>
      </c>
      <c r="B160" s="102" t="s">
        <v>523</v>
      </c>
      <c r="C160" s="100">
        <v>44130</v>
      </c>
      <c r="D160" s="101">
        <v>691162</v>
      </c>
      <c r="E160" s="164">
        <f t="shared" si="15"/>
        <v>2.2000000000000002</v>
      </c>
      <c r="F160" s="164">
        <f t="shared" si="16"/>
        <v>691162</v>
      </c>
      <c r="G160" s="164">
        <f t="shared" si="17"/>
        <v>0</v>
      </c>
      <c r="H160" s="164">
        <f t="shared" si="18"/>
        <v>0</v>
      </c>
      <c r="I160" s="164">
        <f t="shared" si="19"/>
        <v>0</v>
      </c>
      <c r="J160" s="166">
        <f t="shared" si="20"/>
        <v>0</v>
      </c>
      <c r="K160" s="166">
        <f t="shared" si="21"/>
        <v>0</v>
      </c>
    </row>
    <row r="161" spans="1:11" ht="18.75" customHeight="1">
      <c r="A161" s="98" t="s">
        <v>522</v>
      </c>
      <c r="B161" s="102" t="s">
        <v>524</v>
      </c>
      <c r="C161" s="100">
        <v>44160</v>
      </c>
      <c r="D161" s="101">
        <v>15145500</v>
      </c>
      <c r="E161" s="164">
        <f t="shared" si="15"/>
        <v>1.2</v>
      </c>
      <c r="F161" s="164">
        <f t="shared" si="16"/>
        <v>15145500</v>
      </c>
      <c r="G161" s="164">
        <f t="shared" si="17"/>
        <v>0</v>
      </c>
      <c r="H161" s="164">
        <f t="shared" si="18"/>
        <v>0</v>
      </c>
      <c r="I161" s="164">
        <f t="shared" si="19"/>
        <v>0</v>
      </c>
      <c r="J161" s="166">
        <f t="shared" si="20"/>
        <v>0</v>
      </c>
      <c r="K161" s="166">
        <f t="shared" si="21"/>
        <v>0</v>
      </c>
    </row>
    <row r="162" spans="1:11" ht="18.75" customHeight="1">
      <c r="A162" s="98" t="s">
        <v>522</v>
      </c>
      <c r="B162" s="102" t="s">
        <v>524</v>
      </c>
      <c r="C162" s="100">
        <v>44160</v>
      </c>
      <c r="D162" s="101">
        <v>1514550</v>
      </c>
      <c r="E162" s="164">
        <f t="shared" si="15"/>
        <v>1.2</v>
      </c>
      <c r="F162" s="164">
        <f t="shared" si="16"/>
        <v>1514550</v>
      </c>
      <c r="G162" s="164">
        <f t="shared" si="17"/>
        <v>0</v>
      </c>
      <c r="H162" s="164">
        <f t="shared" si="18"/>
        <v>0</v>
      </c>
      <c r="I162" s="164">
        <f t="shared" si="19"/>
        <v>0</v>
      </c>
      <c r="J162" s="166">
        <f t="shared" si="20"/>
        <v>0</v>
      </c>
      <c r="K162" s="166">
        <f t="shared" si="21"/>
        <v>0</v>
      </c>
    </row>
    <row r="163" spans="1:11" ht="18.75" customHeight="1">
      <c r="A163" s="98" t="s">
        <v>522</v>
      </c>
      <c r="B163" s="102" t="s">
        <v>525</v>
      </c>
      <c r="C163" s="100">
        <v>44190</v>
      </c>
      <c r="D163" s="101">
        <v>13605880</v>
      </c>
      <c r="E163" s="164">
        <f t="shared" si="15"/>
        <v>0.2</v>
      </c>
      <c r="F163" s="164">
        <f t="shared" si="16"/>
        <v>13605880</v>
      </c>
      <c r="G163" s="164">
        <f t="shared" si="17"/>
        <v>0</v>
      </c>
      <c r="H163" s="164">
        <f t="shared" si="18"/>
        <v>0</v>
      </c>
      <c r="I163" s="164">
        <f t="shared" si="19"/>
        <v>0</v>
      </c>
      <c r="J163" s="166">
        <f t="shared" si="20"/>
        <v>0</v>
      </c>
      <c r="K163" s="166">
        <f t="shared" si="21"/>
        <v>0</v>
      </c>
    </row>
    <row r="164" spans="1:11" ht="18.75" customHeight="1">
      <c r="A164" s="98" t="s">
        <v>522</v>
      </c>
      <c r="B164" s="102" t="s">
        <v>525</v>
      </c>
      <c r="C164" s="100">
        <v>44190</v>
      </c>
      <c r="D164" s="101">
        <v>1360588</v>
      </c>
      <c r="E164" s="164">
        <f t="shared" si="15"/>
        <v>0.2</v>
      </c>
      <c r="F164" s="164">
        <f t="shared" si="16"/>
        <v>1360588</v>
      </c>
      <c r="G164" s="164">
        <f t="shared" si="17"/>
        <v>0</v>
      </c>
      <c r="H164" s="164">
        <f t="shared" si="18"/>
        <v>0</v>
      </c>
      <c r="I164" s="164">
        <f t="shared" si="19"/>
        <v>0</v>
      </c>
      <c r="J164" s="166">
        <f t="shared" si="20"/>
        <v>0</v>
      </c>
      <c r="K164" s="166">
        <f t="shared" si="21"/>
        <v>0</v>
      </c>
    </row>
    <row r="165" spans="1:11" ht="18.75" customHeight="1">
      <c r="A165" s="98" t="s">
        <v>526</v>
      </c>
      <c r="B165" s="102" t="s">
        <v>398</v>
      </c>
      <c r="C165" s="100">
        <v>44195</v>
      </c>
      <c r="D165" s="101">
        <v>34681500</v>
      </c>
      <c r="E165" s="164">
        <f t="shared" si="15"/>
        <v>3.3333333333333333E-2</v>
      </c>
      <c r="F165" s="164">
        <f t="shared" si="16"/>
        <v>34681500</v>
      </c>
      <c r="G165" s="164">
        <f t="shared" si="17"/>
        <v>0</v>
      </c>
      <c r="H165" s="164">
        <f t="shared" si="18"/>
        <v>0</v>
      </c>
      <c r="I165" s="164">
        <f t="shared" si="19"/>
        <v>0</v>
      </c>
      <c r="J165" s="166">
        <f t="shared" si="20"/>
        <v>0</v>
      </c>
      <c r="K165" s="166">
        <f t="shared" si="21"/>
        <v>0</v>
      </c>
    </row>
    <row r="166" spans="1:11" ht="18.75" customHeight="1">
      <c r="A166" s="98" t="s">
        <v>526</v>
      </c>
      <c r="B166" s="102" t="s">
        <v>398</v>
      </c>
      <c r="C166" s="100">
        <v>44195</v>
      </c>
      <c r="D166" s="101">
        <v>3468150</v>
      </c>
      <c r="E166" s="164">
        <f t="shared" si="15"/>
        <v>3.3333333333333333E-2</v>
      </c>
      <c r="F166" s="164">
        <f t="shared" si="16"/>
        <v>3468150</v>
      </c>
      <c r="G166" s="164">
        <f t="shared" si="17"/>
        <v>0</v>
      </c>
      <c r="H166" s="164">
        <f t="shared" si="18"/>
        <v>0</v>
      </c>
      <c r="I166" s="164">
        <f t="shared" si="19"/>
        <v>0</v>
      </c>
      <c r="J166" s="166">
        <f t="shared" si="20"/>
        <v>0</v>
      </c>
      <c r="K166" s="166">
        <f t="shared" si="21"/>
        <v>0</v>
      </c>
    </row>
    <row r="167" spans="1:11" ht="18.75" customHeight="1">
      <c r="A167" s="98" t="s">
        <v>527</v>
      </c>
      <c r="B167" s="102" t="s">
        <v>528</v>
      </c>
      <c r="C167" s="100">
        <v>44190</v>
      </c>
      <c r="D167" s="101">
        <v>34008000</v>
      </c>
      <c r="E167" s="164">
        <f t="shared" si="15"/>
        <v>0.2</v>
      </c>
      <c r="F167" s="164">
        <f t="shared" si="16"/>
        <v>34008000</v>
      </c>
      <c r="G167" s="164">
        <f t="shared" si="17"/>
        <v>0</v>
      </c>
      <c r="H167" s="164">
        <f t="shared" si="18"/>
        <v>0</v>
      </c>
      <c r="I167" s="164">
        <f t="shared" si="19"/>
        <v>0</v>
      </c>
      <c r="J167" s="166">
        <f t="shared" si="20"/>
        <v>0</v>
      </c>
      <c r="K167" s="166">
        <f t="shared" si="21"/>
        <v>0</v>
      </c>
    </row>
    <row r="168" spans="1:11" ht="18.75" customHeight="1">
      <c r="A168" s="98" t="s">
        <v>527</v>
      </c>
      <c r="B168" s="102" t="s">
        <v>528</v>
      </c>
      <c r="C168" s="100">
        <v>44190</v>
      </c>
      <c r="D168" s="101">
        <v>3400800</v>
      </c>
      <c r="E168" s="164">
        <f t="shared" si="15"/>
        <v>0.2</v>
      </c>
      <c r="F168" s="164">
        <f t="shared" si="16"/>
        <v>3400800</v>
      </c>
      <c r="G168" s="164">
        <f t="shared" si="17"/>
        <v>0</v>
      </c>
      <c r="H168" s="164">
        <f t="shared" si="18"/>
        <v>0</v>
      </c>
      <c r="I168" s="164">
        <f t="shared" si="19"/>
        <v>0</v>
      </c>
      <c r="J168" s="166">
        <f t="shared" si="20"/>
        <v>0</v>
      </c>
      <c r="K168" s="166">
        <f t="shared" si="21"/>
        <v>0</v>
      </c>
    </row>
    <row r="169" spans="1:11" ht="18.75" customHeight="1">
      <c r="A169" s="98" t="s">
        <v>529</v>
      </c>
      <c r="B169" s="102" t="s">
        <v>530</v>
      </c>
      <c r="C169" s="100">
        <v>44088</v>
      </c>
      <c r="D169" s="101">
        <v>9690000</v>
      </c>
      <c r="E169" s="164">
        <f t="shared" si="15"/>
        <v>3.6</v>
      </c>
      <c r="F169" s="164">
        <f t="shared" si="16"/>
        <v>9690000</v>
      </c>
      <c r="G169" s="164">
        <f t="shared" si="17"/>
        <v>0</v>
      </c>
      <c r="H169" s="164">
        <f t="shared" si="18"/>
        <v>0</v>
      </c>
      <c r="I169" s="164">
        <f t="shared" si="19"/>
        <v>0</v>
      </c>
      <c r="J169" s="166">
        <f t="shared" si="20"/>
        <v>0</v>
      </c>
      <c r="K169" s="166">
        <f t="shared" si="21"/>
        <v>0</v>
      </c>
    </row>
    <row r="170" spans="1:11" ht="18.75" customHeight="1">
      <c r="A170" s="98" t="s">
        <v>529</v>
      </c>
      <c r="B170" s="102" t="s">
        <v>530</v>
      </c>
      <c r="C170" s="100">
        <v>44088</v>
      </c>
      <c r="D170" s="101">
        <v>969000</v>
      </c>
      <c r="E170" s="164">
        <f t="shared" si="15"/>
        <v>3.6</v>
      </c>
      <c r="F170" s="164">
        <f t="shared" si="16"/>
        <v>969000</v>
      </c>
      <c r="G170" s="164">
        <f t="shared" si="17"/>
        <v>0</v>
      </c>
      <c r="H170" s="164">
        <f t="shared" si="18"/>
        <v>0</v>
      </c>
      <c r="I170" s="164">
        <f t="shared" si="19"/>
        <v>0</v>
      </c>
      <c r="J170" s="166">
        <f t="shared" si="20"/>
        <v>0</v>
      </c>
      <c r="K170" s="166">
        <f t="shared" si="21"/>
        <v>0</v>
      </c>
    </row>
    <row r="171" spans="1:11" ht="18.75" customHeight="1">
      <c r="A171" s="98" t="s">
        <v>529</v>
      </c>
      <c r="B171" s="102" t="s">
        <v>531</v>
      </c>
      <c r="C171" s="100">
        <v>44135</v>
      </c>
      <c r="D171" s="101">
        <v>21920000</v>
      </c>
      <c r="E171" s="164">
        <f t="shared" si="15"/>
        <v>2.0333333333333332</v>
      </c>
      <c r="F171" s="164">
        <f t="shared" si="16"/>
        <v>21920000</v>
      </c>
      <c r="G171" s="164">
        <f t="shared" si="17"/>
        <v>0</v>
      </c>
      <c r="H171" s="164">
        <f t="shared" si="18"/>
        <v>0</v>
      </c>
      <c r="I171" s="164">
        <f t="shared" si="19"/>
        <v>0</v>
      </c>
      <c r="J171" s="166">
        <f t="shared" si="20"/>
        <v>0</v>
      </c>
      <c r="K171" s="166">
        <f t="shared" si="21"/>
        <v>0</v>
      </c>
    </row>
    <row r="172" spans="1:11" ht="18.75" customHeight="1">
      <c r="A172" s="98" t="s">
        <v>529</v>
      </c>
      <c r="B172" s="102" t="s">
        <v>531</v>
      </c>
      <c r="C172" s="100">
        <v>44135</v>
      </c>
      <c r="D172" s="101">
        <v>2192000</v>
      </c>
      <c r="E172" s="164">
        <f t="shared" si="15"/>
        <v>2.0333333333333332</v>
      </c>
      <c r="F172" s="164">
        <f t="shared" si="16"/>
        <v>2192000</v>
      </c>
      <c r="G172" s="164">
        <f t="shared" si="17"/>
        <v>0</v>
      </c>
      <c r="H172" s="164">
        <f t="shared" si="18"/>
        <v>0</v>
      </c>
      <c r="I172" s="164">
        <f t="shared" si="19"/>
        <v>0</v>
      </c>
      <c r="J172" s="166">
        <f t="shared" si="20"/>
        <v>0</v>
      </c>
      <c r="K172" s="166">
        <f t="shared" si="21"/>
        <v>0</v>
      </c>
    </row>
    <row r="173" spans="1:11" ht="18.75" customHeight="1">
      <c r="A173" s="98" t="s">
        <v>529</v>
      </c>
      <c r="B173" s="102" t="s">
        <v>532</v>
      </c>
      <c r="C173" s="100">
        <v>44165</v>
      </c>
      <c r="D173" s="101">
        <v>1840000</v>
      </c>
      <c r="E173" s="164">
        <f t="shared" si="15"/>
        <v>1.0333333333333334</v>
      </c>
      <c r="F173" s="164">
        <f t="shared" si="16"/>
        <v>1840000</v>
      </c>
      <c r="G173" s="164">
        <f t="shared" si="17"/>
        <v>0</v>
      </c>
      <c r="H173" s="164">
        <f t="shared" si="18"/>
        <v>0</v>
      </c>
      <c r="I173" s="164">
        <f t="shared" si="19"/>
        <v>0</v>
      </c>
      <c r="J173" s="166">
        <f t="shared" si="20"/>
        <v>0</v>
      </c>
      <c r="K173" s="166">
        <f t="shared" si="21"/>
        <v>0</v>
      </c>
    </row>
    <row r="174" spans="1:11" ht="18.75" customHeight="1">
      <c r="A174" s="98" t="s">
        <v>529</v>
      </c>
      <c r="B174" s="102" t="s">
        <v>532</v>
      </c>
      <c r="C174" s="100">
        <v>44165</v>
      </c>
      <c r="D174" s="101">
        <v>184000</v>
      </c>
      <c r="E174" s="164">
        <f t="shared" si="15"/>
        <v>1.0333333333333334</v>
      </c>
      <c r="F174" s="164">
        <f t="shared" si="16"/>
        <v>184000</v>
      </c>
      <c r="G174" s="164">
        <f t="shared" si="17"/>
        <v>0</v>
      </c>
      <c r="H174" s="164">
        <f t="shared" si="18"/>
        <v>0</v>
      </c>
      <c r="I174" s="164">
        <f t="shared" si="19"/>
        <v>0</v>
      </c>
      <c r="J174" s="166">
        <f t="shared" si="20"/>
        <v>0</v>
      </c>
      <c r="K174" s="166">
        <f t="shared" si="21"/>
        <v>0</v>
      </c>
    </row>
    <row r="175" spans="1:11" ht="18.75" customHeight="1">
      <c r="A175" s="98" t="s">
        <v>533</v>
      </c>
      <c r="B175" s="102" t="s">
        <v>534</v>
      </c>
      <c r="C175" s="100">
        <v>44162</v>
      </c>
      <c r="D175" s="101">
        <v>13685100</v>
      </c>
      <c r="E175" s="164">
        <f t="shared" si="15"/>
        <v>1.1333333333333333</v>
      </c>
      <c r="F175" s="164">
        <f t="shared" si="16"/>
        <v>13685100</v>
      </c>
      <c r="G175" s="164">
        <f t="shared" si="17"/>
        <v>0</v>
      </c>
      <c r="H175" s="164">
        <f t="shared" si="18"/>
        <v>0</v>
      </c>
      <c r="I175" s="164">
        <f t="shared" si="19"/>
        <v>0</v>
      </c>
      <c r="J175" s="166">
        <f t="shared" si="20"/>
        <v>0</v>
      </c>
      <c r="K175" s="166">
        <f t="shared" si="21"/>
        <v>0</v>
      </c>
    </row>
    <row r="176" spans="1:11" ht="18.75" customHeight="1">
      <c r="A176" s="98" t="s">
        <v>533</v>
      </c>
      <c r="B176" s="102" t="s">
        <v>534</v>
      </c>
      <c r="C176" s="100">
        <v>44162</v>
      </c>
      <c r="D176" s="101">
        <v>1368510</v>
      </c>
      <c r="E176" s="164">
        <f t="shared" si="15"/>
        <v>1.1333333333333333</v>
      </c>
      <c r="F176" s="164">
        <f t="shared" si="16"/>
        <v>1368510</v>
      </c>
      <c r="G176" s="164">
        <f t="shared" si="17"/>
        <v>0</v>
      </c>
      <c r="H176" s="164">
        <f t="shared" si="18"/>
        <v>0</v>
      </c>
      <c r="I176" s="164">
        <f t="shared" si="19"/>
        <v>0</v>
      </c>
      <c r="J176" s="166">
        <f t="shared" si="20"/>
        <v>0</v>
      </c>
      <c r="K176" s="166">
        <f t="shared" si="21"/>
        <v>0</v>
      </c>
    </row>
    <row r="177" spans="1:11" ht="18.75" customHeight="1">
      <c r="A177" s="98" t="s">
        <v>533</v>
      </c>
      <c r="B177" s="102" t="s">
        <v>535</v>
      </c>
      <c r="C177" s="100">
        <v>44194</v>
      </c>
      <c r="D177" s="101">
        <v>13685100</v>
      </c>
      <c r="E177" s="164">
        <f t="shared" si="15"/>
        <v>6.6666666666666666E-2</v>
      </c>
      <c r="F177" s="164">
        <f t="shared" si="16"/>
        <v>13685100</v>
      </c>
      <c r="G177" s="164">
        <f t="shared" si="17"/>
        <v>0</v>
      </c>
      <c r="H177" s="164">
        <f t="shared" si="18"/>
        <v>0</v>
      </c>
      <c r="I177" s="164">
        <f t="shared" si="19"/>
        <v>0</v>
      </c>
      <c r="J177" s="166">
        <f t="shared" si="20"/>
        <v>0</v>
      </c>
      <c r="K177" s="166">
        <f t="shared" si="21"/>
        <v>0</v>
      </c>
    </row>
    <row r="178" spans="1:11" ht="18.75" customHeight="1">
      <c r="A178" s="98" t="s">
        <v>533</v>
      </c>
      <c r="B178" s="102" t="s">
        <v>535</v>
      </c>
      <c r="C178" s="100">
        <v>44194</v>
      </c>
      <c r="D178" s="101">
        <v>1368510</v>
      </c>
      <c r="E178" s="164">
        <f t="shared" si="15"/>
        <v>6.6666666666666666E-2</v>
      </c>
      <c r="F178" s="164">
        <f t="shared" si="16"/>
        <v>1368510</v>
      </c>
      <c r="G178" s="164">
        <f t="shared" si="17"/>
        <v>0</v>
      </c>
      <c r="H178" s="164">
        <f t="shared" si="18"/>
        <v>0</v>
      </c>
      <c r="I178" s="164">
        <f t="shared" si="19"/>
        <v>0</v>
      </c>
      <c r="J178" s="166">
        <f t="shared" si="20"/>
        <v>0</v>
      </c>
      <c r="K178" s="166">
        <f t="shared" si="21"/>
        <v>0</v>
      </c>
    </row>
    <row r="179" spans="1:11" ht="18.75" customHeight="1">
      <c r="A179" s="98" t="s">
        <v>536</v>
      </c>
      <c r="B179" s="102" t="s">
        <v>537</v>
      </c>
      <c r="C179" s="100">
        <v>44160</v>
      </c>
      <c r="D179" s="101">
        <v>3895250</v>
      </c>
      <c r="E179" s="164">
        <f t="shared" si="15"/>
        <v>1.2</v>
      </c>
      <c r="F179" s="164">
        <f t="shared" si="16"/>
        <v>3895250</v>
      </c>
      <c r="G179" s="164">
        <f t="shared" si="17"/>
        <v>0</v>
      </c>
      <c r="H179" s="164">
        <f t="shared" si="18"/>
        <v>0</v>
      </c>
      <c r="I179" s="164">
        <f t="shared" si="19"/>
        <v>0</v>
      </c>
      <c r="J179" s="166">
        <f t="shared" si="20"/>
        <v>0</v>
      </c>
      <c r="K179" s="166">
        <f t="shared" si="21"/>
        <v>0</v>
      </c>
    </row>
    <row r="180" spans="1:11" ht="18.75" customHeight="1">
      <c r="A180" s="98" t="s">
        <v>536</v>
      </c>
      <c r="B180" s="102" t="s">
        <v>537</v>
      </c>
      <c r="C180" s="100">
        <v>44160</v>
      </c>
      <c r="D180" s="101">
        <v>389525</v>
      </c>
      <c r="E180" s="164">
        <f t="shared" si="15"/>
        <v>1.2</v>
      </c>
      <c r="F180" s="164">
        <f t="shared" si="16"/>
        <v>389525</v>
      </c>
      <c r="G180" s="164">
        <f t="shared" si="17"/>
        <v>0</v>
      </c>
      <c r="H180" s="164">
        <f t="shared" si="18"/>
        <v>0</v>
      </c>
      <c r="I180" s="164">
        <f t="shared" si="19"/>
        <v>0</v>
      </c>
      <c r="J180" s="166">
        <f t="shared" si="20"/>
        <v>0</v>
      </c>
      <c r="K180" s="166">
        <f t="shared" si="21"/>
        <v>0</v>
      </c>
    </row>
    <row r="181" spans="1:11" ht="18.75" customHeight="1">
      <c r="A181" s="98" t="s">
        <v>536</v>
      </c>
      <c r="B181" s="102" t="s">
        <v>538</v>
      </c>
      <c r="C181" s="100">
        <v>44190</v>
      </c>
      <c r="D181" s="101">
        <v>10693750</v>
      </c>
      <c r="E181" s="164">
        <f t="shared" si="15"/>
        <v>0.2</v>
      </c>
      <c r="F181" s="164">
        <f t="shared" si="16"/>
        <v>10693750</v>
      </c>
      <c r="G181" s="164">
        <f t="shared" si="17"/>
        <v>0</v>
      </c>
      <c r="H181" s="164">
        <f t="shared" si="18"/>
        <v>0</v>
      </c>
      <c r="I181" s="164">
        <f t="shared" si="19"/>
        <v>0</v>
      </c>
      <c r="J181" s="166">
        <f t="shared" si="20"/>
        <v>0</v>
      </c>
      <c r="K181" s="166">
        <f t="shared" si="21"/>
        <v>0</v>
      </c>
    </row>
    <row r="182" spans="1:11" ht="18.75" customHeight="1">
      <c r="A182" s="98" t="s">
        <v>536</v>
      </c>
      <c r="B182" s="102" t="s">
        <v>538</v>
      </c>
      <c r="C182" s="100">
        <v>44190</v>
      </c>
      <c r="D182" s="101">
        <v>1069375</v>
      </c>
      <c r="E182" s="164">
        <f t="shared" si="15"/>
        <v>0.2</v>
      </c>
      <c r="F182" s="164">
        <f t="shared" si="16"/>
        <v>1069375</v>
      </c>
      <c r="G182" s="164">
        <f t="shared" si="17"/>
        <v>0</v>
      </c>
      <c r="H182" s="164">
        <f t="shared" si="18"/>
        <v>0</v>
      </c>
      <c r="I182" s="164">
        <f t="shared" si="19"/>
        <v>0</v>
      </c>
      <c r="J182" s="166">
        <f t="shared" si="20"/>
        <v>0</v>
      </c>
      <c r="K182" s="166">
        <f t="shared" si="21"/>
        <v>0</v>
      </c>
    </row>
    <row r="183" spans="1:11" ht="18.75" customHeight="1">
      <c r="A183" s="98" t="s">
        <v>539</v>
      </c>
      <c r="B183" s="102" t="s">
        <v>540</v>
      </c>
      <c r="C183" s="100">
        <v>44040</v>
      </c>
      <c r="D183" s="101">
        <v>1624000</v>
      </c>
      <c r="E183" s="164">
        <f t="shared" si="15"/>
        <v>5.2</v>
      </c>
      <c r="F183" s="164">
        <f t="shared" si="16"/>
        <v>1624000</v>
      </c>
      <c r="G183" s="164">
        <f t="shared" si="17"/>
        <v>0</v>
      </c>
      <c r="H183" s="164">
        <f t="shared" si="18"/>
        <v>0</v>
      </c>
      <c r="I183" s="164">
        <f t="shared" si="19"/>
        <v>0</v>
      </c>
      <c r="J183" s="166">
        <f t="shared" si="20"/>
        <v>0</v>
      </c>
      <c r="K183" s="166">
        <f t="shared" si="21"/>
        <v>0</v>
      </c>
    </row>
    <row r="184" spans="1:11" ht="18.75" customHeight="1">
      <c r="A184" s="98" t="s">
        <v>539</v>
      </c>
      <c r="B184" s="102" t="s">
        <v>540</v>
      </c>
      <c r="C184" s="100">
        <v>44040</v>
      </c>
      <c r="D184" s="101">
        <v>162400</v>
      </c>
      <c r="E184" s="164">
        <f t="shared" si="15"/>
        <v>5.2</v>
      </c>
      <c r="F184" s="164">
        <f t="shared" si="16"/>
        <v>162400</v>
      </c>
      <c r="G184" s="164">
        <f t="shared" si="17"/>
        <v>0</v>
      </c>
      <c r="H184" s="164">
        <f t="shared" si="18"/>
        <v>0</v>
      </c>
      <c r="I184" s="164">
        <f t="shared" si="19"/>
        <v>0</v>
      </c>
      <c r="J184" s="166">
        <f t="shared" si="20"/>
        <v>0</v>
      </c>
      <c r="K184" s="166">
        <f t="shared" si="21"/>
        <v>0</v>
      </c>
    </row>
    <row r="185" spans="1:11" ht="18.75" customHeight="1">
      <c r="A185" s="98" t="s">
        <v>539</v>
      </c>
      <c r="B185" s="102" t="s">
        <v>541</v>
      </c>
      <c r="C185" s="100">
        <v>44086</v>
      </c>
      <c r="D185" s="101">
        <v>2793280</v>
      </c>
      <c r="E185" s="164">
        <f t="shared" si="15"/>
        <v>3.6666666666666665</v>
      </c>
      <c r="F185" s="164">
        <f t="shared" si="16"/>
        <v>2793280</v>
      </c>
      <c r="G185" s="164">
        <f t="shared" si="17"/>
        <v>0</v>
      </c>
      <c r="H185" s="164">
        <f t="shared" si="18"/>
        <v>0</v>
      </c>
      <c r="I185" s="164">
        <f t="shared" si="19"/>
        <v>0</v>
      </c>
      <c r="J185" s="166">
        <f t="shared" si="20"/>
        <v>0</v>
      </c>
      <c r="K185" s="166">
        <f t="shared" si="21"/>
        <v>0</v>
      </c>
    </row>
    <row r="186" spans="1:11" ht="18.75" customHeight="1">
      <c r="A186" s="98" t="s">
        <v>539</v>
      </c>
      <c r="B186" s="102" t="s">
        <v>541</v>
      </c>
      <c r="C186" s="100">
        <v>44086</v>
      </c>
      <c r="D186" s="101">
        <v>279328</v>
      </c>
      <c r="E186" s="164">
        <f t="shared" si="15"/>
        <v>3.6666666666666665</v>
      </c>
      <c r="F186" s="164">
        <f t="shared" si="16"/>
        <v>279328</v>
      </c>
      <c r="G186" s="164">
        <f t="shared" si="17"/>
        <v>0</v>
      </c>
      <c r="H186" s="164">
        <f t="shared" si="18"/>
        <v>0</v>
      </c>
      <c r="I186" s="164">
        <f t="shared" si="19"/>
        <v>0</v>
      </c>
      <c r="J186" s="166">
        <f t="shared" si="20"/>
        <v>0</v>
      </c>
      <c r="K186" s="166">
        <f t="shared" si="21"/>
        <v>0</v>
      </c>
    </row>
    <row r="187" spans="1:11" ht="18.75" customHeight="1">
      <c r="A187" s="98" t="s">
        <v>539</v>
      </c>
      <c r="B187" s="102" t="s">
        <v>410</v>
      </c>
      <c r="C187" s="100">
        <v>44158</v>
      </c>
      <c r="D187" s="101">
        <v>8314880</v>
      </c>
      <c r="E187" s="164">
        <f t="shared" si="15"/>
        <v>1.2666666666666666</v>
      </c>
      <c r="F187" s="164">
        <f t="shared" si="16"/>
        <v>8314880</v>
      </c>
      <c r="G187" s="164">
        <f t="shared" si="17"/>
        <v>0</v>
      </c>
      <c r="H187" s="164">
        <f t="shared" si="18"/>
        <v>0</v>
      </c>
      <c r="I187" s="164">
        <f t="shared" si="19"/>
        <v>0</v>
      </c>
      <c r="J187" s="166">
        <f t="shared" si="20"/>
        <v>0</v>
      </c>
      <c r="K187" s="166">
        <f t="shared" si="21"/>
        <v>0</v>
      </c>
    </row>
    <row r="188" spans="1:11" ht="18.75" customHeight="1">
      <c r="A188" s="98" t="s">
        <v>539</v>
      </c>
      <c r="B188" s="102" t="s">
        <v>410</v>
      </c>
      <c r="C188" s="100">
        <v>44158</v>
      </c>
      <c r="D188" s="101">
        <v>831488</v>
      </c>
      <c r="E188" s="164">
        <f t="shared" si="15"/>
        <v>1.2666666666666666</v>
      </c>
      <c r="F188" s="164">
        <f t="shared" si="16"/>
        <v>831488</v>
      </c>
      <c r="G188" s="164">
        <f t="shared" si="17"/>
        <v>0</v>
      </c>
      <c r="H188" s="164">
        <f t="shared" si="18"/>
        <v>0</v>
      </c>
      <c r="I188" s="164">
        <f t="shared" si="19"/>
        <v>0</v>
      </c>
      <c r="J188" s="166">
        <f t="shared" si="20"/>
        <v>0</v>
      </c>
      <c r="K188" s="166">
        <f t="shared" si="21"/>
        <v>0</v>
      </c>
    </row>
    <row r="189" spans="1:11" ht="18.75" customHeight="1">
      <c r="A189" s="98" t="s">
        <v>542</v>
      </c>
      <c r="B189" s="102" t="s">
        <v>543</v>
      </c>
      <c r="C189" s="100">
        <v>43917</v>
      </c>
      <c r="D189" s="101">
        <v>6088260</v>
      </c>
      <c r="E189" s="164">
        <f t="shared" si="15"/>
        <v>9.3000000000000007</v>
      </c>
      <c r="F189" s="164">
        <f t="shared" si="16"/>
        <v>0</v>
      </c>
      <c r="G189" s="164">
        <f t="shared" si="17"/>
        <v>6088260</v>
      </c>
      <c r="H189" s="164">
        <f t="shared" si="18"/>
        <v>0</v>
      </c>
      <c r="I189" s="164">
        <f t="shared" si="19"/>
        <v>0</v>
      </c>
      <c r="J189" s="166">
        <f t="shared" si="20"/>
        <v>0</v>
      </c>
      <c r="K189" s="166">
        <f t="shared" si="21"/>
        <v>1826478</v>
      </c>
    </row>
    <row r="190" spans="1:11" ht="18.75" customHeight="1">
      <c r="A190" s="98" t="s">
        <v>542</v>
      </c>
      <c r="B190" s="102" t="s">
        <v>543</v>
      </c>
      <c r="C190" s="100">
        <v>43917</v>
      </c>
      <c r="D190" s="101">
        <v>608826</v>
      </c>
      <c r="E190" s="164">
        <f t="shared" si="15"/>
        <v>9.3000000000000007</v>
      </c>
      <c r="F190" s="164">
        <f t="shared" si="16"/>
        <v>0</v>
      </c>
      <c r="G190" s="164">
        <f t="shared" si="17"/>
        <v>608826</v>
      </c>
      <c r="H190" s="164">
        <f t="shared" si="18"/>
        <v>0</v>
      </c>
      <c r="I190" s="164">
        <f t="shared" si="19"/>
        <v>0</v>
      </c>
      <c r="J190" s="166">
        <f t="shared" si="20"/>
        <v>0</v>
      </c>
      <c r="K190" s="166">
        <f t="shared" si="21"/>
        <v>182647.8</v>
      </c>
    </row>
    <row r="191" spans="1:11" ht="18.75" customHeight="1">
      <c r="A191" s="98" t="s">
        <v>542</v>
      </c>
      <c r="B191" s="102" t="s">
        <v>544</v>
      </c>
      <c r="C191" s="100">
        <v>44161</v>
      </c>
      <c r="D191" s="101">
        <v>5319870</v>
      </c>
      <c r="E191" s="164">
        <f t="shared" si="15"/>
        <v>1.1666666666666667</v>
      </c>
      <c r="F191" s="164">
        <f t="shared" si="16"/>
        <v>5319870</v>
      </c>
      <c r="G191" s="164">
        <f t="shared" si="17"/>
        <v>0</v>
      </c>
      <c r="H191" s="164">
        <f t="shared" si="18"/>
        <v>0</v>
      </c>
      <c r="I191" s="164">
        <f t="shared" si="19"/>
        <v>0</v>
      </c>
      <c r="J191" s="166">
        <f t="shared" si="20"/>
        <v>0</v>
      </c>
      <c r="K191" s="166">
        <f t="shared" si="21"/>
        <v>0</v>
      </c>
    </row>
    <row r="192" spans="1:11" ht="18.75" customHeight="1">
      <c r="A192" s="98" t="s">
        <v>542</v>
      </c>
      <c r="B192" s="102" t="s">
        <v>544</v>
      </c>
      <c r="C192" s="100">
        <v>44161</v>
      </c>
      <c r="D192" s="101">
        <v>531987</v>
      </c>
      <c r="E192" s="164">
        <f t="shared" si="15"/>
        <v>1.1666666666666667</v>
      </c>
      <c r="F192" s="164">
        <f t="shared" si="16"/>
        <v>531987</v>
      </c>
      <c r="G192" s="164">
        <f t="shared" si="17"/>
        <v>0</v>
      </c>
      <c r="H192" s="164">
        <f t="shared" si="18"/>
        <v>0</v>
      </c>
      <c r="I192" s="164">
        <f t="shared" si="19"/>
        <v>0</v>
      </c>
      <c r="J192" s="166">
        <f t="shared" si="20"/>
        <v>0</v>
      </c>
      <c r="K192" s="166">
        <f t="shared" si="21"/>
        <v>0</v>
      </c>
    </row>
    <row r="193" spans="1:11" ht="18.75" customHeight="1">
      <c r="A193" s="98" t="s">
        <v>545</v>
      </c>
      <c r="B193" s="102" t="s">
        <v>546</v>
      </c>
      <c r="C193" s="100">
        <v>44194</v>
      </c>
      <c r="D193" s="101">
        <v>9748320</v>
      </c>
      <c r="E193" s="164">
        <f t="shared" si="15"/>
        <v>6.6666666666666666E-2</v>
      </c>
      <c r="F193" s="164">
        <f t="shared" si="16"/>
        <v>9748320</v>
      </c>
      <c r="G193" s="164">
        <f t="shared" si="17"/>
        <v>0</v>
      </c>
      <c r="H193" s="164">
        <f t="shared" si="18"/>
        <v>0</v>
      </c>
      <c r="I193" s="164">
        <f t="shared" si="19"/>
        <v>0</v>
      </c>
      <c r="J193" s="166">
        <f t="shared" si="20"/>
        <v>0</v>
      </c>
      <c r="K193" s="166">
        <f t="shared" si="21"/>
        <v>0</v>
      </c>
    </row>
    <row r="194" spans="1:11" ht="18.75" customHeight="1">
      <c r="A194" s="98" t="s">
        <v>545</v>
      </c>
      <c r="B194" s="102" t="s">
        <v>546</v>
      </c>
      <c r="C194" s="100">
        <v>44194</v>
      </c>
      <c r="D194" s="101">
        <v>974832</v>
      </c>
      <c r="E194" s="164">
        <f t="shared" si="15"/>
        <v>6.6666666666666666E-2</v>
      </c>
      <c r="F194" s="164">
        <f t="shared" si="16"/>
        <v>974832</v>
      </c>
      <c r="G194" s="164">
        <f t="shared" si="17"/>
        <v>0</v>
      </c>
      <c r="H194" s="164">
        <f t="shared" si="18"/>
        <v>0</v>
      </c>
      <c r="I194" s="164">
        <f t="shared" si="19"/>
        <v>0</v>
      </c>
      <c r="J194" s="166">
        <f t="shared" si="20"/>
        <v>0</v>
      </c>
      <c r="K194" s="166">
        <f t="shared" si="21"/>
        <v>0</v>
      </c>
    </row>
    <row r="195" spans="1:11" ht="18.75" customHeight="1">
      <c r="A195" s="98" t="s">
        <v>547</v>
      </c>
      <c r="B195" s="102" t="s">
        <v>548</v>
      </c>
      <c r="C195" s="100">
        <v>44160</v>
      </c>
      <c r="D195" s="101">
        <v>9207744</v>
      </c>
      <c r="E195" s="164">
        <f t="shared" si="15"/>
        <v>1.2</v>
      </c>
      <c r="F195" s="164">
        <f t="shared" si="16"/>
        <v>9207744</v>
      </c>
      <c r="G195" s="164">
        <f t="shared" si="17"/>
        <v>0</v>
      </c>
      <c r="H195" s="164">
        <f t="shared" si="18"/>
        <v>0</v>
      </c>
      <c r="I195" s="164">
        <f t="shared" si="19"/>
        <v>0</v>
      </c>
      <c r="J195" s="166">
        <f t="shared" si="20"/>
        <v>0</v>
      </c>
      <c r="K195" s="166">
        <f t="shared" si="21"/>
        <v>0</v>
      </c>
    </row>
    <row r="196" spans="1:11" ht="18.75" customHeight="1">
      <c r="A196" s="98" t="s">
        <v>547</v>
      </c>
      <c r="B196" s="102" t="s">
        <v>548</v>
      </c>
      <c r="C196" s="100">
        <v>44160</v>
      </c>
      <c r="D196" s="101">
        <v>920774</v>
      </c>
      <c r="E196" s="164">
        <f t="shared" si="15"/>
        <v>1.2</v>
      </c>
      <c r="F196" s="164">
        <f t="shared" si="16"/>
        <v>920774</v>
      </c>
      <c r="G196" s="164">
        <f t="shared" si="17"/>
        <v>0</v>
      </c>
      <c r="H196" s="164">
        <f t="shared" si="18"/>
        <v>0</v>
      </c>
      <c r="I196" s="164">
        <f t="shared" si="19"/>
        <v>0</v>
      </c>
      <c r="J196" s="166">
        <f t="shared" si="20"/>
        <v>0</v>
      </c>
      <c r="K196" s="166">
        <f t="shared" si="21"/>
        <v>0</v>
      </c>
    </row>
    <row r="197" spans="1:11" ht="18.75" customHeight="1">
      <c r="A197" s="98" t="s">
        <v>549</v>
      </c>
      <c r="B197" s="102" t="s">
        <v>105</v>
      </c>
      <c r="C197" s="100">
        <v>43908</v>
      </c>
      <c r="D197" s="101">
        <v>458700</v>
      </c>
      <c r="E197" s="164">
        <f t="shared" si="15"/>
        <v>9.6</v>
      </c>
      <c r="F197" s="164">
        <f t="shared" si="16"/>
        <v>0</v>
      </c>
      <c r="G197" s="164">
        <f t="shared" si="17"/>
        <v>458700</v>
      </c>
      <c r="H197" s="164">
        <f t="shared" si="18"/>
        <v>0</v>
      </c>
      <c r="I197" s="164">
        <f t="shared" si="19"/>
        <v>0</v>
      </c>
      <c r="J197" s="166">
        <f t="shared" si="20"/>
        <v>0</v>
      </c>
      <c r="K197" s="166">
        <f t="shared" si="21"/>
        <v>137610</v>
      </c>
    </row>
    <row r="198" spans="1:11" ht="18.75" customHeight="1">
      <c r="A198" s="98" t="s">
        <v>549</v>
      </c>
      <c r="B198" s="102" t="s">
        <v>105</v>
      </c>
      <c r="C198" s="100">
        <v>43908</v>
      </c>
      <c r="D198" s="101">
        <v>45870</v>
      </c>
      <c r="E198" s="164">
        <f t="shared" ref="E198:E211" si="22">($C$1-C198)/30</f>
        <v>9.6</v>
      </c>
      <c r="F198" s="164">
        <f t="shared" ref="F198:F211" si="23">IF(E198&lt;6,D198,0)</f>
        <v>0</v>
      </c>
      <c r="G198" s="164">
        <f t="shared" ref="G198:G211" si="24">IF(AND(E198&gt;=6,E198&lt;12),D198,0)</f>
        <v>45870</v>
      </c>
      <c r="H198" s="164">
        <f t="shared" ref="H198:H211" si="25">IF(AND(E198&gt;=12,E198&lt;24),D198,0)</f>
        <v>0</v>
      </c>
      <c r="I198" s="164">
        <f t="shared" ref="I198:I211" si="26">IF(AND(E198&gt;=24,E198&lt;36),D198,0)</f>
        <v>0</v>
      </c>
      <c r="J198" s="166">
        <f t="shared" ref="J198:J211" si="27">IF(E198&gt;=36,D198,0)</f>
        <v>0</v>
      </c>
      <c r="K198" s="166">
        <f t="shared" si="21"/>
        <v>13761</v>
      </c>
    </row>
    <row r="199" spans="1:11" ht="18.75" customHeight="1">
      <c r="A199" s="98" t="s">
        <v>549</v>
      </c>
      <c r="B199" s="102" t="s">
        <v>550</v>
      </c>
      <c r="C199" s="100">
        <v>43977</v>
      </c>
      <c r="D199" s="101">
        <v>856285</v>
      </c>
      <c r="E199" s="164">
        <f t="shared" si="22"/>
        <v>7.3</v>
      </c>
      <c r="F199" s="164">
        <f t="shared" si="23"/>
        <v>0</v>
      </c>
      <c r="G199" s="164">
        <f t="shared" si="24"/>
        <v>856285</v>
      </c>
      <c r="H199" s="164">
        <f t="shared" si="25"/>
        <v>0</v>
      </c>
      <c r="I199" s="164">
        <f t="shared" si="26"/>
        <v>0</v>
      </c>
      <c r="J199" s="166">
        <f t="shared" si="27"/>
        <v>0</v>
      </c>
      <c r="K199" s="166">
        <f t="shared" si="21"/>
        <v>256885.5</v>
      </c>
    </row>
    <row r="200" spans="1:11" ht="18.75" customHeight="1">
      <c r="A200" s="98" t="s">
        <v>549</v>
      </c>
      <c r="B200" s="102" t="s">
        <v>550</v>
      </c>
      <c r="C200" s="100">
        <v>43977</v>
      </c>
      <c r="D200" s="101">
        <v>85629</v>
      </c>
      <c r="E200" s="164">
        <f t="shared" si="22"/>
        <v>7.3</v>
      </c>
      <c r="F200" s="164">
        <f t="shared" si="23"/>
        <v>0</v>
      </c>
      <c r="G200" s="164">
        <f t="shared" si="24"/>
        <v>85629</v>
      </c>
      <c r="H200" s="164">
        <f t="shared" si="25"/>
        <v>0</v>
      </c>
      <c r="I200" s="164">
        <f t="shared" si="26"/>
        <v>0</v>
      </c>
      <c r="J200" s="166">
        <f t="shared" si="27"/>
        <v>0</v>
      </c>
      <c r="K200" s="166">
        <f t="shared" si="21"/>
        <v>25688.7</v>
      </c>
    </row>
    <row r="201" spans="1:11" ht="18.75" customHeight="1">
      <c r="A201" s="98" t="s">
        <v>549</v>
      </c>
      <c r="B201" s="102" t="s">
        <v>551</v>
      </c>
      <c r="C201" s="100">
        <v>44082</v>
      </c>
      <c r="D201" s="101">
        <v>1184460</v>
      </c>
      <c r="E201" s="164">
        <f t="shared" si="22"/>
        <v>3.8</v>
      </c>
      <c r="F201" s="164">
        <f t="shared" si="23"/>
        <v>1184460</v>
      </c>
      <c r="G201" s="164">
        <f t="shared" si="24"/>
        <v>0</v>
      </c>
      <c r="H201" s="164">
        <f t="shared" si="25"/>
        <v>0</v>
      </c>
      <c r="I201" s="164">
        <f t="shared" si="26"/>
        <v>0</v>
      </c>
      <c r="J201" s="166">
        <f t="shared" si="27"/>
        <v>0</v>
      </c>
      <c r="K201" s="166">
        <f t="shared" ref="K201:K211" si="28">F201*$F$4+G201*$G$4+H201*$H$4+I201*$I$4+J201*$J$4</f>
        <v>0</v>
      </c>
    </row>
    <row r="202" spans="1:11" ht="18.75" customHeight="1">
      <c r="A202" s="98" t="s">
        <v>549</v>
      </c>
      <c r="B202" s="102" t="s">
        <v>551</v>
      </c>
      <c r="C202" s="100">
        <v>44082</v>
      </c>
      <c r="D202" s="101">
        <v>118446</v>
      </c>
      <c r="E202" s="164">
        <f t="shared" si="22"/>
        <v>3.8</v>
      </c>
      <c r="F202" s="164">
        <f t="shared" si="23"/>
        <v>118446</v>
      </c>
      <c r="G202" s="164">
        <f t="shared" si="24"/>
        <v>0</v>
      </c>
      <c r="H202" s="164">
        <f t="shared" si="25"/>
        <v>0</v>
      </c>
      <c r="I202" s="164">
        <f t="shared" si="26"/>
        <v>0</v>
      </c>
      <c r="J202" s="166">
        <f t="shared" si="27"/>
        <v>0</v>
      </c>
      <c r="K202" s="166">
        <f t="shared" si="28"/>
        <v>0</v>
      </c>
    </row>
    <row r="203" spans="1:11" ht="18.75" customHeight="1">
      <c r="A203" s="98" t="s">
        <v>549</v>
      </c>
      <c r="B203" s="102" t="s">
        <v>552</v>
      </c>
      <c r="C203" s="100">
        <v>44147</v>
      </c>
      <c r="D203" s="101">
        <v>1537720</v>
      </c>
      <c r="E203" s="164">
        <f t="shared" si="22"/>
        <v>1.6333333333333333</v>
      </c>
      <c r="F203" s="164">
        <f t="shared" si="23"/>
        <v>1537720</v>
      </c>
      <c r="G203" s="164">
        <f t="shared" si="24"/>
        <v>0</v>
      </c>
      <c r="H203" s="164">
        <f t="shared" si="25"/>
        <v>0</v>
      </c>
      <c r="I203" s="164">
        <f t="shared" si="26"/>
        <v>0</v>
      </c>
      <c r="J203" s="166">
        <f t="shared" si="27"/>
        <v>0</v>
      </c>
      <c r="K203" s="166">
        <f t="shared" si="28"/>
        <v>0</v>
      </c>
    </row>
    <row r="204" spans="1:11" ht="18.75" customHeight="1">
      <c r="A204" s="98" t="s">
        <v>549</v>
      </c>
      <c r="B204" s="102" t="s">
        <v>552</v>
      </c>
      <c r="C204" s="100">
        <v>44147</v>
      </c>
      <c r="D204" s="101">
        <v>153772</v>
      </c>
      <c r="E204" s="164">
        <f t="shared" si="22"/>
        <v>1.6333333333333333</v>
      </c>
      <c r="F204" s="164">
        <f t="shared" si="23"/>
        <v>153772</v>
      </c>
      <c r="G204" s="164">
        <f t="shared" si="24"/>
        <v>0</v>
      </c>
      <c r="H204" s="164">
        <f t="shared" si="25"/>
        <v>0</v>
      </c>
      <c r="I204" s="164">
        <f t="shared" si="26"/>
        <v>0</v>
      </c>
      <c r="J204" s="166">
        <f t="shared" si="27"/>
        <v>0</v>
      </c>
      <c r="K204" s="166">
        <f t="shared" si="28"/>
        <v>0</v>
      </c>
    </row>
    <row r="205" spans="1:11" ht="18.75" customHeight="1">
      <c r="A205" s="98" t="s">
        <v>549</v>
      </c>
      <c r="B205" s="102" t="s">
        <v>385</v>
      </c>
      <c r="C205" s="100">
        <v>44193</v>
      </c>
      <c r="D205" s="101">
        <v>559170</v>
      </c>
      <c r="E205" s="164">
        <f t="shared" si="22"/>
        <v>0.1</v>
      </c>
      <c r="F205" s="164">
        <f t="shared" si="23"/>
        <v>559170</v>
      </c>
      <c r="G205" s="164">
        <f t="shared" si="24"/>
        <v>0</v>
      </c>
      <c r="H205" s="164">
        <f t="shared" si="25"/>
        <v>0</v>
      </c>
      <c r="I205" s="164">
        <f t="shared" si="26"/>
        <v>0</v>
      </c>
      <c r="J205" s="166">
        <f t="shared" si="27"/>
        <v>0</v>
      </c>
      <c r="K205" s="166">
        <f t="shared" si="28"/>
        <v>0</v>
      </c>
    </row>
    <row r="206" spans="1:11" ht="18.75" customHeight="1">
      <c r="A206" s="98" t="s">
        <v>549</v>
      </c>
      <c r="B206" s="102" t="s">
        <v>385</v>
      </c>
      <c r="C206" s="100">
        <v>44193</v>
      </c>
      <c r="D206" s="101">
        <v>55917</v>
      </c>
      <c r="E206" s="164">
        <f t="shared" si="22"/>
        <v>0.1</v>
      </c>
      <c r="F206" s="164">
        <f t="shared" si="23"/>
        <v>55917</v>
      </c>
      <c r="G206" s="164">
        <f t="shared" si="24"/>
        <v>0</v>
      </c>
      <c r="H206" s="164">
        <f t="shared" si="25"/>
        <v>0</v>
      </c>
      <c r="I206" s="164">
        <f t="shared" si="26"/>
        <v>0</v>
      </c>
      <c r="J206" s="166">
        <f t="shared" si="27"/>
        <v>0</v>
      </c>
      <c r="K206" s="166">
        <f t="shared" si="28"/>
        <v>0</v>
      </c>
    </row>
    <row r="207" spans="1:11" ht="18.75" customHeight="1">
      <c r="A207" s="98" t="s">
        <v>553</v>
      </c>
      <c r="B207" s="102" t="s">
        <v>554</v>
      </c>
      <c r="C207" s="100">
        <v>44181</v>
      </c>
      <c r="D207" s="101">
        <v>4423700</v>
      </c>
      <c r="E207" s="164">
        <f t="shared" si="22"/>
        <v>0.5</v>
      </c>
      <c r="F207" s="164">
        <f t="shared" si="23"/>
        <v>4423700</v>
      </c>
      <c r="G207" s="164">
        <f t="shared" si="24"/>
        <v>0</v>
      </c>
      <c r="H207" s="164">
        <f t="shared" si="25"/>
        <v>0</v>
      </c>
      <c r="I207" s="164">
        <f t="shared" si="26"/>
        <v>0</v>
      </c>
      <c r="J207" s="166">
        <f t="shared" si="27"/>
        <v>0</v>
      </c>
      <c r="K207" s="166">
        <f t="shared" si="28"/>
        <v>0</v>
      </c>
    </row>
    <row r="208" spans="1:11" ht="18.75" customHeight="1">
      <c r="A208" s="98" t="s">
        <v>553</v>
      </c>
      <c r="B208" s="102" t="s">
        <v>554</v>
      </c>
      <c r="C208" s="100">
        <v>44181</v>
      </c>
      <c r="D208" s="101">
        <v>442370</v>
      </c>
      <c r="E208" s="164">
        <f t="shared" si="22"/>
        <v>0.5</v>
      </c>
      <c r="F208" s="164">
        <f t="shared" si="23"/>
        <v>442370</v>
      </c>
      <c r="G208" s="164">
        <f t="shared" si="24"/>
        <v>0</v>
      </c>
      <c r="H208" s="164">
        <f t="shared" si="25"/>
        <v>0</v>
      </c>
      <c r="I208" s="164">
        <f t="shared" si="26"/>
        <v>0</v>
      </c>
      <c r="J208" s="166">
        <f t="shared" si="27"/>
        <v>0</v>
      </c>
      <c r="K208" s="166">
        <f t="shared" si="28"/>
        <v>0</v>
      </c>
    </row>
    <row r="209" spans="1:13" ht="18.75" customHeight="1">
      <c r="A209" s="98" t="s">
        <v>555</v>
      </c>
      <c r="B209" s="102" t="s">
        <v>556</v>
      </c>
      <c r="C209" s="100">
        <v>44163</v>
      </c>
      <c r="D209" s="101">
        <v>2893750</v>
      </c>
      <c r="E209" s="164">
        <f t="shared" si="22"/>
        <v>1.1000000000000001</v>
      </c>
      <c r="F209" s="164">
        <f t="shared" si="23"/>
        <v>2893750</v>
      </c>
      <c r="G209" s="164">
        <f t="shared" si="24"/>
        <v>0</v>
      </c>
      <c r="H209" s="164">
        <f t="shared" si="25"/>
        <v>0</v>
      </c>
      <c r="I209" s="164">
        <f t="shared" si="26"/>
        <v>0</v>
      </c>
      <c r="J209" s="166">
        <f t="shared" si="27"/>
        <v>0</v>
      </c>
      <c r="K209" s="166">
        <f t="shared" si="28"/>
        <v>0</v>
      </c>
    </row>
    <row r="210" spans="1:13" ht="18.75" customHeight="1">
      <c r="A210" s="98" t="s">
        <v>555</v>
      </c>
      <c r="B210" s="102" t="s">
        <v>556</v>
      </c>
      <c r="C210" s="100">
        <v>44163</v>
      </c>
      <c r="D210" s="101">
        <v>289375</v>
      </c>
      <c r="E210" s="164">
        <f t="shared" si="22"/>
        <v>1.1000000000000001</v>
      </c>
      <c r="F210" s="164">
        <f t="shared" si="23"/>
        <v>289375</v>
      </c>
      <c r="G210" s="164">
        <f t="shared" si="24"/>
        <v>0</v>
      </c>
      <c r="H210" s="164">
        <f t="shared" si="25"/>
        <v>0</v>
      </c>
      <c r="I210" s="164">
        <f t="shared" si="26"/>
        <v>0</v>
      </c>
      <c r="J210" s="166">
        <f t="shared" si="27"/>
        <v>0</v>
      </c>
      <c r="K210" s="166">
        <f t="shared" si="28"/>
        <v>0</v>
      </c>
    </row>
    <row r="211" spans="1:13" ht="18.75" customHeight="1">
      <c r="A211" s="98" t="s">
        <v>557</v>
      </c>
      <c r="B211" s="102" t="s">
        <v>558</v>
      </c>
      <c r="C211" s="100">
        <v>44163</v>
      </c>
      <c r="D211" s="101">
        <v>2176680</v>
      </c>
      <c r="E211" s="164">
        <f t="shared" si="22"/>
        <v>1.1000000000000001</v>
      </c>
      <c r="F211" s="164">
        <f t="shared" si="23"/>
        <v>2176680</v>
      </c>
      <c r="G211" s="164">
        <f t="shared" si="24"/>
        <v>0</v>
      </c>
      <c r="H211" s="164">
        <f t="shared" si="25"/>
        <v>0</v>
      </c>
      <c r="I211" s="164">
        <f t="shared" si="26"/>
        <v>0</v>
      </c>
      <c r="J211" s="166">
        <f t="shared" si="27"/>
        <v>0</v>
      </c>
      <c r="K211" s="166">
        <f t="shared" si="28"/>
        <v>0</v>
      </c>
    </row>
    <row r="214" spans="1:13" ht="43.5" customHeight="1">
      <c r="A214" s="461" t="s">
        <v>563</v>
      </c>
      <c r="B214" s="461"/>
      <c r="C214" s="114"/>
      <c r="D214" s="114"/>
      <c r="E214" s="114"/>
      <c r="F214" s="114"/>
      <c r="G214" s="114"/>
      <c r="H214" s="114"/>
      <c r="I214" s="172"/>
      <c r="J214" s="173"/>
    </row>
    <row r="215" spans="1:13" ht="43.5" customHeight="1">
      <c r="A215" s="114"/>
      <c r="B215" s="115"/>
      <c r="C215" s="175">
        <v>44561</v>
      </c>
      <c r="D215" s="115"/>
      <c r="E215" s="114"/>
      <c r="F215" s="115"/>
      <c r="G215" s="175">
        <v>44196</v>
      </c>
      <c r="H215" s="115"/>
      <c r="I215" s="172"/>
      <c r="J215" s="224">
        <v>2022</v>
      </c>
    </row>
    <row r="216" spans="1:13" ht="43.5" customHeight="1">
      <c r="A216" s="114"/>
      <c r="B216" s="176" t="s">
        <v>564</v>
      </c>
      <c r="C216" s="177" t="s">
        <v>565</v>
      </c>
      <c r="D216" s="178" t="s">
        <v>566</v>
      </c>
      <c r="E216" s="114"/>
      <c r="F216" s="178" t="s">
        <v>567</v>
      </c>
      <c r="G216" s="177" t="s">
        <v>565</v>
      </c>
      <c r="H216" s="178" t="s">
        <v>566</v>
      </c>
      <c r="I216" s="172"/>
      <c r="J216" s="173"/>
    </row>
    <row r="217" spans="1:13" ht="43.5" customHeight="1">
      <c r="A217" s="179" t="s">
        <v>568</v>
      </c>
      <c r="B217" s="114"/>
      <c r="C217" s="114"/>
      <c r="D217" s="114"/>
      <c r="E217" s="114"/>
      <c r="F217" s="114"/>
      <c r="G217" s="114"/>
      <c r="H217" s="114"/>
      <c r="I217" s="172"/>
      <c r="J217" s="173"/>
    </row>
    <row r="218" spans="1:13" ht="18.75" customHeight="1">
      <c r="A218" s="118" t="s">
        <v>569</v>
      </c>
      <c r="B218" s="118" t="s">
        <v>570</v>
      </c>
      <c r="C218" s="117">
        <v>57601406</v>
      </c>
      <c r="D218" s="117">
        <v>17280422</v>
      </c>
      <c r="E218" s="114"/>
      <c r="F218" s="118" t="s">
        <v>571</v>
      </c>
      <c r="G218" s="117">
        <v>57601406</v>
      </c>
      <c r="H218" s="117">
        <v>28800703</v>
      </c>
      <c r="I218" s="172"/>
      <c r="J218" s="173">
        <v>57601406</v>
      </c>
      <c r="K218" s="174">
        <f>+J218-C218</f>
        <v>0</v>
      </c>
      <c r="L218" s="163" t="s">
        <v>660</v>
      </c>
    </row>
    <row r="219" spans="1:13" ht="18.75" customHeight="1">
      <c r="A219" s="118" t="s">
        <v>572</v>
      </c>
      <c r="B219" s="118" t="s">
        <v>570</v>
      </c>
      <c r="C219" s="117">
        <v>1699946400</v>
      </c>
      <c r="D219" s="117">
        <v>509983920</v>
      </c>
      <c r="E219" s="114"/>
      <c r="F219" s="118" t="s">
        <v>571</v>
      </c>
      <c r="G219" s="117">
        <v>2299946400</v>
      </c>
      <c r="H219" s="117">
        <v>1149973200</v>
      </c>
      <c r="I219" s="172"/>
      <c r="J219" s="173">
        <v>1699946400</v>
      </c>
      <c r="K219" s="174">
        <f>+J219-C219</f>
        <v>0</v>
      </c>
      <c r="L219" s="163" t="s">
        <v>687</v>
      </c>
    </row>
    <row r="220" spans="1:13" ht="18.75" customHeight="1">
      <c r="A220" s="118" t="s">
        <v>573</v>
      </c>
      <c r="B220" s="118" t="s">
        <v>574</v>
      </c>
      <c r="C220" s="116" t="s">
        <v>575</v>
      </c>
      <c r="D220" s="116" t="s">
        <v>575</v>
      </c>
      <c r="E220" s="114"/>
      <c r="F220" s="118" t="s">
        <v>574</v>
      </c>
      <c r="G220" s="117">
        <v>6697086</v>
      </c>
      <c r="H220" s="117">
        <v>4687960</v>
      </c>
      <c r="I220" s="172"/>
      <c r="J220" s="173">
        <v>0</v>
      </c>
    </row>
    <row r="221" spans="1:13" s="183" customFormat="1" ht="18.75" customHeight="1">
      <c r="A221" s="126" t="s">
        <v>561</v>
      </c>
      <c r="B221" s="126" t="s">
        <v>594</v>
      </c>
      <c r="C221" s="129">
        <v>150695523</v>
      </c>
      <c r="D221" s="129">
        <v>75347761</v>
      </c>
      <c r="E221" s="127"/>
      <c r="F221" s="126" t="s">
        <v>562</v>
      </c>
      <c r="G221" s="129">
        <v>150695523</v>
      </c>
      <c r="H221" s="129">
        <v>105486866</v>
      </c>
      <c r="I221" s="180"/>
      <c r="J221" s="181">
        <v>0</v>
      </c>
      <c r="K221" s="182">
        <f>+J221-C221</f>
        <v>-150695523</v>
      </c>
      <c r="L221" s="183" t="s">
        <v>688</v>
      </c>
      <c r="M221" s="234">
        <f>+C221-D221</f>
        <v>75347762</v>
      </c>
    </row>
    <row r="222" spans="1:13" s="183" customFormat="1" ht="18.75" customHeight="1">
      <c r="A222" s="126" t="s">
        <v>561</v>
      </c>
      <c r="B222" s="126" t="s">
        <v>595</v>
      </c>
      <c r="C222" s="129">
        <v>1037278791</v>
      </c>
      <c r="D222" s="129">
        <v>311183637</v>
      </c>
      <c r="E222" s="127"/>
      <c r="F222" s="126" t="s">
        <v>594</v>
      </c>
      <c r="G222" s="129">
        <v>1876440374</v>
      </c>
      <c r="H222" s="129">
        <v>938220187</v>
      </c>
      <c r="I222" s="180"/>
      <c r="J222" s="181">
        <v>0</v>
      </c>
      <c r="K222" s="182">
        <f>+J222-C222</f>
        <v>-1037278791</v>
      </c>
      <c r="L222" s="183" t="s">
        <v>688</v>
      </c>
      <c r="M222" s="234">
        <f>+C222-D222</f>
        <v>726095154</v>
      </c>
    </row>
    <row r="223" spans="1:13" s="183" customFormat="1" ht="18.75" customHeight="1">
      <c r="A223" s="126" t="s">
        <v>561</v>
      </c>
      <c r="B223" s="126" t="s">
        <v>595</v>
      </c>
      <c r="C223" s="128" t="s">
        <v>58</v>
      </c>
      <c r="D223" s="128" t="s">
        <v>58</v>
      </c>
      <c r="E223" s="127"/>
      <c r="F223" s="126" t="s">
        <v>595</v>
      </c>
      <c r="G223" s="129">
        <v>438479589</v>
      </c>
      <c r="H223" s="129">
        <v>131543877</v>
      </c>
      <c r="I223" s="180"/>
      <c r="J223" s="181">
        <v>0</v>
      </c>
      <c r="K223" s="182"/>
    </row>
    <row r="224" spans="1:13" s="183" customFormat="1" ht="18.75" customHeight="1">
      <c r="A224" s="126" t="s">
        <v>561</v>
      </c>
      <c r="B224" s="126" t="s">
        <v>596</v>
      </c>
      <c r="C224" s="128" t="s">
        <v>58</v>
      </c>
      <c r="D224" s="128" t="s">
        <v>58</v>
      </c>
      <c r="E224" s="127"/>
      <c r="F224" s="126" t="s">
        <v>596</v>
      </c>
      <c r="G224" s="129">
        <v>380848114</v>
      </c>
      <c r="H224" s="128" t="s">
        <v>58</v>
      </c>
      <c r="I224" s="180"/>
      <c r="J224" s="181">
        <v>0</v>
      </c>
      <c r="K224" s="182"/>
    </row>
    <row r="225" spans="1:13" ht="18.75" customHeight="1">
      <c r="A225" s="118" t="s">
        <v>577</v>
      </c>
      <c r="B225" s="118" t="s">
        <v>570</v>
      </c>
      <c r="C225" s="117">
        <v>387033948</v>
      </c>
      <c r="D225" s="117">
        <v>116110184</v>
      </c>
      <c r="E225" s="114"/>
      <c r="F225" s="118" t="s">
        <v>571</v>
      </c>
      <c r="G225" s="117">
        <v>387033948</v>
      </c>
      <c r="H225" s="117">
        <v>193516974</v>
      </c>
      <c r="I225" s="172"/>
      <c r="J225" s="173">
        <v>387033948</v>
      </c>
      <c r="K225" s="174">
        <f t="shared" ref="K225:K235" si="29">+J225-C225</f>
        <v>0</v>
      </c>
      <c r="L225" s="163" t="s">
        <v>660</v>
      </c>
    </row>
    <row r="226" spans="1:13" s="187" customFormat="1" ht="18.75" customHeight="1">
      <c r="A226" s="125" t="s">
        <v>597</v>
      </c>
      <c r="B226" s="125" t="s">
        <v>562</v>
      </c>
      <c r="C226" s="122">
        <v>3933072</v>
      </c>
      <c r="D226" s="122">
        <v>2753150</v>
      </c>
      <c r="E226" s="123"/>
      <c r="F226" s="125" t="s">
        <v>562</v>
      </c>
      <c r="G226" s="124" t="s">
        <v>58</v>
      </c>
      <c r="H226" s="124" t="s">
        <v>58</v>
      </c>
      <c r="I226" s="184"/>
      <c r="J226" s="185">
        <v>3933072</v>
      </c>
      <c r="K226" s="186">
        <f t="shared" si="29"/>
        <v>0</v>
      </c>
    </row>
    <row r="227" spans="1:13" s="187" customFormat="1" ht="18.75" customHeight="1">
      <c r="A227" s="125" t="s">
        <v>597</v>
      </c>
      <c r="B227" s="125" t="s">
        <v>594</v>
      </c>
      <c r="C227" s="122">
        <v>24784599</v>
      </c>
      <c r="D227" s="122">
        <v>12392299</v>
      </c>
      <c r="E227" s="123"/>
      <c r="F227" s="125" t="s">
        <v>562</v>
      </c>
      <c r="G227" s="122">
        <v>24784599</v>
      </c>
      <c r="H227" s="122">
        <v>17349219</v>
      </c>
      <c r="I227" s="184"/>
      <c r="J227" s="185">
        <v>39799893</v>
      </c>
      <c r="K227" s="186">
        <f>+J227-C227-C228</f>
        <v>-162411</v>
      </c>
      <c r="L227" s="187" t="s">
        <v>644</v>
      </c>
      <c r="M227" s="223">
        <f>+J226+J227</f>
        <v>43732965</v>
      </c>
    </row>
    <row r="228" spans="1:13" s="187" customFormat="1" ht="18.75" customHeight="1">
      <c r="A228" s="125" t="s">
        <v>597</v>
      </c>
      <c r="B228" s="125" t="s">
        <v>594</v>
      </c>
      <c r="C228" s="122">
        <v>15177705</v>
      </c>
      <c r="D228" s="122">
        <v>7588852</v>
      </c>
      <c r="E228" s="123"/>
      <c r="F228" s="125" t="s">
        <v>594</v>
      </c>
      <c r="G228" s="124" t="s">
        <v>58</v>
      </c>
      <c r="H228" s="124" t="s">
        <v>58</v>
      </c>
      <c r="I228" s="184"/>
      <c r="J228" s="185"/>
      <c r="K228" s="186"/>
    </row>
    <row r="229" spans="1:13" ht="18.75" customHeight="1">
      <c r="A229" s="118" t="s">
        <v>578</v>
      </c>
      <c r="B229" s="118" t="s">
        <v>576</v>
      </c>
      <c r="C229" s="116" t="s">
        <v>575</v>
      </c>
      <c r="D229" s="116" t="s">
        <v>575</v>
      </c>
      <c r="E229" s="114"/>
      <c r="F229" s="118" t="s">
        <v>576</v>
      </c>
      <c r="G229" s="117">
        <v>14910315</v>
      </c>
      <c r="H229" s="116" t="s">
        <v>575</v>
      </c>
      <c r="I229" s="172"/>
      <c r="J229" s="173"/>
    </row>
    <row r="230" spans="1:13" s="171" customFormat="1" ht="18.75" customHeight="1">
      <c r="A230" s="158" t="s">
        <v>579</v>
      </c>
      <c r="B230" s="158" t="s">
        <v>576</v>
      </c>
      <c r="C230" s="134">
        <v>392279594</v>
      </c>
      <c r="D230" s="136" t="s">
        <v>575</v>
      </c>
      <c r="E230" s="135"/>
      <c r="F230" s="158" t="s">
        <v>576</v>
      </c>
      <c r="G230" s="134">
        <v>392279594</v>
      </c>
      <c r="H230" s="136" t="s">
        <v>575</v>
      </c>
      <c r="I230" s="188"/>
      <c r="J230" s="189">
        <v>392279594</v>
      </c>
      <c r="K230" s="190">
        <f t="shared" si="29"/>
        <v>0</v>
      </c>
      <c r="L230" s="171" t="s">
        <v>659</v>
      </c>
    </row>
    <row r="231" spans="1:13" ht="18.75" hidden="1" customHeight="1">
      <c r="A231" s="118" t="s">
        <v>580</v>
      </c>
      <c r="B231" s="118" t="s">
        <v>574</v>
      </c>
      <c r="C231" s="116" t="s">
        <v>575</v>
      </c>
      <c r="D231" s="116" t="s">
        <v>575</v>
      </c>
      <c r="E231" s="114"/>
      <c r="F231" s="118" t="s">
        <v>574</v>
      </c>
      <c r="G231" s="117">
        <v>1446484</v>
      </c>
      <c r="H231" s="117">
        <v>1012539</v>
      </c>
      <c r="I231" s="172"/>
      <c r="J231" s="173"/>
    </row>
    <row r="232" spans="1:13" s="171" customFormat="1" ht="18.75" customHeight="1">
      <c r="A232" s="158" t="s">
        <v>598</v>
      </c>
      <c r="B232" s="158" t="s">
        <v>574</v>
      </c>
      <c r="C232" s="134">
        <v>68750887</v>
      </c>
      <c r="D232" s="134">
        <v>48125621</v>
      </c>
      <c r="E232" s="135"/>
      <c r="F232" s="158" t="s">
        <v>574</v>
      </c>
      <c r="G232" s="136" t="s">
        <v>575</v>
      </c>
      <c r="H232" s="136" t="s">
        <v>575</v>
      </c>
      <c r="I232" s="188"/>
      <c r="J232" s="189"/>
      <c r="K232" s="190">
        <f t="shared" si="29"/>
        <v>-68750887</v>
      </c>
      <c r="L232" s="171" t="s">
        <v>657</v>
      </c>
    </row>
    <row r="233" spans="1:13" ht="18.75" customHeight="1">
      <c r="A233" s="118" t="s">
        <v>581</v>
      </c>
      <c r="B233" s="118" t="s">
        <v>574</v>
      </c>
      <c r="C233" s="117">
        <v>20870476</v>
      </c>
      <c r="D233" s="117">
        <v>14609333</v>
      </c>
      <c r="E233" s="114"/>
      <c r="F233" s="118" t="s">
        <v>574</v>
      </c>
      <c r="G233" s="116" t="s">
        <v>575</v>
      </c>
      <c r="H233" s="116" t="s">
        <v>575</v>
      </c>
      <c r="I233" s="172"/>
      <c r="J233" s="173">
        <v>20870476</v>
      </c>
      <c r="K233" s="174">
        <f t="shared" si="29"/>
        <v>0</v>
      </c>
      <c r="L233" s="163" t="s">
        <v>696</v>
      </c>
    </row>
    <row r="234" spans="1:13" ht="18.75" customHeight="1">
      <c r="A234" s="118" t="s">
        <v>599</v>
      </c>
      <c r="B234" s="118" t="s">
        <v>574</v>
      </c>
      <c r="C234" s="117">
        <v>221370709</v>
      </c>
      <c r="D234" s="117">
        <v>154959496</v>
      </c>
      <c r="E234" s="114"/>
      <c r="F234" s="118" t="s">
        <v>574</v>
      </c>
      <c r="G234" s="116" t="s">
        <v>575</v>
      </c>
      <c r="H234" s="116" t="s">
        <v>575</v>
      </c>
      <c r="I234" s="172"/>
      <c r="J234" s="173">
        <v>0</v>
      </c>
      <c r="K234" s="174">
        <f t="shared" si="29"/>
        <v>-221370709</v>
      </c>
      <c r="L234" s="163" t="s">
        <v>600</v>
      </c>
    </row>
    <row r="235" spans="1:13" s="171" customFormat="1" ht="18.75" customHeight="1">
      <c r="A235" s="158" t="s">
        <v>582</v>
      </c>
      <c r="B235" s="158" t="s">
        <v>574</v>
      </c>
      <c r="C235" s="134">
        <v>899652241</v>
      </c>
      <c r="D235" s="134">
        <v>629756569</v>
      </c>
      <c r="E235" s="135"/>
      <c r="F235" s="158" t="s">
        <v>574</v>
      </c>
      <c r="G235" s="136" t="s">
        <v>575</v>
      </c>
      <c r="H235" s="136" t="s">
        <v>575</v>
      </c>
      <c r="I235" s="188"/>
      <c r="J235" s="189"/>
      <c r="K235" s="190">
        <f t="shared" si="29"/>
        <v>-899652241</v>
      </c>
      <c r="L235" s="171" t="s">
        <v>658</v>
      </c>
    </row>
    <row r="236" spans="1:13" ht="19.5" customHeight="1">
      <c r="A236" s="458" t="s">
        <v>583</v>
      </c>
      <c r="B236" s="458"/>
      <c r="C236" s="191" t="s">
        <v>584</v>
      </c>
      <c r="D236" s="191" t="s">
        <v>584</v>
      </c>
      <c r="E236" s="114"/>
      <c r="F236" s="114"/>
      <c r="G236" s="192" t="s">
        <v>585</v>
      </c>
      <c r="H236" s="193" t="s">
        <v>586</v>
      </c>
      <c r="I236" s="172"/>
      <c r="J236" s="173"/>
    </row>
    <row r="237" spans="1:13" ht="19.5" customHeight="1">
      <c r="A237" s="459"/>
      <c r="B237" s="459"/>
      <c r="C237" s="119">
        <v>4979375351</v>
      </c>
      <c r="D237" s="119">
        <v>1900091244</v>
      </c>
      <c r="E237" s="114"/>
      <c r="F237" s="114"/>
      <c r="G237" s="119">
        <v>6031163432</v>
      </c>
      <c r="H237" s="119">
        <v>2570591525</v>
      </c>
      <c r="I237" s="172"/>
      <c r="J237" s="173"/>
    </row>
    <row r="238" spans="1:13" ht="19.5" customHeight="1">
      <c r="D238" s="194">
        <f>+C237-D237</f>
        <v>3079284107</v>
      </c>
      <c r="H238" s="194">
        <f>+G237-H237</f>
        <v>3460571907</v>
      </c>
    </row>
    <row r="239" spans="1:13" ht="19.5" customHeight="1"/>
    <row r="240" spans="1:13" ht="23.25" customHeight="1">
      <c r="A240" s="468" t="s">
        <v>587</v>
      </c>
      <c r="B240" s="468"/>
      <c r="C240" s="468"/>
      <c r="D240" s="468"/>
      <c r="E240" s="468"/>
      <c r="F240" s="468"/>
    </row>
    <row r="241" spans="1:6" ht="23.25" customHeight="1">
      <c r="A241" s="114"/>
      <c r="B241" s="114"/>
      <c r="C241" s="114"/>
      <c r="D241" s="114"/>
      <c r="E241" s="179" t="s">
        <v>588</v>
      </c>
      <c r="F241" s="195" t="s">
        <v>589</v>
      </c>
    </row>
    <row r="242" spans="1:6" ht="23.25" customHeight="1">
      <c r="A242" s="196" t="s">
        <v>590</v>
      </c>
      <c r="B242" s="196"/>
      <c r="C242" s="114"/>
      <c r="D242" s="455">
        <v>3460571907</v>
      </c>
      <c r="E242" s="455"/>
      <c r="F242" s="197" t="s">
        <v>584</v>
      </c>
    </row>
    <row r="243" spans="1:6" ht="23.25" customHeight="1">
      <c r="A243" s="196" t="s">
        <v>591</v>
      </c>
      <c r="B243" s="196"/>
      <c r="C243" s="114"/>
      <c r="D243" s="455">
        <v>680753125</v>
      </c>
      <c r="E243" s="455"/>
      <c r="F243" s="198">
        <v>3460571907</v>
      </c>
    </row>
    <row r="244" spans="1:6" ht="23.25" customHeight="1">
      <c r="A244" s="196" t="s">
        <v>592</v>
      </c>
      <c r="B244" s="196"/>
      <c r="C244" s="114"/>
      <c r="D244" s="456">
        <v>-1062040925</v>
      </c>
      <c r="E244" s="456"/>
      <c r="F244" s="191" t="s">
        <v>584</v>
      </c>
    </row>
    <row r="245" spans="1:6" ht="23.25" customHeight="1">
      <c r="A245" s="196" t="s">
        <v>593</v>
      </c>
      <c r="B245" s="196"/>
      <c r="C245" s="114"/>
      <c r="D245" s="457">
        <v>3079284107</v>
      </c>
      <c r="E245" s="457"/>
      <c r="F245" s="199">
        <v>3460571907</v>
      </c>
    </row>
  </sheetData>
  <autoFilter ref="A2:K211">
    <filterColumn colId="4" showButton="0"/>
    <filterColumn colId="5" showButton="0"/>
    <filterColumn colId="6" showButton="0"/>
    <filterColumn colId="7" showButton="0"/>
    <filterColumn colId="8" showButton="0"/>
  </autoFilter>
  <mergeCells count="14">
    <mergeCell ref="K2:K4"/>
    <mergeCell ref="A214:B214"/>
    <mergeCell ref="A2:A4"/>
    <mergeCell ref="B2:B4"/>
    <mergeCell ref="A240:F240"/>
    <mergeCell ref="C2:C4"/>
    <mergeCell ref="D2:D4"/>
    <mergeCell ref="E2:J2"/>
    <mergeCell ref="D242:E242"/>
    <mergeCell ref="D244:E244"/>
    <mergeCell ref="D245:E245"/>
    <mergeCell ref="D243:E243"/>
    <mergeCell ref="A236:B236"/>
    <mergeCell ref="A237:B237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140"/>
  <sheetViews>
    <sheetView topLeftCell="A124" workbookViewId="0">
      <selection activeCell="L108" sqref="L108"/>
    </sheetView>
  </sheetViews>
  <sheetFormatPr defaultRowHeight="15.75"/>
  <cols>
    <col min="2" max="2" width="16.125" customWidth="1"/>
    <col min="3" max="3" width="47.25" customWidth="1"/>
    <col min="5" max="5" width="12.125" customWidth="1"/>
    <col min="6" max="7" width="11.125" bestFit="1" customWidth="1"/>
    <col min="9" max="9" width="12.125" bestFit="1" customWidth="1"/>
    <col min="10" max="10" width="12.25" customWidth="1"/>
    <col min="11" max="11" width="11.625" customWidth="1"/>
    <col min="13" max="13" width="10.375" bestFit="1" customWidth="1"/>
  </cols>
  <sheetData>
    <row r="1" spans="1:9">
      <c r="A1" s="81">
        <v>42947</v>
      </c>
      <c r="B1" s="82" t="s">
        <v>423</v>
      </c>
      <c r="C1" s="83" t="s">
        <v>424</v>
      </c>
      <c r="D1" s="82">
        <v>5111</v>
      </c>
      <c r="E1" s="84">
        <v>19213770</v>
      </c>
      <c r="G1" t="s">
        <v>429</v>
      </c>
    </row>
    <row r="2" spans="1:9">
      <c r="A2" s="81">
        <v>42947</v>
      </c>
      <c r="B2" s="82" t="s">
        <v>423</v>
      </c>
      <c r="C2" s="83" t="s">
        <v>425</v>
      </c>
      <c r="D2" s="82">
        <v>33311</v>
      </c>
      <c r="E2" s="84">
        <v>1921377</v>
      </c>
      <c r="F2" s="86">
        <f>+E2+E1</f>
        <v>21135147</v>
      </c>
    </row>
    <row r="3" spans="1:9">
      <c r="A3" s="81">
        <v>43069</v>
      </c>
      <c r="B3" s="82">
        <v>0</v>
      </c>
      <c r="C3" s="83" t="s">
        <v>426</v>
      </c>
      <c r="D3" s="82" t="s">
        <v>150</v>
      </c>
      <c r="E3" s="84">
        <v>0</v>
      </c>
      <c r="F3" s="84">
        <v>11498772</v>
      </c>
      <c r="G3" s="86">
        <f>+E1+E2-F3</f>
        <v>9636375</v>
      </c>
    </row>
    <row r="4" spans="1:9" ht="18">
      <c r="A4" s="87"/>
      <c r="B4" s="88"/>
      <c r="C4" s="89"/>
      <c r="D4" s="87"/>
      <c r="E4" s="90"/>
      <c r="F4" s="85"/>
      <c r="G4" s="85">
        <v>55618.5</v>
      </c>
      <c r="H4" t="s">
        <v>427</v>
      </c>
      <c r="I4" t="s">
        <v>428</v>
      </c>
    </row>
    <row r="5" spans="1:9" ht="18">
      <c r="A5" s="87">
        <v>415</v>
      </c>
      <c r="B5" s="88">
        <v>43130</v>
      </c>
      <c r="C5" s="89" t="s">
        <v>424</v>
      </c>
      <c r="D5" s="87">
        <v>5111</v>
      </c>
      <c r="E5" s="90">
        <v>27421380</v>
      </c>
      <c r="F5" s="85"/>
      <c r="G5" s="85">
        <f>+E5+E6</f>
        <v>30163518</v>
      </c>
    </row>
    <row r="6" spans="1:9" ht="18">
      <c r="A6" s="87">
        <v>415</v>
      </c>
      <c r="B6" s="88">
        <v>43130</v>
      </c>
      <c r="C6" s="89" t="s">
        <v>425</v>
      </c>
      <c r="D6" s="87">
        <v>33311</v>
      </c>
      <c r="E6" s="90">
        <v>2742138</v>
      </c>
      <c r="F6" s="85"/>
      <c r="G6" s="85"/>
    </row>
    <row r="7" spans="1:9">
      <c r="G7">
        <v>53394</v>
      </c>
      <c r="H7" t="s">
        <v>427</v>
      </c>
      <c r="I7" t="s">
        <v>433</v>
      </c>
    </row>
    <row r="8" spans="1:9">
      <c r="A8" s="91"/>
      <c r="B8" s="75"/>
      <c r="C8" s="92"/>
      <c r="D8" s="75"/>
      <c r="E8" s="94"/>
      <c r="F8" s="93"/>
      <c r="G8" s="94">
        <v>53399</v>
      </c>
      <c r="H8" t="s">
        <v>427</v>
      </c>
      <c r="I8" t="s">
        <v>434</v>
      </c>
    </row>
    <row r="9" spans="1:9">
      <c r="A9" s="91"/>
      <c r="B9" s="75"/>
      <c r="C9" s="92"/>
      <c r="D9" s="75"/>
      <c r="E9" s="94"/>
      <c r="F9" s="93"/>
      <c r="G9" s="94"/>
    </row>
    <row r="10" spans="1:9">
      <c r="G10" s="95">
        <f>+G4+G7+G8</f>
        <v>162411.5</v>
      </c>
    </row>
    <row r="11" spans="1:9">
      <c r="A11" s="75"/>
      <c r="B11" s="75" t="s">
        <v>414</v>
      </c>
      <c r="C11" s="92" t="s">
        <v>437</v>
      </c>
      <c r="D11" s="75" t="s">
        <v>431</v>
      </c>
      <c r="E11" s="94">
        <v>3575520</v>
      </c>
      <c r="F11" s="93">
        <f>+E11+E12</f>
        <v>3933072</v>
      </c>
      <c r="G11" s="94">
        <f>+F11</f>
        <v>3933072</v>
      </c>
    </row>
    <row r="12" spans="1:9">
      <c r="A12" s="75"/>
      <c r="B12" s="75" t="s">
        <v>414</v>
      </c>
      <c r="C12" s="92" t="s">
        <v>438</v>
      </c>
      <c r="D12" s="75" t="s">
        <v>432</v>
      </c>
      <c r="E12" s="94">
        <v>357552</v>
      </c>
      <c r="F12" s="93"/>
      <c r="G12" s="94"/>
    </row>
    <row r="13" spans="1:9">
      <c r="G13" s="86">
        <f>+G11+G5+G3</f>
        <v>43732965</v>
      </c>
    </row>
    <row r="16" spans="1:9">
      <c r="A16" s="81">
        <v>42947</v>
      </c>
      <c r="B16" s="82" t="s">
        <v>423</v>
      </c>
      <c r="C16" s="83" t="s">
        <v>424</v>
      </c>
      <c r="D16" s="82">
        <v>5111</v>
      </c>
      <c r="E16" s="84">
        <v>19213770</v>
      </c>
      <c r="G16" t="s">
        <v>560</v>
      </c>
    </row>
    <row r="17" spans="1:8">
      <c r="A17" s="81">
        <v>42947</v>
      </c>
      <c r="B17" s="82" t="s">
        <v>423</v>
      </c>
      <c r="C17" s="83" t="s">
        <v>425</v>
      </c>
      <c r="D17" s="82">
        <v>33311</v>
      </c>
      <c r="E17" s="84">
        <v>1921377</v>
      </c>
      <c r="F17" s="86">
        <f>+E17+E16</f>
        <v>21135147</v>
      </c>
    </row>
    <row r="18" spans="1:8">
      <c r="A18" s="81">
        <v>43069</v>
      </c>
      <c r="B18" s="82">
        <v>0</v>
      </c>
      <c r="C18" s="83" t="s">
        <v>426</v>
      </c>
      <c r="D18" s="82" t="s">
        <v>150</v>
      </c>
      <c r="E18" s="84">
        <v>0</v>
      </c>
      <c r="F18" s="84">
        <v>11498772</v>
      </c>
      <c r="G18" s="107">
        <f>+E16+E17-F18</f>
        <v>9636375</v>
      </c>
    </row>
    <row r="19" spans="1:8" ht="18">
      <c r="A19" s="87"/>
      <c r="B19" s="88"/>
      <c r="C19" s="89"/>
      <c r="D19" s="87"/>
      <c r="E19" s="90"/>
      <c r="F19" s="85"/>
      <c r="G19" s="85"/>
    </row>
    <row r="20" spans="1:8" ht="18">
      <c r="A20" s="87">
        <v>415</v>
      </c>
      <c r="B20" s="88">
        <v>43130</v>
      </c>
      <c r="C20" s="89" t="s">
        <v>424</v>
      </c>
      <c r="D20" s="87">
        <v>5111</v>
      </c>
      <c r="E20" s="90">
        <v>27421380</v>
      </c>
      <c r="F20" s="85"/>
      <c r="G20" s="106">
        <f>+E20+E21</f>
        <v>30163518</v>
      </c>
    </row>
    <row r="21" spans="1:8" ht="18">
      <c r="A21" s="87">
        <v>415</v>
      </c>
      <c r="B21" s="88">
        <v>43130</v>
      </c>
      <c r="C21" s="89" t="s">
        <v>425</v>
      </c>
      <c r="D21" s="87">
        <v>33311</v>
      </c>
      <c r="E21" s="90">
        <v>2742138</v>
      </c>
      <c r="F21" s="85"/>
      <c r="G21" s="85"/>
      <c r="H21">
        <v>39799893</v>
      </c>
    </row>
    <row r="23" spans="1:8">
      <c r="A23" s="75"/>
      <c r="B23" s="75" t="s">
        <v>414</v>
      </c>
      <c r="C23" s="92" t="s">
        <v>437</v>
      </c>
      <c r="D23" s="75" t="s">
        <v>431</v>
      </c>
      <c r="E23" s="94">
        <v>3575520</v>
      </c>
      <c r="F23" s="93">
        <f>+E23+E24</f>
        <v>3933072</v>
      </c>
      <c r="G23" s="105">
        <f>+F23</f>
        <v>3933072</v>
      </c>
    </row>
    <row r="24" spans="1:8">
      <c r="A24" s="75"/>
      <c r="B24" s="75" t="s">
        <v>414</v>
      </c>
      <c r="C24" s="92" t="s">
        <v>438</v>
      </c>
      <c r="D24" s="75" t="s">
        <v>432</v>
      </c>
      <c r="E24" s="94">
        <v>357552</v>
      </c>
      <c r="F24" s="93"/>
      <c r="G24" s="108">
        <f>SUM(G18:G23)</f>
        <v>43732965</v>
      </c>
    </row>
    <row r="28" spans="1:8" ht="33">
      <c r="A28" s="66" t="s">
        <v>411</v>
      </c>
      <c r="B28" s="57">
        <v>44722</v>
      </c>
      <c r="C28" s="58" t="s">
        <v>412</v>
      </c>
      <c r="D28" s="59">
        <v>6417</v>
      </c>
      <c r="E28" s="60" t="s">
        <v>79</v>
      </c>
      <c r="F28" s="60" t="s">
        <v>79</v>
      </c>
      <c r="G28" s="76">
        <v>7293236</v>
      </c>
    </row>
    <row r="29" spans="1:8" ht="33">
      <c r="A29" s="66" t="s">
        <v>411</v>
      </c>
      <c r="B29" s="57">
        <v>44722</v>
      </c>
      <c r="C29" s="58" t="s">
        <v>412</v>
      </c>
      <c r="D29" s="59">
        <v>6427</v>
      </c>
      <c r="E29" s="60" t="s">
        <v>79</v>
      </c>
      <c r="F29" s="60" t="s">
        <v>79</v>
      </c>
      <c r="G29" s="76">
        <v>1099273</v>
      </c>
    </row>
    <row r="30" spans="1:8" ht="16.5">
      <c r="A30" s="66" t="s">
        <v>411</v>
      </c>
      <c r="B30" s="57">
        <v>44722</v>
      </c>
      <c r="C30" s="58" t="s">
        <v>413</v>
      </c>
      <c r="D30" s="59">
        <v>1331</v>
      </c>
      <c r="E30" s="60" t="s">
        <v>79</v>
      </c>
      <c r="F30" s="60" t="s">
        <v>79</v>
      </c>
      <c r="G30" s="76">
        <v>839251</v>
      </c>
    </row>
    <row r="31" spans="1:8">
      <c r="G31" s="86">
        <f>SUM(G28:G30)</f>
        <v>9231760</v>
      </c>
    </row>
    <row r="34" spans="1:14">
      <c r="A34" s="142"/>
      <c r="B34" s="142"/>
      <c r="C34" s="143" t="s">
        <v>627</v>
      </c>
      <c r="D34" s="144" t="s">
        <v>628</v>
      </c>
      <c r="E34" s="145" t="s">
        <v>629</v>
      </c>
      <c r="F34" s="145"/>
      <c r="G34" s="145"/>
      <c r="H34" s="145"/>
    </row>
    <row r="35" spans="1:14">
      <c r="A35" s="146" t="s">
        <v>388</v>
      </c>
      <c r="B35" s="146" t="s">
        <v>630</v>
      </c>
      <c r="C35" s="147"/>
      <c r="D35" s="147" t="s">
        <v>631</v>
      </c>
      <c r="E35" s="148" t="s">
        <v>632</v>
      </c>
      <c r="F35" s="148" t="s">
        <v>633</v>
      </c>
      <c r="G35" s="148"/>
      <c r="H35" s="148"/>
    </row>
    <row r="36" spans="1:14">
      <c r="A36" s="149"/>
      <c r="B36" s="149"/>
      <c r="C36" s="150" t="s">
        <v>634</v>
      </c>
      <c r="D36" s="151">
        <v>0</v>
      </c>
      <c r="E36" s="152">
        <v>519590653</v>
      </c>
      <c r="F36" s="153">
        <v>0</v>
      </c>
      <c r="G36" s="152"/>
      <c r="H36" s="153"/>
    </row>
    <row r="37" spans="1:14">
      <c r="A37" s="91">
        <v>44222</v>
      </c>
      <c r="B37" s="75" t="s">
        <v>617</v>
      </c>
      <c r="C37" s="92" t="s">
        <v>635</v>
      </c>
      <c r="D37" s="75" t="s">
        <v>431</v>
      </c>
      <c r="E37" s="105">
        <v>221116661</v>
      </c>
      <c r="F37" s="74">
        <v>0</v>
      </c>
      <c r="G37" s="105"/>
      <c r="H37" s="74"/>
    </row>
    <row r="38" spans="1:14">
      <c r="A38" s="91">
        <v>44222</v>
      </c>
      <c r="B38" s="75" t="s">
        <v>617</v>
      </c>
      <c r="C38" s="92" t="s">
        <v>636</v>
      </c>
      <c r="D38" s="75" t="s">
        <v>432</v>
      </c>
      <c r="E38" s="105">
        <v>22111666</v>
      </c>
      <c r="F38" s="74">
        <v>0</v>
      </c>
      <c r="G38" s="105"/>
      <c r="H38" s="74"/>
    </row>
    <row r="39" spans="1:14">
      <c r="A39" s="91">
        <v>44231</v>
      </c>
      <c r="B39" s="75" t="s">
        <v>470</v>
      </c>
      <c r="C39" s="92" t="s">
        <v>637</v>
      </c>
      <c r="D39" s="75" t="s">
        <v>150</v>
      </c>
      <c r="E39" s="94">
        <v>0</v>
      </c>
      <c r="F39" s="154">
        <v>72677671</v>
      </c>
      <c r="G39" s="94"/>
      <c r="H39" s="154"/>
    </row>
    <row r="40" spans="1:14">
      <c r="A40" s="91">
        <v>44254</v>
      </c>
      <c r="B40" s="75" t="s">
        <v>601</v>
      </c>
      <c r="C40" s="92" t="s">
        <v>602</v>
      </c>
      <c r="D40" s="75" t="s">
        <v>431</v>
      </c>
      <c r="E40" s="94">
        <v>131162922</v>
      </c>
      <c r="F40" s="154">
        <v>0</v>
      </c>
      <c r="G40" s="94"/>
      <c r="H40" s="154"/>
    </row>
    <row r="41" spans="1:14">
      <c r="A41" s="91">
        <v>44254</v>
      </c>
      <c r="B41" s="75" t="s">
        <v>601</v>
      </c>
      <c r="C41" s="92" t="s">
        <v>603</v>
      </c>
      <c r="D41" s="75" t="s">
        <v>432</v>
      </c>
      <c r="E41" s="94">
        <v>13116292</v>
      </c>
      <c r="F41" s="154">
        <v>0</v>
      </c>
      <c r="G41" s="94"/>
      <c r="H41" s="154"/>
    </row>
    <row r="42" spans="1:14">
      <c r="A42" s="91">
        <v>44267</v>
      </c>
      <c r="B42" s="75" t="s">
        <v>471</v>
      </c>
      <c r="C42" s="92" t="s">
        <v>604</v>
      </c>
      <c r="D42" s="75" t="s">
        <v>150</v>
      </c>
      <c r="E42" s="94">
        <v>0</v>
      </c>
      <c r="F42" s="154">
        <v>99972500</v>
      </c>
      <c r="G42" s="94"/>
      <c r="H42" s="154"/>
    </row>
    <row r="43" spans="1:14">
      <c r="A43" s="91">
        <v>44286</v>
      </c>
      <c r="B43" s="75" t="s">
        <v>605</v>
      </c>
      <c r="C43" s="92" t="s">
        <v>606</v>
      </c>
      <c r="D43" s="75" t="s">
        <v>431</v>
      </c>
      <c r="E43" s="94">
        <v>279488246</v>
      </c>
      <c r="F43" s="154">
        <v>0</v>
      </c>
      <c r="G43" s="94"/>
      <c r="H43" s="154"/>
    </row>
    <row r="44" spans="1:14">
      <c r="A44" s="91">
        <v>44286</v>
      </c>
      <c r="B44" s="75" t="s">
        <v>605</v>
      </c>
      <c r="C44" s="92" t="s">
        <v>607</v>
      </c>
      <c r="D44" s="75" t="s">
        <v>432</v>
      </c>
      <c r="E44" s="94">
        <v>27948825</v>
      </c>
      <c r="F44" s="154">
        <v>0</v>
      </c>
      <c r="G44" s="94"/>
      <c r="H44" s="154"/>
      <c r="I44" s="95">
        <f>+E40+E41+E43+E44</f>
        <v>451716285</v>
      </c>
      <c r="J44" s="95">
        <v>300000000</v>
      </c>
      <c r="K44" s="95">
        <f>+I44-J44</f>
        <v>151716285</v>
      </c>
      <c r="L44" t="s">
        <v>401</v>
      </c>
      <c r="M44" s="113">
        <v>44589</v>
      </c>
      <c r="N44" t="s">
        <v>402</v>
      </c>
    </row>
    <row r="45" spans="1:14" ht="24">
      <c r="A45" s="91">
        <v>44287</v>
      </c>
      <c r="B45" s="75" t="s">
        <v>79</v>
      </c>
      <c r="C45" s="92" t="s">
        <v>608</v>
      </c>
      <c r="D45" s="75" t="s">
        <v>150</v>
      </c>
      <c r="E45" s="94">
        <v>0</v>
      </c>
      <c r="F45" s="154">
        <v>175000000</v>
      </c>
      <c r="G45" s="94"/>
      <c r="H45" s="154"/>
      <c r="M45" s="113"/>
    </row>
    <row r="46" spans="1:14">
      <c r="A46" s="91">
        <v>44306</v>
      </c>
      <c r="B46" s="75" t="s">
        <v>609</v>
      </c>
      <c r="C46" s="92" t="s">
        <v>610</v>
      </c>
      <c r="D46" s="75" t="s">
        <v>150</v>
      </c>
      <c r="E46" s="94">
        <v>0</v>
      </c>
      <c r="F46" s="154">
        <v>171912982</v>
      </c>
      <c r="G46" s="94"/>
      <c r="H46" s="154"/>
    </row>
    <row r="47" spans="1:14">
      <c r="A47" s="91">
        <v>44306</v>
      </c>
      <c r="B47" s="75" t="s">
        <v>79</v>
      </c>
      <c r="C47" s="92" t="s">
        <v>384</v>
      </c>
      <c r="D47" s="75" t="s">
        <v>422</v>
      </c>
      <c r="E47" s="94">
        <v>0</v>
      </c>
      <c r="F47" s="154">
        <v>27500</v>
      </c>
      <c r="G47" s="94"/>
      <c r="H47" s="154"/>
    </row>
    <row r="48" spans="1:14">
      <c r="A48" s="91">
        <v>44315</v>
      </c>
      <c r="B48" s="75" t="s">
        <v>611</v>
      </c>
      <c r="C48" s="92" t="s">
        <v>612</v>
      </c>
      <c r="D48" s="75" t="s">
        <v>431</v>
      </c>
      <c r="E48" s="94">
        <v>295822872</v>
      </c>
      <c r="F48" s="74">
        <v>0</v>
      </c>
      <c r="G48" s="94"/>
      <c r="H48" s="74"/>
    </row>
    <row r="49" spans="1:14">
      <c r="A49" s="91">
        <v>44315</v>
      </c>
      <c r="B49" s="75" t="s">
        <v>611</v>
      </c>
      <c r="C49" s="92" t="s">
        <v>613</v>
      </c>
      <c r="D49" s="75" t="s">
        <v>432</v>
      </c>
      <c r="E49" s="94">
        <v>29582287</v>
      </c>
      <c r="F49" s="74">
        <v>0</v>
      </c>
      <c r="G49" s="94"/>
      <c r="H49" s="74"/>
      <c r="I49" s="95">
        <f>+K44+E48+E49</f>
        <v>477121444</v>
      </c>
      <c r="J49">
        <v>200000000</v>
      </c>
      <c r="K49" s="95">
        <f>+I49-J49</f>
        <v>277121444</v>
      </c>
      <c r="L49" t="s">
        <v>408</v>
      </c>
      <c r="M49" s="113">
        <v>44677</v>
      </c>
      <c r="N49" t="s">
        <v>409</v>
      </c>
    </row>
    <row r="50" spans="1:14">
      <c r="A50" s="91"/>
      <c r="B50" s="75"/>
      <c r="C50" s="92"/>
      <c r="D50" s="75"/>
      <c r="E50" s="94"/>
      <c r="F50" s="74"/>
      <c r="G50" s="94"/>
      <c r="H50" s="74"/>
      <c r="I50" s="95">
        <f>+K49</f>
        <v>277121444</v>
      </c>
      <c r="J50">
        <v>50000000</v>
      </c>
      <c r="K50" s="95">
        <f>+I50-J50</f>
        <v>227121444</v>
      </c>
      <c r="L50" t="s">
        <v>419</v>
      </c>
      <c r="M50" s="113">
        <v>44869</v>
      </c>
      <c r="N50" t="s">
        <v>420</v>
      </c>
    </row>
    <row r="51" spans="1:14">
      <c r="A51" s="91">
        <v>44344</v>
      </c>
      <c r="B51" s="75" t="s">
        <v>614</v>
      </c>
      <c r="C51" s="92" t="s">
        <v>615</v>
      </c>
      <c r="D51" s="75" t="s">
        <v>431</v>
      </c>
      <c r="E51" s="94">
        <v>384118906</v>
      </c>
      <c r="F51" s="74">
        <v>0</v>
      </c>
      <c r="G51" s="94"/>
      <c r="H51" s="74"/>
    </row>
    <row r="52" spans="1:14">
      <c r="A52" s="91">
        <v>44344</v>
      </c>
      <c r="B52" s="75" t="s">
        <v>614</v>
      </c>
      <c r="C52" s="92" t="s">
        <v>616</v>
      </c>
      <c r="D52" s="75" t="s">
        <v>432</v>
      </c>
      <c r="E52" s="94">
        <v>38411891</v>
      </c>
      <c r="F52" s="74">
        <v>0</v>
      </c>
      <c r="G52" s="94"/>
      <c r="H52" s="74"/>
    </row>
    <row r="53" spans="1:14">
      <c r="A53" s="91">
        <v>44349</v>
      </c>
      <c r="B53" s="75" t="s">
        <v>617</v>
      </c>
      <c r="C53" s="92" t="s">
        <v>618</v>
      </c>
      <c r="D53" s="75" t="s">
        <v>150</v>
      </c>
      <c r="E53" s="94">
        <v>0</v>
      </c>
      <c r="F53" s="155">
        <v>243228327</v>
      </c>
      <c r="G53" s="94"/>
      <c r="H53" s="155"/>
    </row>
    <row r="54" spans="1:14">
      <c r="A54" s="91">
        <v>44377</v>
      </c>
      <c r="B54" s="75" t="s">
        <v>619</v>
      </c>
      <c r="C54" s="92" t="s">
        <v>620</v>
      </c>
      <c r="D54" s="75" t="s">
        <v>431</v>
      </c>
      <c r="E54" s="94">
        <v>78597838</v>
      </c>
      <c r="F54" s="74">
        <v>0</v>
      </c>
      <c r="G54" s="94"/>
      <c r="H54" s="74"/>
    </row>
    <row r="55" spans="1:14">
      <c r="A55" s="91">
        <v>44377</v>
      </c>
      <c r="B55" s="75" t="s">
        <v>619</v>
      </c>
      <c r="C55" s="92" t="s">
        <v>621</v>
      </c>
      <c r="D55" s="75" t="s">
        <v>432</v>
      </c>
      <c r="E55" s="94">
        <v>7859784</v>
      </c>
      <c r="F55" s="74">
        <v>0</v>
      </c>
      <c r="G55" s="94"/>
      <c r="H55" s="74"/>
    </row>
    <row r="56" spans="1:14">
      <c r="A56" s="91">
        <v>44435</v>
      </c>
      <c r="B56" s="75" t="s">
        <v>622</v>
      </c>
      <c r="C56" s="92" t="s">
        <v>623</v>
      </c>
      <c r="D56" s="75" t="s">
        <v>431</v>
      </c>
      <c r="E56" s="94">
        <v>12399205</v>
      </c>
      <c r="F56" s="74">
        <v>0</v>
      </c>
      <c r="G56" s="94"/>
      <c r="H56" s="74"/>
    </row>
    <row r="57" spans="1:14">
      <c r="A57" s="91">
        <v>44435</v>
      </c>
      <c r="B57" s="75" t="s">
        <v>622</v>
      </c>
      <c r="C57" s="92" t="s">
        <v>624</v>
      </c>
      <c r="D57" s="75" t="s">
        <v>432</v>
      </c>
      <c r="E57" s="94">
        <v>1239921</v>
      </c>
      <c r="F57" s="74">
        <v>0</v>
      </c>
      <c r="G57" s="94"/>
      <c r="H57" s="74"/>
    </row>
    <row r="58" spans="1:14">
      <c r="A58" s="137"/>
      <c r="B58" s="137"/>
      <c r="C58" s="138" t="s">
        <v>625</v>
      </c>
      <c r="D58" s="139"/>
      <c r="E58" s="141">
        <v>1542977316</v>
      </c>
      <c r="F58" s="141">
        <v>762818980</v>
      </c>
      <c r="G58" s="141"/>
      <c r="H58" s="141"/>
    </row>
    <row r="59" spans="1:14">
      <c r="A59" s="137"/>
      <c r="B59" s="137"/>
      <c r="C59" s="138" t="s">
        <v>626</v>
      </c>
      <c r="D59" s="139"/>
      <c r="E59" s="141">
        <v>1299748989</v>
      </c>
      <c r="F59" s="141">
        <v>0</v>
      </c>
      <c r="G59" s="141"/>
      <c r="H59" s="141"/>
    </row>
    <row r="60" spans="1:14">
      <c r="K60" s="95">
        <f>+K50+SUM(E51:E57)</f>
        <v>749748989</v>
      </c>
    </row>
    <row r="61" spans="1:14" ht="33">
      <c r="A61" s="225" t="s">
        <v>415</v>
      </c>
      <c r="B61" s="226">
        <v>44837</v>
      </c>
      <c r="C61" s="227" t="s">
        <v>416</v>
      </c>
      <c r="D61" s="228">
        <v>5112</v>
      </c>
      <c r="E61" s="229">
        <v>113749650</v>
      </c>
    </row>
    <row r="62" spans="1:14" ht="16.5">
      <c r="A62" s="225" t="s">
        <v>415</v>
      </c>
      <c r="B62" s="226">
        <v>44837</v>
      </c>
      <c r="C62" s="227" t="s">
        <v>417</v>
      </c>
      <c r="D62" s="228">
        <v>33311</v>
      </c>
      <c r="E62" s="229">
        <v>9099972</v>
      </c>
    </row>
    <row r="63" spans="1:14">
      <c r="E63" s="230">
        <f>SUM(E61:E62)</f>
        <v>122849622</v>
      </c>
      <c r="K63" s="157">
        <f>+K60+E63</f>
        <v>872598611</v>
      </c>
    </row>
    <row r="68" spans="1:8">
      <c r="A68" s="91">
        <v>44166</v>
      </c>
      <c r="B68" s="75" t="s">
        <v>465</v>
      </c>
      <c r="C68" s="92" t="s">
        <v>638</v>
      </c>
      <c r="D68" s="75" t="s">
        <v>431</v>
      </c>
      <c r="E68" s="203">
        <v>218208891</v>
      </c>
      <c r="F68" s="93">
        <v>0</v>
      </c>
      <c r="G68" s="94"/>
    </row>
    <row r="69" spans="1:8">
      <c r="A69" s="91">
        <v>44166</v>
      </c>
      <c r="B69" s="75" t="s">
        <v>465</v>
      </c>
      <c r="C69" s="92" t="s">
        <v>639</v>
      </c>
      <c r="D69" s="75" t="s">
        <v>432</v>
      </c>
      <c r="E69" s="203">
        <v>21820889</v>
      </c>
      <c r="F69" s="93">
        <v>0</v>
      </c>
      <c r="G69" s="94"/>
    </row>
    <row r="70" spans="1:8">
      <c r="A70" s="91">
        <v>44167</v>
      </c>
      <c r="B70" s="75" t="s">
        <v>418</v>
      </c>
      <c r="C70" s="92" t="s">
        <v>640</v>
      </c>
      <c r="D70" s="75" t="s">
        <v>150</v>
      </c>
      <c r="E70" s="94">
        <v>0</v>
      </c>
      <c r="F70" s="93">
        <v>0</v>
      </c>
      <c r="G70" s="94"/>
    </row>
    <row r="71" spans="1:8">
      <c r="A71" s="91">
        <v>44179</v>
      </c>
      <c r="B71" s="75" t="s">
        <v>79</v>
      </c>
      <c r="C71" s="92" t="s">
        <v>641</v>
      </c>
      <c r="D71" s="75" t="s">
        <v>150</v>
      </c>
      <c r="E71" s="94">
        <v>0</v>
      </c>
      <c r="F71" s="93">
        <v>0</v>
      </c>
      <c r="G71" s="94"/>
    </row>
    <row r="72" spans="1:8">
      <c r="A72" s="91">
        <v>44195</v>
      </c>
      <c r="B72" s="75" t="s">
        <v>403</v>
      </c>
      <c r="C72" s="92" t="s">
        <v>642</v>
      </c>
      <c r="D72" s="75" t="s">
        <v>431</v>
      </c>
      <c r="E72" s="94">
        <v>292016109</v>
      </c>
      <c r="F72" s="93">
        <v>0</v>
      </c>
      <c r="G72" s="94"/>
    </row>
    <row r="73" spans="1:8">
      <c r="A73" s="91">
        <v>44195</v>
      </c>
      <c r="B73" s="75" t="s">
        <v>403</v>
      </c>
      <c r="C73" s="92" t="s">
        <v>643</v>
      </c>
      <c r="D73" s="75" t="s">
        <v>432</v>
      </c>
      <c r="E73" s="94">
        <v>29201611</v>
      </c>
      <c r="F73" s="93">
        <v>0</v>
      </c>
      <c r="G73" s="94"/>
    </row>
    <row r="74" spans="1:8">
      <c r="E74" s="231">
        <f>SUM(E68:E73)</f>
        <v>561247500</v>
      </c>
    </row>
    <row r="76" spans="1:8">
      <c r="A76" s="146" t="s">
        <v>388</v>
      </c>
      <c r="B76" s="146" t="s">
        <v>630</v>
      </c>
      <c r="C76" s="147"/>
      <c r="D76" s="147" t="s">
        <v>631</v>
      </c>
      <c r="E76" s="148" t="s">
        <v>632</v>
      </c>
      <c r="F76" s="148" t="s">
        <v>633</v>
      </c>
      <c r="G76" s="148"/>
      <c r="H76" s="148"/>
    </row>
    <row r="77" spans="1:8">
      <c r="A77" s="149"/>
      <c r="B77" s="149"/>
      <c r="C77" s="150" t="s">
        <v>634</v>
      </c>
      <c r="D77" s="151">
        <v>0</v>
      </c>
      <c r="E77" s="200">
        <v>561247499</v>
      </c>
      <c r="F77" s="200">
        <v>0</v>
      </c>
      <c r="G77" s="104"/>
      <c r="H77" s="153"/>
    </row>
    <row r="78" spans="1:8">
      <c r="A78" s="91">
        <v>44197</v>
      </c>
      <c r="B78" s="75" t="s">
        <v>79</v>
      </c>
      <c r="C78" s="92" t="s">
        <v>645</v>
      </c>
      <c r="D78" s="75" t="s">
        <v>646</v>
      </c>
      <c r="E78" s="201">
        <v>1</v>
      </c>
      <c r="F78" s="201">
        <v>0</v>
      </c>
      <c r="G78" s="94"/>
      <c r="H78" s="74"/>
    </row>
    <row r="79" spans="1:8">
      <c r="A79" s="91">
        <v>44217</v>
      </c>
      <c r="B79" s="75" t="s">
        <v>465</v>
      </c>
      <c r="C79" s="92" t="s">
        <v>647</v>
      </c>
      <c r="D79" s="75" t="s">
        <v>150</v>
      </c>
      <c r="E79" s="201">
        <v>0</v>
      </c>
      <c r="F79" s="204">
        <v>240029780</v>
      </c>
      <c r="G79" s="94"/>
      <c r="H79" s="74"/>
    </row>
    <row r="80" spans="1:8">
      <c r="A80" s="91">
        <v>44226</v>
      </c>
      <c r="B80" s="75" t="s">
        <v>648</v>
      </c>
      <c r="C80" s="92" t="s">
        <v>649</v>
      </c>
      <c r="D80" s="75" t="s">
        <v>431</v>
      </c>
      <c r="E80" s="201">
        <v>62500806</v>
      </c>
      <c r="F80" s="201">
        <v>0</v>
      </c>
      <c r="G80" s="94"/>
      <c r="H80" s="74"/>
    </row>
    <row r="81" spans="1:10">
      <c r="A81" s="91">
        <v>44226</v>
      </c>
      <c r="B81" s="75" t="s">
        <v>648</v>
      </c>
      <c r="C81" s="92" t="s">
        <v>650</v>
      </c>
      <c r="D81" s="75" t="s">
        <v>432</v>
      </c>
      <c r="E81" s="201">
        <v>6250081</v>
      </c>
      <c r="F81" s="201">
        <v>0</v>
      </c>
      <c r="G81" s="94"/>
      <c r="H81" s="74"/>
    </row>
    <row r="82" spans="1:10">
      <c r="A82" s="91">
        <v>44356</v>
      </c>
      <c r="B82" s="75" t="s">
        <v>79</v>
      </c>
      <c r="C82" s="92" t="s">
        <v>651</v>
      </c>
      <c r="D82" s="75" t="s">
        <v>150</v>
      </c>
      <c r="E82" s="201">
        <v>0</v>
      </c>
      <c r="F82" s="201">
        <v>199978000</v>
      </c>
      <c r="G82" s="94"/>
      <c r="H82" s="74"/>
      <c r="I82" s="95">
        <f>+E72+E73</f>
        <v>321217720</v>
      </c>
    </row>
    <row r="83" spans="1:10">
      <c r="A83" s="91">
        <v>44356</v>
      </c>
      <c r="B83" s="75" t="s">
        <v>79</v>
      </c>
      <c r="C83" s="92" t="s">
        <v>384</v>
      </c>
      <c r="D83" s="75" t="s">
        <v>422</v>
      </c>
      <c r="E83" s="201">
        <v>0</v>
      </c>
      <c r="F83" s="201">
        <v>22000</v>
      </c>
      <c r="G83" s="94"/>
      <c r="H83" s="74"/>
      <c r="I83" s="73">
        <f>+F82+F83</f>
        <v>200000000</v>
      </c>
      <c r="J83" s="156">
        <f>+I82-I83</f>
        <v>121217720</v>
      </c>
    </row>
    <row r="84" spans="1:10">
      <c r="A84" s="91">
        <v>44433</v>
      </c>
      <c r="B84" s="75" t="s">
        <v>652</v>
      </c>
      <c r="C84" s="92" t="s">
        <v>653</v>
      </c>
      <c r="D84" s="75" t="s">
        <v>431</v>
      </c>
      <c r="E84" s="201">
        <v>15755460</v>
      </c>
      <c r="F84" s="201">
        <v>0</v>
      </c>
      <c r="G84" s="94"/>
      <c r="H84" s="74"/>
    </row>
    <row r="85" spans="1:10">
      <c r="A85" s="91">
        <v>44433</v>
      </c>
      <c r="B85" s="75" t="s">
        <v>652</v>
      </c>
      <c r="C85" s="92" t="s">
        <v>654</v>
      </c>
      <c r="D85" s="75" t="s">
        <v>432</v>
      </c>
      <c r="E85" s="201">
        <v>1575546</v>
      </c>
      <c r="F85" s="201">
        <v>0</v>
      </c>
      <c r="G85" s="94"/>
      <c r="H85" s="74"/>
    </row>
    <row r="86" spans="1:10">
      <c r="A86" s="91">
        <v>44561</v>
      </c>
      <c r="B86" s="75" t="s">
        <v>79</v>
      </c>
      <c r="C86" s="92" t="s">
        <v>655</v>
      </c>
      <c r="D86" s="75" t="s">
        <v>656</v>
      </c>
      <c r="E86" s="201">
        <v>0</v>
      </c>
      <c r="F86" s="201">
        <v>378227</v>
      </c>
      <c r="G86" s="94"/>
      <c r="H86" s="74"/>
    </row>
    <row r="87" spans="1:10">
      <c r="A87" s="137"/>
      <c r="B87" s="137"/>
      <c r="C87" s="138" t="s">
        <v>625</v>
      </c>
      <c r="D87" s="139"/>
      <c r="E87" s="202">
        <v>86081894</v>
      </c>
      <c r="F87" s="202">
        <v>440408007</v>
      </c>
      <c r="G87" s="141"/>
      <c r="H87" s="141"/>
    </row>
    <row r="88" spans="1:10">
      <c r="A88" s="137"/>
      <c r="B88" s="137"/>
      <c r="C88" s="138" t="s">
        <v>626</v>
      </c>
      <c r="D88" s="139"/>
      <c r="E88" s="202">
        <v>206921386</v>
      </c>
      <c r="F88" s="202">
        <v>0</v>
      </c>
      <c r="G88" s="141"/>
      <c r="H88" s="141"/>
      <c r="J88" s="205">
        <f>+J83+E80+E81+E84+E85</f>
        <v>207299613</v>
      </c>
    </row>
    <row r="92" spans="1:10">
      <c r="A92" s="77">
        <v>966</v>
      </c>
      <c r="B92" s="78">
        <v>43620</v>
      </c>
      <c r="C92" s="79" t="s">
        <v>661</v>
      </c>
      <c r="D92" s="77">
        <v>5111</v>
      </c>
      <c r="E92" s="80">
        <v>104729830</v>
      </c>
      <c r="F92" s="80">
        <v>0</v>
      </c>
    </row>
    <row r="93" spans="1:10">
      <c r="A93" s="77">
        <v>966</v>
      </c>
      <c r="B93" s="78">
        <v>43620</v>
      </c>
      <c r="C93" s="79" t="s">
        <v>662</v>
      </c>
      <c r="D93" s="77">
        <v>33311</v>
      </c>
      <c r="E93" s="80">
        <v>10472983</v>
      </c>
      <c r="F93" s="80">
        <v>0</v>
      </c>
    </row>
    <row r="94" spans="1:10">
      <c r="A94" s="77">
        <v>966</v>
      </c>
      <c r="B94" s="78">
        <v>43754</v>
      </c>
      <c r="C94" s="79" t="s">
        <v>663</v>
      </c>
      <c r="D94" s="77" t="s">
        <v>150</v>
      </c>
      <c r="E94" s="80">
        <v>0</v>
      </c>
      <c r="F94" s="80">
        <v>57601407</v>
      </c>
    </row>
    <row r="95" spans="1:10">
      <c r="A95" s="213"/>
      <c r="B95" s="214"/>
      <c r="C95" s="215" t="s">
        <v>664</v>
      </c>
      <c r="D95" s="216"/>
      <c r="E95" s="217">
        <v>115202813</v>
      </c>
      <c r="F95" s="217">
        <v>57601407</v>
      </c>
    </row>
    <row r="96" spans="1:10" ht="20.25">
      <c r="A96" s="218"/>
      <c r="B96" s="219"/>
      <c r="C96" s="220" t="s">
        <v>665</v>
      </c>
      <c r="D96" s="221"/>
      <c r="E96" s="222">
        <v>57601406</v>
      </c>
      <c r="F96" s="222">
        <v>0</v>
      </c>
    </row>
    <row r="99" spans="1:6">
      <c r="A99" s="77">
        <v>0</v>
      </c>
      <c r="B99" s="78">
        <v>43612</v>
      </c>
      <c r="C99" s="79" t="s">
        <v>666</v>
      </c>
      <c r="D99" s="77" t="s">
        <v>150</v>
      </c>
      <c r="E99" s="80">
        <v>0</v>
      </c>
      <c r="F99" s="80">
        <v>400000000</v>
      </c>
    </row>
    <row r="100" spans="1:6">
      <c r="A100" s="77">
        <v>12</v>
      </c>
      <c r="B100" s="78">
        <v>43643</v>
      </c>
      <c r="C100" s="79" t="s">
        <v>667</v>
      </c>
      <c r="D100" s="77" t="s">
        <v>150</v>
      </c>
      <c r="E100" s="80">
        <v>0</v>
      </c>
      <c r="F100" s="80">
        <v>400000000</v>
      </c>
    </row>
    <row r="101" spans="1:6">
      <c r="A101" s="77">
        <v>12</v>
      </c>
      <c r="B101" s="78">
        <v>43645</v>
      </c>
      <c r="C101" s="79" t="s">
        <v>667</v>
      </c>
      <c r="D101" s="77">
        <v>5111</v>
      </c>
      <c r="E101" s="80">
        <v>765993000</v>
      </c>
      <c r="F101" s="80">
        <v>0</v>
      </c>
    </row>
    <row r="102" spans="1:6">
      <c r="A102" s="77">
        <v>12</v>
      </c>
      <c r="B102" s="78">
        <v>43645</v>
      </c>
      <c r="C102" s="79" t="s">
        <v>668</v>
      </c>
      <c r="D102" s="77">
        <v>33311</v>
      </c>
      <c r="E102" s="80">
        <v>76599300</v>
      </c>
      <c r="F102" s="80">
        <v>0</v>
      </c>
    </row>
    <row r="103" spans="1:6">
      <c r="A103" s="77">
        <v>0</v>
      </c>
      <c r="B103" s="78">
        <v>43668</v>
      </c>
      <c r="C103" s="79" t="s">
        <v>669</v>
      </c>
      <c r="D103" s="77" t="s">
        <v>150</v>
      </c>
      <c r="E103" s="80">
        <v>0</v>
      </c>
      <c r="F103" s="80">
        <v>310000000</v>
      </c>
    </row>
    <row r="104" spans="1:6">
      <c r="A104" s="77">
        <v>65</v>
      </c>
      <c r="B104" s="78">
        <v>43678</v>
      </c>
      <c r="C104" s="79" t="s">
        <v>670</v>
      </c>
      <c r="D104" s="77">
        <v>5111</v>
      </c>
      <c r="E104" s="80">
        <v>1539981000</v>
      </c>
      <c r="F104" s="80">
        <v>0</v>
      </c>
    </row>
    <row r="105" spans="1:6">
      <c r="A105" s="77">
        <v>65</v>
      </c>
      <c r="B105" s="78">
        <v>43678</v>
      </c>
      <c r="C105" s="79" t="s">
        <v>671</v>
      </c>
      <c r="D105" s="77">
        <v>33311</v>
      </c>
      <c r="E105" s="80">
        <v>153998100</v>
      </c>
      <c r="F105" s="80">
        <v>0</v>
      </c>
    </row>
    <row r="106" spans="1:6">
      <c r="A106" s="77">
        <v>0</v>
      </c>
      <c r="B106" s="78">
        <v>43703</v>
      </c>
      <c r="C106" s="79" t="s">
        <v>672</v>
      </c>
      <c r="D106" s="77" t="s">
        <v>150</v>
      </c>
      <c r="E106" s="80">
        <v>0</v>
      </c>
      <c r="F106" s="80">
        <v>500000000</v>
      </c>
    </row>
    <row r="107" spans="1:6">
      <c r="A107" s="77">
        <v>104</v>
      </c>
      <c r="B107" s="78">
        <v>43706</v>
      </c>
      <c r="C107" s="79" t="s">
        <v>673</v>
      </c>
      <c r="D107" s="77">
        <v>5111</v>
      </c>
      <c r="E107" s="80">
        <v>880942000</v>
      </c>
      <c r="F107" s="80">
        <v>0</v>
      </c>
    </row>
    <row r="108" spans="1:6">
      <c r="A108" s="77">
        <v>104</v>
      </c>
      <c r="B108" s="78">
        <v>43706</v>
      </c>
      <c r="C108" s="79" t="s">
        <v>674</v>
      </c>
      <c r="D108" s="77">
        <v>33311</v>
      </c>
      <c r="E108" s="80">
        <v>88094200</v>
      </c>
      <c r="F108" s="80">
        <v>0</v>
      </c>
    </row>
    <row r="109" spans="1:6">
      <c r="A109" s="77">
        <v>138</v>
      </c>
      <c r="B109" s="78">
        <v>43733</v>
      </c>
      <c r="C109" s="79" t="s">
        <v>675</v>
      </c>
      <c r="D109" s="77">
        <v>5111</v>
      </c>
      <c r="E109" s="80">
        <v>588227500</v>
      </c>
      <c r="F109" s="80">
        <v>0</v>
      </c>
    </row>
    <row r="110" spans="1:6">
      <c r="A110" s="77">
        <v>138</v>
      </c>
      <c r="B110" s="78">
        <v>43733</v>
      </c>
      <c r="C110" s="79" t="s">
        <v>676</v>
      </c>
      <c r="D110" s="77">
        <v>33311</v>
      </c>
      <c r="E110" s="80">
        <v>58822750</v>
      </c>
      <c r="F110" s="80">
        <v>0</v>
      </c>
    </row>
    <row r="111" spans="1:6">
      <c r="A111" s="77">
        <v>176</v>
      </c>
      <c r="B111" s="78">
        <v>43767</v>
      </c>
      <c r="C111" s="79" t="s">
        <v>677</v>
      </c>
      <c r="D111" s="77">
        <v>5111</v>
      </c>
      <c r="E111" s="80">
        <v>52080500</v>
      </c>
      <c r="F111" s="80">
        <v>0</v>
      </c>
    </row>
    <row r="112" spans="1:6">
      <c r="A112" s="77">
        <v>176</v>
      </c>
      <c r="B112" s="78">
        <v>43767</v>
      </c>
      <c r="C112" s="79" t="s">
        <v>678</v>
      </c>
      <c r="D112" s="77">
        <v>33311</v>
      </c>
      <c r="E112" s="80">
        <v>5208050</v>
      </c>
      <c r="F112" s="80">
        <v>0</v>
      </c>
    </row>
    <row r="113" spans="1:8">
      <c r="A113" s="213"/>
      <c r="B113" s="214"/>
      <c r="C113" s="215" t="s">
        <v>664</v>
      </c>
      <c r="D113" s="216"/>
      <c r="E113" s="217">
        <v>4209946400</v>
      </c>
      <c r="F113" s="217">
        <v>1610000000</v>
      </c>
    </row>
    <row r="114" spans="1:8" ht="20.25">
      <c r="A114" s="218"/>
      <c r="B114" s="219"/>
      <c r="C114" s="220" t="s">
        <v>665</v>
      </c>
      <c r="D114" s="221"/>
      <c r="E114" s="222">
        <v>2599946400</v>
      </c>
      <c r="F114" s="222">
        <v>0</v>
      </c>
    </row>
    <row r="115" spans="1:8">
      <c r="A115" s="149"/>
      <c r="B115" s="149"/>
      <c r="C115" s="150" t="s">
        <v>634</v>
      </c>
      <c r="D115" s="151">
        <v>0</v>
      </c>
      <c r="E115" s="104">
        <v>2599946400</v>
      </c>
      <c r="F115" s="153">
        <v>0</v>
      </c>
      <c r="G115" s="104"/>
      <c r="H115" s="153"/>
    </row>
    <row r="116" spans="1:8">
      <c r="A116" s="91">
        <v>44103</v>
      </c>
      <c r="B116" s="75" t="s">
        <v>395</v>
      </c>
      <c r="C116" s="92" t="s">
        <v>679</v>
      </c>
      <c r="D116" s="75" t="s">
        <v>150</v>
      </c>
      <c r="E116" s="94">
        <v>0</v>
      </c>
      <c r="F116" s="74">
        <v>100000000</v>
      </c>
      <c r="G116" s="94"/>
      <c r="H116" s="74"/>
    </row>
    <row r="117" spans="1:8">
      <c r="A117" s="91">
        <v>44139</v>
      </c>
      <c r="B117" s="75" t="s">
        <v>395</v>
      </c>
      <c r="C117" s="92" t="s">
        <v>680</v>
      </c>
      <c r="D117" s="75" t="s">
        <v>150</v>
      </c>
      <c r="E117" s="94">
        <v>0</v>
      </c>
      <c r="F117" s="74">
        <v>100000000</v>
      </c>
      <c r="G117" s="94"/>
      <c r="H117" s="74"/>
    </row>
    <row r="118" spans="1:8">
      <c r="A118" s="91">
        <v>44168</v>
      </c>
      <c r="B118" s="75" t="s">
        <v>79</v>
      </c>
      <c r="C118" s="92" t="s">
        <v>681</v>
      </c>
      <c r="D118" s="75" t="s">
        <v>150</v>
      </c>
      <c r="E118" s="94">
        <v>0</v>
      </c>
      <c r="F118" s="74">
        <v>100000000</v>
      </c>
      <c r="G118" s="94"/>
      <c r="H118" s="74"/>
    </row>
    <row r="119" spans="1:8">
      <c r="A119" s="137"/>
      <c r="B119" s="137"/>
      <c r="C119" s="138" t="s">
        <v>625</v>
      </c>
      <c r="D119" s="139"/>
      <c r="E119" s="141">
        <v>0</v>
      </c>
      <c r="F119" s="141">
        <v>300000000</v>
      </c>
      <c r="G119" s="141"/>
      <c r="H119" s="141"/>
    </row>
    <row r="120" spans="1:8">
      <c r="A120" s="137"/>
      <c r="B120" s="137"/>
      <c r="C120" s="138" t="s">
        <v>626</v>
      </c>
      <c r="D120" s="139"/>
      <c r="E120" s="141">
        <v>2299946400</v>
      </c>
      <c r="F120" s="141">
        <v>0</v>
      </c>
      <c r="G120" s="141"/>
      <c r="H120" s="141"/>
    </row>
    <row r="121" spans="1:8">
      <c r="A121" s="146" t="s">
        <v>388</v>
      </c>
      <c r="B121" s="146" t="s">
        <v>630</v>
      </c>
      <c r="C121" s="147"/>
      <c r="D121" s="147" t="s">
        <v>631</v>
      </c>
      <c r="E121" s="148" t="s">
        <v>632</v>
      </c>
      <c r="F121" s="148" t="s">
        <v>633</v>
      </c>
      <c r="G121" s="148"/>
      <c r="H121" s="148"/>
    </row>
    <row r="122" spans="1:8">
      <c r="A122" s="149"/>
      <c r="B122" s="149"/>
      <c r="C122" s="150" t="s">
        <v>634</v>
      </c>
      <c r="D122" s="151">
        <v>0</v>
      </c>
      <c r="E122" s="104">
        <v>2299946400</v>
      </c>
      <c r="F122" s="153">
        <v>0</v>
      </c>
      <c r="G122" s="104"/>
      <c r="H122" s="153"/>
    </row>
    <row r="123" spans="1:8">
      <c r="A123" s="91">
        <v>44197</v>
      </c>
      <c r="B123" s="75" t="s">
        <v>79</v>
      </c>
      <c r="C123" s="92" t="s">
        <v>682</v>
      </c>
      <c r="D123" s="75" t="s">
        <v>683</v>
      </c>
      <c r="E123" s="94">
        <v>0</v>
      </c>
      <c r="F123" s="74">
        <v>150000000</v>
      </c>
      <c r="G123" s="94"/>
      <c r="H123" s="74"/>
    </row>
    <row r="124" spans="1:8">
      <c r="A124" s="91">
        <v>44228</v>
      </c>
      <c r="B124" s="75" t="s">
        <v>395</v>
      </c>
      <c r="C124" s="92" t="s">
        <v>684</v>
      </c>
      <c r="D124" s="75" t="s">
        <v>150</v>
      </c>
      <c r="E124" s="94">
        <v>0</v>
      </c>
      <c r="F124" s="74">
        <v>100000000</v>
      </c>
      <c r="G124" s="94"/>
      <c r="H124" s="74"/>
    </row>
    <row r="125" spans="1:8">
      <c r="A125" s="91">
        <v>44231</v>
      </c>
      <c r="B125" s="75" t="s">
        <v>395</v>
      </c>
      <c r="C125" s="92" t="s">
        <v>685</v>
      </c>
      <c r="D125" s="75" t="s">
        <v>150</v>
      </c>
      <c r="E125" s="94">
        <v>0</v>
      </c>
      <c r="F125" s="74">
        <v>100000000</v>
      </c>
      <c r="G125" s="94"/>
      <c r="H125" s="74"/>
    </row>
    <row r="126" spans="1:8">
      <c r="A126" s="91">
        <v>44278</v>
      </c>
      <c r="B126" s="75" t="s">
        <v>79</v>
      </c>
      <c r="C126" s="92" t="s">
        <v>686</v>
      </c>
      <c r="D126" s="75" t="s">
        <v>683</v>
      </c>
      <c r="E126" s="94">
        <v>0</v>
      </c>
      <c r="F126" s="74">
        <v>250000000</v>
      </c>
      <c r="G126" s="94"/>
      <c r="H126" s="74"/>
    </row>
    <row r="127" spans="1:8">
      <c r="A127" s="137"/>
      <c r="B127" s="137"/>
      <c r="C127" s="138" t="s">
        <v>625</v>
      </c>
      <c r="D127" s="139"/>
      <c r="E127" s="141">
        <v>0</v>
      </c>
      <c r="F127" s="141">
        <v>600000000</v>
      </c>
      <c r="G127" s="141"/>
      <c r="H127" s="141"/>
    </row>
    <row r="128" spans="1:8">
      <c r="A128" s="137"/>
      <c r="B128" s="137"/>
      <c r="C128" s="138" t="s">
        <v>626</v>
      </c>
      <c r="D128" s="139"/>
      <c r="E128" s="141">
        <v>1699946400</v>
      </c>
      <c r="F128" s="141">
        <v>0</v>
      </c>
      <c r="G128" s="141"/>
      <c r="H128" s="141"/>
    </row>
    <row r="131" spans="1:7">
      <c r="A131" s="77" t="s">
        <v>478</v>
      </c>
      <c r="B131" s="78">
        <v>43613</v>
      </c>
      <c r="C131" s="79" t="s">
        <v>689</v>
      </c>
      <c r="D131" s="77">
        <v>5111</v>
      </c>
      <c r="E131" s="80">
        <v>294349044</v>
      </c>
    </row>
    <row r="132" spans="1:7">
      <c r="A132" s="77" t="s">
        <v>478</v>
      </c>
      <c r="B132" s="78">
        <v>43613</v>
      </c>
      <c r="C132" s="79" t="s">
        <v>690</v>
      </c>
      <c r="D132" s="77">
        <v>33311</v>
      </c>
      <c r="E132" s="80">
        <v>29434904</v>
      </c>
    </row>
    <row r="133" spans="1:7">
      <c r="A133" s="77">
        <v>6</v>
      </c>
      <c r="B133" s="78">
        <v>43645</v>
      </c>
      <c r="C133" s="79" t="s">
        <v>691</v>
      </c>
      <c r="D133" s="77">
        <v>5111</v>
      </c>
      <c r="E133" s="80">
        <v>57500000</v>
      </c>
    </row>
    <row r="134" spans="1:7">
      <c r="A134" s="77">
        <v>6</v>
      </c>
      <c r="B134" s="78">
        <v>43645</v>
      </c>
      <c r="C134" s="79" t="s">
        <v>692</v>
      </c>
      <c r="D134" s="77">
        <v>33311</v>
      </c>
      <c r="E134" s="80">
        <v>5750000</v>
      </c>
    </row>
    <row r="135" spans="1:7">
      <c r="E135" s="86">
        <f>SUM(E131:E134)</f>
        <v>387033948</v>
      </c>
    </row>
    <row r="137" spans="1:7">
      <c r="A137" s="91">
        <v>44204</v>
      </c>
      <c r="B137" s="75" t="s">
        <v>693</v>
      </c>
      <c r="C137" s="92" t="s">
        <v>694</v>
      </c>
      <c r="D137" s="75" t="s">
        <v>431</v>
      </c>
      <c r="E137" s="94">
        <v>18973160</v>
      </c>
      <c r="F137" s="93"/>
      <c r="G137" s="94"/>
    </row>
    <row r="138" spans="1:7">
      <c r="A138" s="91">
        <v>44204</v>
      </c>
      <c r="B138" s="75" t="s">
        <v>693</v>
      </c>
      <c r="C138" s="92" t="s">
        <v>695</v>
      </c>
      <c r="D138" s="75" t="s">
        <v>432</v>
      </c>
      <c r="E138" s="94">
        <v>1897316</v>
      </c>
      <c r="F138" s="93"/>
      <c r="G138" s="94"/>
    </row>
    <row r="139" spans="1:7">
      <c r="A139" s="137"/>
      <c r="B139" s="137"/>
      <c r="C139" s="138" t="s">
        <v>625</v>
      </c>
      <c r="D139" s="139"/>
      <c r="E139" s="141">
        <v>20870476</v>
      </c>
      <c r="F139" s="140"/>
      <c r="G139" s="141"/>
    </row>
    <row r="140" spans="1:7">
      <c r="A140" s="137"/>
      <c r="B140" s="137"/>
      <c r="C140" s="138" t="s">
        <v>626</v>
      </c>
      <c r="D140" s="139"/>
      <c r="E140" s="141">
        <v>20870476</v>
      </c>
      <c r="F140" s="140"/>
      <c r="G140" s="1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KQHDKD</vt:lpstr>
      <vt:lpstr>CDKT</vt:lpstr>
      <vt:lpstr>CDPS</vt:lpstr>
      <vt:lpstr>2293</vt:lpstr>
      <vt:lpstr>CN</vt:lpstr>
      <vt:lpstr>CDKT!Print_Area</vt:lpstr>
      <vt:lpstr>CDPS!Print_Area</vt:lpstr>
      <vt:lpstr>KQHDKD!Print_Area</vt:lpstr>
      <vt:lpstr>CDPS!Print_Titles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PC</cp:lastModifiedBy>
  <cp:lastPrinted>2026-01-23T02:57:14Z</cp:lastPrinted>
  <dcterms:created xsi:type="dcterms:W3CDTF">2018-03-08T10:52:28Z</dcterms:created>
  <dcterms:modified xsi:type="dcterms:W3CDTF">2026-01-23T03:00:52Z</dcterms:modified>
</cp:coreProperties>
</file>